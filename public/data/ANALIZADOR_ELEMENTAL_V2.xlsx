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miralles/Library/Application Support/Mountain Duck/Volumes.noindex/OneDrive Personal.localized/My Files/_CORE/_MIS APP/DASHBOARDS/"/>
    </mc:Choice>
  </mc:AlternateContent>
  <xr:revisionPtr revIDLastSave="0" documentId="13_ncr:1_{199ABAEB-55BA-6F4D-9DB9-747FA602069D}" xr6:coauthVersionLast="47" xr6:coauthVersionMax="47" xr10:uidLastSave="{00000000-0000-0000-0000-000000000000}"/>
  <bookViews>
    <workbookView xWindow="0" yWindow="680" windowWidth="23200" windowHeight="15040" tabRatio="500" xr2:uid="{00000000-000D-0000-FFFF-FFFF00000000}"/>
  </bookViews>
  <sheets>
    <sheet name="PORTADA_EEM" sheetId="10" r:id="rId1"/>
    <sheet name="CONFIG_ASIGNATURAS" sheetId="2" r:id="rId2"/>
    <sheet name="CONFIG_METADATA" sheetId="3" r:id="rId3"/>
    <sheet name="CONFIG_CORRELACIONES" sheetId="4" r:id="rId4"/>
    <sheet name="DATOS" sheetId="5" r:id="rId5"/>
    <sheet name="CALC_EEM" sheetId="6" r:id="rId6"/>
    <sheet name="DAT_CORRELACION" sheetId="7" r:id="rId7"/>
    <sheet name="CALC_CORRELACIONES" sheetId="8" r:id="rId8"/>
    <sheet name="EXPORTADOR" sheetId="9" r:id="rId9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<sst xmlns="http://schemas.openxmlformats.org/spreadsheetml/2006/main" count="831" uniqueCount="191">
  <si>
    <t>ESTRUCTURA DEL ARCHIVO</t>
  </si>
  <si>
    <t>ID</t>
  </si>
  <si>
    <t>Asignatura</t>
  </si>
  <si>
    <t>Cursos</t>
  </si>
  <si>
    <t>Grupo1</t>
  </si>
  <si>
    <t>Grupo2</t>
  </si>
  <si>
    <t>EsEspecialidad</t>
  </si>
  <si>
    <t>Activa</t>
  </si>
  <si>
    <t>CURSOS</t>
  </si>
  <si>
    <t>GRUPOS</t>
  </si>
  <si>
    <t>Lenguaje Musical</t>
  </si>
  <si>
    <t>1EEM;2EEM;3EEM;4EEM</t>
  </si>
  <si>
    <t>Referencia</t>
  </si>
  <si>
    <t>No</t>
  </si>
  <si>
    <t>Sí</t>
  </si>
  <si>
    <t>1EEM</t>
  </si>
  <si>
    <t>Coro</t>
  </si>
  <si>
    <t>NoEspecialidad</t>
  </si>
  <si>
    <t>LenguajeVoz</t>
  </si>
  <si>
    <t>2EEM</t>
  </si>
  <si>
    <t>Especialidad</t>
  </si>
  <si>
    <t>Conjunto</t>
  </si>
  <si>
    <t>3EEM;4EEM</t>
  </si>
  <si>
    <t>3EEM</t>
  </si>
  <si>
    <t>Arpa</t>
  </si>
  <si>
    <t>Cuerda</t>
  </si>
  <si>
    <t>4EEM</t>
  </si>
  <si>
    <t>Clarinete</t>
  </si>
  <si>
    <t>Madera</t>
  </si>
  <si>
    <t>Contrabajo</t>
  </si>
  <si>
    <t>Fagot</t>
  </si>
  <si>
    <t>Metal</t>
  </si>
  <si>
    <t>Flauta Travesera</t>
  </si>
  <si>
    <t>Tecla</t>
  </si>
  <si>
    <t>Guitarra</t>
  </si>
  <si>
    <t>Oboe</t>
  </si>
  <si>
    <t>Percusión</t>
  </si>
  <si>
    <t>Piano</t>
  </si>
  <si>
    <t>Saxofón</t>
  </si>
  <si>
    <t>Trombón</t>
  </si>
  <si>
    <t>Trompa</t>
  </si>
  <si>
    <t>Trompeta</t>
  </si>
  <si>
    <t>Viola</t>
  </si>
  <si>
    <t>Violín</t>
  </si>
  <si>
    <t>Violoncello</t>
  </si>
  <si>
    <t>Campo</t>
  </si>
  <si>
    <t>Valor</t>
  </si>
  <si>
    <t>Evaluaciones</t>
  </si>
  <si>
    <t>Centro</t>
  </si>
  <si>
    <t>CPM Mestre Tárrega</t>
  </si>
  <si>
    <t>1EV</t>
  </si>
  <si>
    <t>CursoAcademico</t>
  </si>
  <si>
    <t>25/26</t>
  </si>
  <si>
    <t>2EV</t>
  </si>
  <si>
    <t>Evaluacion</t>
  </si>
  <si>
    <t>3EV</t>
  </si>
  <si>
    <t>FINAL</t>
  </si>
  <si>
    <t>Curso</t>
  </si>
  <si>
    <t>Asignatura1</t>
  </si>
  <si>
    <t>Asignatura2</t>
  </si>
  <si>
    <t>LEYENDA</t>
  </si>
  <si>
    <t>Especialidad = la asignatura de instrumento del alumno</t>
  </si>
  <si>
    <t>Para añadir nuevas correlaciones, añadir filas aquí</t>
  </si>
  <si>
    <t>NIA</t>
  </si>
  <si>
    <t>Apellidos</t>
  </si>
  <si>
    <t>Nombre</t>
  </si>
  <si>
    <t>Repite</t>
  </si>
  <si>
    <t>Evaluación</t>
  </si>
  <si>
    <t>Código Asig</t>
  </si>
  <si>
    <t>Contenido</t>
  </si>
  <si>
    <t>Nota</t>
  </si>
  <si>
    <t>Nota Numérica</t>
  </si>
  <si>
    <t>Apto</t>
  </si>
  <si>
    <t>Profesor</t>
  </si>
  <si>
    <t>Observ.</t>
  </si>
  <si>
    <t>Nivel</t>
  </si>
  <si>
    <t>TipoAsig</t>
  </si>
  <si>
    <t>Registros</t>
  </si>
  <si>
    <t>NotaMedia</t>
  </si>
  <si>
    <t>Desviacion</t>
  </si>
  <si>
    <t>Moda</t>
  </si>
  <si>
    <t>PctAprobados</t>
  </si>
  <si>
    <t>PctSuspendidos</t>
  </si>
  <si>
    <t>ModaAprobados</t>
  </si>
  <si>
    <t>ModaSuspendidos</t>
  </si>
  <si>
    <t>Dist1</t>
  </si>
  <si>
    <t>Dist2</t>
  </si>
  <si>
    <t>Dist3</t>
  </si>
  <si>
    <t>Dist4</t>
  </si>
  <si>
    <t>Dist5</t>
  </si>
  <si>
    <t>Dist6</t>
  </si>
  <si>
    <t>Dist7</t>
  </si>
  <si>
    <t>Dist8</t>
  </si>
  <si>
    <t>Dist9</t>
  </si>
  <si>
    <t>Dist10</t>
  </si>
  <si>
    <t>AplicaACurso</t>
  </si>
  <si>
    <t>GLOBAL</t>
  </si>
  <si>
    <t>Total</t>
  </si>
  <si>
    <t>Total Especialidad</t>
  </si>
  <si>
    <t>TotalEsp</t>
  </si>
  <si>
    <t>Total no Especialidad</t>
  </si>
  <si>
    <t>TotalNoEsp</t>
  </si>
  <si>
    <t>DATOS PARA CORRELACIONES - Pivoteados por alumno</t>
  </si>
  <si>
    <t>Nota: Si UNIQUE no funciona, los NIAs se pueden copiar manualmente desde DATOS</t>
  </si>
  <si>
    <t>CURSO</t>
  </si>
  <si>
    <t>LM</t>
  </si>
  <si>
    <t>Conj</t>
  </si>
  <si>
    <t>Esp</t>
  </si>
  <si>
    <t>Correlacion</t>
  </si>
  <si>
    <t>N_Muestras</t>
  </si>
  <si>
    <t>Interpretacion</t>
  </si>
  <si>
    <t>INTERPRETACIÓN</t>
  </si>
  <si>
    <t>0.80 – 1.00</t>
  </si>
  <si>
    <t>Muy fuerte</t>
  </si>
  <si>
    <t>Los resultados están casi totalmente vinculados</t>
  </si>
  <si>
    <t>0.60 – 0.79</t>
  </si>
  <si>
    <t>Fuerte</t>
  </si>
  <si>
    <t>Alta relación entre el aprendizaje</t>
  </si>
  <si>
    <t>0.40 – 0.59</t>
  </si>
  <si>
    <t>Moderada</t>
  </si>
  <si>
    <t>Hay relación significativa</t>
  </si>
  <si>
    <t>0.20 – 0.39</t>
  </si>
  <si>
    <t>Débil</t>
  </si>
  <si>
    <t>La relación existe pero es discreta</t>
  </si>
  <si>
    <t>0.00 – 0.19</t>
  </si>
  <si>
    <t>Muy débil</t>
  </si>
  <si>
    <t>Cada asignatura se comporta de forma independiente</t>
  </si>
  <si>
    <t>&lt; 0</t>
  </si>
  <si>
    <t>Inversa</t>
  </si>
  <si>
    <t>Relación negativa (raro)</t>
  </si>
  <si>
    <t>#METADATA</t>
  </si>
  <si>
    <t>Trimestre</t>
  </si>
  <si>
    <t>#ESTADISTICAS</t>
  </si>
  <si>
    <t>Tipo</t>
  </si>
  <si>
    <t>#AGRUPACIONES</t>
  </si>
  <si>
    <t>Grupos</t>
  </si>
  <si>
    <t>AGR</t>
  </si>
  <si>
    <t>#CORRELACIONES</t>
  </si>
  <si>
    <t>COR</t>
  </si>
  <si>
    <t>Versión 1.0  ·  Diciembre 2024</t>
  </si>
  <si>
    <t>━━━━━━━━━━━━━━━━━━━━━━━━━━━━━━━━━━━━━━━━━━━━━━━━━━</t>
  </si>
  <si>
    <t xml:space="preserve">     Salida CSV con secciones #METADATA, #ESTADISTICAS, #CORRELACIONES, #AGRUPACIONES.</t>
  </si>
  <si>
    <t>◆  EXPORTADOR</t>
  </si>
  <si>
    <t xml:space="preserve">     Resultados de correlaciones con interpretación.</t>
  </si>
  <si>
    <t>◆  CALC_CORRELACIONES</t>
  </si>
  <si>
    <t xml:space="preserve">     Datos pivoteados por alumno para correlaciones.</t>
  </si>
  <si>
    <t>◆  DAT_CORRELACION</t>
  </si>
  <si>
    <t xml:space="preserve">     Cálculos estadísticos automáticos (media, desviación, moda, distribución).</t>
  </si>
  <si>
    <t>◆  CALC_EEM</t>
  </si>
  <si>
    <t xml:space="preserve">     Importar aquí todos los registros de calificaciones.</t>
  </si>
  <si>
    <t>◆  DATOS</t>
  </si>
  <si>
    <t xml:space="preserve">     Pares de asignaturas para calcular correlaciones.</t>
  </si>
  <si>
    <t>◆  CONFIG_CORRELACIONES</t>
  </si>
  <si>
    <t xml:space="preserve">     Centro, curso académico y selector de evaluación (1EV, 2EV, 3EV, FINAL).</t>
  </si>
  <si>
    <t>◆  CONFIG_METADATA</t>
  </si>
  <si>
    <t xml:space="preserve">     Lista maestra de asignaturas, cursos y agrupaciones.</t>
  </si>
  <si>
    <t>◆  CONFIG_ASIGNATURAS</t>
  </si>
  <si>
    <t xml:space="preserve">     Esta portada con las instrucciones de uso.</t>
  </si>
  <si>
    <t>◆  INSTRUCCIONES</t>
  </si>
  <si>
    <t xml:space="preserve">  Si no, contacta con el desarrollador para solicitar modificaciones.</t>
  </si>
  <si>
    <t>• Si tienes conocimientos de Excel, puedes adaptar las asignaturas que falten.</t>
  </si>
  <si>
    <t>• Capacidad máxima: 1.000 alumnos por evaluación.</t>
  </si>
  <si>
    <t xml:space="preserve">  Verifica que coincidan con las de tu centro.</t>
  </si>
  <si>
    <t>• Consulta CONFIG_ASIGNATURAS para ver las asignaturas implementadas.</t>
  </si>
  <si>
    <t xml:space="preserve">  Puede requerir adaptaciones para otras comunidades autónomas.</t>
  </si>
  <si>
    <t>• El plan de estudios está basado en la normativa de la Comunitat Valenciana.</t>
  </si>
  <si>
    <t>• Este analizador es exclusivo para Enseñanzas Elementales de Música en Conservatorios.</t>
  </si>
  <si>
    <t>⚠  AVISOS IMPORTANTES</t>
  </si>
  <si>
    <t xml:space="preserve">      Sube el CSV a la APP para visualizar los datos.</t>
  </si>
  <si>
    <t xml:space="preserve">      Copia toda la hoja EXPORTADOR y guárdala como CSV.</t>
  </si>
  <si>
    <t>4. EXPORTAR</t>
  </si>
  <si>
    <t xml:space="preserve">      Revisa CALC_CORRELACIONES para ver las correlaciones entre asignaturas.</t>
  </si>
  <si>
    <t xml:space="preserve">      Revisa CALC_EEM / CALC_EPM para ver las estadísticas calculadas.</t>
  </si>
  <si>
    <t>3. VERIFICAR CÁLCULOS</t>
  </si>
  <si>
    <t xml:space="preserve">      En CONFIG_METADATA, cambia la celda B4 para filtrar la evaluación deseada.</t>
  </si>
  <si>
    <t>2. SELECCIONAR EVALUACIÓN</t>
  </si>
  <si>
    <t xml:space="preserve">      Incluye solo una única evaluación. Duplica este excel para analizar cada evaluación por separado.</t>
  </si>
  <si>
    <t xml:space="preserve">      Pega los datos de calificaciones en la hoja DATOS.</t>
  </si>
  <si>
    <t>1. IMPORTAR DATOS</t>
  </si>
  <si>
    <t>CÓMO USAR ESTE ANALIZADOR</t>
  </si>
  <si>
    <t>ENLACES</t>
  </si>
  <si>
    <t>Desarrollado con Claude (Anthropic)</t>
  </si>
  <si>
    <t>www.jlmirall.es  ·  joseluismirallesbono@gmail.com</t>
  </si>
  <si>
    <t>José Luis Miralles Bono</t>
  </si>
  <si>
    <t>Creado mediante Vibe Coding por:</t>
  </si>
  <si>
    <t>Analizador de Calificaciones de Enseñanzas Elementales de Música
para Conservatorios</t>
  </si>
  <si>
    <t>ANALIZADOR EEM</t>
  </si>
  <si>
    <t>▸ APP para visualizar los datos exportados: https://jlmirallesb.github.io/DashboardAcademico/</t>
  </si>
  <si>
    <t>▸ Repositorio en GitHub: https://github.com/JLMirallesB/DashboardAcademico</t>
  </si>
  <si>
    <t>▸ Reporta errores o bugs: https://github.com/JLMirallesB/DashboardAcademico/issues</t>
  </si>
  <si>
    <t>▸ ¿Te ha sido útil? Invita a un café al desarrollador: https://ko-fi.com/miralles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</si>
</sst>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color rgb="FF0000FF"/>
      <name val="Cambria"/>
      <family val="1"/>
    </font>
    <font>
      <b/>
      <sz val="11"/>
      <name val="Cambria"/>
      <family val="1"/>
    </font>
    <font>
      <b/>
      <sz val="12"/>
      <name val="Cambria"/>
      <family val="1"/>
    </font>
    <font>
      <i/>
      <sz val="11"/>
      <color rgb="FF666666"/>
      <name val="Cambria"/>
      <family val="1"/>
    </font>
    <font>
      <i/>
      <sz val="11"/>
      <color rgb="FFFF0000"/>
      <name val="Cambria"/>
      <family val="1"/>
    </font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i/>
      <sz val="9"/>
      <color rgb="FF999999"/>
      <name val="Calibri"/>
      <family val="2"/>
    </font>
    <font>
      <sz val="8"/>
      <color rgb="FFCCCCCC"/>
      <name val="Calibri"/>
      <family val="2"/>
    </font>
    <font>
      <sz val="10"/>
      <color rgb="FF555555"/>
      <name val="Calibri"/>
      <family val="2"/>
    </font>
    <font>
      <b/>
      <sz val="11"/>
      <color rgb="FF000000"/>
      <name val="Calibri"/>
      <family val="2"/>
    </font>
    <font>
      <b/>
      <sz val="14"/>
      <color rgb="FFFFFFFF"/>
      <name val="Calibri"/>
      <family val="2"/>
    </font>
    <font>
      <sz val="10"/>
      <color rgb="FF333333"/>
      <name val="Calibri"/>
      <family val="2"/>
    </font>
    <font>
      <sz val="11"/>
      <color rgb="FF333333"/>
      <name val="Calibri"/>
      <family val="2"/>
    </font>
    <font>
      <i/>
      <sz val="10"/>
      <color rgb="FF999999"/>
      <name val="Calibri"/>
      <family val="2"/>
    </font>
    <font>
      <sz val="10"/>
      <color rgb="FF666666"/>
      <name val="Calibri"/>
      <family val="2"/>
    </font>
    <font>
      <b/>
      <sz val="12"/>
      <color rgb="FF000000"/>
      <name val="Calibri"/>
      <family val="2"/>
    </font>
    <font>
      <i/>
      <sz val="14"/>
      <color rgb="FF333333"/>
      <name val="Calibri"/>
      <family val="2"/>
    </font>
    <font>
      <sz val="8"/>
      <color rgb="FF999999"/>
      <name val="Calibri"/>
      <family val="2"/>
    </font>
    <font>
      <b/>
      <sz val="28"/>
      <color rgb="FF000000"/>
      <name val="Calibri"/>
      <family val="2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666666"/>
      </patternFill>
    </fill>
    <fill>
      <patternFill patternType="solid">
        <fgColor rgb="FFD9E2F3"/>
        <bgColor rgb="FFCCFFFF"/>
      </patternFill>
    </fill>
    <fill>
      <patternFill patternType="solid">
        <fgColor rgb="FFFFC000"/>
        <bgColor rgb="FFFF9900"/>
      </patternFill>
    </fill>
    <fill>
      <patternFill patternType="solid"/>
    </fill>
    <fill>
      <patternFill patternType="solid">
        <fgColor rgb="FF333333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8" fillId="0" borderId="0"/>
    <xf numFmtId="0" fontId="22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0" xfId="0" applyFont="1" applyFill="1"/>
    <xf numFmtId="0" fontId="0" fillId="0" borderId="1" xfId="0" applyBorder="1"/>
    <xf numFmtId="0" fontId="2" fillId="0" borderId="0" xfId="0" applyFont="1"/>
    <xf numFmtId="0" fontId="1" fillId="2" borderId="1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2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9" fontId="0" fillId="0" borderId="0" xfId="1" applyFont="1"/>
    <xf numFmtId="164" fontId="0" fillId="0" borderId="0" xfId="1" applyNumberFormat="1" applyFont="1"/>
    <xf numFmtId="0" fontId="8" fillId="0" borderId="0" xfId="2"/>
    <xf numFmtId="0" fontId="9" fillId="0" borderId="0" xfId="2" applyFont="1" applyAlignment="1">
      <alignment horizontal="center"/>
    </xf>
    <xf numFmtId="0" fontId="11" fillId="0" borderId="0" xfId="2" applyFont="1"/>
    <xf numFmtId="0" fontId="12" fillId="0" borderId="0" xfId="2" applyFont="1"/>
    <xf numFmtId="0" fontId="13" fillId="5" borderId="0" xfId="2" applyFont="1" applyFill="1" applyAlignment="1">
      <alignment horizontal="center"/>
    </xf>
    <xf numFmtId="0" fontId="14" fillId="0" borderId="0" xfId="2" applyFont="1"/>
    <xf numFmtId="0" fontId="13" fillId="6" borderId="0" xfId="2" applyFont="1" applyFill="1" applyAlignment="1">
      <alignment horizontal="center"/>
    </xf>
    <xf numFmtId="0" fontId="15" fillId="0" borderId="0" xfId="2" applyFont="1"/>
    <xf numFmtId="0" fontId="16" fillId="0" borderId="0" xfId="2" applyFont="1"/>
    <xf numFmtId="0" fontId="17" fillId="0" borderId="0" xfId="2" applyFont="1"/>
    <xf numFmtId="0" fontId="18" fillId="0" borderId="0" xfId="2" applyFont="1"/>
    <xf numFmtId="0" fontId="20" fillId="0" borderId="0" xfId="2" applyFont="1" applyAlignment="1">
      <alignment horizontal="center"/>
    </xf>
    <xf numFmtId="0" fontId="19" fillId="0" borderId="0" xfId="2" applyFont="1" applyAlignment="1">
      <alignment horizontal="center" vertical="center" wrapText="1"/>
    </xf>
    <xf numFmtId="0" fontId="21" fillId="0" borderId="0" xfId="2" applyFont="1" applyAlignment="1">
      <alignment horizontal="center" vertical="center"/>
    </xf>
    <xf numFmtId="0" fontId="10" fillId="0" borderId="0" xfId="2" applyFont="1" applyAlignment="1">
      <alignment horizontal="center"/>
    </xf>
    <xf numFmtId="0" fontId="22" fillId="0" borderId="0" xfId="3"/>
  </cellXfs>
  <cellStyles count="4">
    <cellStyle name="Hipervínculo" xfId="3" builtinId="8"/>
    <cellStyle name="Normal" xfId="0" builtinId="0"/>
    <cellStyle name="Normal 2" xfId="2" xr:uid="{6C19810B-846F-FA4A-9034-DEBA2C8DFA73}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JLMirallesB/DashboardAcademico/issues" TargetMode="External"/><Relationship Id="rId2" Type="http://schemas.openxmlformats.org/officeDocument/2006/relationships/hyperlink" Target="https://github.com/JLMirallesB/DashboardAcademico" TargetMode="External"/><Relationship Id="rId1" Type="http://schemas.openxmlformats.org/officeDocument/2006/relationships/hyperlink" Target="https://jlmirallesb.github.io/DashboardAcademico/" TargetMode="External"/><Relationship Id="rId4" Type="http://schemas.openxmlformats.org/officeDocument/2006/relationships/hyperlink" Target="https://ko-fi.com/mira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9485E-7FD2-174D-8D06-2341AAEDD666}">
  <dimension ref="B2:B88"/>
  <sheetViews>
    <sheetView tabSelected="1" topLeftCell="A8" workbookViewId="0">
      <selection activeCell="B16" sqref="B16"/>
    </sheetView>
  </sheetViews>
  <sheetFormatPr baseColWidth="10" defaultColWidth="8.83203125" defaultRowHeight="15" x14ac:dyDescent="0.2"/>
  <cols>
    <col min="1" max="1" width="3" style="17" customWidth="1"/>
    <col min="2" max="2" width="80" style="17" customWidth="1"/>
    <col min="3" max="3" width="3" style="17" customWidth="1"/>
    <col min="4" max="16384" width="8.83203125" style="17"/>
  </cols>
  <sheetData>
    <row r="2" spans="2:2" ht="37" x14ac:dyDescent="0.2">
      <c r="B2" s="30" t="s">
        <v>186</v>
      </c>
    </row>
    <row r="3" spans="2:2" x14ac:dyDescent="0.2">
      <c r="B3" s="28" t="s">
        <v>140</v>
      </c>
    </row>
    <row r="5" spans="2:2" ht="40" customHeight="1" x14ac:dyDescent="0.2">
      <c r="B5" s="29" t="s">
        <v>185</v>
      </c>
    </row>
    <row r="8" spans="2:2" x14ac:dyDescent="0.2">
      <c r="B8" s="26" t="s">
        <v>184</v>
      </c>
    </row>
    <row r="9" spans="2:2" ht="16" x14ac:dyDescent="0.2">
      <c r="B9" s="27" t="s">
        <v>183</v>
      </c>
    </row>
    <row r="10" spans="2:2" x14ac:dyDescent="0.2">
      <c r="B10" s="26" t="s">
        <v>182</v>
      </c>
    </row>
    <row r="11" spans="2:2" x14ac:dyDescent="0.2">
      <c r="B11" s="25" t="s">
        <v>181</v>
      </c>
    </row>
    <row r="14" spans="2:2" ht="19" x14ac:dyDescent="0.25">
      <c r="B14" s="21" t="s">
        <v>180</v>
      </c>
    </row>
    <row r="16" spans="2:2" x14ac:dyDescent="0.2">
      <c r="B16" s="32" t="s">
        <v>187</v>
      </c>
    </row>
    <row r="17" spans="2:2" x14ac:dyDescent="0.2">
      <c r="B17" s="32" t="s">
        <v>188</v>
      </c>
    </row>
    <row r="18" spans="2:2" x14ac:dyDescent="0.2">
      <c r="B18" s="32" t="s">
        <v>189</v>
      </c>
    </row>
    <row r="19" spans="2:2" x14ac:dyDescent="0.2">
      <c r="B19" s="24"/>
    </row>
    <row r="20" spans="2:2" x14ac:dyDescent="0.2">
      <c r="B20" s="32" t="s">
        <v>190</v>
      </c>
    </row>
    <row r="23" spans="2:2" ht="19" x14ac:dyDescent="0.25">
      <c r="B23" s="21" t="s">
        <v>179</v>
      </c>
    </row>
    <row r="25" spans="2:2" x14ac:dyDescent="0.2">
      <c r="B25" s="20" t="s">
        <v>178</v>
      </c>
    </row>
    <row r="26" spans="2:2" x14ac:dyDescent="0.2">
      <c r="B26" s="19" t="s">
        <v>177</v>
      </c>
    </row>
    <row r="27" spans="2:2" x14ac:dyDescent="0.2">
      <c r="B27" s="19" t="s">
        <v>176</v>
      </c>
    </row>
    <row r="28" spans="2:2" x14ac:dyDescent="0.2">
      <c r="B28" s="19"/>
    </row>
    <row r="29" spans="2:2" x14ac:dyDescent="0.2">
      <c r="B29" s="20" t="s">
        <v>175</v>
      </c>
    </row>
    <row r="30" spans="2:2" x14ac:dyDescent="0.2">
      <c r="B30" s="19" t="s">
        <v>174</v>
      </c>
    </row>
    <row r="31" spans="2:2" x14ac:dyDescent="0.2">
      <c r="B31" s="19"/>
    </row>
    <row r="32" spans="2:2" x14ac:dyDescent="0.2">
      <c r="B32" s="20" t="s">
        <v>173</v>
      </c>
    </row>
    <row r="33" spans="2:2" x14ac:dyDescent="0.2">
      <c r="B33" s="19" t="s">
        <v>172</v>
      </c>
    </row>
    <row r="34" spans="2:2" x14ac:dyDescent="0.2">
      <c r="B34" s="19" t="s">
        <v>171</v>
      </c>
    </row>
    <row r="35" spans="2:2" x14ac:dyDescent="0.2">
      <c r="B35" s="19"/>
    </row>
    <row r="36" spans="2:2" x14ac:dyDescent="0.2">
      <c r="B36" s="20" t="s">
        <v>170</v>
      </c>
    </row>
    <row r="37" spans="2:2" x14ac:dyDescent="0.2">
      <c r="B37" s="19" t="s">
        <v>169</v>
      </c>
    </row>
    <row r="38" spans="2:2" x14ac:dyDescent="0.2">
      <c r="B38" s="19" t="s">
        <v>168</v>
      </c>
    </row>
    <row r="41" spans="2:2" ht="19" x14ac:dyDescent="0.25">
      <c r="B41" s="23" t="s">
        <v>167</v>
      </c>
    </row>
    <row r="43" spans="2:2" x14ac:dyDescent="0.2">
      <c r="B43" s="22" t="s">
        <v>166</v>
      </c>
    </row>
    <row r="44" spans="2:2" x14ac:dyDescent="0.2">
      <c r="B44" s="22"/>
    </row>
    <row r="45" spans="2:2" x14ac:dyDescent="0.2">
      <c r="B45" s="22" t="s">
        <v>165</v>
      </c>
    </row>
    <row r="46" spans="2:2" x14ac:dyDescent="0.2">
      <c r="B46" s="22" t="s">
        <v>164</v>
      </c>
    </row>
    <row r="47" spans="2:2" x14ac:dyDescent="0.2">
      <c r="B47" s="22"/>
    </row>
    <row r="48" spans="2:2" x14ac:dyDescent="0.2">
      <c r="B48" s="22" t="s">
        <v>163</v>
      </c>
    </row>
    <row r="49" spans="2:2" x14ac:dyDescent="0.2">
      <c r="B49" s="22" t="s">
        <v>162</v>
      </c>
    </row>
    <row r="50" spans="2:2" x14ac:dyDescent="0.2">
      <c r="B50" s="22"/>
    </row>
    <row r="51" spans="2:2" x14ac:dyDescent="0.2">
      <c r="B51" s="22" t="s">
        <v>161</v>
      </c>
    </row>
    <row r="52" spans="2:2" x14ac:dyDescent="0.2">
      <c r="B52" s="22"/>
    </row>
    <row r="53" spans="2:2" x14ac:dyDescent="0.2">
      <c r="B53" s="22" t="s">
        <v>160</v>
      </c>
    </row>
    <row r="54" spans="2:2" x14ac:dyDescent="0.2">
      <c r="B54" s="22" t="s">
        <v>159</v>
      </c>
    </row>
    <row r="57" spans="2:2" ht="19" x14ac:dyDescent="0.25">
      <c r="B57" s="21" t="s">
        <v>0</v>
      </c>
    </row>
    <row r="59" spans="2:2" x14ac:dyDescent="0.2">
      <c r="B59" s="20" t="s">
        <v>158</v>
      </c>
    </row>
    <row r="60" spans="2:2" x14ac:dyDescent="0.2">
      <c r="B60" s="19" t="s">
        <v>157</v>
      </c>
    </row>
    <row r="62" spans="2:2" x14ac:dyDescent="0.2">
      <c r="B62" s="20" t="s">
        <v>156</v>
      </c>
    </row>
    <row r="63" spans="2:2" x14ac:dyDescent="0.2">
      <c r="B63" s="19" t="s">
        <v>155</v>
      </c>
    </row>
    <row r="65" spans="2:2" x14ac:dyDescent="0.2">
      <c r="B65" s="20" t="s">
        <v>154</v>
      </c>
    </row>
    <row r="66" spans="2:2" x14ac:dyDescent="0.2">
      <c r="B66" s="19" t="s">
        <v>153</v>
      </c>
    </row>
    <row r="68" spans="2:2" x14ac:dyDescent="0.2">
      <c r="B68" s="20" t="s">
        <v>152</v>
      </c>
    </row>
    <row r="69" spans="2:2" x14ac:dyDescent="0.2">
      <c r="B69" s="19" t="s">
        <v>151</v>
      </c>
    </row>
    <row r="71" spans="2:2" x14ac:dyDescent="0.2">
      <c r="B71" s="20" t="s">
        <v>150</v>
      </c>
    </row>
    <row r="72" spans="2:2" x14ac:dyDescent="0.2">
      <c r="B72" s="19" t="s">
        <v>149</v>
      </c>
    </row>
    <row r="74" spans="2:2" x14ac:dyDescent="0.2">
      <c r="B74" s="20" t="s">
        <v>148</v>
      </c>
    </row>
    <row r="75" spans="2:2" x14ac:dyDescent="0.2">
      <c r="B75" s="19" t="s">
        <v>147</v>
      </c>
    </row>
    <row r="77" spans="2:2" x14ac:dyDescent="0.2">
      <c r="B77" s="20" t="s">
        <v>146</v>
      </c>
    </row>
    <row r="78" spans="2:2" x14ac:dyDescent="0.2">
      <c r="B78" s="19" t="s">
        <v>145</v>
      </c>
    </row>
    <row r="80" spans="2:2" x14ac:dyDescent="0.2">
      <c r="B80" s="20" t="s">
        <v>144</v>
      </c>
    </row>
    <row r="81" spans="2:2" x14ac:dyDescent="0.2">
      <c r="B81" s="19" t="s">
        <v>143</v>
      </c>
    </row>
    <row r="83" spans="2:2" x14ac:dyDescent="0.2">
      <c r="B83" s="20" t="s">
        <v>142</v>
      </c>
    </row>
    <row r="84" spans="2:2" x14ac:dyDescent="0.2">
      <c r="B84" s="19" t="s">
        <v>141</v>
      </c>
    </row>
    <row r="87" spans="2:2" x14ac:dyDescent="0.2">
      <c r="B87" s="31" t="s">
        <v>140</v>
      </c>
    </row>
    <row r="88" spans="2:2" x14ac:dyDescent="0.2">
      <c r="B88" s="18" t="s">
        <v>139</v>
      </c>
    </row>
  </sheetData>
  <mergeCells count="4">
    <mergeCell ref="B3"/>
    <mergeCell ref="B5"/>
    <mergeCell ref="B2"/>
    <mergeCell ref="B87"/>
  </mergeCells>
  <hyperlinks>
    <hyperlink ref="B16" r:id="rId1" xr:uid="{731E32EB-3A4C-B045-8EC7-605996166E90}"/>
    <hyperlink ref="B17" r:id="rId2" xr:uid="{B25961AD-1B57-5545-99A1-D23BFCC3D9F0}"/>
    <hyperlink ref="B18" r:id="rId3" xr:uid="{C40BA25B-52B0-854D-ABFF-072B197C4B9D}"/>
    <hyperlink ref="B20" r:id="rId4" xr:uid="{431D09CF-C227-6F4C-8978-6DCD54615841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7"/>
  <sheetViews>
    <sheetView zoomScaleNormal="100" workbookViewId="0">
      <selection activeCell="E13" sqref="E13"/>
    </sheetView>
  </sheetViews>
  <sheetFormatPr baseColWidth="10" defaultColWidth="8.6640625" defaultRowHeight="15" x14ac:dyDescent="0.2"/>
  <cols>
    <col min="1" max="1" width="5" customWidth="1"/>
    <col min="2" max="2" width="20" customWidth="1"/>
    <col min="3" max="3" width="25" customWidth="1"/>
    <col min="4" max="4" width="15" customWidth="1"/>
    <col min="5" max="5" width="12" customWidth="1"/>
    <col min="6" max="6" width="15" customWidth="1"/>
    <col min="7" max="7" width="8" customWidth="1"/>
  </cols>
  <sheetData>
    <row r="1" spans="1:11" ht="15" customHeight="1" x14ac:dyDescent="0.2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I1" s="2" t="s">
        <v>8</v>
      </c>
      <c r="K1" s="2" t="s">
        <v>9</v>
      </c>
    </row>
    <row r="2" spans="1:11" ht="15" customHeight="1">
      <c r="A2" s="3">
        <v>1</v>
      </c>
      <c r="B2" s="3" t="inlineStr">
        <is>
          <t xml:space="preserve">Lenguaje Musical</t>
        </is>
      </c>
      <c r="C2" s="3" t="inlineStr">
        <is>
          <t xml:space="preserve">1EEM;2EEM;3EEM;4EEM</t>
        </is>
      </c>
      <c r="D2" s="3" t="inlineStr">
        <is>
          <t xml:space="preserve">Referencia</t>
        </is>
      </c>
      <c r="E2" s="3"/>
      <c r="F2" s="3" t="inlineStr">
        <is>
          <t xml:space="preserve">No</t>
        </is>
      </c>
      <c r="G2" s="3" t="inlineStr">
        <is>
          <t xml:space="preserve">Sí</t>
        </is>
      </c>
    </row>
    <row r="3" spans="1:11" ht="15" customHeight="1">
      <c r="A3" s="3">
        <v>2</v>
      </c>
      <c r="B3" s="3" t="inlineStr">
        <is>
          <t xml:space="preserve">Coro</t>
        </is>
      </c>
      <c r="C3" s="3" t="inlineStr">
        <is>
          <t xml:space="preserve">1EEM;2EEM;3EEM;4EEM</t>
        </is>
      </c>
      <c r="D3" s="3" t="inlineStr">
        <is>
          <t xml:space="preserve">NoEspecialidad</t>
        </is>
      </c>
      <c r="E3" s="3"/>
      <c r="F3" s="3" t="inlineStr">
        <is>
          <t xml:space="preserve">No</t>
        </is>
      </c>
      <c r="G3" s="3" t="inlineStr">
        <is>
          <t xml:space="preserve">Sí</t>
        </is>
      </c>
    </row>
    <row r="4" spans="1:11" ht="15" customHeight="1">
      <c r="A4" s="3">
        <v>3</v>
      </c>
      <c r="B4" s="3" t="inlineStr">
        <is>
          <t xml:space="preserve">Conjunto</t>
        </is>
      </c>
      <c r="C4" s="3" t="inlineStr">
        <is>
          <t xml:space="preserve">3EEM;4EEM</t>
        </is>
      </c>
      <c r="D4" s="3" t="inlineStr">
        <is>
          <t xml:space="preserve">NoEspecialidad</t>
        </is>
      </c>
      <c r="E4" s="3"/>
      <c r="F4" s="3" t="inlineStr">
        <is>
          <t xml:space="preserve">No</t>
        </is>
      </c>
      <c r="G4" s="3" t="inlineStr">
        <is>
          <t xml:space="preserve">Sí</t>
        </is>
      </c>
    </row>
    <row r="5" spans="1:11" ht="15" customHeight="1">
      <c r="A5" s="3">
        <v>4</v>
      </c>
      <c r="B5" s="3" t="inlineStr">
        <is>
          <t xml:space="preserve">Acordeón</t>
        </is>
      </c>
      <c r="C5" s="3" t="inlineStr">
        <is>
          <t xml:space="preserve">1EEM;2EEM;3EEM;4EEM</t>
        </is>
      </c>
      <c r="D5" s="3" t="inlineStr">
        <is>
          <t xml:space="preserve">Especialidad</t>
        </is>
      </c>
      <c r="E5" s="3"/>
      <c r="F5" s="3" t="inlineStr">
        <is>
          <t xml:space="preserve">Sí</t>
        </is>
      </c>
      <c r="G5" s="3" t="inlineStr">
        <is>
          <t xml:space="preserve">Sí</t>
        </is>
      </c>
    </row>
    <row r="6" spans="1:11" ht="15" customHeight="1">
      <c r="A6" s="3">
        <v>5</v>
      </c>
      <c r="B6" s="3" t="inlineStr">
        <is>
          <t xml:space="preserve">Arpa</t>
        </is>
      </c>
      <c r="C6" s="3" t="inlineStr">
        <is>
          <t xml:space="preserve">1EEM;2EEM;3EEM;4EEM</t>
        </is>
      </c>
      <c r="D6" s="3" t="inlineStr">
        <is>
          <t xml:space="preserve">Especialidad</t>
        </is>
      </c>
      <c r="E6" s="3" t="inlineStr">
        <is>
          <t xml:space="preserve">Cuerda</t>
        </is>
      </c>
      <c r="F6" s="3" t="inlineStr">
        <is>
          <t xml:space="preserve">Sí</t>
        </is>
      </c>
      <c r="G6" s="3" t="inlineStr">
        <is>
          <t xml:space="preserve">Sí</t>
        </is>
      </c>
    </row>
    <row r="7" spans="1:11" ht="15" customHeight="1">
      <c r="A7" s="3">
        <v>6</v>
      </c>
      <c r="B7" s="3" t="inlineStr">
        <is>
          <t xml:space="preserve">Clarinete</t>
        </is>
      </c>
      <c r="C7" s="3" t="inlineStr">
        <is>
          <t xml:space="preserve">1EEM;2EEM;3EEM;4EEM</t>
        </is>
      </c>
      <c r="D7" s="3" t="inlineStr">
        <is>
          <t xml:space="preserve">Especialidad</t>
        </is>
      </c>
      <c r="E7" s="3" t="inlineStr">
        <is>
          <t xml:space="preserve">Madera</t>
        </is>
      </c>
      <c r="F7" s="3" t="inlineStr">
        <is>
          <t xml:space="preserve">Sí</t>
        </is>
      </c>
      <c r="G7" s="3" t="inlineStr">
        <is>
          <t xml:space="preserve">Sí</t>
        </is>
      </c>
    </row>
    <row r="8" spans="1:11" ht="15" customHeight="1">
      <c r="A8" s="3">
        <v>7</v>
      </c>
      <c r="B8" s="3" t="inlineStr">
        <is>
          <t xml:space="preserve">Clave</t>
        </is>
      </c>
      <c r="C8" s="3" t="inlineStr">
        <is>
          <t xml:space="preserve">1EEM;2EEM;3EEM;4EEM</t>
        </is>
      </c>
      <c r="D8" s="3" t="inlineStr">
        <is>
          <t xml:space="preserve">Especialidad</t>
        </is>
      </c>
      <c r="E8" s="3"/>
      <c r="F8" s="3" t="inlineStr">
        <is>
          <t xml:space="preserve">Sí</t>
        </is>
      </c>
      <c r="G8" s="3" t="inlineStr">
        <is>
          <t xml:space="preserve">Sí</t>
        </is>
      </c>
    </row>
    <row r="9" spans="1:11" ht="15" customHeight="1">
      <c r="A9" s="3">
        <v>8</v>
      </c>
      <c r="B9" s="3" t="inlineStr">
        <is>
          <t xml:space="preserve">Contrabajo</t>
        </is>
      </c>
      <c r="C9" s="3" t="inlineStr">
        <is>
          <t xml:space="preserve">1EEM;2EEM;3EEM;4EEM</t>
        </is>
      </c>
      <c r="D9" s="3" t="inlineStr">
        <is>
          <t xml:space="preserve">Especialidad</t>
        </is>
      </c>
      <c r="E9" s="3" t="inlineStr">
        <is>
          <t xml:space="preserve">Cuerda</t>
        </is>
      </c>
      <c r="F9" s="3" t="inlineStr">
        <is>
          <t xml:space="preserve">Sí</t>
        </is>
      </c>
      <c r="G9" s="3" t="inlineStr">
        <is>
          <t xml:space="preserve">Sí</t>
        </is>
      </c>
    </row>
    <row r="10" spans="1:11" ht="15" customHeight="1">
      <c r="A10" s="3">
        <v>9</v>
      </c>
      <c r="B10" s="3" t="inlineStr">
        <is>
          <t xml:space="preserve">Dulzaina</t>
        </is>
      </c>
      <c r="C10" s="3" t="inlineStr">
        <is>
          <t xml:space="preserve">1EEM;2EEM;3EEM;4EEM</t>
        </is>
      </c>
      <c r="D10" s="3" t="inlineStr">
        <is>
          <t xml:space="preserve">Especialidad</t>
        </is>
      </c>
      <c r="E10" s="3"/>
      <c r="F10" s="3" t="inlineStr">
        <is>
          <t xml:space="preserve">Sí</t>
        </is>
      </c>
      <c r="G10" s="3" t="inlineStr">
        <is>
          <t xml:space="preserve">Sí</t>
        </is>
      </c>
    </row>
    <row r="11" spans="1:11" ht="15" customHeight="1">
      <c r="A11" s="3">
        <v>10</v>
      </c>
      <c r="B11" s="3" t="inlineStr">
        <is>
          <t xml:space="preserve">Fagot</t>
        </is>
      </c>
      <c r="C11" s="3" t="inlineStr">
        <is>
          <t xml:space="preserve">1EEM;2EEM;3EEM;4EEM</t>
        </is>
      </c>
      <c r="D11" s="3" t="inlineStr">
        <is>
          <t xml:space="preserve">Especialidad</t>
        </is>
      </c>
      <c r="E11" s="3" t="inlineStr">
        <is>
          <t xml:space="preserve">Madera</t>
        </is>
      </c>
      <c r="F11" s="3" t="inlineStr">
        <is>
          <t xml:space="preserve">Sí</t>
        </is>
      </c>
      <c r="G11" s="3" t="inlineStr">
        <is>
          <t xml:space="preserve">Sí</t>
        </is>
      </c>
    </row>
    <row r="12" spans="1:11" ht="15" customHeight="1">
      <c r="A12" s="3">
        <v>11</v>
      </c>
      <c r="B12" s="3" t="inlineStr">
        <is>
          <t xml:space="preserve">Flauta Travesera</t>
        </is>
      </c>
      <c r="C12" s="3" t="inlineStr">
        <is>
          <t xml:space="preserve">1EEM;2EEM;3EEM;4EEM</t>
        </is>
      </c>
      <c r="D12" s="3" t="inlineStr">
        <is>
          <t xml:space="preserve">Especialidad</t>
        </is>
      </c>
      <c r="E12" s="3" t="inlineStr">
        <is>
          <t xml:space="preserve">Madera</t>
        </is>
      </c>
      <c r="F12" s="3" t="inlineStr">
        <is>
          <t xml:space="preserve">Sí</t>
        </is>
      </c>
      <c r="G12" s="3" t="inlineStr">
        <is>
          <t xml:space="preserve">Sí</t>
        </is>
      </c>
    </row>
    <row r="13" spans="1:11" ht="15" customHeight="1">
      <c r="A13" s="3">
        <v>12</v>
      </c>
      <c r="B13" s="3" t="inlineStr">
        <is>
          <t xml:space="preserve">Flauta de Pico</t>
        </is>
      </c>
      <c r="C13" s="3" t="inlineStr">
        <is>
          <t xml:space="preserve">1EEM;2EEM;3EEM;4EEM</t>
        </is>
      </c>
      <c r="D13" s="3" t="inlineStr">
        <is>
          <t xml:space="preserve">Especialidad</t>
        </is>
      </c>
      <c r="E13" s="3"/>
      <c r="F13" s="3" t="inlineStr">
        <is>
          <t xml:space="preserve">Sí</t>
        </is>
      </c>
      <c r="G13" s="3" t="inlineStr">
        <is>
          <t xml:space="preserve">Sí</t>
        </is>
      </c>
    </row>
    <row r="14" spans="1:11" ht="15" customHeight="1">
      <c r="A14" s="3">
        <v>13</v>
      </c>
      <c r="B14" s="3" t="inlineStr">
        <is>
          <t xml:space="preserve">Guitarra</t>
        </is>
      </c>
      <c r="C14" s="3" t="inlineStr">
        <is>
          <t xml:space="preserve">1EEM;2EEM;3EEM;4EEM</t>
        </is>
      </c>
      <c r="D14" s="3" t="inlineStr">
        <is>
          <t xml:space="preserve">Especialidad</t>
        </is>
      </c>
      <c r="E14" s="3" t="inlineStr">
        <is>
          <t xml:space="preserve">Cuerda</t>
        </is>
      </c>
      <c r="F14" s="3" t="inlineStr">
        <is>
          <t xml:space="preserve">Sí</t>
        </is>
      </c>
      <c r="G14" s="3" t="inlineStr">
        <is>
          <t xml:space="preserve">Sí</t>
        </is>
      </c>
    </row>
    <row r="15" spans="1:11" ht="15" customHeight="1">
      <c r="A15" s="3">
        <v>14</v>
      </c>
      <c r="B15" s="3" t="inlineStr">
        <is>
          <t xml:space="preserve">Instrumentos de Púa</t>
        </is>
      </c>
      <c r="C15" s="3" t="inlineStr">
        <is>
          <t xml:space="preserve">1EEM;2EEM;3EEM;4EEM</t>
        </is>
      </c>
      <c r="D15" s="3" t="inlineStr">
        <is>
          <t xml:space="preserve">Especialidad</t>
        </is>
      </c>
      <c r="E15" s="3"/>
      <c r="F15" s="3" t="inlineStr">
        <is>
          <t xml:space="preserve">Sí</t>
        </is>
      </c>
      <c r="G15" s="3" t="inlineStr">
        <is>
          <t xml:space="preserve">Sí</t>
        </is>
      </c>
    </row>
    <row r="16" spans="1:11" ht="15" customHeight="1">
      <c r="A16" s="3">
        <v>15</v>
      </c>
      <c r="B16" s="3" t="inlineStr">
        <is>
          <t xml:space="preserve">Oboe</t>
        </is>
      </c>
      <c r="C16" s="3" t="inlineStr">
        <is>
          <t xml:space="preserve">1EEM;2EEM;3EEM;4EEM</t>
        </is>
      </c>
      <c r="D16" s="3" t="inlineStr">
        <is>
          <t xml:space="preserve">Especialidad</t>
        </is>
      </c>
      <c r="E16" s="3" t="inlineStr">
        <is>
          <t xml:space="preserve">Madera</t>
        </is>
      </c>
      <c r="F16" s="3" t="inlineStr">
        <is>
          <t xml:space="preserve">Sí</t>
        </is>
      </c>
      <c r="G16" s="3" t="inlineStr">
        <is>
          <t xml:space="preserve">Sí</t>
        </is>
      </c>
    </row>
    <row r="17" spans="1:11" ht="15" customHeight="1">
      <c r="A17" s="3">
        <v>16</v>
      </c>
      <c r="B17" s="3" t="inlineStr">
        <is>
          <t xml:space="preserve">Percusión</t>
        </is>
      </c>
      <c r="C17" s="3" t="inlineStr">
        <is>
          <t xml:space="preserve">1EEM;2EEM;3EEM;4EEM</t>
        </is>
      </c>
      <c r="D17" s="3" t="inlineStr">
        <is>
          <t xml:space="preserve">Especialidad</t>
        </is>
      </c>
      <c r="E17" s="3" t="inlineStr">
        <is>
          <t xml:space="preserve">Metal</t>
        </is>
      </c>
      <c r="F17" s="3" t="inlineStr">
        <is>
          <t xml:space="preserve">Sí</t>
        </is>
      </c>
      <c r="G17" s="3" t="inlineStr">
        <is>
          <t xml:space="preserve">Sí</t>
        </is>
      </c>
    </row>
    <row r="18" spans="1:11" ht="15" customHeight="1">
      <c r="A18" s="3">
        <v>17</v>
      </c>
      <c r="B18" s="3" t="inlineStr">
        <is>
          <t xml:space="preserve">Piano</t>
        </is>
      </c>
      <c r="C18" s="3" t="inlineStr">
        <is>
          <t xml:space="preserve">1EEM;2EEM;3EEM;4EEM</t>
        </is>
      </c>
      <c r="D18" s="3" t="inlineStr">
        <is>
          <t xml:space="preserve">Especialidad</t>
        </is>
      </c>
      <c r="E18" s="3" t="inlineStr">
        <is>
          <t xml:space="preserve">Tecla</t>
        </is>
      </c>
      <c r="F18" s="3" t="inlineStr">
        <is>
          <t xml:space="preserve">Sí</t>
        </is>
      </c>
      <c r="G18" s="3" t="inlineStr">
        <is>
          <t xml:space="preserve">Sí</t>
        </is>
      </c>
    </row>
    <row r="19" spans="1:11" ht="15" customHeight="1">
      <c r="A19" s="3">
        <v>18</v>
      </c>
      <c r="B19" s="3" t="inlineStr">
        <is>
          <t xml:space="preserve">Saxofón</t>
        </is>
      </c>
      <c r="C19" s="3" t="inlineStr">
        <is>
          <t xml:space="preserve">1EEM;2EEM;3EEM;4EEM</t>
        </is>
      </c>
      <c r="D19" s="3" t="inlineStr">
        <is>
          <t xml:space="preserve">Especialidad</t>
        </is>
      </c>
      <c r="E19" s="3" t="inlineStr">
        <is>
          <t xml:space="preserve">Madera</t>
        </is>
      </c>
      <c r="F19" s="3" t="inlineStr">
        <is>
          <t xml:space="preserve">Sí</t>
        </is>
      </c>
      <c r="G19" s="3" t="inlineStr">
        <is>
          <t xml:space="preserve">Sí</t>
        </is>
      </c>
    </row>
    <row r="20" spans="1:11" ht="15" customHeight="1">
      <c r="A20" s="3">
        <v>19</v>
      </c>
      <c r="B20" s="3" t="inlineStr">
        <is>
          <t xml:space="preserve">Trombón</t>
        </is>
      </c>
      <c r="C20" s="3" t="inlineStr">
        <is>
          <t xml:space="preserve">1EEM;2EEM;3EEM;4EEM</t>
        </is>
      </c>
      <c r="D20" s="3" t="inlineStr">
        <is>
          <t xml:space="preserve">Especialidad</t>
        </is>
      </c>
      <c r="E20" s="3" t="inlineStr">
        <is>
          <t xml:space="preserve">Metal</t>
        </is>
      </c>
      <c r="F20" s="3" t="inlineStr">
        <is>
          <t xml:space="preserve">Sí</t>
        </is>
      </c>
      <c r="G20" s="3" t="inlineStr">
        <is>
          <t xml:space="preserve">Sí</t>
        </is>
      </c>
    </row>
    <row r="21" spans="1:11" ht="15" customHeight="1">
      <c r="A21" s="3">
        <v>20</v>
      </c>
      <c r="B21" s="3" t="inlineStr">
        <is>
          <t xml:space="preserve">Trompa</t>
        </is>
      </c>
      <c r="C21" s="3" t="inlineStr">
        <is>
          <t xml:space="preserve">1EEM;2EEM;3EEM;4EEM</t>
        </is>
      </c>
      <c r="D21" s="3" t="inlineStr">
        <is>
          <t xml:space="preserve">Especialidad</t>
        </is>
      </c>
      <c r="E21" s="3" t="inlineStr">
        <is>
          <t xml:space="preserve">Metal</t>
        </is>
      </c>
      <c r="F21" s="3" t="inlineStr">
        <is>
          <t xml:space="preserve">Sí</t>
        </is>
      </c>
      <c r="G21" s="3" t="inlineStr">
        <is>
          <t xml:space="preserve">Sí</t>
        </is>
      </c>
    </row>
    <row r="22" spans="1:11" ht="15" customHeight="1">
      <c r="A22" s="3">
        <v>21</v>
      </c>
      <c r="B22" s="3" t="inlineStr">
        <is>
          <t xml:space="preserve">Trompeta</t>
        </is>
      </c>
      <c r="C22" s="3" t="inlineStr">
        <is>
          <t xml:space="preserve">1EEM;2EEM;3EEM;4EEM</t>
        </is>
      </c>
      <c r="D22" s="3" t="inlineStr">
        <is>
          <t xml:space="preserve">Especialidad</t>
        </is>
      </c>
      <c r="E22" s="3" t="inlineStr">
        <is>
          <t xml:space="preserve">Metal</t>
        </is>
      </c>
      <c r="F22" s="3" t="inlineStr">
        <is>
          <t xml:space="preserve">Sí</t>
        </is>
      </c>
      <c r="G22" s="3" t="inlineStr">
        <is>
          <t xml:space="preserve">Sí</t>
        </is>
      </c>
    </row>
    <row r="23" spans="1:11" ht="15" customHeight="1">
      <c r="A23" s="3">
        <v>22</v>
      </c>
      <c r="B23" s="3" t="inlineStr">
        <is>
          <t xml:space="preserve">Tuba</t>
        </is>
      </c>
      <c r="C23" s="3" t="inlineStr">
        <is>
          <t xml:space="preserve">1EEM;2EEM;3EEM;4EEM</t>
        </is>
      </c>
      <c r="D23" s="3" t="inlineStr">
        <is>
          <t xml:space="preserve">Especialidad</t>
        </is>
      </c>
      <c r="E23" s="3"/>
      <c r="F23" s="3" t="inlineStr">
        <is>
          <t xml:space="preserve">Sí</t>
        </is>
      </c>
      <c r="G23" s="3" t="inlineStr">
        <is>
          <t xml:space="preserve">Sí</t>
        </is>
      </c>
    </row>
    <row r="24" spans="1:11" ht="15" customHeight="1">
      <c r="A24" s="3">
        <v>23</v>
      </c>
      <c r="B24" s="3" t="inlineStr">
        <is>
          <t xml:space="preserve">Viola</t>
        </is>
      </c>
      <c r="C24" s="3" t="inlineStr">
        <is>
          <t xml:space="preserve">1EEM;2EEM;3EEM;4EEM</t>
        </is>
      </c>
      <c r="D24" s="3" t="inlineStr">
        <is>
          <t xml:space="preserve">Especialidad</t>
        </is>
      </c>
      <c r="E24" s="3" t="inlineStr">
        <is>
          <t xml:space="preserve">Cuerda</t>
        </is>
      </c>
      <c r="F24" s="3" t="inlineStr">
        <is>
          <t xml:space="preserve">Sí</t>
        </is>
      </c>
      <c r="G24" s="3" t="inlineStr">
        <is>
          <t xml:space="preserve">Sí</t>
        </is>
      </c>
    </row>
    <row r="25" spans="1:11" ht="15" customHeight="1">
      <c r="A25" s="3">
        <v>24</v>
      </c>
      <c r="B25" s="3" t="inlineStr">
        <is>
          <t xml:space="preserve">Viola de Gamba</t>
        </is>
      </c>
      <c r="C25" s="3" t="inlineStr">
        <is>
          <t xml:space="preserve">1EEM;2EEM;3EEM;4EEM</t>
        </is>
      </c>
      <c r="D25" s="3" t="inlineStr">
        <is>
          <t xml:space="preserve">Especialidad</t>
        </is>
      </c>
      <c r="E25" s="3"/>
      <c r="F25" s="3" t="inlineStr">
        <is>
          <t xml:space="preserve">Sí</t>
        </is>
      </c>
      <c r="G25" s="3" t="inlineStr">
        <is>
          <t xml:space="preserve">Sí</t>
        </is>
      </c>
    </row>
    <row r="26" spans="1:11" ht="15" customHeight="1">
      <c r="A26" s="3">
        <v>25</v>
      </c>
      <c r="B26" s="3" t="inlineStr">
        <is>
          <t xml:space="preserve">Violín</t>
        </is>
      </c>
      <c r="C26" s="3" t="inlineStr">
        <is>
          <t xml:space="preserve">1EEM;2EEM;3EEM;4EEM</t>
        </is>
      </c>
      <c r="D26" s="3" t="inlineStr">
        <is>
          <t xml:space="preserve">Especialidad</t>
        </is>
      </c>
      <c r="E26" s="3" t="inlineStr">
        <is>
          <t xml:space="preserve">Cuerda</t>
        </is>
      </c>
      <c r="F26" s="3" t="inlineStr">
        <is>
          <t xml:space="preserve">Sí</t>
        </is>
      </c>
      <c r="G26" s="3" t="inlineStr">
        <is>
          <t xml:space="preserve">Sí</t>
        </is>
      </c>
    </row>
    <row r="27" spans="1:11" ht="15" customHeight="1">
      <c r="A27" s="3">
        <v>26</v>
      </c>
      <c r="B27" s="3" t="inlineStr">
        <is>
          <t xml:space="preserve">Violoncello</t>
        </is>
      </c>
      <c r="C27" s="3" t="inlineStr">
        <is>
          <t xml:space="preserve">1EEM;2EEM;3EEM;4EEM</t>
        </is>
      </c>
      <c r="D27" s="3" t="inlineStr">
        <is>
          <t xml:space="preserve">Especialidad</t>
        </is>
      </c>
      <c r="E27" s="3" t="inlineStr">
        <is>
          <t xml:space="preserve">Cuerda</t>
        </is>
      </c>
      <c r="F27" s="3" t="inlineStr">
        <is>
          <t xml:space="preserve">Sí</t>
        </is>
      </c>
      <c r="G27" s="3" t="inlineStr">
        <is>
          <t xml:space="preserve">Sí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"/>
  <sheetViews>
    <sheetView zoomScaleNormal="100" workbookViewId="0"/>
  </sheetViews>
  <sheetFormatPr baseColWidth="10" defaultColWidth="8.6640625" defaultRowHeight="15" x14ac:dyDescent="0.2"/>
  <cols>
    <col min="1" max="1" width="20" customWidth="1"/>
    <col min="2" max="2" width="25" customWidth="1"/>
    <col min="4" max="4" width="13.5" customWidth="1"/>
  </cols>
  <sheetData>
    <row r="1" spans="1:4" ht="15" customHeight="1" x14ac:dyDescent="0.2">
      <c r="A1" s="2" t="s">
        <v>45</v>
      </c>
      <c r="B1" s="2" t="s">
        <v>46</v>
      </c>
      <c r="D1" s="2" t="s">
        <v>47</v>
      </c>
    </row>
    <row r="2" spans="1:4" ht="15" customHeight="1" x14ac:dyDescent="0.2">
      <c r="A2" t="s">
        <v>48</v>
      </c>
      <c r="B2" t="s">
        <v>49</v>
      </c>
      <c r="D2" t="s">
        <v>50</v>
      </c>
    </row>
    <row r="3" spans="1:4" ht="15" customHeight="1" x14ac:dyDescent="0.2">
      <c r="A3" t="s">
        <v>51</v>
      </c>
      <c r="B3" t="s">
        <v>52</v>
      </c>
      <c r="D3" t="s">
        <v>53</v>
      </c>
    </row>
    <row r="4" spans="1:4" ht="15" customHeight="1" x14ac:dyDescent="0.2">
      <c r="A4" t="s">
        <v>54</v>
      </c>
      <c r="B4" s="4" t="s">
        <v>50</v>
      </c>
      <c r="D4" t="s">
        <v>55</v>
      </c>
    </row>
    <row r="5" spans="1:4" ht="15" customHeight="1" x14ac:dyDescent="0.2">
      <c r="D5" t="s">
        <v>56</v>
      </c>
    </row>
  </sheetData>
  <dataValidations count="1">
    <dataValidation type="list" allowBlank="0" showInputMessage="1" showErrorMessage="1" errorTitle="Evaluación no válida" error="Usa uno de los códigos que escribe GEODE: 1EV,2EV,3EV,FI." promptTitle="Evaluación" prompt="El código tiene que coincidir EXACTAMENTE con la columna Evaluación de DATOS." sqref="B4">
      <formula1>"1EV,2EV,3EV,FI"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9"/>
  <sheetViews>
    <sheetView zoomScaleNormal="100" workbookViewId="0"/>
  </sheetViews>
  <sheetFormatPr baseColWidth="10" defaultColWidth="8.6640625" defaultRowHeight="15" x14ac:dyDescent="0.2"/>
  <cols>
    <col min="1" max="1" width="5" customWidth="1"/>
    <col min="2" max="2" width="10" customWidth="1"/>
    <col min="3" max="4" width="20" customWidth="1"/>
    <col min="5" max="5" width="8" customWidth="1"/>
  </cols>
  <sheetData>
    <row r="1" spans="1:7" ht="15" customHeight="1" x14ac:dyDescent="0.2">
      <c r="A1" s="5" t="s">
        <v>1</v>
      </c>
      <c r="B1" s="5" t="s">
        <v>57</v>
      </c>
      <c r="C1" s="5" t="s">
        <v>58</v>
      </c>
      <c r="D1" s="5" t="s">
        <v>59</v>
      </c>
      <c r="E1" s="5" t="s">
        <v>7</v>
      </c>
      <c r="G1" s="6" t="s">
        <v>60</v>
      </c>
    </row>
    <row r="2" spans="1:7" ht="15" customHeight="1" x14ac:dyDescent="0.2">
      <c r="A2" s="3">
        <v>1</v>
      </c>
      <c r="B2" s="3" t="s">
        <v>15</v>
      </c>
      <c r="C2" s="3" t="s">
        <v>10</v>
      </c>
      <c r="D2" s="3" t="s">
        <v>16</v>
      </c>
      <c r="E2" s="3" t="s">
        <v>14</v>
      </c>
      <c r="G2" t="s">
        <v>61</v>
      </c>
    </row>
    <row r="3" spans="1:7" ht="15" customHeight="1" x14ac:dyDescent="0.2">
      <c r="A3" s="3">
        <v>2</v>
      </c>
      <c r="B3" s="3" t="s">
        <v>15</v>
      </c>
      <c r="C3" s="3" t="s">
        <v>10</v>
      </c>
      <c r="D3" s="3" t="s">
        <v>20</v>
      </c>
      <c r="E3" s="3" t="s">
        <v>14</v>
      </c>
      <c r="G3" t="s">
        <v>62</v>
      </c>
    </row>
    <row r="4" spans="1:7" ht="15" customHeight="1" x14ac:dyDescent="0.2">
      <c r="A4" s="3">
        <v>3</v>
      </c>
      <c r="B4" s="3" t="s">
        <v>15</v>
      </c>
      <c r="C4" s="3" t="s">
        <v>16</v>
      </c>
      <c r="D4" s="3" t="s">
        <v>20</v>
      </c>
      <c r="E4" s="3" t="s">
        <v>14</v>
      </c>
    </row>
    <row r="5" spans="1:7" ht="15" customHeight="1" x14ac:dyDescent="0.2">
      <c r="A5" s="3">
        <v>4</v>
      </c>
      <c r="B5" s="3" t="s">
        <v>19</v>
      </c>
      <c r="C5" s="3" t="s">
        <v>10</v>
      </c>
      <c r="D5" s="3" t="s">
        <v>16</v>
      </c>
      <c r="E5" s="3" t="s">
        <v>14</v>
      </c>
    </row>
    <row r="6" spans="1:7" ht="15" customHeight="1" x14ac:dyDescent="0.2">
      <c r="A6" s="3">
        <v>5</v>
      </c>
      <c r="B6" s="3" t="s">
        <v>19</v>
      </c>
      <c r="C6" s="3" t="s">
        <v>10</v>
      </c>
      <c r="D6" s="3" t="s">
        <v>20</v>
      </c>
      <c r="E6" s="3" t="s">
        <v>14</v>
      </c>
    </row>
    <row r="7" spans="1:7" ht="15" customHeight="1" x14ac:dyDescent="0.2">
      <c r="A7" s="3">
        <v>6</v>
      </c>
      <c r="B7" s="3" t="s">
        <v>19</v>
      </c>
      <c r="C7" s="3" t="s">
        <v>16</v>
      </c>
      <c r="D7" s="3" t="s">
        <v>20</v>
      </c>
      <c r="E7" s="3" t="s">
        <v>14</v>
      </c>
    </row>
    <row r="8" spans="1:7" ht="15" customHeight="1" x14ac:dyDescent="0.2">
      <c r="A8" s="3">
        <v>7</v>
      </c>
      <c r="B8" s="3" t="s">
        <v>23</v>
      </c>
      <c r="C8" s="3" t="s">
        <v>10</v>
      </c>
      <c r="D8" s="3" t="s">
        <v>16</v>
      </c>
      <c r="E8" s="3" t="s">
        <v>14</v>
      </c>
    </row>
    <row r="9" spans="1:7" ht="15" customHeight="1" x14ac:dyDescent="0.2">
      <c r="A9" s="3">
        <v>8</v>
      </c>
      <c r="B9" s="3" t="s">
        <v>23</v>
      </c>
      <c r="C9" s="3" t="s">
        <v>10</v>
      </c>
      <c r="D9" s="3" t="s">
        <v>21</v>
      </c>
      <c r="E9" s="3" t="s">
        <v>14</v>
      </c>
    </row>
    <row r="10" spans="1:7" ht="15" customHeight="1" x14ac:dyDescent="0.2">
      <c r="A10" s="3">
        <v>9</v>
      </c>
      <c r="B10" s="3" t="s">
        <v>23</v>
      </c>
      <c r="C10" s="3" t="s">
        <v>10</v>
      </c>
      <c r="D10" s="3" t="s">
        <v>20</v>
      </c>
      <c r="E10" s="3" t="s">
        <v>14</v>
      </c>
    </row>
    <row r="11" spans="1:7" ht="15" customHeight="1" x14ac:dyDescent="0.2">
      <c r="A11" s="3">
        <v>10</v>
      </c>
      <c r="B11" s="3" t="s">
        <v>23</v>
      </c>
      <c r="C11" s="3" t="s">
        <v>16</v>
      </c>
      <c r="D11" s="3" t="s">
        <v>21</v>
      </c>
      <c r="E11" s="3" t="s">
        <v>14</v>
      </c>
    </row>
    <row r="12" spans="1:7" ht="15" customHeight="1" x14ac:dyDescent="0.2">
      <c r="A12" s="3">
        <v>11</v>
      </c>
      <c r="B12" s="3" t="s">
        <v>23</v>
      </c>
      <c r="C12" s="3" t="s">
        <v>16</v>
      </c>
      <c r="D12" s="3" t="s">
        <v>20</v>
      </c>
      <c r="E12" s="3" t="s">
        <v>14</v>
      </c>
    </row>
    <row r="13" spans="1:7" ht="15" customHeight="1" x14ac:dyDescent="0.2">
      <c r="A13" s="3">
        <v>12</v>
      </c>
      <c r="B13" s="3" t="s">
        <v>23</v>
      </c>
      <c r="C13" s="3" t="s">
        <v>21</v>
      </c>
      <c r="D13" s="3" t="s">
        <v>20</v>
      </c>
      <c r="E13" s="3" t="s">
        <v>14</v>
      </c>
    </row>
    <row r="14" spans="1:7" ht="15" customHeight="1" x14ac:dyDescent="0.2">
      <c r="A14" s="3">
        <v>13</v>
      </c>
      <c r="B14" s="3" t="s">
        <v>26</v>
      </c>
      <c r="C14" s="3" t="s">
        <v>10</v>
      </c>
      <c r="D14" s="3" t="s">
        <v>16</v>
      </c>
      <c r="E14" s="3" t="s">
        <v>14</v>
      </c>
    </row>
    <row r="15" spans="1:7" ht="15" customHeight="1" x14ac:dyDescent="0.2">
      <c r="A15" s="3">
        <v>14</v>
      </c>
      <c r="B15" s="3" t="s">
        <v>26</v>
      </c>
      <c r="C15" s="3" t="s">
        <v>10</v>
      </c>
      <c r="D15" s="3" t="s">
        <v>21</v>
      </c>
      <c r="E15" s="3" t="s">
        <v>14</v>
      </c>
    </row>
    <row r="16" spans="1:7" ht="15" customHeight="1" x14ac:dyDescent="0.2">
      <c r="A16" s="3">
        <v>15</v>
      </c>
      <c r="B16" s="3" t="s">
        <v>26</v>
      </c>
      <c r="C16" s="3" t="s">
        <v>10</v>
      </c>
      <c r="D16" s="3" t="s">
        <v>20</v>
      </c>
      <c r="E16" s="3" t="s">
        <v>14</v>
      </c>
    </row>
    <row r="17" spans="1:5" ht="15" customHeight="1" x14ac:dyDescent="0.2">
      <c r="A17" s="3">
        <v>16</v>
      </c>
      <c r="B17" s="3" t="s">
        <v>26</v>
      </c>
      <c r="C17" s="3" t="s">
        <v>16</v>
      </c>
      <c r="D17" s="3" t="s">
        <v>21</v>
      </c>
      <c r="E17" s="3" t="s">
        <v>14</v>
      </c>
    </row>
    <row r="18" spans="1:5" ht="15" customHeight="1" x14ac:dyDescent="0.2">
      <c r="A18" s="3">
        <v>17</v>
      </c>
      <c r="B18" s="3" t="s">
        <v>26</v>
      </c>
      <c r="C18" s="3" t="s">
        <v>16</v>
      </c>
      <c r="D18" s="3" t="s">
        <v>20</v>
      </c>
      <c r="E18" s="3" t="s">
        <v>14</v>
      </c>
    </row>
    <row r="19" spans="1:5" ht="15" customHeight="1" x14ac:dyDescent="0.2">
      <c r="A19" s="3">
        <v>18</v>
      </c>
      <c r="B19" s="3" t="s">
        <v>26</v>
      </c>
      <c r="C19" s="3" t="s">
        <v>21</v>
      </c>
      <c r="D19" s="3" t="s">
        <v>20</v>
      </c>
      <c r="E19" s="3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56"/>
  <sheetViews>
    <sheetView zoomScaleNormal="100" workbookViewId="0">
      <selection activeCell="O13" sqref="O13"/>
    </sheetView>
  </sheetViews>
  <sheetFormatPr baseColWidth="10" defaultColWidth="8.6640625" defaultRowHeight="15" x14ac:dyDescent="0.2"/>
  <cols>
    <col min="1" max="1" width="15.83203125" customWidth="1"/>
    <col min="2" max="2" width="15" customWidth="1"/>
    <col min="3" max="3" width="12" customWidth="1"/>
    <col min="4" max="4" width="8" customWidth="1"/>
    <col min="5" max="5" width="18" customWidth="1"/>
    <col min="6" max="6" width="8" customWidth="1"/>
    <col min="7" max="7" width="10" customWidth="1"/>
    <col min="8" max="8" width="12" customWidth="1"/>
    <col min="9" max="9" width="18" customWidth="1"/>
    <col min="10" max="10" width="6" customWidth="1"/>
    <col min="11" max="11" width="12" customWidth="1"/>
    <col min="12" max="12" width="6" customWidth="1"/>
    <col min="13" max="13" width="15" customWidth="1"/>
    <col min="14" max="14" width="10" customWidth="1"/>
  </cols>
  <sheetData>
    <row r="1" spans="1:14" ht="15" customHeight="1" x14ac:dyDescent="0.2">
      <c r="A1" s="2" t="s">
        <v>63</v>
      </c>
      <c r="B1" s="2" t="s">
        <v>64</v>
      </c>
      <c r="C1" s="2" t="s">
        <v>65</v>
      </c>
      <c r="D1" s="2" t="s">
        <v>57</v>
      </c>
      <c r="E1" s="2" t="s">
        <v>20</v>
      </c>
      <c r="F1" s="2" t="s">
        <v>66</v>
      </c>
      <c r="G1" s="2" t="s">
        <v>67</v>
      </c>
      <c r="H1" s="2" t="s">
        <v>68</v>
      </c>
      <c r="I1" s="2" t="s">
        <v>69</v>
      </c>
      <c r="J1" s="2" t="s">
        <v>70</v>
      </c>
      <c r="K1" s="2" t="s">
        <v>71</v>
      </c>
      <c r="L1" s="2" t="s">
        <v>72</v>
      </c>
      <c r="M1" s="2" t="s">
        <v>73</v>
      </c>
      <c r="N1" s="2" t="s">
        <v>74</v>
      </c>
    </row>
    <row r="2" spans="1:14" ht="15" customHeight="1" x14ac:dyDescent="0.2"/>
    <row r="3" spans="1:14" ht="15" customHeight="1" x14ac:dyDescent="0.2"/>
    <row r="4" spans="1:14" ht="15" customHeight="1" x14ac:dyDescent="0.2"/>
    <row r="5" spans="1:14" ht="15" customHeight="1" x14ac:dyDescent="0.2"/>
    <row r="6" spans="1:14" ht="15" customHeight="1" x14ac:dyDescent="0.2"/>
    <row r="7" spans="1:14" ht="15" customHeight="1" x14ac:dyDescent="0.2"/>
    <row r="8" spans="1:14" ht="15" customHeight="1" x14ac:dyDescent="0.2"/>
    <row r="9" spans="1:14" ht="15" customHeight="1" x14ac:dyDescent="0.2"/>
    <row r="10" spans="1:14" ht="15" customHeight="1" x14ac:dyDescent="0.2"/>
    <row r="11" spans="1:14" ht="15" customHeight="1" x14ac:dyDescent="0.2"/>
    <row r="12" spans="1:14" ht="15" customHeight="1" x14ac:dyDescent="0.2"/>
    <row r="13" spans="1:14" ht="15" customHeight="1" x14ac:dyDescent="0.2"/>
    <row r="14" spans="1:14" ht="15" customHeight="1" x14ac:dyDescent="0.2"/>
    <row r="15" spans="1:14" ht="15" customHeight="1" x14ac:dyDescent="0.2"/>
    <row r="16" spans="1:14" ht="15" customHeight="1" x14ac:dyDescent="0.2"/>
    <row r="17" ht="15" customHeight="1" x14ac:dyDescent="0.2"/>
    <row r="18" ht="15" customHeight="1" x14ac:dyDescent="0.2"/>
    <row r="19" ht="15" customHeight="1" x14ac:dyDescent="0.2"/>
    <row r="20" ht="15" customHeight="1" x14ac:dyDescent="0.2"/>
    <row r="21" ht="15" customHeight="1" x14ac:dyDescent="0.2"/>
    <row r="22" ht="15" customHeight="1" x14ac:dyDescent="0.2"/>
    <row r="23" ht="15" customHeight="1" x14ac:dyDescent="0.2"/>
    <row r="24" ht="15" customHeight="1" x14ac:dyDescent="0.2"/>
    <row r="25" ht="15" customHeight="1" x14ac:dyDescent="0.2"/>
    <row r="26" ht="15" customHeight="1" x14ac:dyDescent="0.2"/>
    <row r="27" ht="15" customHeight="1" x14ac:dyDescent="0.2"/>
    <row r="28" ht="15" customHeight="1" x14ac:dyDescent="0.2"/>
    <row r="29" ht="15" customHeight="1" x14ac:dyDescent="0.2"/>
    <row r="30" ht="15" customHeight="1" x14ac:dyDescent="0.2"/>
    <row r="31" ht="15" customHeight="1" x14ac:dyDescent="0.2"/>
    <row r="32" ht="15" customHeight="1" x14ac:dyDescent="0.2"/>
    <row r="33" ht="15" customHeight="1" x14ac:dyDescent="0.2"/>
    <row r="34" ht="15" customHeight="1" x14ac:dyDescent="0.2"/>
    <row r="35" ht="15" customHeight="1" x14ac:dyDescent="0.2"/>
    <row r="36" ht="15" customHeight="1" x14ac:dyDescent="0.2"/>
    <row r="37" ht="15" customHeight="1" x14ac:dyDescent="0.2"/>
    <row r="38" ht="15" customHeight="1" x14ac:dyDescent="0.2"/>
    <row r="39" ht="15" customHeight="1" x14ac:dyDescent="0.2"/>
    <row r="40" ht="15" customHeight="1" x14ac:dyDescent="0.2"/>
    <row r="41" ht="15" customHeight="1" x14ac:dyDescent="0.2"/>
    <row r="42" ht="15" customHeight="1" x14ac:dyDescent="0.2"/>
    <row r="43" ht="15" customHeight="1" x14ac:dyDescent="0.2"/>
    <row r="44" ht="15" customHeight="1" x14ac:dyDescent="0.2"/>
    <row r="45" ht="15" customHeight="1" x14ac:dyDescent="0.2"/>
    <row r="46" ht="15" customHeight="1" x14ac:dyDescent="0.2"/>
    <row r="47" ht="15" customHeight="1" x14ac:dyDescent="0.2"/>
    <row r="48" ht="15" customHeight="1" x14ac:dyDescent="0.2"/>
    <row r="49" ht="15" customHeight="1" x14ac:dyDescent="0.2"/>
    <row r="50" ht="15" customHeight="1" x14ac:dyDescent="0.2"/>
    <row r="51" ht="15" customHeight="1" x14ac:dyDescent="0.2"/>
    <row r="52" ht="15" customHeight="1" x14ac:dyDescent="0.2"/>
    <row r="53" ht="15" customHeight="1" x14ac:dyDescent="0.2"/>
    <row r="54" ht="15" customHeight="1" x14ac:dyDescent="0.2"/>
    <row r="55" ht="15" customHeight="1" x14ac:dyDescent="0.2"/>
    <row r="56" ht="15" customHeight="1" x14ac:dyDescent="0.2"/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186"/>
  <sheetViews>
    <sheetView topLeftCell="A59" zoomScaleNormal="100" workbookViewId="0">
      <selection activeCell="F92" sqref="F92"/>
    </sheetView>
  </sheetViews>
  <sheetFormatPr baseColWidth="10" defaultColWidth="8.6640625" defaultRowHeight="15" x14ac:dyDescent="0.2"/>
  <cols>
    <col min="1" max="3" width="18" customWidth="1"/>
    <col min="4" max="4" width="12" customWidth="1"/>
    <col min="5" max="5" width="12" style="14" customWidth="1"/>
    <col min="6" max="9" width="12" customWidth="1"/>
    <col min="10" max="10" width="16" customWidth="1"/>
    <col min="11" max="11" width="17.33203125" customWidth="1"/>
    <col min="12" max="22" width="12" customWidth="1"/>
  </cols>
  <sheetData>
    <row r="1" spans="1:22" ht="15" customHeight="1" x14ac:dyDescent="0.2">
      <c r="A1" s="1" t="s">
        <v>75</v>
      </c>
      <c r="B1" s="1" t="s">
        <v>2</v>
      </c>
      <c r="C1" s="1" t="s">
        <v>76</v>
      </c>
      <c r="D1" s="1" t="s">
        <v>77</v>
      </c>
      <c r="E1" s="13" t="s">
        <v>78</v>
      </c>
      <c r="F1" s="1" t="s">
        <v>79</v>
      </c>
      <c r="G1" s="1" t="s">
        <v>80</v>
      </c>
      <c r="H1" s="1" t="s">
        <v>81</v>
      </c>
      <c r="I1" s="1" t="s">
        <v>82</v>
      </c>
      <c r="J1" s="1" t="s">
        <v>83</v>
      </c>
      <c r="K1" s="1" t="s">
        <v>84</v>
      </c>
      <c r="L1" s="1" t="s">
        <v>85</v>
      </c>
      <c r="M1" s="1" t="s">
        <v>86</v>
      </c>
      <c r="N1" s="1" t="s">
        <v>87</v>
      </c>
      <c r="O1" s="1" t="s">
        <v>88</v>
      </c>
      <c r="P1" s="1" t="s">
        <v>89</v>
      </c>
      <c r="Q1" s="1" t="s">
        <v>90</v>
      </c>
      <c r="R1" s="1" t="s">
        <v>91</v>
      </c>
      <c r="S1" s="1" t="s">
        <v>92</v>
      </c>
      <c r="T1" s="1" t="s">
        <v>93</v>
      </c>
      <c r="U1" s="1" t="s">
        <v>94</v>
      </c>
      <c r="V1" s="1" t="s">
        <v>95</v>
      </c>
    </row>
    <row r="2" spans="1:22">
      <c r="A2" s="3" t="inlineStr">
        <is>
          <t xml:space="preserve">GLOBAL</t>
        </is>
      </c>
      <c r="B2" s="3" t="inlineStr">
        <is>
          <t xml:space="preserve">Total</t>
        </is>
      </c>
      <c r="C2" s="3" t="inlineStr">
        <is>
          <t xml:space="preserve">Total</t>
        </is>
      </c>
      <c r="D2">
        <f>COUNTIF(DATOS!G:G,CONFIG_METADATA!$B$4)</f>
        <v>0</v>
      </c>
      <c r="E2" s="14" t="str">
        <f>IFERROR(AVERAGEIF(DATOS!G:G,CONFIG_METADATA!$B$4,DATOS!K:K),"—")</f>
        <v>—</v>
      </c>
      <c r="F2" s="14" t="str" cm="1">
        <f t="array" ref="F2">IFERROR(_xlfn.STDEV.P(IF(DATOS!$G$2:$G$20000=CONFIG_METADATA!$B$4,DATOS!$K$2:$K$20000)),"—")</f>
        <v>—</v>
      </c>
      <c r="G2" t="str" cm="1">
        <f t="array" ref="G2">IFERROR(_xlfn.MODE.SNGL(IF(DATOS!$G$2:$G$20000=CONFIG_METADATA!$B$4,DATOS!$K$2:$K$20000)),"—")</f>
        <v>—</v>
      </c>
      <c r="H2" s="15" t="str">
        <f>IFERROR(COUNTIFS(DATOS!G:G,CONFIG_METADATA!$B$4,DATOS!L:L,"S")/COUNTIF(DATOS!G:G,CONFIG_METADATA!$B$4),"—")</f>
        <v>—</v>
      </c>
      <c r="I2" s="15" t="str">
        <f>IFERROR(COUNTIFS(DATOS!G:G,CONFIG_METADATA!$B$4,DATOS!L:L,"N")/COUNTIF(DATOS!G:G,CONFIG_METADATA!$B$4),"—")</f>
        <v>—</v>
      </c>
      <c r="J2" t="str" cm="1">
        <f t="array" ref="J2">IFERROR(_xlfn.MODE.SNGL(IF((DATOS!$G$2:$G$20000=CONFIG_METADATA!$B$4)*(DATOS!$L$2:$L$20000="S"),DATOS!$K$2:$K$20000)),"—")</f>
        <v>—</v>
      </c>
      <c r="K2" t="str" cm="1">
        <f t="array" ref="K2">IFERROR(_xlfn.MODE.SNGL(IF((DATOS!$G$2:$G$20000=CONFIG_METADATA!$B$4)*(DATOS!$L$2:$L$20000="N"),DATOS!$K$2:$K$20000)),"—")</f>
        <v>—</v>
      </c>
      <c r="L2" cm="1">
        <f t="array" ref="L2">SUMPRODUCT((DATOS!$G$2:$G$20000=CONFIG_METADATA!$B$4)*(DATOS!$K$2:$K$20000=1))</f>
        <v>0</v>
      </c>
      <c r="M2" cm="1">
        <f t="array" ref="M2">SUMPRODUCT((DATOS!$G$2:$G$20000=CONFIG_METADATA!$B$4)*(DATOS!$K$2:$K$20000=2))</f>
        <v>0</v>
      </c>
      <c r="N2" cm="1">
        <f t="array" ref="N2">SUMPRODUCT((DATOS!$G$2:$G$20000=CONFIG_METADATA!$B$4)*(DATOS!$K$2:$K$20000=3))</f>
        <v>0</v>
      </c>
      <c r="O2" cm="1">
        <f t="array" ref="O2">SUMPRODUCT((DATOS!$G$2:$G$20000=CONFIG_METADATA!$B$4)*(DATOS!$K$2:$K$20000=4))</f>
        <v>0</v>
      </c>
      <c r="P2" cm="1">
        <f t="array" ref="P2">SUMPRODUCT((DATOS!$G$2:$G$20000=CONFIG_METADATA!$B$4)*(DATOS!$K$2:$K$20000=5))</f>
        <v>0</v>
      </c>
      <c r="Q2" cm="1">
        <f t="array" ref="Q2">SUMPRODUCT((DATOS!$G$2:$G$20000=CONFIG_METADATA!$B$4)*(DATOS!$K$2:$K$20000=6))</f>
        <v>0</v>
      </c>
      <c r="R2" cm="1">
        <f t="array" ref="R2">SUMPRODUCT((DATOS!$G$2:$G$20000=CONFIG_METADATA!$B$4)*(DATOS!$K$2:$K$20000=7))</f>
        <v>0</v>
      </c>
      <c r="S2" cm="1">
        <f t="array" ref="S2">SUMPRODUCT((DATOS!$G$2:$G$20000=CONFIG_METADATA!$B$4)*(DATOS!$K$2:$K$20000=8))</f>
        <v>0</v>
      </c>
      <c r="T2" cm="1">
        <f t="array" ref="T2">SUMPRODUCT((DATOS!$G$2:$G$20000=CONFIG_METADATA!$B$4)*(DATOS!$K$2:$K$20000=9))</f>
        <v>0</v>
      </c>
      <c r="U2" cm="1">
        <f t="array" ref="U2">SUMPRODUCT((DATOS!$G$2:$G$20000=CONFIG_METADATA!$B$4)*(DATOS!$K$2:$K$20000=10))</f>
        <v>0</v>
      </c>
    </row>
    <row r="3" spans="1:22">
      <c r="A3" s="3" t="inlineStr">
        <is>
          <t xml:space="preserve">GLOBAL</t>
        </is>
      </c>
      <c r="B3" s="3" t="inlineStr">
        <is>
          <t xml:space="preserve">Total Especialidad</t>
        </is>
      </c>
      <c r="C3" s="3" t="inlineStr">
        <is>
          <t xml:space="preserve">TotalEsp</t>
        </is>
      </c>
      <c r="D3">
        <f>SUMPRODUCT((DATOS!$G$2:$G$20000=CONFIG_METADATA!$B$4)*(COUNTIF(CONFIG_ASIGNATURAS!$B$5:$B$27,DATOS!$I$2:$I$20000)&gt;0)*1)</f>
      </c>
      <c r="E3" s="14">
        <f>IFERROR(AVERAGE(IF((DATOS!$G$2:$G$20000=CONFIG_METADATA!$B$4)*(COUNTIF(CONFIG_ASIGNATURAS!$B$5:$B$27,DATOS!$I$2:$I$20000)&gt;0),DATOS!$K$2:$K$20000)),"—")</f>
      </c>
      <c r="F3" s="14">
        <f>IFERROR(_xlfn.STDEV.P(IF((DATOS!$G$2:$G$20000=CONFIG_METADATA!$B$4)*(COUNTIF(CONFIG_ASIGNATURAS!$B$5:$B$27,DATOS!$I$2:$I$20000)&gt;0),DATOS!$K$2:$K$20000)),"—")</f>
      </c>
      <c r="G3">
        <f>IFERROR(_xlfn.MODE.SNGL(IF((DATOS!$G$2:$G$20000=CONFIG_METADATA!$B$4)*(COUNTIF(CONFIG_ASIGNATURAS!$B$5:$B$27,DATOS!$I$2:$I$20000)&gt;0),DATOS!$K$2:$K$20000)),"—")</f>
      </c>
      <c r="H3" s="15">
        <f>IFERROR(SUMPRODUCT((DATOS!$G$2:$G$20000=CONFIG_METADATA!$B$4)*(COUNTIF(CONFIG_ASIGNATURAS!$B$5:$B$27,DATOS!$I$2:$I$20000)&gt;0)*(DATOS!$L$2:$L$20000="S"))/SUMPRODUCT((DATOS!$G$2:$G$20000=CONFIG_METADATA!$B$4)*(COUNTIF(CONFIG_ASIGNATURAS!$B$5:$B$27,DATOS!$I$2:$I$20000)&gt;0)*1),"—")</f>
      </c>
      <c r="I3" s="15">
        <f>IFERROR(SUMPRODUCT((DATOS!$G$2:$G$20000=CONFIG_METADATA!$B$4)*(COUNTIF(CONFIG_ASIGNATURAS!$B$5:$B$27,DATOS!$I$2:$I$20000)&gt;0)*(DATOS!$L$2:$L$20000="N"))/SUMPRODUCT((DATOS!$G$2:$G$20000=CONFIG_METADATA!$B$4)*(COUNTIF(CONFIG_ASIGNATURAS!$B$5:$B$27,DATOS!$I$2:$I$20000)&gt;0)*1),"—")</f>
      </c>
      <c r="J3">
        <f>IFERROR(_xlfn.MODE.SNGL(IF((DATOS!$G$2:$G$20000=CONFIG_METADATA!$B$4)*(COUNTIF(CONFIG_ASIGNATURAS!$B$5:$B$27,DATOS!$I$2:$I$20000)&gt;0)*(DATOS!$L$2:$L$20000="S"),DATOS!$K$2:$K$20000)),"—")</f>
      </c>
      <c r="K3">
        <f>IFERROR(_xlfn.MODE.SNGL(IF((DATOS!$G$2:$G$20000=CONFIG_METADATA!$B$4)*(COUNTIF(CONFIG_ASIGNATURAS!$B$5:$B$27,DATOS!$I$2:$I$20000)&gt;0)*(DATOS!$L$2:$L$20000="N"),DATOS!$K$2:$K$20000)),"—")</f>
      </c>
      <c r="L3">
        <f>SUMPRODUCT((DATOS!$G$2:$G$20000=CONFIG_METADATA!$B$4)*(COUNTIF(CONFIG_ASIGNATURAS!$B$5:$B$27,DATOS!$I$2:$I$20000)&gt;0)*(DATOS!$K$2:$K$20000=1))</f>
      </c>
      <c r="M3">
        <f>SUMPRODUCT((DATOS!$G$2:$G$20000=CONFIG_METADATA!$B$4)*(COUNTIF(CONFIG_ASIGNATURAS!$B$5:$B$27,DATOS!$I$2:$I$20000)&gt;0)*(DATOS!$K$2:$K$20000=2))</f>
      </c>
      <c r="N3">
        <f>SUMPRODUCT((DATOS!$G$2:$G$20000=CONFIG_METADATA!$B$4)*(COUNTIF(CONFIG_ASIGNATURAS!$B$5:$B$27,DATOS!$I$2:$I$20000)&gt;0)*(DATOS!$K$2:$K$20000=3))</f>
      </c>
      <c r="O3">
        <f>SUMPRODUCT((DATOS!$G$2:$G$20000=CONFIG_METADATA!$B$4)*(COUNTIF(CONFIG_ASIGNATURAS!$B$5:$B$27,DATOS!$I$2:$I$20000)&gt;0)*(DATOS!$K$2:$K$20000=4))</f>
      </c>
      <c r="P3">
        <f>SUMPRODUCT((DATOS!$G$2:$G$20000=CONFIG_METADATA!$B$4)*(COUNTIF(CONFIG_ASIGNATURAS!$B$5:$B$27,DATOS!$I$2:$I$20000)&gt;0)*(DATOS!$K$2:$K$20000=5))</f>
      </c>
      <c r="Q3">
        <f>SUMPRODUCT((DATOS!$G$2:$G$20000=CONFIG_METADATA!$B$4)*(COUNTIF(CONFIG_ASIGNATURAS!$B$5:$B$27,DATOS!$I$2:$I$20000)&gt;0)*(DATOS!$K$2:$K$20000=6))</f>
      </c>
      <c r="R3">
        <f>SUMPRODUCT((DATOS!$G$2:$G$20000=CONFIG_METADATA!$B$4)*(COUNTIF(CONFIG_ASIGNATURAS!$B$5:$B$27,DATOS!$I$2:$I$20000)&gt;0)*(DATOS!$K$2:$K$20000=7))</f>
      </c>
      <c r="S3">
        <f>SUMPRODUCT((DATOS!$G$2:$G$20000=CONFIG_METADATA!$B$4)*(COUNTIF(CONFIG_ASIGNATURAS!$B$5:$B$27,DATOS!$I$2:$I$20000)&gt;0)*(DATOS!$K$2:$K$20000=8))</f>
      </c>
      <c r="T3">
        <f>SUMPRODUCT((DATOS!$G$2:$G$20000=CONFIG_METADATA!$B$4)*(COUNTIF(CONFIG_ASIGNATURAS!$B$5:$B$27,DATOS!$I$2:$I$20000)&gt;0)*(DATOS!$K$2:$K$20000=9))</f>
      </c>
      <c r="U3">
        <f>SUMPRODUCT((DATOS!$G$2:$G$20000=CONFIG_METADATA!$B$4)*(COUNTIF(CONFIG_ASIGNATURAS!$B$5:$B$27,DATOS!$I$2:$I$20000)&gt;0)*(DATOS!$K$2:$K$20000=10))</f>
      </c>
    </row>
    <row r="4" spans="1:22">
      <c r="A4" s="3" t="inlineStr">
        <is>
          <t xml:space="preserve">GLOBAL</t>
        </is>
      </c>
      <c r="B4" s="3" t="inlineStr">
        <is>
          <t xml:space="preserve">Total no Especialidad</t>
        </is>
      </c>
      <c r="C4" s="3" t="inlineStr">
        <is>
          <t xml:space="preserve">TotalNoEsp</t>
        </is>
      </c>
      <c r="D4">
        <f>SUMPRODUCT((DATOS!$G$2:$G$20000=CONFIG_METADATA!$B$4)*(COUNTIF(CONFIG_ASIGNATURAS!$B$2:$B$4,DATOS!$I$2:$I$20000)&gt;0)*1)</f>
      </c>
      <c r="E4" s="14">
        <f>IFERROR(AVERAGE(IF((DATOS!$G$2:$G$20000=CONFIG_METADATA!$B$4)*(COUNTIF(CONFIG_ASIGNATURAS!$B$2:$B$4,DATOS!$I$2:$I$20000)&gt;0),DATOS!$K$2:$K$20000)),"—")</f>
      </c>
      <c r="F4" s="14">
        <f>IFERROR(_xlfn.STDEV.P(IF((DATOS!$G$2:$G$20000=CONFIG_METADATA!$B$4)*(COUNTIF(CONFIG_ASIGNATURAS!$B$2:$B$4,DATOS!$I$2:$I$20000)&gt;0),DATOS!$K$2:$K$20000)),"—")</f>
      </c>
      <c r="G4">
        <f>IFERROR(_xlfn.MODE.SNGL(IF((DATOS!$G$2:$G$20000=CONFIG_METADATA!$B$4)*(COUNTIF(CONFIG_ASIGNATURAS!$B$2:$B$4,DATOS!$I$2:$I$20000)&gt;0),DATOS!$K$2:$K$20000)),"—")</f>
      </c>
      <c r="H4" s="15">
        <f>IFERROR(SUMPRODUCT((DATOS!$G$2:$G$20000=CONFIG_METADATA!$B$4)*(COUNTIF(CONFIG_ASIGNATURAS!$B$2:$B$4,DATOS!$I$2:$I$20000)&gt;0)*(DATOS!$L$2:$L$20000="S"))/SUMPRODUCT((DATOS!$G$2:$G$20000=CONFIG_METADATA!$B$4)*(COUNTIF(CONFIG_ASIGNATURAS!$B$2:$B$4,DATOS!$I$2:$I$20000)&gt;0)*1),"—")</f>
      </c>
      <c r="I4" s="15">
        <f>IFERROR(SUMPRODUCT((DATOS!$G$2:$G$20000=CONFIG_METADATA!$B$4)*(COUNTIF(CONFIG_ASIGNATURAS!$B$2:$B$4,DATOS!$I$2:$I$20000)&gt;0)*(DATOS!$L$2:$L$20000="N"))/SUMPRODUCT((DATOS!$G$2:$G$20000=CONFIG_METADATA!$B$4)*(COUNTIF(CONFIG_ASIGNATURAS!$B$2:$B$4,DATOS!$I$2:$I$20000)&gt;0)*1),"—")</f>
      </c>
      <c r="J4">
        <f>IFERROR(_xlfn.MODE.SNGL(IF((DATOS!$G$2:$G$20000=CONFIG_METADATA!$B$4)*(COUNTIF(CONFIG_ASIGNATURAS!$B$2:$B$4,DATOS!$I$2:$I$20000)&gt;0)*(DATOS!$L$2:$L$20000="S"),DATOS!$K$2:$K$20000)),"—")</f>
      </c>
      <c r="K4">
        <f>IFERROR(_xlfn.MODE.SNGL(IF((DATOS!$G$2:$G$20000=CONFIG_METADATA!$B$4)*(COUNTIF(CONFIG_ASIGNATURAS!$B$2:$B$4,DATOS!$I$2:$I$20000)&gt;0)*(DATOS!$L$2:$L$20000="N"),DATOS!$K$2:$K$20000)),"—")</f>
      </c>
      <c r="L4">
        <f>SUMPRODUCT((DATOS!$G$2:$G$20000=CONFIG_METADATA!$B$4)*(COUNTIF(CONFIG_ASIGNATURAS!$B$2:$B$4,DATOS!$I$2:$I$20000)&gt;0)*(DATOS!$K$2:$K$20000=1))</f>
      </c>
      <c r="M4">
        <f>SUMPRODUCT((DATOS!$G$2:$G$20000=CONFIG_METADATA!$B$4)*(COUNTIF(CONFIG_ASIGNATURAS!$B$2:$B$4,DATOS!$I$2:$I$20000)&gt;0)*(DATOS!$K$2:$K$20000=2))</f>
      </c>
      <c r="N4">
        <f>SUMPRODUCT((DATOS!$G$2:$G$20000=CONFIG_METADATA!$B$4)*(COUNTIF(CONFIG_ASIGNATURAS!$B$2:$B$4,DATOS!$I$2:$I$20000)&gt;0)*(DATOS!$K$2:$K$20000=3))</f>
      </c>
      <c r="O4">
        <f>SUMPRODUCT((DATOS!$G$2:$G$20000=CONFIG_METADATA!$B$4)*(COUNTIF(CONFIG_ASIGNATURAS!$B$2:$B$4,DATOS!$I$2:$I$20000)&gt;0)*(DATOS!$K$2:$K$20000=4))</f>
      </c>
      <c r="P4">
        <f>SUMPRODUCT((DATOS!$G$2:$G$20000=CONFIG_METADATA!$B$4)*(COUNTIF(CONFIG_ASIGNATURAS!$B$2:$B$4,DATOS!$I$2:$I$20000)&gt;0)*(DATOS!$K$2:$K$20000=5))</f>
      </c>
      <c r="Q4">
        <f>SUMPRODUCT((DATOS!$G$2:$G$20000=CONFIG_METADATA!$B$4)*(COUNTIF(CONFIG_ASIGNATURAS!$B$2:$B$4,DATOS!$I$2:$I$20000)&gt;0)*(DATOS!$K$2:$K$20000=6))</f>
      </c>
      <c r="R4">
        <f>SUMPRODUCT((DATOS!$G$2:$G$20000=CONFIG_METADATA!$B$4)*(COUNTIF(CONFIG_ASIGNATURAS!$B$2:$B$4,DATOS!$I$2:$I$20000)&gt;0)*(DATOS!$K$2:$K$20000=7))</f>
      </c>
      <c r="S4">
        <f>SUMPRODUCT((DATOS!$G$2:$G$20000=CONFIG_METADATA!$B$4)*(COUNTIF(CONFIG_ASIGNATURAS!$B$2:$B$4,DATOS!$I$2:$I$20000)&gt;0)*(DATOS!$K$2:$K$20000=8))</f>
      </c>
      <c r="T4">
        <f>SUMPRODUCT((DATOS!$G$2:$G$20000=CONFIG_METADATA!$B$4)*(COUNTIF(CONFIG_ASIGNATURAS!$B$2:$B$4,DATOS!$I$2:$I$20000)&gt;0)*(DATOS!$K$2:$K$20000=9))</f>
      </c>
      <c r="U4">
        <f>SUMPRODUCT((DATOS!$G$2:$G$20000=CONFIG_METADATA!$B$4)*(COUNTIF(CONFIG_ASIGNATURAS!$B$2:$B$4,DATOS!$I$2:$I$20000)&gt;0)*(DATOS!$K$2:$K$20000=10))</f>
      </c>
    </row>
    <row r="5" spans="1:22">
      <c r="A5" s="3" t="inlineStr">
        <is>
          <t xml:space="preserve">GLOBAL</t>
        </is>
      </c>
      <c r="B5" s="3">
        <f>IFERROR(INDEX(_xlfn._xlws.FILTER(CONFIG_ASIGNATURAS!$B$2:$B$27,CONFIG_ASIGNATURAS!$G$2:$G$27="Sí"),1),"")</f>
      </c>
      <c r="C5" s="3">
        <f>IF(B5="","",IFERROR(IF(VLOOKUP(B5,CONFIG_ASIGNATURAS!$B$2:$F$27,5,FALSE())="Sí","Especialidad","Asignatura"),"Asignatura"))</f>
      </c>
      <c r="D5">
        <f>COUNTIFS(DATOS!G:G,CONFIG_METADATA!$B$4,DATOS!I:I,B5)</f>
        <v>0</v>
      </c>
      <c r="E5" s="14" t="str">
        <f>IFERROR(AVERAGEIFS(DATOS!K:K,DATOS!G:G,CONFIG_METADATA!$B$4,DATOS!I:I,B5),"—")</f>
        <v>—</v>
      </c>
      <c r="F5" s="14" t="str" cm="1">
        <f t="array" ref="F5">IFERROR(_xlfn.STDEV.P(IF((DATOS!$G$2:$G$20000=CONFIG_METADATA!$B$4)*(DATOS!$I$2:$I$20000=B5),DATOS!$K$2:$K$20000)),"—")</f>
        <v>—</v>
      </c>
      <c r="G5" t="str" cm="1">
        <f t="array" ref="G5">IFERROR(_xlfn.MODE.SNGL(IF((DATOS!$G$2:$G$20000=CONFIG_METADATA!$B$4)*(DATOS!$I$2:$I$20000=B5),DATOS!$K$2:$K$20000)),"—")</f>
        <v>—</v>
      </c>
      <c r="H5" s="15" t="str">
        <f>IFERROR(COUNTIFS(DATOS!G:G,CONFIG_METADATA!$B$4,DATOS!I:I,B5,DATOS!L:L,"S")/COUNTIFS(DATOS!G:G,CONFIG_METADATA!$B$4,DATOS!I:I,B5),"—")</f>
        <v>—</v>
      </c>
      <c r="I5" s="15" t="str">
        <f>IFERROR(COUNTIFS(DATOS!G:G,CONFIG_METADATA!$B$4,DATOS!I:I,B5,DATOS!L:L,"N")/COUNTIFS(DATOS!G:G,CONFIG_METADATA!$B$4,DATOS!I:I,B5),"—")</f>
        <v>—</v>
      </c>
      <c r="J5" t="str" cm="1">
        <f t="array" ref="J5">IFERROR(_xlfn.MODE.SNGL(IF((DATOS!$G$2:$G$20000=CONFIG_METADATA!$B$4)*(DATOS!$I$2:$I$20000=B5)*(DATOS!$L$2:$L$20000="S"),DATOS!$K$2:$K$20000)),"—")</f>
        <v>—</v>
      </c>
      <c r="K5" t="str" cm="1">
        <f t="array" ref="K5">IFERROR(_xlfn.MODE.SNGL(IF((DATOS!$G$2:$G$20000=CONFIG_METADATA!$B$4)*(DATOS!$I$2:$I$20000=B5)*(DATOS!$L$2:$L$20000="N"),DATOS!$K$2:$K$20000)),"—")</f>
        <v>—</v>
      </c>
      <c r="L5">
        <f>COUNTIFS(DATOS!G:G,CONFIG_METADATA!$B$4,DATOS!I:I,B5,DATOS!K:K,1)</f>
        <v>0</v>
      </c>
      <c r="M5">
        <f>COUNTIFS(DATOS!G:G,CONFIG_METADATA!$B$4,DATOS!I:I,B5,DATOS!K:K,2)</f>
        <v>0</v>
      </c>
      <c r="N5">
        <f>COUNTIFS(DATOS!G:G,CONFIG_METADATA!$B$4,DATOS!I:I,B5,DATOS!K:K,3)</f>
        <v>0</v>
      </c>
      <c r="O5">
        <f>COUNTIFS(DATOS!G:G,CONFIG_METADATA!$B$4,DATOS!I:I,B5,DATOS!K:K,4)</f>
        <v>0</v>
      </c>
      <c r="P5">
        <f>COUNTIFS(DATOS!G:G,CONFIG_METADATA!$B$4,DATOS!I:I,B5,DATOS!K:K,5)</f>
        <v>0</v>
      </c>
      <c r="Q5">
        <f>COUNTIFS(DATOS!G:G,CONFIG_METADATA!$B$4,DATOS!I:I,B5,DATOS!K:K,6)</f>
        <v>0</v>
      </c>
      <c r="R5">
        <f>COUNTIFS(DATOS!G:G,CONFIG_METADATA!$B$4,DATOS!I:I,B5,DATOS!K:K,7)</f>
        <v>0</v>
      </c>
      <c r="S5">
        <f>COUNTIFS(DATOS!G:G,CONFIG_METADATA!$B$4,DATOS!I:I,B5,DATOS!K:K,8)</f>
        <v>0</v>
      </c>
      <c r="T5">
        <f>COUNTIFS(DATOS!G:G,CONFIG_METADATA!$B$4,DATOS!I:I,B5,DATOS!K:K,9)</f>
        <v>0</v>
      </c>
      <c r="U5">
        <f>COUNTIFS(DATOS!G:G,CONFIG_METADATA!$B$4,DATOS!I:I,B5,DATOS!K:K,10)</f>
        <v>0</v>
      </c>
    </row>
    <row r="6" spans="1:22">
      <c r="A6" s="3" t="inlineStr">
        <is>
          <t xml:space="preserve">GLOBAL</t>
        </is>
      </c>
      <c r="B6" s="3">
        <f>IFERROR(INDEX(_xlfn._xlws.FILTER(CONFIG_ASIGNATURAS!$B$2:$B$27,CONFIG_ASIGNATURAS!$G$2:$G$27="Sí"),2),"")</f>
      </c>
      <c r="C6" s="3">
        <f>IF(B6="","",IFERROR(IF(VLOOKUP(B6,CONFIG_ASIGNATURAS!$B$2:$F$27,5,FALSE())="Sí","Especialidad","Asignatura"),"Asignatura"))</f>
      </c>
      <c r="D6">
        <f>COUNTIFS(DATOS!G:G,CONFIG_METADATA!$B$4,DATOS!I:I,B6)</f>
        <v>0</v>
      </c>
      <c r="E6" s="14" t="str">
        <f>IFERROR(AVERAGEIFS(DATOS!K:K,DATOS!G:G,CONFIG_METADATA!$B$4,DATOS!I:I,B6),"—")</f>
        <v>—</v>
      </c>
      <c r="F6" s="14" t="str" cm="1">
        <f t="array" ref="F6">IFERROR(_xlfn.STDEV.P(IF((DATOS!$G$2:$G$20000=CONFIG_METADATA!$B$4)*(DATOS!$I$2:$I$20000=B6),DATOS!$K$2:$K$20000)),"—")</f>
        <v>—</v>
      </c>
      <c r="G6" t="str" cm="1">
        <f t="array" ref="G6">IFERROR(_xlfn.MODE.SNGL(IF((DATOS!$G$2:$G$20000=CONFIG_METADATA!$B$4)*(DATOS!$I$2:$I$20000=B6),DATOS!$K$2:$K$20000)),"—")</f>
        <v>—</v>
      </c>
      <c r="H6" s="15" t="str">
        <f>IFERROR(COUNTIFS(DATOS!G:G,CONFIG_METADATA!$B$4,DATOS!I:I,B6,DATOS!L:L,"S")/COUNTIFS(DATOS!G:G,CONFIG_METADATA!$B$4,DATOS!I:I,B6),"—")</f>
        <v>—</v>
      </c>
      <c r="I6" s="15" t="str">
        <f>IFERROR(COUNTIFS(DATOS!G:G,CONFIG_METADATA!$B$4,DATOS!I:I,B6,DATOS!L:L,"N")/COUNTIFS(DATOS!G:G,CONFIG_METADATA!$B$4,DATOS!I:I,B6),"—")</f>
        <v>—</v>
      </c>
      <c r="J6" t="str" cm="1">
        <f t="array" ref="J6">IFERROR(_xlfn.MODE.SNGL(IF((DATOS!$G$2:$G$20000=CONFIG_METADATA!$B$4)*(DATOS!$I$2:$I$20000=B6)*(DATOS!$L$2:$L$20000="S"),DATOS!$K$2:$K$20000)),"—")</f>
        <v>—</v>
      </c>
      <c r="K6" t="str" cm="1">
        <f t="array" ref="K6">IFERROR(_xlfn.MODE.SNGL(IF((DATOS!$G$2:$G$20000=CONFIG_METADATA!$B$4)*(DATOS!$I$2:$I$20000=B6)*(DATOS!$L$2:$L$20000="N"),DATOS!$K$2:$K$20000)),"—")</f>
        <v>—</v>
      </c>
      <c r="L6">
        <f>COUNTIFS(DATOS!G:G,CONFIG_METADATA!$B$4,DATOS!I:I,B6,DATOS!K:K,1)</f>
        <v>0</v>
      </c>
      <c r="M6">
        <f>COUNTIFS(DATOS!G:G,CONFIG_METADATA!$B$4,DATOS!I:I,B6,DATOS!K:K,2)</f>
        <v>0</v>
      </c>
      <c r="N6">
        <f>COUNTIFS(DATOS!G:G,CONFIG_METADATA!$B$4,DATOS!I:I,B6,DATOS!K:K,3)</f>
        <v>0</v>
      </c>
      <c r="O6">
        <f>COUNTIFS(DATOS!G:G,CONFIG_METADATA!$B$4,DATOS!I:I,B6,DATOS!K:K,4)</f>
        <v>0</v>
      </c>
      <c r="P6">
        <f>COUNTIFS(DATOS!G:G,CONFIG_METADATA!$B$4,DATOS!I:I,B6,DATOS!K:K,5)</f>
        <v>0</v>
      </c>
      <c r="Q6">
        <f>COUNTIFS(DATOS!G:G,CONFIG_METADATA!$B$4,DATOS!I:I,B6,DATOS!K:K,6)</f>
        <v>0</v>
      </c>
      <c r="R6">
        <f>COUNTIFS(DATOS!G:G,CONFIG_METADATA!$B$4,DATOS!I:I,B6,DATOS!K:K,7)</f>
        <v>0</v>
      </c>
      <c r="S6">
        <f>COUNTIFS(DATOS!G:G,CONFIG_METADATA!$B$4,DATOS!I:I,B6,DATOS!K:K,8)</f>
        <v>0</v>
      </c>
      <c r="T6">
        <f>COUNTIFS(DATOS!G:G,CONFIG_METADATA!$B$4,DATOS!I:I,B6,DATOS!K:K,9)</f>
        <v>0</v>
      </c>
      <c r="U6">
        <f>COUNTIFS(DATOS!G:G,CONFIG_METADATA!$B$4,DATOS!I:I,B6,DATOS!K:K,10)</f>
        <v>0</v>
      </c>
    </row>
    <row r="7" spans="1:22">
      <c r="A7" s="3" t="inlineStr">
        <is>
          <t xml:space="preserve">GLOBAL</t>
        </is>
      </c>
      <c r="B7" s="3">
        <f>IFERROR(INDEX(_xlfn._xlws.FILTER(CONFIG_ASIGNATURAS!$B$2:$B$27,CONFIG_ASIGNATURAS!$G$2:$G$27="Sí"),3),"")</f>
      </c>
      <c r="C7" s="3">
        <f>IF(B7="","",IFERROR(IF(VLOOKUP(B7,CONFIG_ASIGNATURAS!$B$2:$F$27,5,FALSE())="Sí","Especialidad","Asignatura"),"Asignatura"))</f>
      </c>
      <c r="D7">
        <f>COUNTIFS(DATOS!G:G,CONFIG_METADATA!$B$4,DATOS!I:I,B7)</f>
        <v>0</v>
      </c>
      <c r="E7" s="14" t="str">
        <f>IFERROR(AVERAGEIFS(DATOS!K:K,DATOS!G:G,CONFIG_METADATA!$B$4,DATOS!I:I,B7),"—")</f>
        <v>—</v>
      </c>
      <c r="F7" s="14" t="str" cm="1">
        <f t="array" ref="F7">IFERROR(_xlfn.STDEV.P(IF((DATOS!$G$2:$G$20000=CONFIG_METADATA!$B$4)*(DATOS!$I$2:$I$20000=B7),DATOS!$K$2:$K$20000)),"—")</f>
        <v>—</v>
      </c>
      <c r="G7" t="str" cm="1">
        <f t="array" ref="G7">IFERROR(_xlfn.MODE.SNGL(IF((DATOS!$G$2:$G$20000=CONFIG_METADATA!$B$4)*(DATOS!$I$2:$I$20000=B7),DATOS!$K$2:$K$20000)),"—")</f>
        <v>—</v>
      </c>
      <c r="H7" s="15" t="str">
        <f>IFERROR(COUNTIFS(DATOS!G:G,CONFIG_METADATA!$B$4,DATOS!I:I,B7,DATOS!L:L,"S")/COUNTIFS(DATOS!G:G,CONFIG_METADATA!$B$4,DATOS!I:I,B7),"—")</f>
        <v>—</v>
      </c>
      <c r="I7" s="15" t="str">
        <f>IFERROR(COUNTIFS(DATOS!G:G,CONFIG_METADATA!$B$4,DATOS!I:I,B7,DATOS!L:L,"N")/COUNTIFS(DATOS!G:G,CONFIG_METADATA!$B$4,DATOS!I:I,B7),"—")</f>
        <v>—</v>
      </c>
      <c r="J7" t="str" cm="1">
        <f t="array" ref="J7">IFERROR(_xlfn.MODE.SNGL(IF((DATOS!$G$2:$G$20000=CONFIG_METADATA!$B$4)*(DATOS!$I$2:$I$20000=B7)*(DATOS!$L$2:$L$20000="S"),DATOS!$K$2:$K$20000)),"—")</f>
        <v>—</v>
      </c>
      <c r="K7" t="str" cm="1">
        <f t="array" ref="K7">IFERROR(_xlfn.MODE.SNGL(IF((DATOS!$G$2:$G$20000=CONFIG_METADATA!$B$4)*(DATOS!$I$2:$I$20000=B7)*(DATOS!$L$2:$L$20000="N"),DATOS!$K$2:$K$20000)),"—")</f>
        <v>—</v>
      </c>
      <c r="L7">
        <f>COUNTIFS(DATOS!G:G,CONFIG_METADATA!$B$4,DATOS!I:I,B7,DATOS!K:K,1)</f>
        <v>0</v>
      </c>
      <c r="M7">
        <f>COUNTIFS(DATOS!G:G,CONFIG_METADATA!$B$4,DATOS!I:I,B7,DATOS!K:K,2)</f>
        <v>0</v>
      </c>
      <c r="N7">
        <f>COUNTIFS(DATOS!G:G,CONFIG_METADATA!$B$4,DATOS!I:I,B7,DATOS!K:K,3)</f>
        <v>0</v>
      </c>
      <c r="O7">
        <f>COUNTIFS(DATOS!G:G,CONFIG_METADATA!$B$4,DATOS!I:I,B7,DATOS!K:K,4)</f>
        <v>0</v>
      </c>
      <c r="P7">
        <f>COUNTIFS(DATOS!G:G,CONFIG_METADATA!$B$4,DATOS!I:I,B7,DATOS!K:K,5)</f>
        <v>0</v>
      </c>
      <c r="Q7">
        <f>COUNTIFS(DATOS!G:G,CONFIG_METADATA!$B$4,DATOS!I:I,B7,DATOS!K:K,6)</f>
        <v>0</v>
      </c>
      <c r="R7">
        <f>COUNTIFS(DATOS!G:G,CONFIG_METADATA!$B$4,DATOS!I:I,B7,DATOS!K:K,7)</f>
        <v>0</v>
      </c>
      <c r="S7">
        <f>COUNTIFS(DATOS!G:G,CONFIG_METADATA!$B$4,DATOS!I:I,B7,DATOS!K:K,8)</f>
        <v>0</v>
      </c>
      <c r="T7">
        <f>COUNTIFS(DATOS!G:G,CONFIG_METADATA!$B$4,DATOS!I:I,B7,DATOS!K:K,9)</f>
        <v>0</v>
      </c>
      <c r="U7">
        <f>COUNTIFS(DATOS!G:G,CONFIG_METADATA!$B$4,DATOS!I:I,B7,DATOS!K:K,10)</f>
        <v>0</v>
      </c>
    </row>
    <row r="8" spans="1:22">
      <c r="A8" s="3" t="inlineStr">
        <is>
          <t xml:space="preserve">GLOBAL</t>
        </is>
      </c>
      <c r="B8" s="3">
        <f>IFERROR(INDEX(_xlfn._xlws.FILTER(CONFIG_ASIGNATURAS!$B$2:$B$27,CONFIG_ASIGNATURAS!$G$2:$G$27="Sí"),4),"")</f>
      </c>
      <c r="C8" s="3">
        <f>IF(B8="","",IFERROR(IF(VLOOKUP(B8,CONFIG_ASIGNATURAS!$B$2:$F$27,5,FALSE())="Sí","Especialidad","Asignatura"),"Asignatura"))</f>
      </c>
      <c r="D8">
        <f>COUNTIFS(DATOS!G:G,CONFIG_METADATA!$B$4,DATOS!I:I,B8)</f>
        <v>0</v>
      </c>
      <c r="E8" s="14" t="str">
        <f>IFERROR(AVERAGEIFS(DATOS!K:K,DATOS!G:G,CONFIG_METADATA!$B$4,DATOS!I:I,B8),"—")</f>
        <v>—</v>
      </c>
      <c r="F8" s="14" t="str" cm="1">
        <f t="array" ref="F8">IFERROR(_xlfn.STDEV.P(IF((DATOS!$G$2:$G$20000=CONFIG_METADATA!$B$4)*(DATOS!$I$2:$I$20000=B8),DATOS!$K$2:$K$20000)),"—")</f>
        <v>—</v>
      </c>
      <c r="G8" t="str" cm="1">
        <f t="array" ref="G8">IFERROR(_xlfn.MODE.SNGL(IF((DATOS!$G$2:$G$20000=CONFIG_METADATA!$B$4)*(DATOS!$I$2:$I$20000=B8),DATOS!$K$2:$K$20000)),"—")</f>
        <v>—</v>
      </c>
      <c r="H8" s="15" t="str">
        <f>IFERROR(COUNTIFS(DATOS!G:G,CONFIG_METADATA!$B$4,DATOS!I:I,B8,DATOS!L:L,"S")/COUNTIFS(DATOS!G:G,CONFIG_METADATA!$B$4,DATOS!I:I,B8),"—")</f>
        <v>—</v>
      </c>
      <c r="I8" s="15" t="str">
        <f>IFERROR(COUNTIFS(DATOS!G:G,CONFIG_METADATA!$B$4,DATOS!I:I,B8,DATOS!L:L,"N")/COUNTIFS(DATOS!G:G,CONFIG_METADATA!$B$4,DATOS!I:I,B8),"—")</f>
        <v>—</v>
      </c>
      <c r="J8" t="str" cm="1">
        <f t="array" ref="J8">IFERROR(_xlfn.MODE.SNGL(IF((DATOS!$G$2:$G$20000=CONFIG_METADATA!$B$4)*(DATOS!$I$2:$I$20000=B8)*(DATOS!$L$2:$L$20000="S"),DATOS!$K$2:$K$20000)),"—")</f>
        <v>—</v>
      </c>
      <c r="K8" t="str" cm="1">
        <f t="array" ref="K8">IFERROR(_xlfn.MODE.SNGL(IF((DATOS!$G$2:$G$20000=CONFIG_METADATA!$B$4)*(DATOS!$I$2:$I$20000=B8)*(DATOS!$L$2:$L$20000="N"),DATOS!$K$2:$K$20000)),"—")</f>
        <v>—</v>
      </c>
      <c r="L8">
        <f>COUNTIFS(DATOS!G:G,CONFIG_METADATA!$B$4,DATOS!I:I,B8,DATOS!K:K,1)</f>
        <v>0</v>
      </c>
      <c r="M8">
        <f>COUNTIFS(DATOS!G:G,CONFIG_METADATA!$B$4,DATOS!I:I,B8,DATOS!K:K,2)</f>
        <v>0</v>
      </c>
      <c r="N8">
        <f>COUNTIFS(DATOS!G:G,CONFIG_METADATA!$B$4,DATOS!I:I,B8,DATOS!K:K,3)</f>
        <v>0</v>
      </c>
      <c r="O8">
        <f>COUNTIFS(DATOS!G:G,CONFIG_METADATA!$B$4,DATOS!I:I,B8,DATOS!K:K,4)</f>
        <v>0</v>
      </c>
      <c r="P8">
        <f>COUNTIFS(DATOS!G:G,CONFIG_METADATA!$B$4,DATOS!I:I,B8,DATOS!K:K,5)</f>
        <v>0</v>
      </c>
      <c r="Q8">
        <f>COUNTIFS(DATOS!G:G,CONFIG_METADATA!$B$4,DATOS!I:I,B8,DATOS!K:K,6)</f>
        <v>0</v>
      </c>
      <c r="R8">
        <f>COUNTIFS(DATOS!G:G,CONFIG_METADATA!$B$4,DATOS!I:I,B8,DATOS!K:K,7)</f>
        <v>0</v>
      </c>
      <c r="S8">
        <f>COUNTIFS(DATOS!G:G,CONFIG_METADATA!$B$4,DATOS!I:I,B8,DATOS!K:K,8)</f>
        <v>0</v>
      </c>
      <c r="T8">
        <f>COUNTIFS(DATOS!G:G,CONFIG_METADATA!$B$4,DATOS!I:I,B8,DATOS!K:K,9)</f>
        <v>0</v>
      </c>
      <c r="U8">
        <f>COUNTIFS(DATOS!G:G,CONFIG_METADATA!$B$4,DATOS!I:I,B8,DATOS!K:K,10)</f>
        <v>0</v>
      </c>
    </row>
    <row r="9" spans="1:22">
      <c r="A9" s="3" t="inlineStr">
        <is>
          <t xml:space="preserve">GLOBAL</t>
        </is>
      </c>
      <c r="B9" s="3">
        <f>IFERROR(INDEX(_xlfn._xlws.FILTER(CONFIG_ASIGNATURAS!$B$2:$B$27,CONFIG_ASIGNATURAS!$G$2:$G$27="Sí"),5),"")</f>
      </c>
      <c r="C9" s="3">
        <f>IF(B9="","",IFERROR(IF(VLOOKUP(B9,CONFIG_ASIGNATURAS!$B$2:$F$27,5,FALSE())="Sí","Especialidad","Asignatura"),"Asignatura"))</f>
      </c>
      <c r="D9">
        <f>COUNTIFS(DATOS!G:G,CONFIG_METADATA!$B$4,DATOS!I:I,B9)</f>
        <v>0</v>
      </c>
      <c r="E9" s="14" t="str">
        <f>IFERROR(AVERAGEIFS(DATOS!K:K,DATOS!G:G,CONFIG_METADATA!$B$4,DATOS!I:I,B9),"—")</f>
        <v>—</v>
      </c>
      <c r="F9" s="14" t="str" cm="1">
        <f t="array" ref="F9">IFERROR(_xlfn.STDEV.P(IF((DATOS!$G$2:$G$20000=CONFIG_METADATA!$B$4)*(DATOS!$I$2:$I$20000=B9),DATOS!$K$2:$K$20000)),"—")</f>
        <v>—</v>
      </c>
      <c r="G9" t="str" cm="1">
        <f t="array" ref="G9">IFERROR(_xlfn.MODE.SNGL(IF((DATOS!$G$2:$G$20000=CONFIG_METADATA!$B$4)*(DATOS!$I$2:$I$20000=B9),DATOS!$K$2:$K$20000)),"—")</f>
        <v>—</v>
      </c>
      <c r="H9" s="15" t="str">
        <f>IFERROR(COUNTIFS(DATOS!G:G,CONFIG_METADATA!$B$4,DATOS!I:I,B9,DATOS!L:L,"S")/COUNTIFS(DATOS!G:G,CONFIG_METADATA!$B$4,DATOS!I:I,B9),"—")</f>
        <v>—</v>
      </c>
      <c r="I9" s="15" t="str">
        <f>IFERROR(COUNTIFS(DATOS!G:G,CONFIG_METADATA!$B$4,DATOS!I:I,B9,DATOS!L:L,"N")/COUNTIFS(DATOS!G:G,CONFIG_METADATA!$B$4,DATOS!I:I,B9),"—")</f>
        <v>—</v>
      </c>
      <c r="J9" t="str" cm="1">
        <f t="array" ref="J9">IFERROR(_xlfn.MODE.SNGL(IF((DATOS!$G$2:$G$20000=CONFIG_METADATA!$B$4)*(DATOS!$I$2:$I$20000=B9)*(DATOS!$L$2:$L$20000="S"),DATOS!$K$2:$K$20000)),"—")</f>
        <v>—</v>
      </c>
      <c r="K9" t="str" cm="1">
        <f t="array" ref="K9">IFERROR(_xlfn.MODE.SNGL(IF((DATOS!$G$2:$G$20000=CONFIG_METADATA!$B$4)*(DATOS!$I$2:$I$20000=B9)*(DATOS!$L$2:$L$20000="N"),DATOS!$K$2:$K$20000)),"—")</f>
        <v>—</v>
      </c>
      <c r="L9">
        <f>COUNTIFS(DATOS!G:G,CONFIG_METADATA!$B$4,DATOS!I:I,B9,DATOS!K:K,1)</f>
        <v>0</v>
      </c>
      <c r="M9">
        <f>COUNTIFS(DATOS!G:G,CONFIG_METADATA!$B$4,DATOS!I:I,B9,DATOS!K:K,2)</f>
        <v>0</v>
      </c>
      <c r="N9">
        <f>COUNTIFS(DATOS!G:G,CONFIG_METADATA!$B$4,DATOS!I:I,B9,DATOS!K:K,3)</f>
        <v>0</v>
      </c>
      <c r="O9">
        <f>COUNTIFS(DATOS!G:G,CONFIG_METADATA!$B$4,DATOS!I:I,B9,DATOS!K:K,4)</f>
        <v>0</v>
      </c>
      <c r="P9">
        <f>COUNTIFS(DATOS!G:G,CONFIG_METADATA!$B$4,DATOS!I:I,B9,DATOS!K:K,5)</f>
        <v>0</v>
      </c>
      <c r="Q9">
        <f>COUNTIFS(DATOS!G:G,CONFIG_METADATA!$B$4,DATOS!I:I,B9,DATOS!K:K,6)</f>
        <v>0</v>
      </c>
      <c r="R9">
        <f>COUNTIFS(DATOS!G:G,CONFIG_METADATA!$B$4,DATOS!I:I,B9,DATOS!K:K,7)</f>
        <v>0</v>
      </c>
      <c r="S9">
        <f>COUNTIFS(DATOS!G:G,CONFIG_METADATA!$B$4,DATOS!I:I,B9,DATOS!K:K,8)</f>
        <v>0</v>
      </c>
      <c r="T9">
        <f>COUNTIFS(DATOS!G:G,CONFIG_METADATA!$B$4,DATOS!I:I,B9,DATOS!K:K,9)</f>
        <v>0</v>
      </c>
      <c r="U9">
        <f>COUNTIFS(DATOS!G:G,CONFIG_METADATA!$B$4,DATOS!I:I,B9,DATOS!K:K,10)</f>
        <v>0</v>
      </c>
    </row>
    <row r="10" spans="1:22">
      <c r="A10" s="3" t="inlineStr">
        <is>
          <t xml:space="preserve">GLOBAL</t>
        </is>
      </c>
      <c r="B10" s="3">
        <f>IFERROR(INDEX(_xlfn._xlws.FILTER(CONFIG_ASIGNATURAS!$B$2:$B$27,CONFIG_ASIGNATURAS!$G$2:$G$27="Sí"),6),"")</f>
      </c>
      <c r="C10" s="3">
        <f>IF(B10="","",IFERROR(IF(VLOOKUP(B10,CONFIG_ASIGNATURAS!$B$2:$F$27,5,FALSE())="Sí","Especialidad","Asignatura"),"Asignatura"))</f>
      </c>
      <c r="D10">
        <f>COUNTIFS(DATOS!G:G,CONFIG_METADATA!$B$4,DATOS!I:I,B10)</f>
        <v>0</v>
      </c>
      <c r="E10" s="14" t="str">
        <f>IFERROR(AVERAGEIFS(DATOS!K:K,DATOS!G:G,CONFIG_METADATA!$B$4,DATOS!I:I,B10),"—")</f>
        <v>—</v>
      </c>
      <c r="F10" s="14" t="str" cm="1">
        <f t="array" ref="F10">IFERROR(_xlfn.STDEV.P(IF((DATOS!$G$2:$G$20000=CONFIG_METADATA!$B$4)*(DATOS!$I$2:$I$20000=B10),DATOS!$K$2:$K$20000)),"—")</f>
        <v>—</v>
      </c>
      <c r="G10" t="str" cm="1">
        <f t="array" ref="G10">IFERROR(_xlfn.MODE.SNGL(IF((DATOS!$G$2:$G$20000=CONFIG_METADATA!$B$4)*(DATOS!$I$2:$I$20000=B10),DATOS!$K$2:$K$20000)),"—")</f>
        <v>—</v>
      </c>
      <c r="H10" s="15" t="str">
        <f>IFERROR(COUNTIFS(DATOS!G:G,CONFIG_METADATA!$B$4,DATOS!I:I,B10,DATOS!L:L,"S")/COUNTIFS(DATOS!G:G,CONFIG_METADATA!$B$4,DATOS!I:I,B10),"—")</f>
        <v>—</v>
      </c>
      <c r="I10" s="15" t="str">
        <f>IFERROR(COUNTIFS(DATOS!G:G,CONFIG_METADATA!$B$4,DATOS!I:I,B10,DATOS!L:L,"N")/COUNTIFS(DATOS!G:G,CONFIG_METADATA!$B$4,DATOS!I:I,B10),"—")</f>
        <v>—</v>
      </c>
      <c r="J10" t="str" cm="1">
        <f t="array" ref="J10">IFERROR(_xlfn.MODE.SNGL(IF((DATOS!$G$2:$G$20000=CONFIG_METADATA!$B$4)*(DATOS!$I$2:$I$20000=B10)*(DATOS!$L$2:$L$20000="S"),DATOS!$K$2:$K$20000)),"—")</f>
        <v>—</v>
      </c>
      <c r="K10" t="str" cm="1">
        <f t="array" ref="K10">IFERROR(_xlfn.MODE.SNGL(IF((DATOS!$G$2:$G$20000=CONFIG_METADATA!$B$4)*(DATOS!$I$2:$I$20000=B10)*(DATOS!$L$2:$L$20000="N"),DATOS!$K$2:$K$20000)),"—")</f>
        <v>—</v>
      </c>
      <c r="L10">
        <f>COUNTIFS(DATOS!G:G,CONFIG_METADATA!$B$4,DATOS!I:I,B10,DATOS!K:K,1)</f>
        <v>0</v>
      </c>
      <c r="M10">
        <f>COUNTIFS(DATOS!G:G,CONFIG_METADATA!$B$4,DATOS!I:I,B10,DATOS!K:K,2)</f>
        <v>0</v>
      </c>
      <c r="N10">
        <f>COUNTIFS(DATOS!G:G,CONFIG_METADATA!$B$4,DATOS!I:I,B10,DATOS!K:K,3)</f>
        <v>0</v>
      </c>
      <c r="O10">
        <f>COUNTIFS(DATOS!G:G,CONFIG_METADATA!$B$4,DATOS!I:I,B10,DATOS!K:K,4)</f>
        <v>0</v>
      </c>
      <c r="P10">
        <f>COUNTIFS(DATOS!G:G,CONFIG_METADATA!$B$4,DATOS!I:I,B10,DATOS!K:K,5)</f>
        <v>0</v>
      </c>
      <c r="Q10">
        <f>COUNTIFS(DATOS!G:G,CONFIG_METADATA!$B$4,DATOS!I:I,B10,DATOS!K:K,6)</f>
        <v>0</v>
      </c>
      <c r="R10">
        <f>COUNTIFS(DATOS!G:G,CONFIG_METADATA!$B$4,DATOS!I:I,B10,DATOS!K:K,7)</f>
        <v>0</v>
      </c>
      <c r="S10">
        <f>COUNTIFS(DATOS!G:G,CONFIG_METADATA!$B$4,DATOS!I:I,B10,DATOS!K:K,8)</f>
        <v>0</v>
      </c>
      <c r="T10">
        <f>COUNTIFS(DATOS!G:G,CONFIG_METADATA!$B$4,DATOS!I:I,B10,DATOS!K:K,9)</f>
        <v>0</v>
      </c>
      <c r="U10">
        <f>COUNTIFS(DATOS!G:G,CONFIG_METADATA!$B$4,DATOS!I:I,B10,DATOS!K:K,10)</f>
        <v>0</v>
      </c>
    </row>
    <row r="11" spans="1:22">
      <c r="A11" s="3" t="inlineStr">
        <is>
          <t xml:space="preserve">GLOBAL</t>
        </is>
      </c>
      <c r="B11" s="3">
        <f>IFERROR(INDEX(_xlfn._xlws.FILTER(CONFIG_ASIGNATURAS!$B$2:$B$27,CONFIG_ASIGNATURAS!$G$2:$G$27="Sí"),7),"")</f>
      </c>
      <c r="C11" s="3">
        <f>IF(B11="","",IFERROR(IF(VLOOKUP(B11,CONFIG_ASIGNATURAS!$B$2:$F$27,5,FALSE())="Sí","Especialidad","Asignatura"),"Asignatura"))</f>
      </c>
      <c r="D11">
        <f>COUNTIFS(DATOS!G:G,CONFIG_METADATA!$B$4,DATOS!I:I,B11)</f>
        <v>0</v>
      </c>
      <c r="E11" s="14" t="str">
        <f>IFERROR(AVERAGEIFS(DATOS!K:K,DATOS!G:G,CONFIG_METADATA!$B$4,DATOS!I:I,B11),"—")</f>
        <v>—</v>
      </c>
      <c r="F11" s="14" t="str" cm="1">
        <f t="array" ref="F11">IFERROR(_xlfn.STDEV.P(IF((DATOS!$G$2:$G$20000=CONFIG_METADATA!$B$4)*(DATOS!$I$2:$I$20000=B11),DATOS!$K$2:$K$20000)),"—")</f>
        <v>—</v>
      </c>
      <c r="G11" t="str" cm="1">
        <f t="array" ref="G11">IFERROR(_xlfn.MODE.SNGL(IF((DATOS!$G$2:$G$20000=CONFIG_METADATA!$B$4)*(DATOS!$I$2:$I$20000=B11),DATOS!$K$2:$K$20000)),"—")</f>
        <v>—</v>
      </c>
      <c r="H11" s="15" t="str">
        <f>IFERROR(COUNTIFS(DATOS!G:G,CONFIG_METADATA!$B$4,DATOS!I:I,B11,DATOS!L:L,"S")/COUNTIFS(DATOS!G:G,CONFIG_METADATA!$B$4,DATOS!I:I,B11),"—")</f>
        <v>—</v>
      </c>
      <c r="I11" s="15" t="str">
        <f>IFERROR(COUNTIFS(DATOS!G:G,CONFIG_METADATA!$B$4,DATOS!I:I,B11,DATOS!L:L,"N")/COUNTIFS(DATOS!G:G,CONFIG_METADATA!$B$4,DATOS!I:I,B11),"—")</f>
        <v>—</v>
      </c>
      <c r="J11" t="str" cm="1">
        <f t="array" ref="J11">IFERROR(_xlfn.MODE.SNGL(IF((DATOS!$G$2:$G$20000=CONFIG_METADATA!$B$4)*(DATOS!$I$2:$I$20000=B11)*(DATOS!$L$2:$L$20000="S"),DATOS!$K$2:$K$20000)),"—")</f>
        <v>—</v>
      </c>
      <c r="K11" t="str" cm="1">
        <f t="array" ref="K11">IFERROR(_xlfn.MODE.SNGL(IF((DATOS!$G$2:$G$20000=CONFIG_METADATA!$B$4)*(DATOS!$I$2:$I$20000=B11)*(DATOS!$L$2:$L$20000="N"),DATOS!$K$2:$K$20000)),"—")</f>
        <v>—</v>
      </c>
      <c r="L11">
        <f>COUNTIFS(DATOS!G:G,CONFIG_METADATA!$B$4,DATOS!I:I,B11,DATOS!K:K,1)</f>
        <v>0</v>
      </c>
      <c r="M11">
        <f>COUNTIFS(DATOS!G:G,CONFIG_METADATA!$B$4,DATOS!I:I,B11,DATOS!K:K,2)</f>
        <v>0</v>
      </c>
      <c r="N11">
        <f>COUNTIFS(DATOS!G:G,CONFIG_METADATA!$B$4,DATOS!I:I,B11,DATOS!K:K,3)</f>
        <v>0</v>
      </c>
      <c r="O11">
        <f>COUNTIFS(DATOS!G:G,CONFIG_METADATA!$B$4,DATOS!I:I,B11,DATOS!K:K,4)</f>
        <v>0</v>
      </c>
      <c r="P11">
        <f>COUNTIFS(DATOS!G:G,CONFIG_METADATA!$B$4,DATOS!I:I,B11,DATOS!K:K,5)</f>
        <v>0</v>
      </c>
      <c r="Q11">
        <f>COUNTIFS(DATOS!G:G,CONFIG_METADATA!$B$4,DATOS!I:I,B11,DATOS!K:K,6)</f>
        <v>0</v>
      </c>
      <c r="R11">
        <f>COUNTIFS(DATOS!G:G,CONFIG_METADATA!$B$4,DATOS!I:I,B11,DATOS!K:K,7)</f>
        <v>0</v>
      </c>
      <c r="S11">
        <f>COUNTIFS(DATOS!G:G,CONFIG_METADATA!$B$4,DATOS!I:I,B11,DATOS!K:K,8)</f>
        <v>0</v>
      </c>
      <c r="T11">
        <f>COUNTIFS(DATOS!G:G,CONFIG_METADATA!$B$4,DATOS!I:I,B11,DATOS!K:K,9)</f>
        <v>0</v>
      </c>
      <c r="U11">
        <f>COUNTIFS(DATOS!G:G,CONFIG_METADATA!$B$4,DATOS!I:I,B11,DATOS!K:K,10)</f>
        <v>0</v>
      </c>
    </row>
    <row r="12" spans="1:22">
      <c r="A12" s="3" t="inlineStr">
        <is>
          <t xml:space="preserve">GLOBAL</t>
        </is>
      </c>
      <c r="B12" s="3">
        <f>IFERROR(INDEX(_xlfn._xlws.FILTER(CONFIG_ASIGNATURAS!$B$2:$B$27,CONFIG_ASIGNATURAS!$G$2:$G$27="Sí"),8),"")</f>
      </c>
      <c r="C12" s="3">
        <f>IF(B12="","",IFERROR(IF(VLOOKUP(B12,CONFIG_ASIGNATURAS!$B$2:$F$27,5,FALSE())="Sí","Especialidad","Asignatura"),"Asignatura"))</f>
      </c>
      <c r="D12">
        <f>COUNTIFS(DATOS!G:G,CONFIG_METADATA!$B$4,DATOS!I:I,B12)</f>
        <v>0</v>
      </c>
      <c r="E12" s="14" t="str">
        <f>IFERROR(AVERAGEIFS(DATOS!K:K,DATOS!G:G,CONFIG_METADATA!$B$4,DATOS!I:I,B12),"—")</f>
        <v>—</v>
      </c>
      <c r="F12" s="14" t="str" cm="1">
        <f t="array" ref="F12">IFERROR(_xlfn.STDEV.P(IF((DATOS!$G$2:$G$20000=CONFIG_METADATA!$B$4)*(DATOS!$I$2:$I$20000=B12),DATOS!$K$2:$K$20000)),"—")</f>
        <v>—</v>
      </c>
      <c r="G12" t="str" cm="1">
        <f t="array" ref="G12">IFERROR(_xlfn.MODE.SNGL(IF((DATOS!$G$2:$G$20000=CONFIG_METADATA!$B$4)*(DATOS!$I$2:$I$20000=B12),DATOS!$K$2:$K$20000)),"—")</f>
        <v>—</v>
      </c>
      <c r="H12" s="15" t="str">
        <f>IFERROR(COUNTIFS(DATOS!G:G,CONFIG_METADATA!$B$4,DATOS!I:I,B12,DATOS!L:L,"S")/COUNTIFS(DATOS!G:G,CONFIG_METADATA!$B$4,DATOS!I:I,B12),"—")</f>
        <v>—</v>
      </c>
      <c r="I12" s="15" t="str">
        <f>IFERROR(COUNTIFS(DATOS!G:G,CONFIG_METADATA!$B$4,DATOS!I:I,B12,DATOS!L:L,"N")/COUNTIFS(DATOS!G:G,CONFIG_METADATA!$B$4,DATOS!I:I,B12),"—")</f>
        <v>—</v>
      </c>
      <c r="J12" t="str" cm="1">
        <f t="array" ref="J12">IFERROR(_xlfn.MODE.SNGL(IF((DATOS!$G$2:$G$20000=CONFIG_METADATA!$B$4)*(DATOS!$I$2:$I$20000=B12)*(DATOS!$L$2:$L$20000="S"),DATOS!$K$2:$K$20000)),"—")</f>
        <v>—</v>
      </c>
      <c r="K12" t="str" cm="1">
        <f t="array" ref="K12">IFERROR(_xlfn.MODE.SNGL(IF((DATOS!$G$2:$G$20000=CONFIG_METADATA!$B$4)*(DATOS!$I$2:$I$20000=B12)*(DATOS!$L$2:$L$20000="N"),DATOS!$K$2:$K$20000)),"—")</f>
        <v>—</v>
      </c>
      <c r="L12">
        <f>COUNTIFS(DATOS!G:G,CONFIG_METADATA!$B$4,DATOS!I:I,B12,DATOS!K:K,1)</f>
        <v>0</v>
      </c>
      <c r="M12">
        <f>COUNTIFS(DATOS!G:G,CONFIG_METADATA!$B$4,DATOS!I:I,B12,DATOS!K:K,2)</f>
        <v>0</v>
      </c>
      <c r="N12">
        <f>COUNTIFS(DATOS!G:G,CONFIG_METADATA!$B$4,DATOS!I:I,B12,DATOS!K:K,3)</f>
        <v>0</v>
      </c>
      <c r="O12">
        <f>COUNTIFS(DATOS!G:G,CONFIG_METADATA!$B$4,DATOS!I:I,B12,DATOS!K:K,4)</f>
        <v>0</v>
      </c>
      <c r="P12">
        <f>COUNTIFS(DATOS!G:G,CONFIG_METADATA!$B$4,DATOS!I:I,B12,DATOS!K:K,5)</f>
        <v>0</v>
      </c>
      <c r="Q12">
        <f>COUNTIFS(DATOS!G:G,CONFIG_METADATA!$B$4,DATOS!I:I,B12,DATOS!K:K,6)</f>
        <v>0</v>
      </c>
      <c r="R12">
        <f>COUNTIFS(DATOS!G:G,CONFIG_METADATA!$B$4,DATOS!I:I,B12,DATOS!K:K,7)</f>
        <v>0</v>
      </c>
      <c r="S12">
        <f>COUNTIFS(DATOS!G:G,CONFIG_METADATA!$B$4,DATOS!I:I,B12,DATOS!K:K,8)</f>
        <v>0</v>
      </c>
      <c r="T12">
        <f>COUNTIFS(DATOS!G:G,CONFIG_METADATA!$B$4,DATOS!I:I,B12,DATOS!K:K,9)</f>
        <v>0</v>
      </c>
      <c r="U12">
        <f>COUNTIFS(DATOS!G:G,CONFIG_METADATA!$B$4,DATOS!I:I,B12,DATOS!K:K,10)</f>
        <v>0</v>
      </c>
    </row>
    <row r="13" spans="1:22">
      <c r="A13" s="3" t="inlineStr">
        <is>
          <t xml:space="preserve">GLOBAL</t>
        </is>
      </c>
      <c r="B13" s="3">
        <f>IFERROR(INDEX(_xlfn._xlws.FILTER(CONFIG_ASIGNATURAS!$B$2:$B$27,CONFIG_ASIGNATURAS!$G$2:$G$27="Sí"),9),"")</f>
      </c>
      <c r="C13" s="3">
        <f>IF(B13="","",IFERROR(IF(VLOOKUP(B13,CONFIG_ASIGNATURAS!$B$2:$F$27,5,FALSE())="Sí","Especialidad","Asignatura"),"Asignatura"))</f>
      </c>
      <c r="D13">
        <f>COUNTIFS(DATOS!G:G,CONFIG_METADATA!$B$4,DATOS!I:I,B13)</f>
        <v>0</v>
      </c>
      <c r="E13" s="14" t="str">
        <f>IFERROR(AVERAGEIFS(DATOS!K:K,DATOS!G:G,CONFIG_METADATA!$B$4,DATOS!I:I,B13),"—")</f>
        <v>—</v>
      </c>
      <c r="F13" s="14" t="str" cm="1">
        <f t="array" ref="F13">IFERROR(_xlfn.STDEV.P(IF((DATOS!$G$2:$G$20000=CONFIG_METADATA!$B$4)*(DATOS!$I$2:$I$20000=B13),DATOS!$K$2:$K$20000)),"—")</f>
        <v>—</v>
      </c>
      <c r="G13" t="str" cm="1">
        <f t="array" ref="G13">IFERROR(_xlfn.MODE.SNGL(IF((DATOS!$G$2:$G$20000=CONFIG_METADATA!$B$4)*(DATOS!$I$2:$I$20000=B13),DATOS!$K$2:$K$20000)),"—")</f>
        <v>—</v>
      </c>
      <c r="H13" s="15" t="str">
        <f>IFERROR(COUNTIFS(DATOS!G:G,CONFIG_METADATA!$B$4,DATOS!I:I,B13,DATOS!L:L,"S")/COUNTIFS(DATOS!G:G,CONFIG_METADATA!$B$4,DATOS!I:I,B13),"—")</f>
        <v>—</v>
      </c>
      <c r="I13" s="15" t="str">
        <f>IFERROR(COUNTIFS(DATOS!G:G,CONFIG_METADATA!$B$4,DATOS!I:I,B13,DATOS!L:L,"N")/COUNTIFS(DATOS!G:G,CONFIG_METADATA!$B$4,DATOS!I:I,B13),"—")</f>
        <v>—</v>
      </c>
      <c r="J13" t="str" cm="1">
        <f t="array" ref="J13">IFERROR(_xlfn.MODE.SNGL(IF((DATOS!$G$2:$G$20000=CONFIG_METADATA!$B$4)*(DATOS!$I$2:$I$20000=B13)*(DATOS!$L$2:$L$20000="S"),DATOS!$K$2:$K$20000)),"—")</f>
        <v>—</v>
      </c>
      <c r="K13" t="str" cm="1">
        <f t="array" ref="K13">IFERROR(_xlfn.MODE.SNGL(IF((DATOS!$G$2:$G$20000=CONFIG_METADATA!$B$4)*(DATOS!$I$2:$I$20000=B13)*(DATOS!$L$2:$L$20000="N"),DATOS!$K$2:$K$20000)),"—")</f>
        <v>—</v>
      </c>
      <c r="L13">
        <f>COUNTIFS(DATOS!G:G,CONFIG_METADATA!$B$4,DATOS!I:I,B13,DATOS!K:K,1)</f>
        <v>0</v>
      </c>
      <c r="M13">
        <f>COUNTIFS(DATOS!G:G,CONFIG_METADATA!$B$4,DATOS!I:I,B13,DATOS!K:K,2)</f>
        <v>0</v>
      </c>
      <c r="N13">
        <f>COUNTIFS(DATOS!G:G,CONFIG_METADATA!$B$4,DATOS!I:I,B13,DATOS!K:K,3)</f>
        <v>0</v>
      </c>
      <c r="O13">
        <f>COUNTIFS(DATOS!G:G,CONFIG_METADATA!$B$4,DATOS!I:I,B13,DATOS!K:K,4)</f>
        <v>0</v>
      </c>
      <c r="P13">
        <f>COUNTIFS(DATOS!G:G,CONFIG_METADATA!$B$4,DATOS!I:I,B13,DATOS!K:K,5)</f>
        <v>0</v>
      </c>
      <c r="Q13">
        <f>COUNTIFS(DATOS!G:G,CONFIG_METADATA!$B$4,DATOS!I:I,B13,DATOS!K:K,6)</f>
        <v>0</v>
      </c>
      <c r="R13">
        <f>COUNTIFS(DATOS!G:G,CONFIG_METADATA!$B$4,DATOS!I:I,B13,DATOS!K:K,7)</f>
        <v>0</v>
      </c>
      <c r="S13">
        <f>COUNTIFS(DATOS!G:G,CONFIG_METADATA!$B$4,DATOS!I:I,B13,DATOS!K:K,8)</f>
        <v>0</v>
      </c>
      <c r="T13">
        <f>COUNTIFS(DATOS!G:G,CONFIG_METADATA!$B$4,DATOS!I:I,B13,DATOS!K:K,9)</f>
        <v>0</v>
      </c>
      <c r="U13">
        <f>COUNTIFS(DATOS!G:G,CONFIG_METADATA!$B$4,DATOS!I:I,B13,DATOS!K:K,10)</f>
        <v>0</v>
      </c>
    </row>
    <row r="14" spans="1:22">
      <c r="A14" s="3" t="inlineStr">
        <is>
          <t xml:space="preserve">GLOBAL</t>
        </is>
      </c>
      <c r="B14" s="3">
        <f>IFERROR(INDEX(_xlfn._xlws.FILTER(CONFIG_ASIGNATURAS!$B$2:$B$27,CONFIG_ASIGNATURAS!$G$2:$G$27="Sí"),10),"")</f>
      </c>
      <c r="C14" s="3">
        <f>IF(B14="","",IFERROR(IF(VLOOKUP(B14,CONFIG_ASIGNATURAS!$B$2:$F$27,5,FALSE())="Sí","Especialidad","Asignatura"),"Asignatura"))</f>
      </c>
      <c r="D14">
        <f>COUNTIFS(DATOS!G:G,CONFIG_METADATA!$B$4,DATOS!I:I,B14)</f>
        <v>0</v>
      </c>
      <c r="E14" s="14" t="str">
        <f>IFERROR(AVERAGEIFS(DATOS!K:K,DATOS!G:G,CONFIG_METADATA!$B$4,DATOS!I:I,B14),"—")</f>
        <v>—</v>
      </c>
      <c r="F14" s="14" t="str" cm="1">
        <f t="array" ref="F14">IFERROR(_xlfn.STDEV.P(IF((DATOS!$G$2:$G$20000=CONFIG_METADATA!$B$4)*(DATOS!$I$2:$I$20000=B14),DATOS!$K$2:$K$20000)),"—")</f>
        <v>—</v>
      </c>
      <c r="G14" t="str" cm="1">
        <f t="array" ref="G14">IFERROR(_xlfn.MODE.SNGL(IF((DATOS!$G$2:$G$20000=CONFIG_METADATA!$B$4)*(DATOS!$I$2:$I$20000=B14),DATOS!$K$2:$K$20000)),"—")</f>
        <v>—</v>
      </c>
      <c r="H14" s="15" t="str">
        <f>IFERROR(COUNTIFS(DATOS!G:G,CONFIG_METADATA!$B$4,DATOS!I:I,B14,DATOS!L:L,"S")/COUNTIFS(DATOS!G:G,CONFIG_METADATA!$B$4,DATOS!I:I,B14),"—")</f>
        <v>—</v>
      </c>
      <c r="I14" s="15" t="str">
        <f>IFERROR(COUNTIFS(DATOS!G:G,CONFIG_METADATA!$B$4,DATOS!I:I,B14,DATOS!L:L,"N")/COUNTIFS(DATOS!G:G,CONFIG_METADATA!$B$4,DATOS!I:I,B14),"—")</f>
        <v>—</v>
      </c>
      <c r="J14" t="str" cm="1">
        <f t="array" ref="J14">IFERROR(_xlfn.MODE.SNGL(IF((DATOS!$G$2:$G$20000=CONFIG_METADATA!$B$4)*(DATOS!$I$2:$I$20000=B14)*(DATOS!$L$2:$L$20000="S"),DATOS!$K$2:$K$20000)),"—")</f>
        <v>—</v>
      </c>
      <c r="K14" t="str" cm="1">
        <f t="array" ref="K14">IFERROR(_xlfn.MODE.SNGL(IF((DATOS!$G$2:$G$20000=CONFIG_METADATA!$B$4)*(DATOS!$I$2:$I$20000=B14)*(DATOS!$L$2:$L$20000="N"),DATOS!$K$2:$K$20000)),"—")</f>
        <v>—</v>
      </c>
      <c r="L14">
        <f>COUNTIFS(DATOS!G:G,CONFIG_METADATA!$B$4,DATOS!I:I,B14,DATOS!K:K,1)</f>
        <v>0</v>
      </c>
      <c r="M14">
        <f>COUNTIFS(DATOS!G:G,CONFIG_METADATA!$B$4,DATOS!I:I,B14,DATOS!K:K,2)</f>
        <v>0</v>
      </c>
      <c r="N14">
        <f>COUNTIFS(DATOS!G:G,CONFIG_METADATA!$B$4,DATOS!I:I,B14,DATOS!K:K,3)</f>
        <v>0</v>
      </c>
      <c r="O14">
        <f>COUNTIFS(DATOS!G:G,CONFIG_METADATA!$B$4,DATOS!I:I,B14,DATOS!K:K,4)</f>
        <v>0</v>
      </c>
      <c r="P14">
        <f>COUNTIFS(DATOS!G:G,CONFIG_METADATA!$B$4,DATOS!I:I,B14,DATOS!K:K,5)</f>
        <v>0</v>
      </c>
      <c r="Q14">
        <f>COUNTIFS(DATOS!G:G,CONFIG_METADATA!$B$4,DATOS!I:I,B14,DATOS!K:K,6)</f>
        <v>0</v>
      </c>
      <c r="R14">
        <f>COUNTIFS(DATOS!G:G,CONFIG_METADATA!$B$4,DATOS!I:I,B14,DATOS!K:K,7)</f>
        <v>0</v>
      </c>
      <c r="S14">
        <f>COUNTIFS(DATOS!G:G,CONFIG_METADATA!$B$4,DATOS!I:I,B14,DATOS!K:K,8)</f>
        <v>0</v>
      </c>
      <c r="T14">
        <f>COUNTIFS(DATOS!G:G,CONFIG_METADATA!$B$4,DATOS!I:I,B14,DATOS!K:K,9)</f>
        <v>0</v>
      </c>
      <c r="U14">
        <f>COUNTIFS(DATOS!G:G,CONFIG_METADATA!$B$4,DATOS!I:I,B14,DATOS!K:K,10)</f>
        <v>0</v>
      </c>
    </row>
    <row r="15" spans="1:22">
      <c r="A15" s="3" t="inlineStr">
        <is>
          <t xml:space="preserve">GLOBAL</t>
        </is>
      </c>
      <c r="B15" s="3">
        <f>IFERROR(INDEX(_xlfn._xlws.FILTER(CONFIG_ASIGNATURAS!$B$2:$B$27,CONFIG_ASIGNATURAS!$G$2:$G$27="Sí"),11),"")</f>
      </c>
      <c r="C15" s="3">
        <f>IF(B15="","",IFERROR(IF(VLOOKUP(B15,CONFIG_ASIGNATURAS!$B$2:$F$27,5,FALSE())="Sí","Especialidad","Asignatura"),"Asignatura"))</f>
      </c>
      <c r="D15">
        <f>COUNTIFS(DATOS!G:G,CONFIG_METADATA!$B$4,DATOS!I:I,B15)</f>
        <v>0</v>
      </c>
      <c r="E15" s="14" t="str">
        <f>IFERROR(AVERAGEIFS(DATOS!K:K,DATOS!G:G,CONFIG_METADATA!$B$4,DATOS!I:I,B15),"—")</f>
        <v>—</v>
      </c>
      <c r="F15" s="14" t="str" cm="1">
        <f t="array" ref="F15">IFERROR(_xlfn.STDEV.P(IF((DATOS!$G$2:$G$20000=CONFIG_METADATA!$B$4)*(DATOS!$I$2:$I$20000=B15),DATOS!$K$2:$K$20000)),"—")</f>
        <v>—</v>
      </c>
      <c r="G15" t="str" cm="1">
        <f t="array" ref="G15">IFERROR(_xlfn.MODE.SNGL(IF((DATOS!$G$2:$G$20000=CONFIG_METADATA!$B$4)*(DATOS!$I$2:$I$20000=B15),DATOS!$K$2:$K$20000)),"—")</f>
        <v>—</v>
      </c>
      <c r="H15" s="15" t="str">
        <f>IFERROR(COUNTIFS(DATOS!G:G,CONFIG_METADATA!$B$4,DATOS!I:I,B15,DATOS!L:L,"S")/COUNTIFS(DATOS!G:G,CONFIG_METADATA!$B$4,DATOS!I:I,B15),"—")</f>
        <v>—</v>
      </c>
      <c r="I15" s="15" t="str">
        <f>IFERROR(COUNTIFS(DATOS!G:G,CONFIG_METADATA!$B$4,DATOS!I:I,B15,DATOS!L:L,"N")/COUNTIFS(DATOS!G:G,CONFIG_METADATA!$B$4,DATOS!I:I,B15),"—")</f>
        <v>—</v>
      </c>
      <c r="J15" t="str" cm="1">
        <f t="array" ref="J15">IFERROR(_xlfn.MODE.SNGL(IF((DATOS!$G$2:$G$20000=CONFIG_METADATA!$B$4)*(DATOS!$I$2:$I$20000=B15)*(DATOS!$L$2:$L$20000="S"),DATOS!$K$2:$K$20000)),"—")</f>
        <v>—</v>
      </c>
      <c r="K15" t="str" cm="1">
        <f t="array" ref="K15">IFERROR(_xlfn.MODE.SNGL(IF((DATOS!$G$2:$G$20000=CONFIG_METADATA!$B$4)*(DATOS!$I$2:$I$20000=B15)*(DATOS!$L$2:$L$20000="N"),DATOS!$K$2:$K$20000)),"—")</f>
        <v>—</v>
      </c>
      <c r="L15">
        <f>COUNTIFS(DATOS!G:G,CONFIG_METADATA!$B$4,DATOS!I:I,B15,DATOS!K:K,1)</f>
        <v>0</v>
      </c>
      <c r="M15">
        <f>COUNTIFS(DATOS!G:G,CONFIG_METADATA!$B$4,DATOS!I:I,B15,DATOS!K:K,2)</f>
        <v>0</v>
      </c>
      <c r="N15">
        <f>COUNTIFS(DATOS!G:G,CONFIG_METADATA!$B$4,DATOS!I:I,B15,DATOS!K:K,3)</f>
        <v>0</v>
      </c>
      <c r="O15">
        <f>COUNTIFS(DATOS!G:G,CONFIG_METADATA!$B$4,DATOS!I:I,B15,DATOS!K:K,4)</f>
        <v>0</v>
      </c>
      <c r="P15">
        <f>COUNTIFS(DATOS!G:G,CONFIG_METADATA!$B$4,DATOS!I:I,B15,DATOS!K:K,5)</f>
        <v>0</v>
      </c>
      <c r="Q15">
        <f>COUNTIFS(DATOS!G:G,CONFIG_METADATA!$B$4,DATOS!I:I,B15,DATOS!K:K,6)</f>
        <v>0</v>
      </c>
      <c r="R15">
        <f>COUNTIFS(DATOS!G:G,CONFIG_METADATA!$B$4,DATOS!I:I,B15,DATOS!K:K,7)</f>
        <v>0</v>
      </c>
      <c r="S15">
        <f>COUNTIFS(DATOS!G:G,CONFIG_METADATA!$B$4,DATOS!I:I,B15,DATOS!K:K,8)</f>
        <v>0</v>
      </c>
      <c r="T15">
        <f>COUNTIFS(DATOS!G:G,CONFIG_METADATA!$B$4,DATOS!I:I,B15,DATOS!K:K,9)</f>
        <v>0</v>
      </c>
      <c r="U15">
        <f>COUNTIFS(DATOS!G:G,CONFIG_METADATA!$B$4,DATOS!I:I,B15,DATOS!K:K,10)</f>
        <v>0</v>
      </c>
    </row>
    <row r="16" spans="1:22">
      <c r="A16" s="3" t="inlineStr">
        <is>
          <t xml:space="preserve">GLOBAL</t>
        </is>
      </c>
      <c r="B16" s="3">
        <f>IFERROR(INDEX(_xlfn._xlws.FILTER(CONFIG_ASIGNATURAS!$B$2:$B$27,CONFIG_ASIGNATURAS!$G$2:$G$27="Sí"),12),"")</f>
      </c>
      <c r="C16" s="3">
        <f>IF(B16="","",IFERROR(IF(VLOOKUP(B16,CONFIG_ASIGNATURAS!$B$2:$F$27,5,FALSE())="Sí","Especialidad","Asignatura"),"Asignatura"))</f>
      </c>
      <c r="D16">
        <f>COUNTIFS(DATOS!G:G,CONFIG_METADATA!$B$4,DATOS!I:I,B16)</f>
        <v>0</v>
      </c>
      <c r="E16" s="14" t="str">
        <f>IFERROR(AVERAGEIFS(DATOS!K:K,DATOS!G:G,CONFIG_METADATA!$B$4,DATOS!I:I,B16),"—")</f>
        <v>—</v>
      </c>
      <c r="F16" s="14" t="str" cm="1">
        <f t="array" ref="F16">IFERROR(_xlfn.STDEV.P(IF((DATOS!$G$2:$G$20000=CONFIG_METADATA!$B$4)*(DATOS!$I$2:$I$20000=B16),DATOS!$K$2:$K$20000)),"—")</f>
        <v>—</v>
      </c>
      <c r="G16" t="str" cm="1">
        <f t="array" ref="G16">IFERROR(_xlfn.MODE.SNGL(IF((DATOS!$G$2:$G$20000=CONFIG_METADATA!$B$4)*(DATOS!$I$2:$I$20000=B16),DATOS!$K$2:$K$20000)),"—")</f>
        <v>—</v>
      </c>
      <c r="H16" s="15" t="str">
        <f>IFERROR(COUNTIFS(DATOS!G:G,CONFIG_METADATA!$B$4,DATOS!I:I,B16,DATOS!L:L,"S")/COUNTIFS(DATOS!G:G,CONFIG_METADATA!$B$4,DATOS!I:I,B16),"—")</f>
        <v>—</v>
      </c>
      <c r="I16" s="15" t="str">
        <f>IFERROR(COUNTIFS(DATOS!G:G,CONFIG_METADATA!$B$4,DATOS!I:I,B16,DATOS!L:L,"N")/COUNTIFS(DATOS!G:G,CONFIG_METADATA!$B$4,DATOS!I:I,B16),"—")</f>
        <v>—</v>
      </c>
      <c r="J16" t="str" cm="1">
        <f t="array" ref="J16">IFERROR(_xlfn.MODE.SNGL(IF((DATOS!$G$2:$G$20000=CONFIG_METADATA!$B$4)*(DATOS!$I$2:$I$20000=B16)*(DATOS!$L$2:$L$20000="S"),DATOS!$K$2:$K$20000)),"—")</f>
        <v>—</v>
      </c>
      <c r="K16" t="str" cm="1">
        <f t="array" ref="K16">IFERROR(_xlfn.MODE.SNGL(IF((DATOS!$G$2:$G$20000=CONFIG_METADATA!$B$4)*(DATOS!$I$2:$I$20000=B16)*(DATOS!$L$2:$L$20000="N"),DATOS!$K$2:$K$20000)),"—")</f>
        <v>—</v>
      </c>
      <c r="L16">
        <f>COUNTIFS(DATOS!G:G,CONFIG_METADATA!$B$4,DATOS!I:I,B16,DATOS!K:K,1)</f>
        <v>0</v>
      </c>
      <c r="M16">
        <f>COUNTIFS(DATOS!G:G,CONFIG_METADATA!$B$4,DATOS!I:I,B16,DATOS!K:K,2)</f>
        <v>0</v>
      </c>
      <c r="N16">
        <f>COUNTIFS(DATOS!G:G,CONFIG_METADATA!$B$4,DATOS!I:I,B16,DATOS!K:K,3)</f>
        <v>0</v>
      </c>
      <c r="O16">
        <f>COUNTIFS(DATOS!G:G,CONFIG_METADATA!$B$4,DATOS!I:I,B16,DATOS!K:K,4)</f>
        <v>0</v>
      </c>
      <c r="P16">
        <f>COUNTIFS(DATOS!G:G,CONFIG_METADATA!$B$4,DATOS!I:I,B16,DATOS!K:K,5)</f>
        <v>0</v>
      </c>
      <c r="Q16">
        <f>COUNTIFS(DATOS!G:G,CONFIG_METADATA!$B$4,DATOS!I:I,B16,DATOS!K:K,6)</f>
        <v>0</v>
      </c>
      <c r="R16">
        <f>COUNTIFS(DATOS!G:G,CONFIG_METADATA!$B$4,DATOS!I:I,B16,DATOS!K:K,7)</f>
        <v>0</v>
      </c>
      <c r="S16">
        <f>COUNTIFS(DATOS!G:G,CONFIG_METADATA!$B$4,DATOS!I:I,B16,DATOS!K:K,8)</f>
        <v>0</v>
      </c>
      <c r="T16">
        <f>COUNTIFS(DATOS!G:G,CONFIG_METADATA!$B$4,DATOS!I:I,B16,DATOS!K:K,9)</f>
        <v>0</v>
      </c>
      <c r="U16">
        <f>COUNTIFS(DATOS!G:G,CONFIG_METADATA!$B$4,DATOS!I:I,B16,DATOS!K:K,10)</f>
        <v>0</v>
      </c>
    </row>
    <row r="17" spans="1:22">
      <c r="A17" s="3" t="inlineStr">
        <is>
          <t xml:space="preserve">GLOBAL</t>
        </is>
      </c>
      <c r="B17" s="3">
        <f>IFERROR(INDEX(_xlfn._xlws.FILTER(CONFIG_ASIGNATURAS!$B$2:$B$27,CONFIG_ASIGNATURAS!$G$2:$G$27="Sí"),13),"")</f>
      </c>
      <c r="C17" s="3">
        <f>IF(B17="","",IFERROR(IF(VLOOKUP(B17,CONFIG_ASIGNATURAS!$B$2:$F$27,5,FALSE())="Sí","Especialidad","Asignatura"),"Asignatura"))</f>
      </c>
      <c r="D17">
        <f>COUNTIFS(DATOS!G:G,CONFIG_METADATA!$B$4,DATOS!I:I,B17)</f>
        <v>0</v>
      </c>
      <c r="E17" s="14" t="str">
        <f>IFERROR(AVERAGEIFS(DATOS!K:K,DATOS!G:G,CONFIG_METADATA!$B$4,DATOS!I:I,B17),"—")</f>
        <v>—</v>
      </c>
      <c r="F17" s="14" t="str" cm="1">
        <f t="array" ref="F17">IFERROR(_xlfn.STDEV.P(IF((DATOS!$G$2:$G$20000=CONFIG_METADATA!$B$4)*(DATOS!$I$2:$I$20000=B17),DATOS!$K$2:$K$20000)),"—")</f>
        <v>—</v>
      </c>
      <c r="G17" t="str" cm="1">
        <f t="array" ref="G17">IFERROR(_xlfn.MODE.SNGL(IF((DATOS!$G$2:$G$20000=CONFIG_METADATA!$B$4)*(DATOS!$I$2:$I$20000=B17),DATOS!$K$2:$K$20000)),"—")</f>
        <v>—</v>
      </c>
      <c r="H17" s="15" t="str">
        <f>IFERROR(COUNTIFS(DATOS!G:G,CONFIG_METADATA!$B$4,DATOS!I:I,B17,DATOS!L:L,"S")/COUNTIFS(DATOS!G:G,CONFIG_METADATA!$B$4,DATOS!I:I,B17),"—")</f>
        <v>—</v>
      </c>
      <c r="I17" s="15" t="str">
        <f>IFERROR(COUNTIFS(DATOS!G:G,CONFIG_METADATA!$B$4,DATOS!I:I,B17,DATOS!L:L,"N")/COUNTIFS(DATOS!G:G,CONFIG_METADATA!$B$4,DATOS!I:I,B17),"—")</f>
        <v>—</v>
      </c>
      <c r="J17" t="str" cm="1">
        <f t="array" ref="J17">IFERROR(_xlfn.MODE.SNGL(IF((DATOS!$G$2:$G$20000=CONFIG_METADATA!$B$4)*(DATOS!$I$2:$I$20000=B17)*(DATOS!$L$2:$L$20000="S"),DATOS!$K$2:$K$20000)),"—")</f>
        <v>—</v>
      </c>
      <c r="K17" t="str" cm="1">
        <f t="array" ref="K17">IFERROR(_xlfn.MODE.SNGL(IF((DATOS!$G$2:$G$20000=CONFIG_METADATA!$B$4)*(DATOS!$I$2:$I$20000=B17)*(DATOS!$L$2:$L$20000="N"),DATOS!$K$2:$K$20000)),"—")</f>
        <v>—</v>
      </c>
      <c r="L17">
        <f>COUNTIFS(DATOS!G:G,CONFIG_METADATA!$B$4,DATOS!I:I,B17,DATOS!K:K,1)</f>
        <v>0</v>
      </c>
      <c r="M17">
        <f>COUNTIFS(DATOS!G:G,CONFIG_METADATA!$B$4,DATOS!I:I,B17,DATOS!K:K,2)</f>
        <v>0</v>
      </c>
      <c r="N17">
        <f>COUNTIFS(DATOS!G:G,CONFIG_METADATA!$B$4,DATOS!I:I,B17,DATOS!K:K,3)</f>
        <v>0</v>
      </c>
      <c r="O17">
        <f>COUNTIFS(DATOS!G:G,CONFIG_METADATA!$B$4,DATOS!I:I,B17,DATOS!K:K,4)</f>
        <v>0</v>
      </c>
      <c r="P17">
        <f>COUNTIFS(DATOS!G:G,CONFIG_METADATA!$B$4,DATOS!I:I,B17,DATOS!K:K,5)</f>
        <v>0</v>
      </c>
      <c r="Q17">
        <f>COUNTIFS(DATOS!G:G,CONFIG_METADATA!$B$4,DATOS!I:I,B17,DATOS!K:K,6)</f>
        <v>0</v>
      </c>
      <c r="R17">
        <f>COUNTIFS(DATOS!G:G,CONFIG_METADATA!$B$4,DATOS!I:I,B17,DATOS!K:K,7)</f>
        <v>0</v>
      </c>
      <c r="S17">
        <f>COUNTIFS(DATOS!G:G,CONFIG_METADATA!$B$4,DATOS!I:I,B17,DATOS!K:K,8)</f>
        <v>0</v>
      </c>
      <c r="T17">
        <f>COUNTIFS(DATOS!G:G,CONFIG_METADATA!$B$4,DATOS!I:I,B17,DATOS!K:K,9)</f>
        <v>0</v>
      </c>
      <c r="U17">
        <f>COUNTIFS(DATOS!G:G,CONFIG_METADATA!$B$4,DATOS!I:I,B17,DATOS!K:K,10)</f>
        <v>0</v>
      </c>
    </row>
    <row r="18" spans="1:22">
      <c r="A18" s="3" t="inlineStr">
        <is>
          <t xml:space="preserve">GLOBAL</t>
        </is>
      </c>
      <c r="B18" s="3">
        <f>IFERROR(INDEX(_xlfn._xlws.FILTER(CONFIG_ASIGNATURAS!$B$2:$B$27,CONFIG_ASIGNATURAS!$G$2:$G$27="Sí"),14),"")</f>
      </c>
      <c r="C18" s="3">
        <f>IF(B18="","",IFERROR(IF(VLOOKUP(B18,CONFIG_ASIGNATURAS!$B$2:$F$27,5,FALSE())="Sí","Especialidad","Asignatura"),"Asignatura"))</f>
      </c>
      <c r="D18">
        <f>COUNTIFS(DATOS!G:G,CONFIG_METADATA!$B$4,DATOS!I:I,B18)</f>
        <v>0</v>
      </c>
      <c r="E18" s="14" t="str">
        <f>IFERROR(AVERAGEIFS(DATOS!K:K,DATOS!G:G,CONFIG_METADATA!$B$4,DATOS!I:I,B18),"—")</f>
        <v>—</v>
      </c>
      <c r="F18" s="14" t="str" cm="1">
        <f t="array" ref="F18">IFERROR(_xlfn.STDEV.P(IF((DATOS!$G$2:$G$20000=CONFIG_METADATA!$B$4)*(DATOS!$I$2:$I$20000=B18),DATOS!$K$2:$K$20000)),"—")</f>
        <v>—</v>
      </c>
      <c r="G18" t="str" cm="1">
        <f t="array" ref="G18">IFERROR(_xlfn.MODE.SNGL(IF((DATOS!$G$2:$G$20000=CONFIG_METADATA!$B$4)*(DATOS!$I$2:$I$20000=B18),DATOS!$K$2:$K$20000)),"—")</f>
        <v>—</v>
      </c>
      <c r="H18" s="15" t="str">
        <f>IFERROR(COUNTIFS(DATOS!G:G,CONFIG_METADATA!$B$4,DATOS!I:I,B18,DATOS!L:L,"S")/COUNTIFS(DATOS!G:G,CONFIG_METADATA!$B$4,DATOS!I:I,B18),"—")</f>
        <v>—</v>
      </c>
      <c r="I18" s="15" t="str">
        <f>IFERROR(COUNTIFS(DATOS!G:G,CONFIG_METADATA!$B$4,DATOS!I:I,B18,DATOS!L:L,"N")/COUNTIFS(DATOS!G:G,CONFIG_METADATA!$B$4,DATOS!I:I,B18),"—")</f>
        <v>—</v>
      </c>
      <c r="J18" t="str" cm="1">
        <f t="array" ref="J18">IFERROR(_xlfn.MODE.SNGL(IF((DATOS!$G$2:$G$20000=CONFIG_METADATA!$B$4)*(DATOS!$I$2:$I$20000=B18)*(DATOS!$L$2:$L$20000="S"),DATOS!$K$2:$K$20000)),"—")</f>
        <v>—</v>
      </c>
      <c r="K18" t="str" cm="1">
        <f t="array" ref="K18">IFERROR(_xlfn.MODE.SNGL(IF((DATOS!$G$2:$G$20000=CONFIG_METADATA!$B$4)*(DATOS!$I$2:$I$20000=B18)*(DATOS!$L$2:$L$20000="N"),DATOS!$K$2:$K$20000)),"—")</f>
        <v>—</v>
      </c>
      <c r="L18">
        <f>COUNTIFS(DATOS!G:G,CONFIG_METADATA!$B$4,DATOS!I:I,B18,DATOS!K:K,1)</f>
        <v>0</v>
      </c>
      <c r="M18">
        <f>COUNTIFS(DATOS!G:G,CONFIG_METADATA!$B$4,DATOS!I:I,B18,DATOS!K:K,2)</f>
        <v>0</v>
      </c>
      <c r="N18">
        <f>COUNTIFS(DATOS!G:G,CONFIG_METADATA!$B$4,DATOS!I:I,B18,DATOS!K:K,3)</f>
        <v>0</v>
      </c>
      <c r="O18">
        <f>COUNTIFS(DATOS!G:G,CONFIG_METADATA!$B$4,DATOS!I:I,B18,DATOS!K:K,4)</f>
        <v>0</v>
      </c>
      <c r="P18">
        <f>COUNTIFS(DATOS!G:G,CONFIG_METADATA!$B$4,DATOS!I:I,B18,DATOS!K:K,5)</f>
        <v>0</v>
      </c>
      <c r="Q18">
        <f>COUNTIFS(DATOS!G:G,CONFIG_METADATA!$B$4,DATOS!I:I,B18,DATOS!K:K,6)</f>
        <v>0</v>
      </c>
      <c r="R18">
        <f>COUNTIFS(DATOS!G:G,CONFIG_METADATA!$B$4,DATOS!I:I,B18,DATOS!K:K,7)</f>
        <v>0</v>
      </c>
      <c r="S18">
        <f>COUNTIFS(DATOS!G:G,CONFIG_METADATA!$B$4,DATOS!I:I,B18,DATOS!K:K,8)</f>
        <v>0</v>
      </c>
      <c r="T18">
        <f>COUNTIFS(DATOS!G:G,CONFIG_METADATA!$B$4,DATOS!I:I,B18,DATOS!K:K,9)</f>
        <v>0</v>
      </c>
      <c r="U18">
        <f>COUNTIFS(DATOS!G:G,CONFIG_METADATA!$B$4,DATOS!I:I,B18,DATOS!K:K,10)</f>
        <v>0</v>
      </c>
    </row>
    <row r="19" spans="1:22">
      <c r="A19" s="3" t="inlineStr">
        <is>
          <t xml:space="preserve">GLOBAL</t>
        </is>
      </c>
      <c r="B19" s="3">
        <f>IFERROR(INDEX(_xlfn._xlws.FILTER(CONFIG_ASIGNATURAS!$B$2:$B$27,CONFIG_ASIGNATURAS!$G$2:$G$27="Sí"),15),"")</f>
      </c>
      <c r="C19" s="3">
        <f>IF(B19="","",IFERROR(IF(VLOOKUP(B19,CONFIG_ASIGNATURAS!$B$2:$F$27,5,FALSE())="Sí","Especialidad","Asignatura"),"Asignatura"))</f>
      </c>
      <c r="D19">
        <f>COUNTIFS(DATOS!G:G,CONFIG_METADATA!$B$4,DATOS!I:I,B19)</f>
        <v>0</v>
      </c>
      <c r="E19" s="14" t="str">
        <f>IFERROR(AVERAGEIFS(DATOS!K:K,DATOS!G:G,CONFIG_METADATA!$B$4,DATOS!I:I,B19),"—")</f>
        <v>—</v>
      </c>
      <c r="F19" s="14" t="str" cm="1">
        <f t="array" ref="F19">IFERROR(_xlfn.STDEV.P(IF((DATOS!$G$2:$G$20000=CONFIG_METADATA!$B$4)*(DATOS!$I$2:$I$20000=B19),DATOS!$K$2:$K$20000)),"—")</f>
        <v>—</v>
      </c>
      <c r="G19" t="str" cm="1">
        <f t="array" ref="G19">IFERROR(_xlfn.MODE.SNGL(IF((DATOS!$G$2:$G$20000=CONFIG_METADATA!$B$4)*(DATOS!$I$2:$I$20000=B19),DATOS!$K$2:$K$20000)),"—")</f>
        <v>—</v>
      </c>
      <c r="H19" s="15" t="str">
        <f>IFERROR(COUNTIFS(DATOS!G:G,CONFIG_METADATA!$B$4,DATOS!I:I,B19,DATOS!L:L,"S")/COUNTIFS(DATOS!G:G,CONFIG_METADATA!$B$4,DATOS!I:I,B19),"—")</f>
        <v>—</v>
      </c>
      <c r="I19" s="15" t="str">
        <f>IFERROR(COUNTIFS(DATOS!G:G,CONFIG_METADATA!$B$4,DATOS!I:I,B19,DATOS!L:L,"N")/COUNTIFS(DATOS!G:G,CONFIG_METADATA!$B$4,DATOS!I:I,B19),"—")</f>
        <v>—</v>
      </c>
      <c r="J19" t="str" cm="1">
        <f t="array" ref="J19">IFERROR(_xlfn.MODE.SNGL(IF((DATOS!$G$2:$G$20000=CONFIG_METADATA!$B$4)*(DATOS!$I$2:$I$20000=B19)*(DATOS!$L$2:$L$20000="S"),DATOS!$K$2:$K$20000)),"—")</f>
        <v>—</v>
      </c>
      <c r="K19" t="str" cm="1">
        <f t="array" ref="K19">IFERROR(_xlfn.MODE.SNGL(IF((DATOS!$G$2:$G$20000=CONFIG_METADATA!$B$4)*(DATOS!$I$2:$I$20000=B19)*(DATOS!$L$2:$L$20000="N"),DATOS!$K$2:$K$20000)),"—")</f>
        <v>—</v>
      </c>
      <c r="L19">
        <f>COUNTIFS(DATOS!G:G,CONFIG_METADATA!$B$4,DATOS!I:I,B19,DATOS!K:K,1)</f>
        <v>0</v>
      </c>
      <c r="M19">
        <f>COUNTIFS(DATOS!G:G,CONFIG_METADATA!$B$4,DATOS!I:I,B19,DATOS!K:K,2)</f>
        <v>0</v>
      </c>
      <c r="N19">
        <f>COUNTIFS(DATOS!G:G,CONFIG_METADATA!$B$4,DATOS!I:I,B19,DATOS!K:K,3)</f>
        <v>0</v>
      </c>
      <c r="O19">
        <f>COUNTIFS(DATOS!G:G,CONFIG_METADATA!$B$4,DATOS!I:I,B19,DATOS!K:K,4)</f>
        <v>0</v>
      </c>
      <c r="P19">
        <f>COUNTIFS(DATOS!G:G,CONFIG_METADATA!$B$4,DATOS!I:I,B19,DATOS!K:K,5)</f>
        <v>0</v>
      </c>
      <c r="Q19">
        <f>COUNTIFS(DATOS!G:G,CONFIG_METADATA!$B$4,DATOS!I:I,B19,DATOS!K:K,6)</f>
        <v>0</v>
      </c>
      <c r="R19">
        <f>COUNTIFS(DATOS!G:G,CONFIG_METADATA!$B$4,DATOS!I:I,B19,DATOS!K:K,7)</f>
        <v>0</v>
      </c>
      <c r="S19">
        <f>COUNTIFS(DATOS!G:G,CONFIG_METADATA!$B$4,DATOS!I:I,B19,DATOS!K:K,8)</f>
        <v>0</v>
      </c>
      <c r="T19">
        <f>COUNTIFS(DATOS!G:G,CONFIG_METADATA!$B$4,DATOS!I:I,B19,DATOS!K:K,9)</f>
        <v>0</v>
      </c>
      <c r="U19">
        <f>COUNTIFS(DATOS!G:G,CONFIG_METADATA!$B$4,DATOS!I:I,B19,DATOS!K:K,10)</f>
        <v>0</v>
      </c>
    </row>
    <row r="20" spans="1:22">
      <c r="A20" s="3" t="inlineStr">
        <is>
          <t xml:space="preserve">GLOBAL</t>
        </is>
      </c>
      <c r="B20" s="3">
        <f>IFERROR(INDEX(_xlfn._xlws.FILTER(CONFIG_ASIGNATURAS!$B$2:$B$27,CONFIG_ASIGNATURAS!$G$2:$G$27="Sí"),16),"")</f>
      </c>
      <c r="C20" s="3">
        <f>IF(B20="","",IFERROR(IF(VLOOKUP(B20,CONFIG_ASIGNATURAS!$B$2:$F$27,5,FALSE())="Sí","Especialidad","Asignatura"),"Asignatura"))</f>
      </c>
      <c r="D20">
        <f>COUNTIFS(DATOS!G:G,CONFIG_METADATA!$B$4,DATOS!I:I,B20)</f>
        <v>0</v>
      </c>
      <c r="E20" s="14" t="str">
        <f>IFERROR(AVERAGEIFS(DATOS!K:K,DATOS!G:G,CONFIG_METADATA!$B$4,DATOS!I:I,B20),"—")</f>
        <v>—</v>
      </c>
      <c r="F20" s="14" t="str" cm="1">
        <f t="array" ref="F20">IFERROR(_xlfn.STDEV.P(IF((DATOS!$G$2:$G$20000=CONFIG_METADATA!$B$4)*(DATOS!$I$2:$I$20000=B20),DATOS!$K$2:$K$20000)),"—")</f>
        <v>—</v>
      </c>
      <c r="G20" t="str" cm="1">
        <f t="array" ref="G20">IFERROR(_xlfn.MODE.SNGL(IF((DATOS!$G$2:$G$20000=CONFIG_METADATA!$B$4)*(DATOS!$I$2:$I$20000=B20),DATOS!$K$2:$K$20000)),"—")</f>
        <v>—</v>
      </c>
      <c r="H20" s="15" t="str">
        <f>IFERROR(COUNTIFS(DATOS!G:G,CONFIG_METADATA!$B$4,DATOS!I:I,B20,DATOS!L:L,"S")/COUNTIFS(DATOS!G:G,CONFIG_METADATA!$B$4,DATOS!I:I,B20),"—")</f>
        <v>—</v>
      </c>
      <c r="I20" s="15" t="str">
        <f>IFERROR(COUNTIFS(DATOS!G:G,CONFIG_METADATA!$B$4,DATOS!I:I,B20,DATOS!L:L,"N")/COUNTIFS(DATOS!G:G,CONFIG_METADATA!$B$4,DATOS!I:I,B20),"—")</f>
        <v>—</v>
      </c>
      <c r="J20" t="str" cm="1">
        <f t="array" ref="J20">IFERROR(_xlfn.MODE.SNGL(IF((DATOS!$G$2:$G$20000=CONFIG_METADATA!$B$4)*(DATOS!$I$2:$I$20000=B20)*(DATOS!$L$2:$L$20000="S"),DATOS!$K$2:$K$20000)),"—")</f>
        <v>—</v>
      </c>
      <c r="K20" t="str" cm="1">
        <f t="array" ref="K20">IFERROR(_xlfn.MODE.SNGL(IF((DATOS!$G$2:$G$20000=CONFIG_METADATA!$B$4)*(DATOS!$I$2:$I$20000=B20)*(DATOS!$L$2:$L$20000="N"),DATOS!$K$2:$K$20000)),"—")</f>
        <v>—</v>
      </c>
      <c r="L20">
        <f>COUNTIFS(DATOS!G:G,CONFIG_METADATA!$B$4,DATOS!I:I,B20,DATOS!K:K,1)</f>
        <v>0</v>
      </c>
      <c r="M20">
        <f>COUNTIFS(DATOS!G:G,CONFIG_METADATA!$B$4,DATOS!I:I,B20,DATOS!K:K,2)</f>
        <v>0</v>
      </c>
      <c r="N20">
        <f>COUNTIFS(DATOS!G:G,CONFIG_METADATA!$B$4,DATOS!I:I,B20,DATOS!K:K,3)</f>
        <v>0</v>
      </c>
      <c r="O20">
        <f>COUNTIFS(DATOS!G:G,CONFIG_METADATA!$B$4,DATOS!I:I,B20,DATOS!K:K,4)</f>
        <v>0</v>
      </c>
      <c r="P20">
        <f>COUNTIFS(DATOS!G:G,CONFIG_METADATA!$B$4,DATOS!I:I,B20,DATOS!K:K,5)</f>
        <v>0</v>
      </c>
      <c r="Q20">
        <f>COUNTIFS(DATOS!G:G,CONFIG_METADATA!$B$4,DATOS!I:I,B20,DATOS!K:K,6)</f>
        <v>0</v>
      </c>
      <c r="R20">
        <f>COUNTIFS(DATOS!G:G,CONFIG_METADATA!$B$4,DATOS!I:I,B20,DATOS!K:K,7)</f>
        <v>0</v>
      </c>
      <c r="S20">
        <f>COUNTIFS(DATOS!G:G,CONFIG_METADATA!$B$4,DATOS!I:I,B20,DATOS!K:K,8)</f>
        <v>0</v>
      </c>
      <c r="T20">
        <f>COUNTIFS(DATOS!G:G,CONFIG_METADATA!$B$4,DATOS!I:I,B20,DATOS!K:K,9)</f>
        <v>0</v>
      </c>
      <c r="U20">
        <f>COUNTIFS(DATOS!G:G,CONFIG_METADATA!$B$4,DATOS!I:I,B20,DATOS!K:K,10)</f>
        <v>0</v>
      </c>
    </row>
    <row r="21" spans="1:22">
      <c r="A21" s="3" t="inlineStr">
        <is>
          <t xml:space="preserve">GLOBAL</t>
        </is>
      </c>
      <c r="B21" s="3">
        <f>IFERROR(INDEX(_xlfn._xlws.FILTER(CONFIG_ASIGNATURAS!$B$2:$B$27,CONFIG_ASIGNATURAS!$G$2:$G$27="Sí"),17),"")</f>
      </c>
      <c r="C21" s="3">
        <f>IF(B21="","",IFERROR(IF(VLOOKUP(B21,CONFIG_ASIGNATURAS!$B$2:$F$27,5,FALSE())="Sí","Especialidad","Asignatura"),"Asignatura"))</f>
      </c>
      <c r="D21">
        <f>COUNTIFS(DATOS!G:G,CONFIG_METADATA!$B$4,DATOS!I:I,B21)</f>
        <v>0</v>
      </c>
      <c r="E21" s="14" t="str">
        <f>IFERROR(AVERAGEIFS(DATOS!K:K,DATOS!G:G,CONFIG_METADATA!$B$4,DATOS!I:I,B21),"—")</f>
        <v>—</v>
      </c>
      <c r="F21" s="14" t="str" cm="1">
        <f t="array" ref="F21">IFERROR(_xlfn.STDEV.P(IF((DATOS!$G$2:$G$20000=CONFIG_METADATA!$B$4)*(DATOS!$I$2:$I$20000=B21),DATOS!$K$2:$K$20000)),"—")</f>
        <v>—</v>
      </c>
      <c r="G21" t="str" cm="1">
        <f t="array" ref="G21">IFERROR(_xlfn.MODE.SNGL(IF((DATOS!$G$2:$G$20000=CONFIG_METADATA!$B$4)*(DATOS!$I$2:$I$20000=B21),DATOS!$K$2:$K$20000)),"—")</f>
        <v>—</v>
      </c>
      <c r="H21" s="15" t="str">
        <f>IFERROR(COUNTIFS(DATOS!G:G,CONFIG_METADATA!$B$4,DATOS!I:I,B21,DATOS!L:L,"S")/COUNTIFS(DATOS!G:G,CONFIG_METADATA!$B$4,DATOS!I:I,B21),"—")</f>
        <v>—</v>
      </c>
      <c r="I21" s="15" t="str">
        <f>IFERROR(COUNTIFS(DATOS!G:G,CONFIG_METADATA!$B$4,DATOS!I:I,B21,DATOS!L:L,"N")/COUNTIFS(DATOS!G:G,CONFIG_METADATA!$B$4,DATOS!I:I,B21),"—")</f>
        <v>—</v>
      </c>
      <c r="J21" t="str" cm="1">
        <f t="array" ref="J21">IFERROR(_xlfn.MODE.SNGL(IF((DATOS!$G$2:$G$20000=CONFIG_METADATA!$B$4)*(DATOS!$I$2:$I$20000=B21)*(DATOS!$L$2:$L$20000="S"),DATOS!$K$2:$K$20000)),"—")</f>
        <v>—</v>
      </c>
      <c r="K21" t="str" cm="1">
        <f t="array" ref="K21">IFERROR(_xlfn.MODE.SNGL(IF((DATOS!$G$2:$G$20000=CONFIG_METADATA!$B$4)*(DATOS!$I$2:$I$20000=B21)*(DATOS!$L$2:$L$20000="N"),DATOS!$K$2:$K$20000)),"—")</f>
        <v>—</v>
      </c>
      <c r="L21">
        <f>COUNTIFS(DATOS!G:G,CONFIG_METADATA!$B$4,DATOS!I:I,B21,DATOS!K:K,1)</f>
        <v>0</v>
      </c>
      <c r="M21">
        <f>COUNTIFS(DATOS!G:G,CONFIG_METADATA!$B$4,DATOS!I:I,B21,DATOS!K:K,2)</f>
        <v>0</v>
      </c>
      <c r="N21">
        <f>COUNTIFS(DATOS!G:G,CONFIG_METADATA!$B$4,DATOS!I:I,B21,DATOS!K:K,3)</f>
        <v>0</v>
      </c>
      <c r="O21">
        <f>COUNTIFS(DATOS!G:G,CONFIG_METADATA!$B$4,DATOS!I:I,B21,DATOS!K:K,4)</f>
        <v>0</v>
      </c>
      <c r="P21">
        <f>COUNTIFS(DATOS!G:G,CONFIG_METADATA!$B$4,DATOS!I:I,B21,DATOS!K:K,5)</f>
        <v>0</v>
      </c>
      <c r="Q21">
        <f>COUNTIFS(DATOS!G:G,CONFIG_METADATA!$B$4,DATOS!I:I,B21,DATOS!K:K,6)</f>
        <v>0</v>
      </c>
      <c r="R21">
        <f>COUNTIFS(DATOS!G:G,CONFIG_METADATA!$B$4,DATOS!I:I,B21,DATOS!K:K,7)</f>
        <v>0</v>
      </c>
      <c r="S21">
        <f>COUNTIFS(DATOS!G:G,CONFIG_METADATA!$B$4,DATOS!I:I,B21,DATOS!K:K,8)</f>
        <v>0</v>
      </c>
      <c r="T21">
        <f>COUNTIFS(DATOS!G:G,CONFIG_METADATA!$B$4,DATOS!I:I,B21,DATOS!K:K,9)</f>
        <v>0</v>
      </c>
      <c r="U21">
        <f>COUNTIFS(DATOS!G:G,CONFIG_METADATA!$B$4,DATOS!I:I,B21,DATOS!K:K,10)</f>
        <v>0</v>
      </c>
    </row>
    <row r="22" spans="1:22">
      <c r="A22" s="3" t="inlineStr">
        <is>
          <t xml:space="preserve">GLOBAL</t>
        </is>
      </c>
      <c r="B22" s="3">
        <f>IFERROR(INDEX(_xlfn._xlws.FILTER(CONFIG_ASIGNATURAS!$B$2:$B$27,CONFIG_ASIGNATURAS!$G$2:$G$27="Sí"),18),"")</f>
      </c>
      <c r="C22" s="3">
        <f>IF(B22="","",IFERROR(IF(VLOOKUP(B22,CONFIG_ASIGNATURAS!$B$2:$F$27,5,FALSE())="Sí","Especialidad","Asignatura"),"Asignatura"))</f>
      </c>
      <c r="D22">
        <f>COUNTIFS(DATOS!G:G,CONFIG_METADATA!$B$4,DATOS!I:I,B22)</f>
        <v>0</v>
      </c>
      <c r="E22" s="14" t="str">
        <f>IFERROR(AVERAGEIFS(DATOS!K:K,DATOS!G:G,CONFIG_METADATA!$B$4,DATOS!I:I,B22),"—")</f>
        <v>—</v>
      </c>
      <c r="F22" s="14" t="str" cm="1">
        <f t="array" ref="F22">IFERROR(_xlfn.STDEV.P(IF((DATOS!$G$2:$G$20000=CONFIG_METADATA!$B$4)*(DATOS!$I$2:$I$20000=B22),DATOS!$K$2:$K$20000)),"—")</f>
        <v>—</v>
      </c>
      <c r="G22" t="str" cm="1">
        <f t="array" ref="G22">IFERROR(_xlfn.MODE.SNGL(IF((DATOS!$G$2:$G$20000=CONFIG_METADATA!$B$4)*(DATOS!$I$2:$I$20000=B22),DATOS!$K$2:$K$20000)),"—")</f>
        <v>—</v>
      </c>
      <c r="H22" s="15" t="str">
        <f>IFERROR(COUNTIFS(DATOS!G:G,CONFIG_METADATA!$B$4,DATOS!I:I,B22,DATOS!L:L,"S")/COUNTIFS(DATOS!G:G,CONFIG_METADATA!$B$4,DATOS!I:I,B22),"—")</f>
        <v>—</v>
      </c>
      <c r="I22" s="15" t="str">
        <f>IFERROR(COUNTIFS(DATOS!G:G,CONFIG_METADATA!$B$4,DATOS!I:I,B22,DATOS!L:L,"N")/COUNTIFS(DATOS!G:G,CONFIG_METADATA!$B$4,DATOS!I:I,B22),"—")</f>
        <v>—</v>
      </c>
      <c r="J22" t="str" cm="1">
        <f t="array" ref="J22">IFERROR(_xlfn.MODE.SNGL(IF((DATOS!$G$2:$G$20000=CONFIG_METADATA!$B$4)*(DATOS!$I$2:$I$20000=B22)*(DATOS!$L$2:$L$20000="S"),DATOS!$K$2:$K$20000)),"—")</f>
        <v>—</v>
      </c>
      <c r="K22" t="str" cm="1">
        <f t="array" ref="K22">IFERROR(_xlfn.MODE.SNGL(IF((DATOS!$G$2:$G$20000=CONFIG_METADATA!$B$4)*(DATOS!$I$2:$I$20000=B22)*(DATOS!$L$2:$L$20000="N"),DATOS!$K$2:$K$20000)),"—")</f>
        <v>—</v>
      </c>
      <c r="L22">
        <f>COUNTIFS(DATOS!G:G,CONFIG_METADATA!$B$4,DATOS!I:I,B22,DATOS!K:K,1)</f>
        <v>0</v>
      </c>
      <c r="M22">
        <f>COUNTIFS(DATOS!G:G,CONFIG_METADATA!$B$4,DATOS!I:I,B22,DATOS!K:K,2)</f>
        <v>0</v>
      </c>
      <c r="N22">
        <f>COUNTIFS(DATOS!G:G,CONFIG_METADATA!$B$4,DATOS!I:I,B22,DATOS!K:K,3)</f>
        <v>0</v>
      </c>
      <c r="O22">
        <f>COUNTIFS(DATOS!G:G,CONFIG_METADATA!$B$4,DATOS!I:I,B22,DATOS!K:K,4)</f>
        <v>0</v>
      </c>
      <c r="P22">
        <f>COUNTIFS(DATOS!G:G,CONFIG_METADATA!$B$4,DATOS!I:I,B22,DATOS!K:K,5)</f>
        <v>0</v>
      </c>
      <c r="Q22">
        <f>COUNTIFS(DATOS!G:G,CONFIG_METADATA!$B$4,DATOS!I:I,B22,DATOS!K:K,6)</f>
        <v>0</v>
      </c>
      <c r="R22">
        <f>COUNTIFS(DATOS!G:G,CONFIG_METADATA!$B$4,DATOS!I:I,B22,DATOS!K:K,7)</f>
        <v>0</v>
      </c>
      <c r="S22">
        <f>COUNTIFS(DATOS!G:G,CONFIG_METADATA!$B$4,DATOS!I:I,B22,DATOS!K:K,8)</f>
        <v>0</v>
      </c>
      <c r="T22">
        <f>COUNTIFS(DATOS!G:G,CONFIG_METADATA!$B$4,DATOS!I:I,B22,DATOS!K:K,9)</f>
        <v>0</v>
      </c>
      <c r="U22">
        <f>COUNTIFS(DATOS!G:G,CONFIG_METADATA!$B$4,DATOS!I:I,B22,DATOS!K:K,10)</f>
        <v>0</v>
      </c>
    </row>
    <row r="23" spans="1:22">
      <c r="A23" s="3" t="inlineStr">
        <is>
          <t xml:space="preserve">GLOBAL</t>
        </is>
      </c>
      <c r="B23" s="3">
        <f>IFERROR(INDEX(_xlfn._xlws.FILTER(CONFIG_ASIGNATURAS!$B$2:$B$27,CONFIG_ASIGNATURAS!$G$2:$G$27="Sí"),19),"")</f>
      </c>
      <c r="C23" s="3">
        <f>IF(B23="","",IFERROR(IF(VLOOKUP(B23,CONFIG_ASIGNATURAS!$B$2:$F$27,5,FALSE())="Sí","Especialidad","Asignatura"),"Asignatura"))</f>
      </c>
      <c r="D23">
        <f>COUNTIFS(DATOS!G:G,CONFIG_METADATA!$B$4,DATOS!I:I,B23)</f>
        <v>0</v>
      </c>
      <c r="E23" s="14" t="str">
        <f>IFERROR(AVERAGEIFS(DATOS!K:K,DATOS!G:G,CONFIG_METADATA!$B$4,DATOS!I:I,B23),"—")</f>
        <v>—</v>
      </c>
      <c r="F23" s="14" t="str" cm="1">
        <f t="array" ref="F23">IFERROR(_xlfn.STDEV.P(IF((DATOS!$G$2:$G$20000=CONFIG_METADATA!$B$4)*(DATOS!$I$2:$I$20000=B23),DATOS!$K$2:$K$20000)),"—")</f>
        <v>—</v>
      </c>
      <c r="G23" t="str" cm="1">
        <f t="array" ref="G23">IFERROR(_xlfn.MODE.SNGL(IF((DATOS!$G$2:$G$20000=CONFIG_METADATA!$B$4)*(DATOS!$I$2:$I$20000=B23),DATOS!$K$2:$K$20000)),"—")</f>
        <v>—</v>
      </c>
      <c r="H23" s="15" t="str">
        <f>IFERROR(COUNTIFS(DATOS!G:G,CONFIG_METADATA!$B$4,DATOS!I:I,B23,DATOS!L:L,"S")/COUNTIFS(DATOS!G:G,CONFIG_METADATA!$B$4,DATOS!I:I,B23),"—")</f>
        <v>—</v>
      </c>
      <c r="I23" s="15" t="str">
        <f>IFERROR(COUNTIFS(DATOS!G:G,CONFIG_METADATA!$B$4,DATOS!I:I,B23,DATOS!L:L,"N")/COUNTIFS(DATOS!G:G,CONFIG_METADATA!$B$4,DATOS!I:I,B23),"—")</f>
        <v>—</v>
      </c>
      <c r="J23" t="str" cm="1">
        <f t="array" ref="J23">IFERROR(_xlfn.MODE.SNGL(IF((DATOS!$G$2:$G$20000=CONFIG_METADATA!$B$4)*(DATOS!$I$2:$I$20000=B23)*(DATOS!$L$2:$L$20000="S"),DATOS!$K$2:$K$20000)),"—")</f>
        <v>—</v>
      </c>
      <c r="K23" t="str" cm="1">
        <f t="array" ref="K23">IFERROR(_xlfn.MODE.SNGL(IF((DATOS!$G$2:$G$20000=CONFIG_METADATA!$B$4)*(DATOS!$I$2:$I$20000=B23)*(DATOS!$L$2:$L$20000="N"),DATOS!$K$2:$K$20000)),"—")</f>
        <v>—</v>
      </c>
      <c r="L23">
        <f>COUNTIFS(DATOS!G:G,CONFIG_METADATA!$B$4,DATOS!I:I,B23,DATOS!K:K,1)</f>
        <v>0</v>
      </c>
      <c r="M23">
        <f>COUNTIFS(DATOS!G:G,CONFIG_METADATA!$B$4,DATOS!I:I,B23,DATOS!K:K,2)</f>
        <v>0</v>
      </c>
      <c r="N23">
        <f>COUNTIFS(DATOS!G:G,CONFIG_METADATA!$B$4,DATOS!I:I,B23,DATOS!K:K,3)</f>
        <v>0</v>
      </c>
      <c r="O23">
        <f>COUNTIFS(DATOS!G:G,CONFIG_METADATA!$B$4,DATOS!I:I,B23,DATOS!K:K,4)</f>
        <v>0</v>
      </c>
      <c r="P23">
        <f>COUNTIFS(DATOS!G:G,CONFIG_METADATA!$B$4,DATOS!I:I,B23,DATOS!K:K,5)</f>
        <v>0</v>
      </c>
      <c r="Q23">
        <f>COUNTIFS(DATOS!G:G,CONFIG_METADATA!$B$4,DATOS!I:I,B23,DATOS!K:K,6)</f>
        <v>0</v>
      </c>
      <c r="R23">
        <f>COUNTIFS(DATOS!G:G,CONFIG_METADATA!$B$4,DATOS!I:I,B23,DATOS!K:K,7)</f>
        <v>0</v>
      </c>
      <c r="S23">
        <f>COUNTIFS(DATOS!G:G,CONFIG_METADATA!$B$4,DATOS!I:I,B23,DATOS!K:K,8)</f>
        <v>0</v>
      </c>
      <c r="T23">
        <f>COUNTIFS(DATOS!G:G,CONFIG_METADATA!$B$4,DATOS!I:I,B23,DATOS!K:K,9)</f>
        <v>0</v>
      </c>
      <c r="U23">
        <f>COUNTIFS(DATOS!G:G,CONFIG_METADATA!$B$4,DATOS!I:I,B23,DATOS!K:K,10)</f>
        <v>0</v>
      </c>
    </row>
    <row r="24" spans="1:22">
      <c r="A24" s="3" t="inlineStr">
        <is>
          <t xml:space="preserve">GLOBAL</t>
        </is>
      </c>
      <c r="B24" s="3">
        <f>IFERROR(INDEX(_xlfn._xlws.FILTER(CONFIG_ASIGNATURAS!$B$2:$B$27,CONFIG_ASIGNATURAS!$G$2:$G$27="Sí"),20),"")</f>
      </c>
      <c r="C24" s="3">
        <f>IF(B24="","",IFERROR(IF(VLOOKUP(B24,CONFIG_ASIGNATURAS!$B$2:$F$27,5,FALSE())="Sí","Especialidad","Asignatura"),"Asignatura"))</f>
      </c>
      <c r="D24">
        <f>COUNTIFS(DATOS!G:G,CONFIG_METADATA!$B$4,DATOS!I:I,B24)</f>
        <v>0</v>
      </c>
      <c r="E24" s="14" t="str">
        <f>IFERROR(AVERAGEIFS(DATOS!K:K,DATOS!G:G,CONFIG_METADATA!$B$4,DATOS!I:I,B24),"—")</f>
        <v>—</v>
      </c>
      <c r="F24" s="14" t="str" cm="1">
        <f t="array" ref="F24">IFERROR(_xlfn.STDEV.P(IF((DATOS!$G$2:$G$20000=CONFIG_METADATA!$B$4)*(DATOS!$I$2:$I$20000=B24),DATOS!$K$2:$K$20000)),"—")</f>
        <v>—</v>
      </c>
      <c r="G24" t="str" cm="1">
        <f t="array" ref="G24">IFERROR(_xlfn.MODE.SNGL(IF((DATOS!$G$2:$G$20000=CONFIG_METADATA!$B$4)*(DATOS!$I$2:$I$20000=B24),DATOS!$K$2:$K$20000)),"—")</f>
        <v>—</v>
      </c>
      <c r="H24" s="15" t="str">
        <f>IFERROR(COUNTIFS(DATOS!G:G,CONFIG_METADATA!$B$4,DATOS!I:I,B24,DATOS!L:L,"S")/COUNTIFS(DATOS!G:G,CONFIG_METADATA!$B$4,DATOS!I:I,B24),"—")</f>
        <v>—</v>
      </c>
      <c r="I24" s="15" t="str">
        <f>IFERROR(COUNTIFS(DATOS!G:G,CONFIG_METADATA!$B$4,DATOS!I:I,B24,DATOS!L:L,"N")/COUNTIFS(DATOS!G:G,CONFIG_METADATA!$B$4,DATOS!I:I,B24),"—")</f>
        <v>—</v>
      </c>
      <c r="J24" t="str" cm="1">
        <f t="array" ref="J24">IFERROR(_xlfn.MODE.SNGL(IF((DATOS!$G$2:$G$20000=CONFIG_METADATA!$B$4)*(DATOS!$I$2:$I$20000=B24)*(DATOS!$L$2:$L$20000="S"),DATOS!$K$2:$K$20000)),"—")</f>
        <v>—</v>
      </c>
      <c r="K24" t="str" cm="1">
        <f t="array" ref="K24">IFERROR(_xlfn.MODE.SNGL(IF((DATOS!$G$2:$G$20000=CONFIG_METADATA!$B$4)*(DATOS!$I$2:$I$20000=B24)*(DATOS!$L$2:$L$20000="N"),DATOS!$K$2:$K$20000)),"—")</f>
        <v>—</v>
      </c>
      <c r="L24">
        <f>COUNTIFS(DATOS!G:G,CONFIG_METADATA!$B$4,DATOS!I:I,B24,DATOS!K:K,1)</f>
        <v>0</v>
      </c>
      <c r="M24">
        <f>COUNTIFS(DATOS!G:G,CONFIG_METADATA!$B$4,DATOS!I:I,B24,DATOS!K:K,2)</f>
        <v>0</v>
      </c>
      <c r="N24">
        <f>COUNTIFS(DATOS!G:G,CONFIG_METADATA!$B$4,DATOS!I:I,B24,DATOS!K:K,3)</f>
        <v>0</v>
      </c>
      <c r="O24">
        <f>COUNTIFS(DATOS!G:G,CONFIG_METADATA!$B$4,DATOS!I:I,B24,DATOS!K:K,4)</f>
        <v>0</v>
      </c>
      <c r="P24">
        <f>COUNTIFS(DATOS!G:G,CONFIG_METADATA!$B$4,DATOS!I:I,B24,DATOS!K:K,5)</f>
        <v>0</v>
      </c>
      <c r="Q24">
        <f>COUNTIFS(DATOS!G:G,CONFIG_METADATA!$B$4,DATOS!I:I,B24,DATOS!K:K,6)</f>
        <v>0</v>
      </c>
      <c r="R24">
        <f>COUNTIFS(DATOS!G:G,CONFIG_METADATA!$B$4,DATOS!I:I,B24,DATOS!K:K,7)</f>
        <v>0</v>
      </c>
      <c r="S24">
        <f>COUNTIFS(DATOS!G:G,CONFIG_METADATA!$B$4,DATOS!I:I,B24,DATOS!K:K,8)</f>
        <v>0</v>
      </c>
      <c r="T24">
        <f>COUNTIFS(DATOS!G:G,CONFIG_METADATA!$B$4,DATOS!I:I,B24,DATOS!K:K,9)</f>
        <v>0</v>
      </c>
      <c r="U24">
        <f>COUNTIFS(DATOS!G:G,CONFIG_METADATA!$B$4,DATOS!I:I,B24,DATOS!K:K,10)</f>
        <v>0</v>
      </c>
    </row>
    <row r="25" spans="1:22">
      <c r="A25" s="3" t="inlineStr">
        <is>
          <t xml:space="preserve">GLOBAL</t>
        </is>
      </c>
      <c r="B25" s="3">
        <f>IFERROR(INDEX(_xlfn._xlws.FILTER(CONFIG_ASIGNATURAS!$B$2:$B$27,CONFIG_ASIGNATURAS!$G$2:$G$27="Sí"),21),"")</f>
      </c>
      <c r="C25" s="3">
        <f>IF(B25="","",IFERROR(IF(VLOOKUP(B25,CONFIG_ASIGNATURAS!$B$2:$F$27,5,FALSE())="Sí","Especialidad","Asignatura"),"Asignatura"))</f>
      </c>
      <c r="D25">
        <f>COUNTIFS(DATOS!G:G,CONFIG_METADATA!$B$4,DATOS!I:I,B25)</f>
        <v>0</v>
      </c>
      <c r="E25" s="14" t="str">
        <f>IFERROR(AVERAGEIFS(DATOS!K:K,DATOS!G:G,CONFIG_METADATA!$B$4,DATOS!I:I,B25),"—")</f>
        <v>—</v>
      </c>
      <c r="F25" s="14" t="str" cm="1">
        <f t="array" ref="F25">IFERROR(_xlfn.STDEV.P(IF((DATOS!$G$2:$G$20000=CONFIG_METADATA!$B$4)*(DATOS!$I$2:$I$20000=B25),DATOS!$K$2:$K$20000)),"—")</f>
        <v>—</v>
      </c>
      <c r="G25" t="str" cm="1">
        <f t="array" ref="G25">IFERROR(_xlfn.MODE.SNGL(IF((DATOS!$G$2:$G$20000=CONFIG_METADATA!$B$4)*(DATOS!$I$2:$I$20000=B25),DATOS!$K$2:$K$20000)),"—")</f>
        <v>—</v>
      </c>
      <c r="H25" s="15" t="str">
        <f>IFERROR(COUNTIFS(DATOS!G:G,CONFIG_METADATA!$B$4,DATOS!I:I,B25,DATOS!L:L,"S")/COUNTIFS(DATOS!G:G,CONFIG_METADATA!$B$4,DATOS!I:I,B25),"—")</f>
        <v>—</v>
      </c>
      <c r="I25" s="15" t="str">
        <f>IFERROR(COUNTIFS(DATOS!G:G,CONFIG_METADATA!$B$4,DATOS!I:I,B25,DATOS!L:L,"N")/COUNTIFS(DATOS!G:G,CONFIG_METADATA!$B$4,DATOS!I:I,B25),"—")</f>
        <v>—</v>
      </c>
      <c r="J25" t="str" cm="1">
        <f t="array" ref="J25">IFERROR(_xlfn.MODE.SNGL(IF((DATOS!$G$2:$G$20000=CONFIG_METADATA!$B$4)*(DATOS!$I$2:$I$20000=B25)*(DATOS!$L$2:$L$20000="S"),DATOS!$K$2:$K$20000)),"—")</f>
        <v>—</v>
      </c>
      <c r="K25" t="str" cm="1">
        <f t="array" ref="K25">IFERROR(_xlfn.MODE.SNGL(IF((DATOS!$G$2:$G$20000=CONFIG_METADATA!$B$4)*(DATOS!$I$2:$I$20000=B25)*(DATOS!$L$2:$L$20000="N"),DATOS!$K$2:$K$20000)),"—")</f>
        <v>—</v>
      </c>
      <c r="L25">
        <f>COUNTIFS(DATOS!G:G,CONFIG_METADATA!$B$4,DATOS!I:I,B25,DATOS!K:K,1)</f>
        <v>0</v>
      </c>
      <c r="M25">
        <f>COUNTIFS(DATOS!G:G,CONFIG_METADATA!$B$4,DATOS!I:I,B25,DATOS!K:K,2)</f>
        <v>0</v>
      </c>
      <c r="N25">
        <f>COUNTIFS(DATOS!G:G,CONFIG_METADATA!$B$4,DATOS!I:I,B25,DATOS!K:K,3)</f>
        <v>0</v>
      </c>
      <c r="O25">
        <f>COUNTIFS(DATOS!G:G,CONFIG_METADATA!$B$4,DATOS!I:I,B25,DATOS!K:K,4)</f>
        <v>0</v>
      </c>
      <c r="P25">
        <f>COUNTIFS(DATOS!G:G,CONFIG_METADATA!$B$4,DATOS!I:I,B25,DATOS!K:K,5)</f>
        <v>0</v>
      </c>
      <c r="Q25">
        <f>COUNTIFS(DATOS!G:G,CONFIG_METADATA!$B$4,DATOS!I:I,B25,DATOS!K:K,6)</f>
        <v>0</v>
      </c>
      <c r="R25">
        <f>COUNTIFS(DATOS!G:G,CONFIG_METADATA!$B$4,DATOS!I:I,B25,DATOS!K:K,7)</f>
        <v>0</v>
      </c>
      <c r="S25">
        <f>COUNTIFS(DATOS!G:G,CONFIG_METADATA!$B$4,DATOS!I:I,B25,DATOS!K:K,8)</f>
        <v>0</v>
      </c>
      <c r="T25">
        <f>COUNTIFS(DATOS!G:G,CONFIG_METADATA!$B$4,DATOS!I:I,B25,DATOS!K:K,9)</f>
        <v>0</v>
      </c>
      <c r="U25">
        <f>COUNTIFS(DATOS!G:G,CONFIG_METADATA!$B$4,DATOS!I:I,B25,DATOS!K:K,10)</f>
        <v>0</v>
      </c>
    </row>
    <row r="26" spans="1:22">
      <c r="A26" s="3" t="inlineStr">
        <is>
          <t xml:space="preserve">GLOBAL</t>
        </is>
      </c>
      <c r="B26" s="3">
        <f>IFERROR(INDEX(_xlfn._xlws.FILTER(CONFIG_ASIGNATURAS!$B$2:$B$27,CONFIG_ASIGNATURAS!$G$2:$G$27="Sí"),22),"")</f>
      </c>
      <c r="C26" s="3">
        <f>IF(B26="","",IFERROR(IF(VLOOKUP(B26,CONFIG_ASIGNATURAS!$B$2:$F$27,5,FALSE())="Sí","Especialidad","Asignatura"),"Asignatura"))</f>
      </c>
      <c r="D26">
        <f>COUNTIFS(DATOS!G:G,CONFIG_METADATA!$B$4,DATOS!I:I,B26)</f>
        <v>0</v>
      </c>
      <c r="E26" s="14" t="str">
        <f>IFERROR(AVERAGEIFS(DATOS!K:K,DATOS!G:G,CONFIG_METADATA!$B$4,DATOS!I:I,B26),"—")</f>
        <v>—</v>
      </c>
      <c r="F26" s="14" t="str" cm="1">
        <f t="array" ref="F26">IFERROR(_xlfn.STDEV.P(IF((DATOS!$G$2:$G$20000=CONFIG_METADATA!$B$4)*(DATOS!$I$2:$I$20000=B26),DATOS!$K$2:$K$20000)),"—")</f>
        <v>—</v>
      </c>
      <c r="G26" t="str" cm="1">
        <f t="array" ref="G26">IFERROR(_xlfn.MODE.SNGL(IF((DATOS!$G$2:$G$20000=CONFIG_METADATA!$B$4)*(DATOS!$I$2:$I$20000=B26),DATOS!$K$2:$K$20000)),"—")</f>
        <v>—</v>
      </c>
      <c r="H26" s="15" t="str">
        <f>IFERROR(COUNTIFS(DATOS!G:G,CONFIG_METADATA!$B$4,DATOS!I:I,B26,DATOS!L:L,"S")/COUNTIFS(DATOS!G:G,CONFIG_METADATA!$B$4,DATOS!I:I,B26),"—")</f>
        <v>—</v>
      </c>
      <c r="I26" s="15" t="str">
        <f>IFERROR(COUNTIFS(DATOS!G:G,CONFIG_METADATA!$B$4,DATOS!I:I,B26,DATOS!L:L,"N")/COUNTIFS(DATOS!G:G,CONFIG_METADATA!$B$4,DATOS!I:I,B26),"—")</f>
        <v>—</v>
      </c>
      <c r="J26" t="str" cm="1">
        <f t="array" ref="J26">IFERROR(_xlfn.MODE.SNGL(IF((DATOS!$G$2:$G$20000=CONFIG_METADATA!$B$4)*(DATOS!$I$2:$I$20000=B26)*(DATOS!$L$2:$L$20000="S"),DATOS!$K$2:$K$20000)),"—")</f>
        <v>—</v>
      </c>
      <c r="K26" t="str" cm="1">
        <f t="array" ref="K26">IFERROR(_xlfn.MODE.SNGL(IF((DATOS!$G$2:$G$20000=CONFIG_METADATA!$B$4)*(DATOS!$I$2:$I$20000=B26)*(DATOS!$L$2:$L$20000="N"),DATOS!$K$2:$K$20000)),"—")</f>
        <v>—</v>
      </c>
      <c r="L26">
        <f>COUNTIFS(DATOS!G:G,CONFIG_METADATA!$B$4,DATOS!I:I,B26,DATOS!K:K,1)</f>
        <v>0</v>
      </c>
      <c r="M26">
        <f>COUNTIFS(DATOS!G:G,CONFIG_METADATA!$B$4,DATOS!I:I,B26,DATOS!K:K,2)</f>
        <v>0</v>
      </c>
      <c r="N26">
        <f>COUNTIFS(DATOS!G:G,CONFIG_METADATA!$B$4,DATOS!I:I,B26,DATOS!K:K,3)</f>
        <v>0</v>
      </c>
      <c r="O26">
        <f>COUNTIFS(DATOS!G:G,CONFIG_METADATA!$B$4,DATOS!I:I,B26,DATOS!K:K,4)</f>
        <v>0</v>
      </c>
      <c r="P26">
        <f>COUNTIFS(DATOS!G:G,CONFIG_METADATA!$B$4,DATOS!I:I,B26,DATOS!K:K,5)</f>
        <v>0</v>
      </c>
      <c r="Q26">
        <f>COUNTIFS(DATOS!G:G,CONFIG_METADATA!$B$4,DATOS!I:I,B26,DATOS!K:K,6)</f>
        <v>0</v>
      </c>
      <c r="R26">
        <f>COUNTIFS(DATOS!G:G,CONFIG_METADATA!$B$4,DATOS!I:I,B26,DATOS!K:K,7)</f>
        <v>0</v>
      </c>
      <c r="S26">
        <f>COUNTIFS(DATOS!G:G,CONFIG_METADATA!$B$4,DATOS!I:I,B26,DATOS!K:K,8)</f>
        <v>0</v>
      </c>
      <c r="T26">
        <f>COUNTIFS(DATOS!G:G,CONFIG_METADATA!$B$4,DATOS!I:I,B26,DATOS!K:K,9)</f>
        <v>0</v>
      </c>
      <c r="U26">
        <f>COUNTIFS(DATOS!G:G,CONFIG_METADATA!$B$4,DATOS!I:I,B26,DATOS!K:K,10)</f>
        <v>0</v>
      </c>
    </row>
    <row r="27" spans="1:22">
      <c r="A27" s="3" t="inlineStr">
        <is>
          <t xml:space="preserve">GLOBAL</t>
        </is>
      </c>
      <c r="B27" s="3">
        <f>IFERROR(INDEX(_xlfn._xlws.FILTER(CONFIG_ASIGNATURAS!$B$2:$B$27,CONFIG_ASIGNATURAS!$G$2:$G$27="Sí"),23),"")</f>
      </c>
      <c r="C27" s="3">
        <f>IF(B27="","",IFERROR(IF(VLOOKUP(B27,CONFIG_ASIGNATURAS!$B$2:$F$27,5,FALSE())="Sí","Especialidad","Asignatura"),"Asignatura"))</f>
      </c>
      <c r="D27">
        <f>COUNTIFS(DATOS!G:G,CONFIG_METADATA!$B$4,DATOS!I:I,B27)</f>
        <v>0</v>
      </c>
      <c r="E27" s="14" t="str">
        <f>IFERROR(AVERAGEIFS(DATOS!K:K,DATOS!G:G,CONFIG_METADATA!$B$4,DATOS!I:I,B27),"—")</f>
        <v>—</v>
      </c>
      <c r="F27" s="14" t="str" cm="1">
        <f t="array" ref="F27">IFERROR(_xlfn.STDEV.P(IF((DATOS!$G$2:$G$20000=CONFIG_METADATA!$B$4)*(DATOS!$I$2:$I$20000=B27),DATOS!$K$2:$K$20000)),"—")</f>
        <v>—</v>
      </c>
      <c r="G27" t="str" cm="1">
        <f t="array" ref="G27">IFERROR(_xlfn.MODE.SNGL(IF((DATOS!$G$2:$G$20000=CONFIG_METADATA!$B$4)*(DATOS!$I$2:$I$20000=B27),DATOS!$K$2:$K$20000)),"—")</f>
        <v>—</v>
      </c>
      <c r="H27" s="15" t="str">
        <f>IFERROR(COUNTIFS(DATOS!G:G,CONFIG_METADATA!$B$4,DATOS!I:I,B27,DATOS!L:L,"S")/COUNTIFS(DATOS!G:G,CONFIG_METADATA!$B$4,DATOS!I:I,B27),"—")</f>
        <v>—</v>
      </c>
      <c r="I27" s="15" t="str">
        <f>IFERROR(COUNTIFS(DATOS!G:G,CONFIG_METADATA!$B$4,DATOS!I:I,B27,DATOS!L:L,"N")/COUNTIFS(DATOS!G:G,CONFIG_METADATA!$B$4,DATOS!I:I,B27),"—")</f>
        <v>—</v>
      </c>
      <c r="J27" t="str" cm="1">
        <f t="array" ref="J27">IFERROR(_xlfn.MODE.SNGL(IF((DATOS!$G$2:$G$20000=CONFIG_METADATA!$B$4)*(DATOS!$I$2:$I$20000=B27)*(DATOS!$L$2:$L$20000="S"),DATOS!$K$2:$K$20000)),"—")</f>
        <v>—</v>
      </c>
      <c r="K27" t="str" cm="1">
        <f t="array" ref="K27">IFERROR(_xlfn.MODE.SNGL(IF((DATOS!$G$2:$G$20000=CONFIG_METADATA!$B$4)*(DATOS!$I$2:$I$20000=B27)*(DATOS!$L$2:$L$20000="N"),DATOS!$K$2:$K$20000)),"—")</f>
        <v>—</v>
      </c>
      <c r="L27">
        <f>COUNTIFS(DATOS!G:G,CONFIG_METADATA!$B$4,DATOS!I:I,B27,DATOS!K:K,1)</f>
        <v>0</v>
      </c>
      <c r="M27">
        <f>COUNTIFS(DATOS!G:G,CONFIG_METADATA!$B$4,DATOS!I:I,B27,DATOS!K:K,2)</f>
        <v>0</v>
      </c>
      <c r="N27">
        <f>COUNTIFS(DATOS!G:G,CONFIG_METADATA!$B$4,DATOS!I:I,B27,DATOS!K:K,3)</f>
        <v>0</v>
      </c>
      <c r="O27">
        <f>COUNTIFS(DATOS!G:G,CONFIG_METADATA!$B$4,DATOS!I:I,B27,DATOS!K:K,4)</f>
        <v>0</v>
      </c>
      <c r="P27">
        <f>COUNTIFS(DATOS!G:G,CONFIG_METADATA!$B$4,DATOS!I:I,B27,DATOS!K:K,5)</f>
        <v>0</v>
      </c>
      <c r="Q27">
        <f>COUNTIFS(DATOS!G:G,CONFIG_METADATA!$B$4,DATOS!I:I,B27,DATOS!K:K,6)</f>
        <v>0</v>
      </c>
      <c r="R27">
        <f>COUNTIFS(DATOS!G:G,CONFIG_METADATA!$B$4,DATOS!I:I,B27,DATOS!K:K,7)</f>
        <v>0</v>
      </c>
      <c r="S27">
        <f>COUNTIFS(DATOS!G:G,CONFIG_METADATA!$B$4,DATOS!I:I,B27,DATOS!K:K,8)</f>
        <v>0</v>
      </c>
      <c r="T27">
        <f>COUNTIFS(DATOS!G:G,CONFIG_METADATA!$B$4,DATOS!I:I,B27,DATOS!K:K,9)</f>
        <v>0</v>
      </c>
      <c r="U27">
        <f>COUNTIFS(DATOS!G:G,CONFIG_METADATA!$B$4,DATOS!I:I,B27,DATOS!K:K,10)</f>
        <v>0</v>
      </c>
    </row>
    <row r="28" spans="1:22">
      <c r="A28" s="3" t="inlineStr">
        <is>
          <t xml:space="preserve">GLOBAL</t>
        </is>
      </c>
      <c r="B28" s="3">
        <f>IFERROR(INDEX(_xlfn._xlws.FILTER(CONFIG_ASIGNATURAS!$B$2:$B$27,CONFIG_ASIGNATURAS!$G$2:$G$27="Sí"),24),"")</f>
      </c>
      <c r="C28" s="3">
        <f>IF(B28="","",IFERROR(IF(VLOOKUP(B28,CONFIG_ASIGNATURAS!$B$2:$F$27,5,FALSE())="Sí","Especialidad","Asignatura"),"Asignatura"))</f>
      </c>
      <c r="D28">
        <f>COUNTIFS(DATOS!G:G,CONFIG_METADATA!$B$4,DATOS!I:I,B28)</f>
        <v>0</v>
      </c>
      <c r="E28" s="14" t="str">
        <f>IFERROR(AVERAGEIFS(DATOS!K:K,DATOS!G:G,CONFIG_METADATA!$B$4,DATOS!I:I,B28),"—")</f>
        <v>—</v>
      </c>
      <c r="F28" s="14" t="str" cm="1">
        <f t="array" ref="F28">IFERROR(_xlfn.STDEV.P(IF((DATOS!$G$2:$G$20000=CONFIG_METADATA!$B$4)*(DATOS!$I$2:$I$20000=B28),DATOS!$K$2:$K$20000)),"—")</f>
        <v>—</v>
      </c>
      <c r="G28" t="str" cm="1">
        <f t="array" ref="G28">IFERROR(_xlfn.MODE.SNGL(IF((DATOS!$G$2:$G$20000=CONFIG_METADATA!$B$4)*(DATOS!$I$2:$I$20000=B28),DATOS!$K$2:$K$20000)),"—")</f>
        <v>—</v>
      </c>
      <c r="H28" s="15" t="str">
        <f>IFERROR(COUNTIFS(DATOS!G:G,CONFIG_METADATA!$B$4,DATOS!I:I,B28,DATOS!L:L,"S")/COUNTIFS(DATOS!G:G,CONFIG_METADATA!$B$4,DATOS!I:I,B28),"—")</f>
        <v>—</v>
      </c>
      <c r="I28" s="15" t="str">
        <f>IFERROR(COUNTIFS(DATOS!G:G,CONFIG_METADATA!$B$4,DATOS!I:I,B28,DATOS!L:L,"N")/COUNTIFS(DATOS!G:G,CONFIG_METADATA!$B$4,DATOS!I:I,B28),"—")</f>
        <v>—</v>
      </c>
      <c r="J28" t="str" cm="1">
        <f t="array" ref="J28">IFERROR(_xlfn.MODE.SNGL(IF((DATOS!$G$2:$G$20000=CONFIG_METADATA!$B$4)*(DATOS!$I$2:$I$20000=B28)*(DATOS!$L$2:$L$20000="S"),DATOS!$K$2:$K$20000)),"—")</f>
        <v>—</v>
      </c>
      <c r="K28" t="str" cm="1">
        <f t="array" ref="K28">IFERROR(_xlfn.MODE.SNGL(IF((DATOS!$G$2:$G$20000=CONFIG_METADATA!$B$4)*(DATOS!$I$2:$I$20000=B28)*(DATOS!$L$2:$L$20000="N"),DATOS!$K$2:$K$20000)),"—")</f>
        <v>—</v>
      </c>
      <c r="L28">
        <f>COUNTIFS(DATOS!G:G,CONFIG_METADATA!$B$4,DATOS!I:I,B28,DATOS!K:K,1)</f>
        <v>0</v>
      </c>
      <c r="M28">
        <f>COUNTIFS(DATOS!G:G,CONFIG_METADATA!$B$4,DATOS!I:I,B28,DATOS!K:K,2)</f>
        <v>0</v>
      </c>
      <c r="N28">
        <f>COUNTIFS(DATOS!G:G,CONFIG_METADATA!$B$4,DATOS!I:I,B28,DATOS!K:K,3)</f>
        <v>0</v>
      </c>
      <c r="O28">
        <f>COUNTIFS(DATOS!G:G,CONFIG_METADATA!$B$4,DATOS!I:I,B28,DATOS!K:K,4)</f>
        <v>0</v>
      </c>
      <c r="P28">
        <f>COUNTIFS(DATOS!G:G,CONFIG_METADATA!$B$4,DATOS!I:I,B28,DATOS!K:K,5)</f>
        <v>0</v>
      </c>
      <c r="Q28">
        <f>COUNTIFS(DATOS!G:G,CONFIG_METADATA!$B$4,DATOS!I:I,B28,DATOS!K:K,6)</f>
        <v>0</v>
      </c>
      <c r="R28">
        <f>COUNTIFS(DATOS!G:G,CONFIG_METADATA!$B$4,DATOS!I:I,B28,DATOS!K:K,7)</f>
        <v>0</v>
      </c>
      <c r="S28">
        <f>COUNTIFS(DATOS!G:G,CONFIG_METADATA!$B$4,DATOS!I:I,B28,DATOS!K:K,8)</f>
        <v>0</v>
      </c>
      <c r="T28">
        <f>COUNTIFS(DATOS!G:G,CONFIG_METADATA!$B$4,DATOS!I:I,B28,DATOS!K:K,9)</f>
        <v>0</v>
      </c>
      <c r="U28">
        <f>COUNTIFS(DATOS!G:G,CONFIG_METADATA!$B$4,DATOS!I:I,B28,DATOS!K:K,10)</f>
        <v>0</v>
      </c>
    </row>
    <row r="29" spans="1:22">
      <c r="A29" s="3" t="inlineStr">
        <is>
          <t xml:space="preserve">GLOBAL</t>
        </is>
      </c>
      <c r="B29" s="3">
        <f>IFERROR(INDEX(_xlfn._xlws.FILTER(CONFIG_ASIGNATURAS!$B$2:$B$27,CONFIG_ASIGNATURAS!$G$2:$G$27="Sí"),25),"")</f>
      </c>
      <c r="C29" s="3">
        <f>IF(B29="","",IFERROR(IF(VLOOKUP(B29,CONFIG_ASIGNATURAS!$B$2:$F$27,5,FALSE())="Sí","Especialidad","Asignatura"),"Asignatura"))</f>
      </c>
      <c r="D29">
        <f>COUNTIFS(DATOS!G:G,CONFIG_METADATA!$B$4,DATOS!I:I,B29)</f>
        <v>0</v>
      </c>
      <c r="E29" s="14" t="str">
        <f>IFERROR(AVERAGEIFS(DATOS!K:K,DATOS!G:G,CONFIG_METADATA!$B$4,DATOS!I:I,B29),"—")</f>
        <v>—</v>
      </c>
      <c r="F29" s="14" t="str" cm="1">
        <f t="array" ref="F29">IFERROR(_xlfn.STDEV.P(IF((DATOS!$G$2:$G$20000=CONFIG_METADATA!$B$4)*(DATOS!$I$2:$I$20000=B29),DATOS!$K$2:$K$20000)),"—")</f>
        <v>—</v>
      </c>
      <c r="G29" t="str" cm="1">
        <f t="array" ref="G29">IFERROR(_xlfn.MODE.SNGL(IF((DATOS!$G$2:$G$20000=CONFIG_METADATA!$B$4)*(DATOS!$I$2:$I$20000=B29),DATOS!$K$2:$K$20000)),"—")</f>
        <v>—</v>
      </c>
      <c r="H29" s="15" t="str">
        <f>IFERROR(COUNTIFS(DATOS!G:G,CONFIG_METADATA!$B$4,DATOS!I:I,B29,DATOS!L:L,"S")/COUNTIFS(DATOS!G:G,CONFIG_METADATA!$B$4,DATOS!I:I,B29),"—")</f>
        <v>—</v>
      </c>
      <c r="I29" s="15" t="str">
        <f>IFERROR(COUNTIFS(DATOS!G:G,CONFIG_METADATA!$B$4,DATOS!I:I,B29,DATOS!L:L,"N")/COUNTIFS(DATOS!G:G,CONFIG_METADATA!$B$4,DATOS!I:I,B29),"—")</f>
        <v>—</v>
      </c>
      <c r="J29" t="str" cm="1">
        <f t="array" ref="J29">IFERROR(_xlfn.MODE.SNGL(IF((DATOS!$G$2:$G$20000=CONFIG_METADATA!$B$4)*(DATOS!$I$2:$I$20000=B29)*(DATOS!$L$2:$L$20000="S"),DATOS!$K$2:$K$20000)),"—")</f>
        <v>—</v>
      </c>
      <c r="K29" t="str" cm="1">
        <f t="array" ref="K29">IFERROR(_xlfn.MODE.SNGL(IF((DATOS!$G$2:$G$20000=CONFIG_METADATA!$B$4)*(DATOS!$I$2:$I$20000=B29)*(DATOS!$L$2:$L$20000="N"),DATOS!$K$2:$K$20000)),"—")</f>
        <v>—</v>
      </c>
      <c r="L29">
        <f>COUNTIFS(DATOS!G:G,CONFIG_METADATA!$B$4,DATOS!I:I,B29,DATOS!K:K,1)</f>
        <v>0</v>
      </c>
      <c r="M29">
        <f>COUNTIFS(DATOS!G:G,CONFIG_METADATA!$B$4,DATOS!I:I,B29,DATOS!K:K,2)</f>
        <v>0</v>
      </c>
      <c r="N29">
        <f>COUNTIFS(DATOS!G:G,CONFIG_METADATA!$B$4,DATOS!I:I,B29,DATOS!K:K,3)</f>
        <v>0</v>
      </c>
      <c r="O29">
        <f>COUNTIFS(DATOS!G:G,CONFIG_METADATA!$B$4,DATOS!I:I,B29,DATOS!K:K,4)</f>
        <v>0</v>
      </c>
      <c r="P29">
        <f>COUNTIFS(DATOS!G:G,CONFIG_METADATA!$B$4,DATOS!I:I,B29,DATOS!K:K,5)</f>
        <v>0</v>
      </c>
      <c r="Q29">
        <f>COUNTIFS(DATOS!G:G,CONFIG_METADATA!$B$4,DATOS!I:I,B29,DATOS!K:K,6)</f>
        <v>0</v>
      </c>
      <c r="R29">
        <f>COUNTIFS(DATOS!G:G,CONFIG_METADATA!$B$4,DATOS!I:I,B29,DATOS!K:K,7)</f>
        <v>0</v>
      </c>
      <c r="S29">
        <f>COUNTIFS(DATOS!G:G,CONFIG_METADATA!$B$4,DATOS!I:I,B29,DATOS!K:K,8)</f>
        <v>0</v>
      </c>
      <c r="T29">
        <f>COUNTIFS(DATOS!G:G,CONFIG_METADATA!$B$4,DATOS!I:I,B29,DATOS!K:K,9)</f>
        <v>0</v>
      </c>
      <c r="U29">
        <f>COUNTIFS(DATOS!G:G,CONFIG_METADATA!$B$4,DATOS!I:I,B29,DATOS!K:K,10)</f>
        <v>0</v>
      </c>
    </row>
    <row r="30" spans="1:22">
      <c r="A30" s="3" t="inlineStr">
        <is>
          <t xml:space="preserve">GLOBAL</t>
        </is>
      </c>
      <c r="B30" s="3">
        <f>IFERROR(INDEX(_xlfn._xlws.FILTER(CONFIG_ASIGNATURAS!$B$2:$B$27,CONFIG_ASIGNATURAS!$G$2:$G$27="Sí"),26),"")</f>
      </c>
      <c r="C30" s="3">
        <f>IF(B30="","",IFERROR(IF(VLOOKUP(B30,CONFIG_ASIGNATURAS!$B$2:$F$27,5,FALSE())="Sí","Especialidad","Asignatura"),"Asignatura"))</f>
      </c>
      <c r="D30">
        <f>COUNTIFS(DATOS!G:G,CONFIG_METADATA!$B$4,DATOS!I:I,B30)</f>
        <v>0</v>
      </c>
      <c r="E30" s="14" t="str">
        <f>IFERROR(AVERAGEIFS(DATOS!K:K,DATOS!G:G,CONFIG_METADATA!$B$4,DATOS!I:I,B30),"—")</f>
        <v>—</v>
      </c>
      <c r="F30" s="14" t="str" cm="1">
        <f t="array" ref="F30">IFERROR(_xlfn.STDEV.P(IF((DATOS!$G$2:$G$20000=CONFIG_METADATA!$B$4)*(DATOS!$I$2:$I$20000=B30),DATOS!$K$2:$K$20000)),"—")</f>
        <v>—</v>
      </c>
      <c r="G30" t="str" cm="1">
        <f t="array" ref="G30">IFERROR(_xlfn.MODE.SNGL(IF((DATOS!$G$2:$G$20000=CONFIG_METADATA!$B$4)*(DATOS!$I$2:$I$20000=B30),DATOS!$K$2:$K$20000)),"—")</f>
        <v>—</v>
      </c>
      <c r="H30" s="15" t="str">
        <f>IFERROR(COUNTIFS(DATOS!G:G,CONFIG_METADATA!$B$4,DATOS!I:I,B30,DATOS!L:L,"S")/COUNTIFS(DATOS!G:G,CONFIG_METADATA!$B$4,DATOS!I:I,B30),"—")</f>
        <v>—</v>
      </c>
      <c r="I30" s="15" t="str">
        <f>IFERROR(COUNTIFS(DATOS!G:G,CONFIG_METADATA!$B$4,DATOS!I:I,B30,DATOS!L:L,"N")/COUNTIFS(DATOS!G:G,CONFIG_METADATA!$B$4,DATOS!I:I,B30),"—")</f>
        <v>—</v>
      </c>
      <c r="J30" t="str" cm="1">
        <f t="array" ref="J30">IFERROR(_xlfn.MODE.SNGL(IF((DATOS!$G$2:$G$20000=CONFIG_METADATA!$B$4)*(DATOS!$I$2:$I$20000=B30)*(DATOS!$L$2:$L$20000="S"),DATOS!$K$2:$K$20000)),"—")</f>
        <v>—</v>
      </c>
      <c r="K30" t="str" cm="1">
        <f t="array" ref="K30">IFERROR(_xlfn.MODE.SNGL(IF((DATOS!$G$2:$G$20000=CONFIG_METADATA!$B$4)*(DATOS!$I$2:$I$20000=B30)*(DATOS!$L$2:$L$20000="N"),DATOS!$K$2:$K$20000)),"—")</f>
        <v>—</v>
      </c>
      <c r="L30">
        <f>COUNTIFS(DATOS!G:G,CONFIG_METADATA!$B$4,DATOS!I:I,B30,DATOS!K:K,1)</f>
        <v>0</v>
      </c>
      <c r="M30">
        <f>COUNTIFS(DATOS!G:G,CONFIG_METADATA!$B$4,DATOS!I:I,B30,DATOS!K:K,2)</f>
        <v>0</v>
      </c>
      <c r="N30">
        <f>COUNTIFS(DATOS!G:G,CONFIG_METADATA!$B$4,DATOS!I:I,B30,DATOS!K:K,3)</f>
        <v>0</v>
      </c>
      <c r="O30">
        <f>COUNTIFS(DATOS!G:G,CONFIG_METADATA!$B$4,DATOS!I:I,B30,DATOS!K:K,4)</f>
        <v>0</v>
      </c>
      <c r="P30">
        <f>COUNTIFS(DATOS!G:G,CONFIG_METADATA!$B$4,DATOS!I:I,B30,DATOS!K:K,5)</f>
        <v>0</v>
      </c>
      <c r="Q30">
        <f>COUNTIFS(DATOS!G:G,CONFIG_METADATA!$B$4,DATOS!I:I,B30,DATOS!K:K,6)</f>
        <v>0</v>
      </c>
      <c r="R30">
        <f>COUNTIFS(DATOS!G:G,CONFIG_METADATA!$B$4,DATOS!I:I,B30,DATOS!K:K,7)</f>
        <v>0</v>
      </c>
      <c r="S30">
        <f>COUNTIFS(DATOS!G:G,CONFIG_METADATA!$B$4,DATOS!I:I,B30,DATOS!K:K,8)</f>
        <v>0</v>
      </c>
      <c r="T30">
        <f>COUNTIFS(DATOS!G:G,CONFIG_METADATA!$B$4,DATOS!I:I,B30,DATOS!K:K,9)</f>
        <v>0</v>
      </c>
      <c r="U30">
        <f>COUNTIFS(DATOS!G:G,CONFIG_METADATA!$B$4,DATOS!I:I,B30,DATOS!K:K,10)</f>
        <v>0</v>
      </c>
    </row>
    <row r="31" spans="1:22">
      <c r="A31" s="3" t="inlineStr">
        <is>
          <t xml:space="preserve">GLOBAL</t>
        </is>
      </c>
      <c r="B31" s="3">
        <f>IFERROR(INDEX(_xlfn._xlws.FILTER(CONFIG_ASIGNATURAS!$B$2:$B$27,CONFIG_ASIGNATURAS!$G$2:$G$27="Sí"),27),"")</f>
      </c>
      <c r="C31" s="3">
        <f>IF(B31="","",IFERROR(IF(VLOOKUP(B31,CONFIG_ASIGNATURAS!$B$2:$F$27,5,FALSE())="Sí","Especialidad","Asignatura"),"Asignatura"))</f>
      </c>
      <c r="D31">
        <f>COUNTIFS(DATOS!G:G,CONFIG_METADATA!$B$4,DATOS!I:I,B31)</f>
        <v>0</v>
      </c>
      <c r="E31" s="14" t="str">
        <f>IFERROR(AVERAGEIFS(DATOS!K:K,DATOS!G:G,CONFIG_METADATA!$B$4,DATOS!I:I,B31),"—")</f>
        <v>—</v>
      </c>
      <c r="F31" s="14" t="str" cm="1">
        <f t="array" ref="F31">IFERROR(_xlfn.STDEV.P(IF((DATOS!$G$2:$G$20000=CONFIG_METADATA!$B$4)*(DATOS!$I$2:$I$20000=B31),DATOS!$K$2:$K$20000)),"—")</f>
        <v>—</v>
      </c>
      <c r="G31" t="str" cm="1">
        <f t="array" ref="G31">IFERROR(_xlfn.MODE.SNGL(IF((DATOS!$G$2:$G$20000=CONFIG_METADATA!$B$4)*(DATOS!$I$2:$I$20000=B31),DATOS!$K$2:$K$20000)),"—")</f>
        <v>—</v>
      </c>
      <c r="H31" s="15" t="str">
        <f>IFERROR(COUNTIFS(DATOS!G:G,CONFIG_METADATA!$B$4,DATOS!I:I,B31,DATOS!L:L,"S")/COUNTIFS(DATOS!G:G,CONFIG_METADATA!$B$4,DATOS!I:I,B31),"—")</f>
        <v>—</v>
      </c>
      <c r="I31" s="15" t="str">
        <f>IFERROR(COUNTIFS(DATOS!G:G,CONFIG_METADATA!$B$4,DATOS!I:I,B31,DATOS!L:L,"N")/COUNTIFS(DATOS!G:G,CONFIG_METADATA!$B$4,DATOS!I:I,B31),"—")</f>
        <v>—</v>
      </c>
      <c r="J31" t="str" cm="1">
        <f t="array" ref="J31">IFERROR(_xlfn.MODE.SNGL(IF((DATOS!$G$2:$G$20000=CONFIG_METADATA!$B$4)*(DATOS!$I$2:$I$20000=B31)*(DATOS!$L$2:$L$20000="S"),DATOS!$K$2:$K$20000)),"—")</f>
        <v>—</v>
      </c>
      <c r="K31" t="str" cm="1">
        <f t="array" ref="K31">IFERROR(_xlfn.MODE.SNGL(IF((DATOS!$G$2:$G$20000=CONFIG_METADATA!$B$4)*(DATOS!$I$2:$I$20000=B31)*(DATOS!$L$2:$L$20000="N"),DATOS!$K$2:$K$20000)),"—")</f>
        <v>—</v>
      </c>
      <c r="L31">
        <f>COUNTIFS(DATOS!G:G,CONFIG_METADATA!$B$4,DATOS!I:I,B31,DATOS!K:K,1)</f>
        <v>0</v>
      </c>
      <c r="M31">
        <f>COUNTIFS(DATOS!G:G,CONFIG_METADATA!$B$4,DATOS!I:I,B31,DATOS!K:K,2)</f>
        <v>0</v>
      </c>
      <c r="N31">
        <f>COUNTIFS(DATOS!G:G,CONFIG_METADATA!$B$4,DATOS!I:I,B31,DATOS!K:K,3)</f>
        <v>0</v>
      </c>
      <c r="O31">
        <f>COUNTIFS(DATOS!G:G,CONFIG_METADATA!$B$4,DATOS!I:I,B31,DATOS!K:K,4)</f>
        <v>0</v>
      </c>
      <c r="P31">
        <f>COUNTIFS(DATOS!G:G,CONFIG_METADATA!$B$4,DATOS!I:I,B31,DATOS!K:K,5)</f>
        <v>0</v>
      </c>
      <c r="Q31">
        <f>COUNTIFS(DATOS!G:G,CONFIG_METADATA!$B$4,DATOS!I:I,B31,DATOS!K:K,6)</f>
        <v>0</v>
      </c>
      <c r="R31">
        <f>COUNTIFS(DATOS!G:G,CONFIG_METADATA!$B$4,DATOS!I:I,B31,DATOS!K:K,7)</f>
        <v>0</v>
      </c>
      <c r="S31">
        <f>COUNTIFS(DATOS!G:G,CONFIG_METADATA!$B$4,DATOS!I:I,B31,DATOS!K:K,8)</f>
        <v>0</v>
      </c>
      <c r="T31">
        <f>COUNTIFS(DATOS!G:G,CONFIG_METADATA!$B$4,DATOS!I:I,B31,DATOS!K:K,9)</f>
        <v>0</v>
      </c>
      <c r="U31">
        <f>COUNTIFS(DATOS!G:G,CONFIG_METADATA!$B$4,DATOS!I:I,B31,DATOS!K:K,10)</f>
        <v>0</v>
      </c>
    </row>
    <row r="32" spans="1:22">
      <c r="A32" s="3" t="inlineStr">
        <is>
          <t xml:space="preserve">GLOBAL</t>
        </is>
      </c>
      <c r="B32" s="3">
        <f>IFERROR(INDEX(_xlfn._xlws.FILTER(CONFIG_ASIGNATURAS!$B$2:$B$27,CONFIG_ASIGNATURAS!$G$2:$G$27="Sí"),28),"")</f>
      </c>
      <c r="C32" s="3">
        <f>IF(B32="","",IFERROR(IF(VLOOKUP(B32,CONFIG_ASIGNATURAS!$B$2:$F$27,5,FALSE())="Sí","Especialidad","Asignatura"),"Asignatura"))</f>
      </c>
      <c r="D32">
        <f>COUNTIFS(DATOS!G:G,CONFIG_METADATA!$B$4,DATOS!I:I,B32)</f>
        <v>0</v>
      </c>
      <c r="E32" s="14" t="str">
        <f>IFERROR(AVERAGEIFS(DATOS!K:K,DATOS!G:G,CONFIG_METADATA!$B$4,DATOS!I:I,B32),"—")</f>
        <v>—</v>
      </c>
      <c r="F32" s="14" t="str" cm="1">
        <f t="array" ref="F32">IFERROR(_xlfn.STDEV.P(IF((DATOS!$G$2:$G$20000=CONFIG_METADATA!$B$4)*(DATOS!$I$2:$I$20000=B32),DATOS!$K$2:$K$20000)),"—")</f>
        <v>—</v>
      </c>
      <c r="G32" t="str" cm="1">
        <f t="array" ref="G32">IFERROR(_xlfn.MODE.SNGL(IF((DATOS!$G$2:$G$20000=CONFIG_METADATA!$B$4)*(DATOS!$I$2:$I$20000=B32),DATOS!$K$2:$K$20000)),"—")</f>
        <v>—</v>
      </c>
      <c r="H32" s="15" t="str">
        <f>IFERROR(COUNTIFS(DATOS!G:G,CONFIG_METADATA!$B$4,DATOS!I:I,B32,DATOS!L:L,"S")/COUNTIFS(DATOS!G:G,CONFIG_METADATA!$B$4,DATOS!I:I,B32),"—")</f>
        <v>—</v>
      </c>
      <c r="I32" s="15" t="str">
        <f>IFERROR(COUNTIFS(DATOS!G:G,CONFIG_METADATA!$B$4,DATOS!I:I,B32,DATOS!L:L,"N")/COUNTIFS(DATOS!G:G,CONFIG_METADATA!$B$4,DATOS!I:I,B32),"—")</f>
        <v>—</v>
      </c>
      <c r="J32" t="str" cm="1">
        <f t="array" ref="J32">IFERROR(_xlfn.MODE.SNGL(IF((DATOS!$G$2:$G$20000=CONFIG_METADATA!$B$4)*(DATOS!$I$2:$I$20000=B32)*(DATOS!$L$2:$L$20000="S"),DATOS!$K$2:$K$20000)),"—")</f>
        <v>—</v>
      </c>
      <c r="K32" t="str" cm="1">
        <f t="array" ref="K32">IFERROR(_xlfn.MODE.SNGL(IF((DATOS!$G$2:$G$20000=CONFIG_METADATA!$B$4)*(DATOS!$I$2:$I$20000=B32)*(DATOS!$L$2:$L$20000="N"),DATOS!$K$2:$K$20000)),"—")</f>
        <v>—</v>
      </c>
      <c r="L32">
        <f>COUNTIFS(DATOS!G:G,CONFIG_METADATA!$B$4,DATOS!I:I,B32,DATOS!K:K,1)</f>
        <v>0</v>
      </c>
      <c r="M32">
        <f>COUNTIFS(DATOS!G:G,CONFIG_METADATA!$B$4,DATOS!I:I,B32,DATOS!K:K,2)</f>
        <v>0</v>
      </c>
      <c r="N32">
        <f>COUNTIFS(DATOS!G:G,CONFIG_METADATA!$B$4,DATOS!I:I,B32,DATOS!K:K,3)</f>
        <v>0</v>
      </c>
      <c r="O32">
        <f>COUNTIFS(DATOS!G:G,CONFIG_METADATA!$B$4,DATOS!I:I,B32,DATOS!K:K,4)</f>
        <v>0</v>
      </c>
      <c r="P32">
        <f>COUNTIFS(DATOS!G:G,CONFIG_METADATA!$B$4,DATOS!I:I,B32,DATOS!K:K,5)</f>
        <v>0</v>
      </c>
      <c r="Q32">
        <f>COUNTIFS(DATOS!G:G,CONFIG_METADATA!$B$4,DATOS!I:I,B32,DATOS!K:K,6)</f>
        <v>0</v>
      </c>
      <c r="R32">
        <f>COUNTIFS(DATOS!G:G,CONFIG_METADATA!$B$4,DATOS!I:I,B32,DATOS!K:K,7)</f>
        <v>0</v>
      </c>
      <c r="S32">
        <f>COUNTIFS(DATOS!G:G,CONFIG_METADATA!$B$4,DATOS!I:I,B32,DATOS!K:K,8)</f>
        <v>0</v>
      </c>
      <c r="T32">
        <f>COUNTIFS(DATOS!G:G,CONFIG_METADATA!$B$4,DATOS!I:I,B32,DATOS!K:K,9)</f>
        <v>0</v>
      </c>
      <c r="U32">
        <f>COUNTIFS(DATOS!G:G,CONFIG_METADATA!$B$4,DATOS!I:I,B32,DATOS!K:K,10)</f>
        <v>0</v>
      </c>
    </row>
    <row r="33" spans="1:22">
      <c r="A33" s="3" t="inlineStr">
        <is>
          <t xml:space="preserve">GLOBAL</t>
        </is>
      </c>
      <c r="B33" s="3">
        <f>IFERROR(INDEX(_xlfn._xlws.FILTER(CONFIG_ASIGNATURAS!$B$2:$B$27,CONFIG_ASIGNATURAS!$G$2:$G$27="Sí"),29),"")</f>
      </c>
      <c r="C33" s="3">
        <f>IF(B33="","",IFERROR(IF(VLOOKUP(B33,CONFIG_ASIGNATURAS!$B$2:$F$27,5,FALSE())="Sí","Especialidad","Asignatura"),"Asignatura"))</f>
      </c>
      <c r="D33">
        <f>COUNTIFS(DATOS!G:G,CONFIG_METADATA!$B$4,DATOS!I:I,B33)</f>
        <v>0</v>
      </c>
      <c r="E33" s="14" t="str">
        <f>IFERROR(AVERAGEIFS(DATOS!K:K,DATOS!G:G,CONFIG_METADATA!$B$4,DATOS!I:I,B33),"—")</f>
        <v>—</v>
      </c>
      <c r="F33" s="14" t="str" cm="1">
        <f t="array" ref="F33">IFERROR(_xlfn.STDEV.P(IF((DATOS!$G$2:$G$20000=CONFIG_METADATA!$B$4)*(DATOS!$I$2:$I$20000=B33),DATOS!$K$2:$K$20000)),"—")</f>
        <v>—</v>
      </c>
      <c r="G33" t="str" cm="1">
        <f t="array" ref="G33">IFERROR(_xlfn.MODE.SNGL(IF((DATOS!$G$2:$G$20000=CONFIG_METADATA!$B$4)*(DATOS!$I$2:$I$20000=B33),DATOS!$K$2:$K$20000)),"—")</f>
        <v>—</v>
      </c>
      <c r="H33" s="15" t="str">
        <f>IFERROR(COUNTIFS(DATOS!G:G,CONFIG_METADATA!$B$4,DATOS!I:I,B33,DATOS!L:L,"S")/COUNTIFS(DATOS!G:G,CONFIG_METADATA!$B$4,DATOS!I:I,B33),"—")</f>
        <v>—</v>
      </c>
      <c r="I33" s="15" t="str">
        <f>IFERROR(COUNTIFS(DATOS!G:G,CONFIG_METADATA!$B$4,DATOS!I:I,B33,DATOS!L:L,"N")/COUNTIFS(DATOS!G:G,CONFIG_METADATA!$B$4,DATOS!I:I,B33),"—")</f>
        <v>—</v>
      </c>
      <c r="J33" t="str" cm="1">
        <f t="array" ref="J33">IFERROR(_xlfn.MODE.SNGL(IF((DATOS!$G$2:$G$20000=CONFIG_METADATA!$B$4)*(DATOS!$I$2:$I$20000=B33)*(DATOS!$L$2:$L$20000="S"),DATOS!$K$2:$K$20000)),"—")</f>
        <v>—</v>
      </c>
      <c r="K33" t="str" cm="1">
        <f t="array" ref="K33">IFERROR(_xlfn.MODE.SNGL(IF((DATOS!$G$2:$G$20000=CONFIG_METADATA!$B$4)*(DATOS!$I$2:$I$20000=B33)*(DATOS!$L$2:$L$20000="N"),DATOS!$K$2:$K$20000)),"—")</f>
        <v>—</v>
      </c>
      <c r="L33">
        <f>COUNTIFS(DATOS!G:G,CONFIG_METADATA!$B$4,DATOS!I:I,B33,DATOS!K:K,1)</f>
        <v>0</v>
      </c>
      <c r="M33">
        <f>COUNTIFS(DATOS!G:G,CONFIG_METADATA!$B$4,DATOS!I:I,B33,DATOS!K:K,2)</f>
        <v>0</v>
      </c>
      <c r="N33">
        <f>COUNTIFS(DATOS!G:G,CONFIG_METADATA!$B$4,DATOS!I:I,B33,DATOS!K:K,3)</f>
        <v>0</v>
      </c>
      <c r="O33">
        <f>COUNTIFS(DATOS!G:G,CONFIG_METADATA!$B$4,DATOS!I:I,B33,DATOS!K:K,4)</f>
        <v>0</v>
      </c>
      <c r="P33">
        <f>COUNTIFS(DATOS!G:G,CONFIG_METADATA!$B$4,DATOS!I:I,B33,DATOS!K:K,5)</f>
        <v>0</v>
      </c>
      <c r="Q33">
        <f>COUNTIFS(DATOS!G:G,CONFIG_METADATA!$B$4,DATOS!I:I,B33,DATOS!K:K,6)</f>
        <v>0</v>
      </c>
      <c r="R33">
        <f>COUNTIFS(DATOS!G:G,CONFIG_METADATA!$B$4,DATOS!I:I,B33,DATOS!K:K,7)</f>
        <v>0</v>
      </c>
      <c r="S33">
        <f>COUNTIFS(DATOS!G:G,CONFIG_METADATA!$B$4,DATOS!I:I,B33,DATOS!K:K,8)</f>
        <v>0</v>
      </c>
      <c r="T33">
        <f>COUNTIFS(DATOS!G:G,CONFIG_METADATA!$B$4,DATOS!I:I,B33,DATOS!K:K,9)</f>
        <v>0</v>
      </c>
      <c r="U33">
        <f>COUNTIFS(DATOS!G:G,CONFIG_METADATA!$B$4,DATOS!I:I,B33,DATOS!K:K,10)</f>
        <v>0</v>
      </c>
    </row>
    <row r="34" spans="1:22">
      <c r="A34" s="3" t="inlineStr">
        <is>
          <t xml:space="preserve">GLOBAL</t>
        </is>
      </c>
      <c r="B34" s="3">
        <f>IFERROR(INDEX(_xlfn._xlws.FILTER(CONFIG_ASIGNATURAS!$B$2:$B$27,CONFIG_ASIGNATURAS!$G$2:$G$27="Sí"),30),"")</f>
      </c>
      <c r="C34" s="3">
        <f>IF(B34="","",IFERROR(IF(VLOOKUP(B34,CONFIG_ASIGNATURAS!$B$2:$F$27,5,FALSE())="Sí","Especialidad","Asignatura"),"Asignatura"))</f>
      </c>
      <c r="D34">
        <f>COUNTIFS(DATOS!G:G,CONFIG_METADATA!$B$4,DATOS!I:I,B34)</f>
        <v>0</v>
      </c>
      <c r="E34" s="14" t="str">
        <f>IFERROR(AVERAGEIFS(DATOS!K:K,DATOS!G:G,CONFIG_METADATA!$B$4,DATOS!I:I,B34),"—")</f>
        <v>—</v>
      </c>
      <c r="F34" s="14" t="str" cm="1">
        <f t="array" ref="F34">IFERROR(_xlfn.STDEV.P(IF((DATOS!$G$2:$G$20000=CONFIG_METADATA!$B$4)*(DATOS!$I$2:$I$20000=B34),DATOS!$K$2:$K$20000)),"—")</f>
        <v>—</v>
      </c>
      <c r="G34" t="str" cm="1">
        <f t="array" ref="G34">IFERROR(_xlfn.MODE.SNGL(IF((DATOS!$G$2:$G$20000=CONFIG_METADATA!$B$4)*(DATOS!$I$2:$I$20000=B34),DATOS!$K$2:$K$20000)),"—")</f>
        <v>—</v>
      </c>
      <c r="H34" s="15" t="str">
        <f>IFERROR(COUNTIFS(DATOS!G:G,CONFIG_METADATA!$B$4,DATOS!I:I,B34,DATOS!L:L,"S")/COUNTIFS(DATOS!G:G,CONFIG_METADATA!$B$4,DATOS!I:I,B34),"—")</f>
        <v>—</v>
      </c>
      <c r="I34" s="15" t="str">
        <f>IFERROR(COUNTIFS(DATOS!G:G,CONFIG_METADATA!$B$4,DATOS!I:I,B34,DATOS!L:L,"N")/COUNTIFS(DATOS!G:G,CONFIG_METADATA!$B$4,DATOS!I:I,B34),"—")</f>
        <v>—</v>
      </c>
      <c r="J34" t="str" cm="1">
        <f t="array" ref="J34">IFERROR(_xlfn.MODE.SNGL(IF((DATOS!$G$2:$G$20000=CONFIG_METADATA!$B$4)*(DATOS!$I$2:$I$20000=B34)*(DATOS!$L$2:$L$20000="S"),DATOS!$K$2:$K$20000)),"—")</f>
        <v>—</v>
      </c>
      <c r="K34" t="str" cm="1">
        <f t="array" ref="K34">IFERROR(_xlfn.MODE.SNGL(IF((DATOS!$G$2:$G$20000=CONFIG_METADATA!$B$4)*(DATOS!$I$2:$I$20000=B34)*(DATOS!$L$2:$L$20000="N"),DATOS!$K$2:$K$20000)),"—")</f>
        <v>—</v>
      </c>
      <c r="L34">
        <f>COUNTIFS(DATOS!G:G,CONFIG_METADATA!$B$4,DATOS!I:I,B34,DATOS!K:K,1)</f>
        <v>0</v>
      </c>
      <c r="M34">
        <f>COUNTIFS(DATOS!G:G,CONFIG_METADATA!$B$4,DATOS!I:I,B34,DATOS!K:K,2)</f>
        <v>0</v>
      </c>
      <c r="N34">
        <f>COUNTIFS(DATOS!G:G,CONFIG_METADATA!$B$4,DATOS!I:I,B34,DATOS!K:K,3)</f>
        <v>0</v>
      </c>
      <c r="O34">
        <f>COUNTIFS(DATOS!G:G,CONFIG_METADATA!$B$4,DATOS!I:I,B34,DATOS!K:K,4)</f>
        <v>0</v>
      </c>
      <c r="P34">
        <f>COUNTIFS(DATOS!G:G,CONFIG_METADATA!$B$4,DATOS!I:I,B34,DATOS!K:K,5)</f>
        <v>0</v>
      </c>
      <c r="Q34">
        <f>COUNTIFS(DATOS!G:G,CONFIG_METADATA!$B$4,DATOS!I:I,B34,DATOS!K:K,6)</f>
        <v>0</v>
      </c>
      <c r="R34">
        <f>COUNTIFS(DATOS!G:G,CONFIG_METADATA!$B$4,DATOS!I:I,B34,DATOS!K:K,7)</f>
        <v>0</v>
      </c>
      <c r="S34">
        <f>COUNTIFS(DATOS!G:G,CONFIG_METADATA!$B$4,DATOS!I:I,B34,DATOS!K:K,8)</f>
        <v>0</v>
      </c>
      <c r="T34">
        <f>COUNTIFS(DATOS!G:G,CONFIG_METADATA!$B$4,DATOS!I:I,B34,DATOS!K:K,9)</f>
        <v>0</v>
      </c>
      <c r="U34">
        <f>COUNTIFS(DATOS!G:G,CONFIG_METADATA!$B$4,DATOS!I:I,B34,DATOS!K:K,10)</f>
        <v>0</v>
      </c>
    </row>
    <row r="35" spans="1:22">
      <c r="A35" s="3" t="inlineStr">
        <is>
          <t xml:space="preserve">GLOBAL</t>
        </is>
      </c>
      <c r="B35" s="3">
        <f>IFERROR(INDEX(_xlfn._xlws.FILTER(CONFIG_ASIGNATURAS!$B$2:$B$27,CONFIG_ASIGNATURAS!$G$2:$G$27="Sí"),31),"")</f>
      </c>
      <c r="C35" s="3">
        <f>IF(B35="","",IFERROR(IF(VLOOKUP(B35,CONFIG_ASIGNATURAS!$B$2:$F$27,5,FALSE())="Sí","Especialidad","Asignatura"),"Asignatura"))</f>
      </c>
      <c r="D35">
        <f>COUNTIFS(DATOS!G:G,CONFIG_METADATA!$B$4,DATOS!I:I,B35)</f>
        <v>0</v>
      </c>
      <c r="E35" s="14" t="str">
        <f>IFERROR(AVERAGEIFS(DATOS!K:K,DATOS!G:G,CONFIG_METADATA!$B$4,DATOS!I:I,B35),"—")</f>
        <v>—</v>
      </c>
      <c r="F35" s="14" t="str" cm="1">
        <f t="array" ref="F35">IFERROR(_xlfn.STDEV.P(IF((DATOS!$G$2:$G$20000=CONFIG_METADATA!$B$4)*(DATOS!$I$2:$I$20000=B35),DATOS!$K$2:$K$20000)),"—")</f>
        <v>—</v>
      </c>
      <c r="G35" t="str" cm="1">
        <f t="array" ref="G35">IFERROR(_xlfn.MODE.SNGL(IF((DATOS!$G$2:$G$20000=CONFIG_METADATA!$B$4)*(DATOS!$I$2:$I$20000=B35),DATOS!$K$2:$K$20000)),"—")</f>
        <v>—</v>
      </c>
      <c r="H35" s="15" t="str">
        <f>IFERROR(COUNTIFS(DATOS!G:G,CONFIG_METADATA!$B$4,DATOS!I:I,B35,DATOS!L:L,"S")/COUNTIFS(DATOS!G:G,CONFIG_METADATA!$B$4,DATOS!I:I,B35),"—")</f>
        <v>—</v>
      </c>
      <c r="I35" s="15" t="str">
        <f>IFERROR(COUNTIFS(DATOS!G:G,CONFIG_METADATA!$B$4,DATOS!I:I,B35,DATOS!L:L,"N")/COUNTIFS(DATOS!G:G,CONFIG_METADATA!$B$4,DATOS!I:I,B35),"—")</f>
        <v>—</v>
      </c>
      <c r="J35" t="str" cm="1">
        <f t="array" ref="J35">IFERROR(_xlfn.MODE.SNGL(IF((DATOS!$G$2:$G$20000=CONFIG_METADATA!$B$4)*(DATOS!$I$2:$I$20000=B35)*(DATOS!$L$2:$L$20000="S"),DATOS!$K$2:$K$20000)),"—")</f>
        <v>—</v>
      </c>
      <c r="K35" t="str" cm="1">
        <f t="array" ref="K35">IFERROR(_xlfn.MODE.SNGL(IF((DATOS!$G$2:$G$20000=CONFIG_METADATA!$B$4)*(DATOS!$I$2:$I$20000=B35)*(DATOS!$L$2:$L$20000="N"),DATOS!$K$2:$K$20000)),"—")</f>
        <v>—</v>
      </c>
      <c r="L35">
        <f>COUNTIFS(DATOS!G:G,CONFIG_METADATA!$B$4,DATOS!I:I,B35,DATOS!K:K,1)</f>
        <v>0</v>
      </c>
      <c r="M35">
        <f>COUNTIFS(DATOS!G:G,CONFIG_METADATA!$B$4,DATOS!I:I,B35,DATOS!K:K,2)</f>
        <v>0</v>
      </c>
      <c r="N35">
        <f>COUNTIFS(DATOS!G:G,CONFIG_METADATA!$B$4,DATOS!I:I,B35,DATOS!K:K,3)</f>
        <v>0</v>
      </c>
      <c r="O35">
        <f>COUNTIFS(DATOS!G:G,CONFIG_METADATA!$B$4,DATOS!I:I,B35,DATOS!K:K,4)</f>
        <v>0</v>
      </c>
      <c r="P35">
        <f>COUNTIFS(DATOS!G:G,CONFIG_METADATA!$B$4,DATOS!I:I,B35,DATOS!K:K,5)</f>
        <v>0</v>
      </c>
      <c r="Q35">
        <f>COUNTIFS(DATOS!G:G,CONFIG_METADATA!$B$4,DATOS!I:I,B35,DATOS!K:K,6)</f>
        <v>0</v>
      </c>
      <c r="R35">
        <f>COUNTIFS(DATOS!G:G,CONFIG_METADATA!$B$4,DATOS!I:I,B35,DATOS!K:K,7)</f>
        <v>0</v>
      </c>
      <c r="S35">
        <f>COUNTIFS(DATOS!G:G,CONFIG_METADATA!$B$4,DATOS!I:I,B35,DATOS!K:K,8)</f>
        <v>0</v>
      </c>
      <c r="T35">
        <f>COUNTIFS(DATOS!G:G,CONFIG_METADATA!$B$4,DATOS!I:I,B35,DATOS!K:K,9)</f>
        <v>0</v>
      </c>
      <c r="U35">
        <f>COUNTIFS(DATOS!G:G,CONFIG_METADATA!$B$4,DATOS!I:I,B35,DATOS!K:K,10)</f>
        <v>0</v>
      </c>
    </row>
    <row r="36" spans="1:22">
      <c r="A36" s="3" t="inlineStr">
        <is>
          <t xml:space="preserve">GLOBAL</t>
        </is>
      </c>
      <c r="B36" s="3">
        <f>IFERROR(INDEX(_xlfn._xlws.FILTER(CONFIG_ASIGNATURAS!$B$2:$B$27,CONFIG_ASIGNATURAS!$G$2:$G$27="Sí"),32),"")</f>
      </c>
      <c r="C36" s="3">
        <f>IF(B36="","",IFERROR(IF(VLOOKUP(B36,CONFIG_ASIGNATURAS!$B$2:$F$27,5,FALSE())="Sí","Especialidad","Asignatura"),"Asignatura"))</f>
      </c>
      <c r="D36">
        <f>COUNTIFS(DATOS!G:G,CONFIG_METADATA!$B$4,DATOS!I:I,B36)</f>
        <v>0</v>
      </c>
      <c r="E36" s="14" t="str">
        <f>IFERROR(AVERAGEIFS(DATOS!K:K,DATOS!G:G,CONFIG_METADATA!$B$4,DATOS!I:I,B36),"—")</f>
        <v>—</v>
      </c>
      <c r="F36" s="14" t="str" cm="1">
        <f t="array" ref="F36">IFERROR(_xlfn.STDEV.P(IF((DATOS!$G$2:$G$20000=CONFIG_METADATA!$B$4)*(DATOS!$I$2:$I$20000=B36),DATOS!$K$2:$K$20000)),"—")</f>
        <v>—</v>
      </c>
      <c r="G36" t="str" cm="1">
        <f t="array" ref="G36">IFERROR(_xlfn.MODE.SNGL(IF((DATOS!$G$2:$G$20000=CONFIG_METADATA!$B$4)*(DATOS!$I$2:$I$20000=B36),DATOS!$K$2:$K$20000)),"—")</f>
        <v>—</v>
      </c>
      <c r="H36" s="15" t="str">
        <f>IFERROR(COUNTIFS(DATOS!G:G,CONFIG_METADATA!$B$4,DATOS!I:I,B36,DATOS!L:L,"S")/COUNTIFS(DATOS!G:G,CONFIG_METADATA!$B$4,DATOS!I:I,B36),"—")</f>
        <v>—</v>
      </c>
      <c r="I36" s="15" t="str">
        <f>IFERROR(COUNTIFS(DATOS!G:G,CONFIG_METADATA!$B$4,DATOS!I:I,B36,DATOS!L:L,"N")/COUNTIFS(DATOS!G:G,CONFIG_METADATA!$B$4,DATOS!I:I,B36),"—")</f>
        <v>—</v>
      </c>
      <c r="J36" t="str" cm="1">
        <f t="array" ref="J36">IFERROR(_xlfn.MODE.SNGL(IF((DATOS!$G$2:$G$20000=CONFIG_METADATA!$B$4)*(DATOS!$I$2:$I$20000=B36)*(DATOS!$L$2:$L$20000="S"),DATOS!$K$2:$K$20000)),"—")</f>
        <v>—</v>
      </c>
      <c r="K36" t="str" cm="1">
        <f t="array" ref="K36">IFERROR(_xlfn.MODE.SNGL(IF((DATOS!$G$2:$G$20000=CONFIG_METADATA!$B$4)*(DATOS!$I$2:$I$20000=B36)*(DATOS!$L$2:$L$20000="N"),DATOS!$K$2:$K$20000)),"—")</f>
        <v>—</v>
      </c>
      <c r="L36">
        <f>COUNTIFS(DATOS!G:G,CONFIG_METADATA!$B$4,DATOS!I:I,B36,DATOS!K:K,1)</f>
        <v>0</v>
      </c>
      <c r="M36">
        <f>COUNTIFS(DATOS!G:G,CONFIG_METADATA!$B$4,DATOS!I:I,B36,DATOS!K:K,2)</f>
        <v>0</v>
      </c>
      <c r="N36">
        <f>COUNTIFS(DATOS!G:G,CONFIG_METADATA!$B$4,DATOS!I:I,B36,DATOS!K:K,3)</f>
        <v>0</v>
      </c>
      <c r="O36">
        <f>COUNTIFS(DATOS!G:G,CONFIG_METADATA!$B$4,DATOS!I:I,B36,DATOS!K:K,4)</f>
        <v>0</v>
      </c>
      <c r="P36">
        <f>COUNTIFS(DATOS!G:G,CONFIG_METADATA!$B$4,DATOS!I:I,B36,DATOS!K:K,5)</f>
        <v>0</v>
      </c>
      <c r="Q36">
        <f>COUNTIFS(DATOS!G:G,CONFIG_METADATA!$B$4,DATOS!I:I,B36,DATOS!K:K,6)</f>
        <v>0</v>
      </c>
      <c r="R36">
        <f>COUNTIFS(DATOS!G:G,CONFIG_METADATA!$B$4,DATOS!I:I,B36,DATOS!K:K,7)</f>
        <v>0</v>
      </c>
      <c r="S36">
        <f>COUNTIFS(DATOS!G:G,CONFIG_METADATA!$B$4,DATOS!I:I,B36,DATOS!K:K,8)</f>
        <v>0</v>
      </c>
      <c r="T36">
        <f>COUNTIFS(DATOS!G:G,CONFIG_METADATA!$B$4,DATOS!I:I,B36,DATOS!K:K,9)</f>
        <v>0</v>
      </c>
      <c r="U36">
        <f>COUNTIFS(DATOS!G:G,CONFIG_METADATA!$B$4,DATOS!I:I,B36,DATOS!K:K,10)</f>
        <v>0</v>
      </c>
    </row>
    <row r="37" spans="1:22">
      <c r="A37" s="3" t="inlineStr">
        <is>
          <t xml:space="preserve">GLOBAL</t>
        </is>
      </c>
      <c r="B37" s="3">
        <f>IFERROR(INDEX(_xlfn._xlws.FILTER(CONFIG_ASIGNATURAS!$B$2:$B$27,CONFIG_ASIGNATURAS!$G$2:$G$27="Sí"),33),"")</f>
      </c>
      <c r="C37" s="3">
        <f>IF(B37="","",IFERROR(IF(VLOOKUP(B37,CONFIG_ASIGNATURAS!$B$2:$F$27,5,FALSE())="Sí","Especialidad","Asignatura"),"Asignatura"))</f>
      </c>
      <c r="D37">
        <f>COUNTIFS(DATOS!G:G,CONFIG_METADATA!$B$4,DATOS!I:I,B37)</f>
        <v>0</v>
      </c>
      <c r="E37" s="14" t="str">
        <f>IFERROR(AVERAGEIFS(DATOS!K:K,DATOS!G:G,CONFIG_METADATA!$B$4,DATOS!I:I,B37),"—")</f>
        <v>—</v>
      </c>
      <c r="F37" s="14" t="str" cm="1">
        <f t="array" ref="F37">IFERROR(_xlfn.STDEV.P(IF((DATOS!$G$2:$G$20000=CONFIG_METADATA!$B$4)*(DATOS!$I$2:$I$20000=B37),DATOS!$K$2:$K$20000)),"—")</f>
        <v>—</v>
      </c>
      <c r="G37" t="str" cm="1">
        <f t="array" ref="G37">IFERROR(_xlfn.MODE.SNGL(IF((DATOS!$G$2:$G$20000=CONFIG_METADATA!$B$4)*(DATOS!$I$2:$I$20000=B37),DATOS!$K$2:$K$20000)),"—")</f>
        <v>—</v>
      </c>
      <c r="H37" s="15" t="str">
        <f>IFERROR(COUNTIFS(DATOS!G:G,CONFIG_METADATA!$B$4,DATOS!I:I,B37,DATOS!L:L,"S")/COUNTIFS(DATOS!G:G,CONFIG_METADATA!$B$4,DATOS!I:I,B37),"—")</f>
        <v>—</v>
      </c>
      <c r="I37" s="15" t="str">
        <f>IFERROR(COUNTIFS(DATOS!G:G,CONFIG_METADATA!$B$4,DATOS!I:I,B37,DATOS!L:L,"N")/COUNTIFS(DATOS!G:G,CONFIG_METADATA!$B$4,DATOS!I:I,B37),"—")</f>
        <v>—</v>
      </c>
      <c r="J37" t="str" cm="1">
        <f t="array" ref="J37">IFERROR(_xlfn.MODE.SNGL(IF((DATOS!$G$2:$G$20000=CONFIG_METADATA!$B$4)*(DATOS!$I$2:$I$20000=B37)*(DATOS!$L$2:$L$20000="S"),DATOS!$K$2:$K$20000)),"—")</f>
        <v>—</v>
      </c>
      <c r="K37" t="str" cm="1">
        <f t="array" ref="K37">IFERROR(_xlfn.MODE.SNGL(IF((DATOS!$G$2:$G$20000=CONFIG_METADATA!$B$4)*(DATOS!$I$2:$I$20000=B37)*(DATOS!$L$2:$L$20000="N"),DATOS!$K$2:$K$20000)),"—")</f>
        <v>—</v>
      </c>
      <c r="L37">
        <f>COUNTIFS(DATOS!G:G,CONFIG_METADATA!$B$4,DATOS!I:I,B37,DATOS!K:K,1)</f>
        <v>0</v>
      </c>
      <c r="M37">
        <f>COUNTIFS(DATOS!G:G,CONFIG_METADATA!$B$4,DATOS!I:I,B37,DATOS!K:K,2)</f>
        <v>0</v>
      </c>
      <c r="N37">
        <f>COUNTIFS(DATOS!G:G,CONFIG_METADATA!$B$4,DATOS!I:I,B37,DATOS!K:K,3)</f>
        <v>0</v>
      </c>
      <c r="O37">
        <f>COUNTIFS(DATOS!G:G,CONFIG_METADATA!$B$4,DATOS!I:I,B37,DATOS!K:K,4)</f>
        <v>0</v>
      </c>
      <c r="P37">
        <f>COUNTIFS(DATOS!G:G,CONFIG_METADATA!$B$4,DATOS!I:I,B37,DATOS!K:K,5)</f>
        <v>0</v>
      </c>
      <c r="Q37">
        <f>COUNTIFS(DATOS!G:G,CONFIG_METADATA!$B$4,DATOS!I:I,B37,DATOS!K:K,6)</f>
        <v>0</v>
      </c>
      <c r="R37">
        <f>COUNTIFS(DATOS!G:G,CONFIG_METADATA!$B$4,DATOS!I:I,B37,DATOS!K:K,7)</f>
        <v>0</v>
      </c>
      <c r="S37">
        <f>COUNTIFS(DATOS!G:G,CONFIG_METADATA!$B$4,DATOS!I:I,B37,DATOS!K:K,8)</f>
        <v>0</v>
      </c>
      <c r="T37">
        <f>COUNTIFS(DATOS!G:G,CONFIG_METADATA!$B$4,DATOS!I:I,B37,DATOS!K:K,9)</f>
        <v>0</v>
      </c>
      <c r="U37">
        <f>COUNTIFS(DATOS!G:G,CONFIG_METADATA!$B$4,DATOS!I:I,B37,DATOS!K:K,10)</f>
        <v>0</v>
      </c>
    </row>
    <row r="38" spans="1:22">
      <c r="A38" s="3" t="inlineStr">
        <is>
          <t xml:space="preserve">GLOBAL</t>
        </is>
      </c>
      <c r="B38" s="3">
        <f>IFERROR(INDEX(_xlfn._xlws.FILTER(CONFIG_ASIGNATURAS!$B$2:$B$27,CONFIG_ASIGNATURAS!$G$2:$G$27="Sí"),34),"")</f>
      </c>
      <c r="C38" s="3">
        <f>IF(B38="","",IFERROR(IF(VLOOKUP(B38,CONFIG_ASIGNATURAS!$B$2:$F$27,5,FALSE())="Sí","Especialidad","Asignatura"),"Asignatura"))</f>
      </c>
      <c r="D38">
        <f>COUNTIFS(DATOS!G:G,CONFIG_METADATA!$B$4,DATOS!I:I,B38)</f>
        <v>0</v>
      </c>
      <c r="E38" s="14" t="str">
        <f>IFERROR(AVERAGEIFS(DATOS!K:K,DATOS!G:G,CONFIG_METADATA!$B$4,DATOS!I:I,B38),"—")</f>
        <v>—</v>
      </c>
      <c r="F38" s="14" t="str" cm="1">
        <f t="array" ref="F38">IFERROR(_xlfn.STDEV.P(IF((DATOS!$G$2:$G$20000=CONFIG_METADATA!$B$4)*(DATOS!$I$2:$I$20000=B38),DATOS!$K$2:$K$20000)),"—")</f>
        <v>—</v>
      </c>
      <c r="G38" t="str" cm="1">
        <f t="array" ref="G38">IFERROR(_xlfn.MODE.SNGL(IF((DATOS!$G$2:$G$20000=CONFIG_METADATA!$B$4)*(DATOS!$I$2:$I$20000=B38),DATOS!$K$2:$K$20000)),"—")</f>
        <v>—</v>
      </c>
      <c r="H38" s="15" t="str">
        <f>IFERROR(COUNTIFS(DATOS!G:G,CONFIG_METADATA!$B$4,DATOS!I:I,B38,DATOS!L:L,"S")/COUNTIFS(DATOS!G:G,CONFIG_METADATA!$B$4,DATOS!I:I,B38),"—")</f>
        <v>—</v>
      </c>
      <c r="I38" s="15" t="str">
        <f>IFERROR(COUNTIFS(DATOS!G:G,CONFIG_METADATA!$B$4,DATOS!I:I,B38,DATOS!L:L,"N")/COUNTIFS(DATOS!G:G,CONFIG_METADATA!$B$4,DATOS!I:I,B38),"—")</f>
        <v>—</v>
      </c>
      <c r="J38" t="str" cm="1">
        <f t="array" ref="J38">IFERROR(_xlfn.MODE.SNGL(IF((DATOS!$G$2:$G$20000=CONFIG_METADATA!$B$4)*(DATOS!$I$2:$I$20000=B38)*(DATOS!$L$2:$L$20000="S"),DATOS!$K$2:$K$20000)),"—")</f>
        <v>—</v>
      </c>
      <c r="K38" t="str" cm="1">
        <f t="array" ref="K38">IFERROR(_xlfn.MODE.SNGL(IF((DATOS!$G$2:$G$20000=CONFIG_METADATA!$B$4)*(DATOS!$I$2:$I$20000=B38)*(DATOS!$L$2:$L$20000="N"),DATOS!$K$2:$K$20000)),"—")</f>
        <v>—</v>
      </c>
      <c r="L38">
        <f>COUNTIFS(DATOS!G:G,CONFIG_METADATA!$B$4,DATOS!I:I,B38,DATOS!K:K,1)</f>
        <v>0</v>
      </c>
      <c r="M38">
        <f>COUNTIFS(DATOS!G:G,CONFIG_METADATA!$B$4,DATOS!I:I,B38,DATOS!K:K,2)</f>
        <v>0</v>
      </c>
      <c r="N38">
        <f>COUNTIFS(DATOS!G:G,CONFIG_METADATA!$B$4,DATOS!I:I,B38,DATOS!K:K,3)</f>
        <v>0</v>
      </c>
      <c r="O38">
        <f>COUNTIFS(DATOS!G:G,CONFIG_METADATA!$B$4,DATOS!I:I,B38,DATOS!K:K,4)</f>
        <v>0</v>
      </c>
      <c r="P38">
        <f>COUNTIFS(DATOS!G:G,CONFIG_METADATA!$B$4,DATOS!I:I,B38,DATOS!K:K,5)</f>
        <v>0</v>
      </c>
      <c r="Q38">
        <f>COUNTIFS(DATOS!G:G,CONFIG_METADATA!$B$4,DATOS!I:I,B38,DATOS!K:K,6)</f>
        <v>0</v>
      </c>
      <c r="R38">
        <f>COUNTIFS(DATOS!G:G,CONFIG_METADATA!$B$4,DATOS!I:I,B38,DATOS!K:K,7)</f>
        <v>0</v>
      </c>
      <c r="S38">
        <f>COUNTIFS(DATOS!G:G,CONFIG_METADATA!$B$4,DATOS!I:I,B38,DATOS!K:K,8)</f>
        <v>0</v>
      </c>
      <c r="T38">
        <f>COUNTIFS(DATOS!G:G,CONFIG_METADATA!$B$4,DATOS!I:I,B38,DATOS!K:K,9)</f>
        <v>0</v>
      </c>
      <c r="U38">
        <f>COUNTIFS(DATOS!G:G,CONFIG_METADATA!$B$4,DATOS!I:I,B38,DATOS!K:K,10)</f>
        <v>0</v>
      </c>
    </row>
    <row r="39" spans="1:22">
      <c r="A39" s="3" t="inlineStr">
        <is>
          <t xml:space="preserve">1EEM</t>
        </is>
      </c>
      <c r="B39" s="3" t="inlineStr">
        <is>
          <t xml:space="preserve">Total</t>
        </is>
      </c>
      <c r="C39" s="3" t="inlineStr">
        <is>
          <t xml:space="preserve">Total</t>
        </is>
      </c>
      <c r="D39">
        <f>COUNTIFS(DATOS!G:G,CONFIG_METADATA!$B$4,DATOS!I:I,B39)</f>
        <v>0</v>
      </c>
      <c r="E39" s="14" t="str">
        <f>IFERROR(AVERAGEIFS(DATOS!K:K,DATOS!G:G,CONFIG_METADATA!$B$4,DATOS!I:I,B39),"—")</f>
        <v>—</v>
      </c>
      <c r="F39" s="14" t="str" cm="1">
        <f t="array" ref="F39">IFERROR(_xlfn.STDEV.P(IF((DATOS!$G$2:$G$20000=CONFIG_METADATA!$B$4)*(DATOS!$I$2:$I$20000=B39),DATOS!$K$2:$K$20000)),"—")</f>
        <v>—</v>
      </c>
      <c r="G39" t="str" cm="1">
        <f t="array" ref="G39">IFERROR(_xlfn.MODE.SNGL(IF((DATOS!$G$2:$G$20000=CONFIG_METADATA!$B$4)*(DATOS!$I$2:$I$20000=B39),DATOS!$K$2:$K$20000)),"—")</f>
        <v>—</v>
      </c>
      <c r="H39" s="15" t="str">
        <f>IFERROR(COUNTIFS(DATOS!G:G,CONFIG_METADATA!$B$4,DATOS!I:I,B39,DATOS!L:L,"S")/COUNTIFS(DATOS!G:G,CONFIG_METADATA!$B$4,DATOS!I:I,B39),"—")</f>
        <v>—</v>
      </c>
      <c r="I39" s="15" t="str">
        <f>IFERROR(COUNTIFS(DATOS!G:G,CONFIG_METADATA!$B$4,DATOS!I:I,B39,DATOS!L:L,"N")/COUNTIFS(DATOS!G:G,CONFIG_METADATA!$B$4,DATOS!I:I,B39),"—")</f>
        <v>—</v>
      </c>
      <c r="J39" t="str" cm="1">
        <f t="array" ref="J39">IFERROR(_xlfn.MODE.SNGL(IF((DATOS!$G$2:$G$20000=CONFIG_METADATA!$B$4)*(DATOS!$I$2:$I$20000=B39)*(DATOS!$L$2:$L$20000="S"),DATOS!$K$2:$K$20000)),"—")</f>
        <v>—</v>
      </c>
      <c r="K39" t="str" cm="1">
        <f t="array" ref="K39">IFERROR(_xlfn.MODE.SNGL(IF((DATOS!$G$2:$G$20000=CONFIG_METADATA!$B$4)*(DATOS!$I$2:$I$20000=B39)*(DATOS!$L$2:$L$20000="N"),DATOS!$K$2:$K$20000)),"—")</f>
        <v>—</v>
      </c>
      <c r="L39">
        <f>COUNTIFS(DATOS!G:G,CONFIG_METADATA!$B$4,DATOS!I:I,B39,DATOS!K:K,1)</f>
        <v>0</v>
      </c>
      <c r="M39">
        <f>COUNTIFS(DATOS!G:G,CONFIG_METADATA!$B$4,DATOS!I:I,B39,DATOS!K:K,2)</f>
        <v>0</v>
      </c>
      <c r="N39">
        <f>COUNTIFS(DATOS!G:G,CONFIG_METADATA!$B$4,DATOS!I:I,B39,DATOS!K:K,3)</f>
        <v>0</v>
      </c>
      <c r="O39">
        <f>COUNTIFS(DATOS!G:G,CONFIG_METADATA!$B$4,DATOS!I:I,B39,DATOS!K:K,4)</f>
        <v>0</v>
      </c>
      <c r="P39">
        <f>COUNTIFS(DATOS!G:G,CONFIG_METADATA!$B$4,DATOS!I:I,B39,DATOS!K:K,5)</f>
        <v>0</v>
      </c>
      <c r="Q39">
        <f>COUNTIFS(DATOS!G:G,CONFIG_METADATA!$B$4,DATOS!I:I,B39,DATOS!K:K,6)</f>
        <v>0</v>
      </c>
      <c r="R39">
        <f>COUNTIFS(DATOS!G:G,CONFIG_METADATA!$B$4,DATOS!I:I,B39,DATOS!K:K,7)</f>
        <v>0</v>
      </c>
      <c r="S39">
        <f>COUNTIFS(DATOS!G:G,CONFIG_METADATA!$B$4,DATOS!I:I,B39,DATOS!K:K,8)</f>
        <v>0</v>
      </c>
      <c r="T39">
        <f>COUNTIFS(DATOS!G:G,CONFIG_METADATA!$B$4,DATOS!I:I,B39,DATOS!K:K,9)</f>
        <v>0</v>
      </c>
      <c r="U39">
        <f>COUNTIFS(DATOS!G:G,CONFIG_METADATA!$B$4,DATOS!I:I,B39,DATOS!K:K,10)</f>
        <v>0</v>
      </c>
    </row>
    <row r="40" spans="1:22">
      <c r="A40" s="3" t="inlineStr">
        <is>
          <t xml:space="preserve">1EEM</t>
        </is>
      </c>
      <c r="B40" s="3" t="inlineStr">
        <is>
          <t xml:space="preserve">Total Especialidad</t>
        </is>
      </c>
      <c r="C40" s="3" t="inlineStr">
        <is>
          <t xml:space="preserve">TotalEsp</t>
        </is>
      </c>
      <c r="D40">
        <f>SUMPRODUCT((DATOS!$G$2:$G$20000=CONFIG_METADATA!$B$4)*(DATOS!$D$2:$D$20000=A40)*(COUNTIF(CONFIG_ASIGNATURAS!$B$5:$B$27,DATOS!$I$2:$I$20000)&gt;0)*1)</f>
      </c>
      <c r="E40" s="14">
        <f>IFERROR(AVERAGE(IF((DATOS!$G$2:$G$20000=CONFIG_METADATA!$B$4)*(DATOS!$D$2:$D$20000=A40)*(COUNTIF(CONFIG_ASIGNATURAS!$B$5:$B$27,DATOS!$I$2:$I$20000)&gt;0),DATOS!$K$2:$K$20000)),"—")</f>
      </c>
      <c r="F40" s="14">
        <f>IFERROR(_xlfn.STDEV.P(IF((DATOS!$G$2:$G$20000=CONFIG_METADATA!$B$4)*(DATOS!$D$2:$D$20000=A40)*(COUNTIF(CONFIG_ASIGNATURAS!$B$5:$B$27,DATOS!$I$2:$I$20000)&gt;0),DATOS!$K$2:$K$20000)),"—")</f>
      </c>
      <c r="G40">
        <f>IFERROR(_xlfn.MODE.SNGL(IF((DATOS!$G$2:$G$20000=CONFIG_METADATA!$B$4)*(DATOS!$D$2:$D$20000=A40)*(COUNTIF(CONFIG_ASIGNATURAS!$B$5:$B$27,DATOS!$I$2:$I$20000)&gt;0),DATOS!$K$2:$K$20000)),"—")</f>
      </c>
      <c r="H40" s="15">
        <f>IFERROR(SUMPRODUCT((DATOS!$G$2:$G$20000=CONFIG_METADATA!$B$4)*(DATOS!$D$2:$D$20000=A40)*(COUNTIF(CONFIG_ASIGNATURAS!$B$5:$B$27,DATOS!$I$2:$I$20000)&gt;0)*(DATOS!$L$2:$L$20000="S"))/SUMPRODUCT((DATOS!$G$2:$G$20000=CONFIG_METADATA!$B$4)*(DATOS!$D$2:$D$20000=A40)*(COUNTIF(CONFIG_ASIGNATURAS!$B$5:$B$27,DATOS!$I$2:$I$20000)&gt;0)*1),"—")</f>
      </c>
      <c r="I40" s="15">
        <f>IFERROR(SUMPRODUCT((DATOS!$G$2:$G$20000=CONFIG_METADATA!$B$4)*(DATOS!$D$2:$D$20000=A40)*(COUNTIF(CONFIG_ASIGNATURAS!$B$5:$B$27,DATOS!$I$2:$I$20000)&gt;0)*(DATOS!$L$2:$L$20000="N"))/SUMPRODUCT((DATOS!$G$2:$G$20000=CONFIG_METADATA!$B$4)*(DATOS!$D$2:$D$20000=A40)*(COUNTIF(CONFIG_ASIGNATURAS!$B$5:$B$27,DATOS!$I$2:$I$20000)&gt;0)*1),"—")</f>
      </c>
      <c r="J40">
        <f>IFERROR(_xlfn.MODE.SNGL(IF((DATOS!$G$2:$G$20000=CONFIG_METADATA!$B$4)*(DATOS!$D$2:$D$20000=A40)*(COUNTIF(CONFIG_ASIGNATURAS!$B$5:$B$27,DATOS!$I$2:$I$20000)&gt;0)*(DATOS!$L$2:$L$20000="S"),DATOS!$K$2:$K$20000)),"—")</f>
      </c>
      <c r="K40">
        <f>IFERROR(_xlfn.MODE.SNGL(IF((DATOS!$G$2:$G$20000=CONFIG_METADATA!$B$4)*(DATOS!$D$2:$D$20000=A40)*(COUNTIF(CONFIG_ASIGNATURAS!$B$5:$B$27,DATOS!$I$2:$I$20000)&gt;0)*(DATOS!$L$2:$L$20000="N"),DATOS!$K$2:$K$20000)),"—")</f>
      </c>
      <c r="L40">
        <f>SUMPRODUCT((DATOS!$G$2:$G$20000=CONFIG_METADATA!$B$4)*(DATOS!$D$2:$D$20000=A40)*(COUNTIF(CONFIG_ASIGNATURAS!$B$5:$B$27,DATOS!$I$2:$I$20000)&gt;0)*(DATOS!$K$2:$K$20000=1))</f>
      </c>
      <c r="M40">
        <f>SUMPRODUCT((DATOS!$G$2:$G$20000=CONFIG_METADATA!$B$4)*(DATOS!$D$2:$D$20000=A40)*(COUNTIF(CONFIG_ASIGNATURAS!$B$5:$B$27,DATOS!$I$2:$I$20000)&gt;0)*(DATOS!$K$2:$K$20000=2))</f>
      </c>
      <c r="N40">
        <f>SUMPRODUCT((DATOS!$G$2:$G$20000=CONFIG_METADATA!$B$4)*(DATOS!$D$2:$D$20000=A40)*(COUNTIF(CONFIG_ASIGNATURAS!$B$5:$B$27,DATOS!$I$2:$I$20000)&gt;0)*(DATOS!$K$2:$K$20000=3))</f>
      </c>
      <c r="O40">
        <f>SUMPRODUCT((DATOS!$G$2:$G$20000=CONFIG_METADATA!$B$4)*(DATOS!$D$2:$D$20000=A40)*(COUNTIF(CONFIG_ASIGNATURAS!$B$5:$B$27,DATOS!$I$2:$I$20000)&gt;0)*(DATOS!$K$2:$K$20000=4))</f>
      </c>
      <c r="P40">
        <f>SUMPRODUCT((DATOS!$G$2:$G$20000=CONFIG_METADATA!$B$4)*(DATOS!$D$2:$D$20000=A40)*(COUNTIF(CONFIG_ASIGNATURAS!$B$5:$B$27,DATOS!$I$2:$I$20000)&gt;0)*(DATOS!$K$2:$K$20000=5))</f>
      </c>
      <c r="Q40">
        <f>SUMPRODUCT((DATOS!$G$2:$G$20000=CONFIG_METADATA!$B$4)*(DATOS!$D$2:$D$20000=A40)*(COUNTIF(CONFIG_ASIGNATURAS!$B$5:$B$27,DATOS!$I$2:$I$20000)&gt;0)*(DATOS!$K$2:$K$20000=6))</f>
      </c>
      <c r="R40">
        <f>SUMPRODUCT((DATOS!$G$2:$G$20000=CONFIG_METADATA!$B$4)*(DATOS!$D$2:$D$20000=A40)*(COUNTIF(CONFIG_ASIGNATURAS!$B$5:$B$27,DATOS!$I$2:$I$20000)&gt;0)*(DATOS!$K$2:$K$20000=7))</f>
      </c>
      <c r="S40">
        <f>SUMPRODUCT((DATOS!$G$2:$G$20000=CONFIG_METADATA!$B$4)*(DATOS!$D$2:$D$20000=A40)*(COUNTIF(CONFIG_ASIGNATURAS!$B$5:$B$27,DATOS!$I$2:$I$20000)&gt;0)*(DATOS!$K$2:$K$20000=8))</f>
      </c>
      <c r="T40">
        <f>SUMPRODUCT((DATOS!$G$2:$G$20000=CONFIG_METADATA!$B$4)*(DATOS!$D$2:$D$20000=A40)*(COUNTIF(CONFIG_ASIGNATURAS!$B$5:$B$27,DATOS!$I$2:$I$20000)&gt;0)*(DATOS!$K$2:$K$20000=9))</f>
      </c>
      <c r="U40">
        <f>SUMPRODUCT((DATOS!$G$2:$G$20000=CONFIG_METADATA!$B$4)*(DATOS!$D$2:$D$20000=A40)*(COUNTIF(CONFIG_ASIGNATURAS!$B$5:$B$27,DATOS!$I$2:$I$20000)&gt;0)*(DATOS!$K$2:$K$20000=10))</f>
      </c>
    </row>
    <row r="41" spans="1:22">
      <c r="A41" s="3" t="inlineStr">
        <is>
          <t xml:space="preserve">1EEM</t>
        </is>
      </c>
      <c r="B41" s="3" t="inlineStr">
        <is>
          <t xml:space="preserve">Total no Especialidad</t>
        </is>
      </c>
      <c r="C41" s="3" t="inlineStr">
        <is>
          <t xml:space="preserve">TotalNoEsp</t>
        </is>
      </c>
      <c r="D41">
        <f>SUMPRODUCT((DATOS!$G$2:$G$20000=CONFIG_METADATA!$B$4)*(DATOS!$D$2:$D$20000=A41)*(COUNTIF(CONFIG_ASIGNATURAS!$B$2:$B$4,DATOS!$I$2:$I$20000)&gt;0)*1)</f>
      </c>
      <c r="E41" s="14">
        <f>IFERROR(AVERAGE(IF((DATOS!$G$2:$G$20000=CONFIG_METADATA!$B$4)*(DATOS!$D$2:$D$20000=A41)*(COUNTIF(CONFIG_ASIGNATURAS!$B$2:$B$4,DATOS!$I$2:$I$20000)&gt;0),DATOS!$K$2:$K$20000)),"—")</f>
      </c>
      <c r="F41" s="14">
        <f>IFERROR(_xlfn.STDEV.P(IF((DATOS!$G$2:$G$20000=CONFIG_METADATA!$B$4)*(DATOS!$D$2:$D$20000=A41)*(COUNTIF(CONFIG_ASIGNATURAS!$B$2:$B$4,DATOS!$I$2:$I$20000)&gt;0),DATOS!$K$2:$K$20000)),"—")</f>
      </c>
      <c r="G41">
        <f>IFERROR(_xlfn.MODE.SNGL(IF((DATOS!$G$2:$G$20000=CONFIG_METADATA!$B$4)*(DATOS!$D$2:$D$20000=A41)*(COUNTIF(CONFIG_ASIGNATURAS!$B$2:$B$4,DATOS!$I$2:$I$20000)&gt;0),DATOS!$K$2:$K$20000)),"—")</f>
      </c>
      <c r="H41" s="15">
        <f>IFERROR(SUMPRODUCT((DATOS!$G$2:$G$20000=CONFIG_METADATA!$B$4)*(DATOS!$D$2:$D$20000=A41)*(COUNTIF(CONFIG_ASIGNATURAS!$B$2:$B$4,DATOS!$I$2:$I$20000)&gt;0)*(DATOS!$L$2:$L$20000="S"))/SUMPRODUCT((DATOS!$G$2:$G$20000=CONFIG_METADATA!$B$4)*(DATOS!$D$2:$D$20000=A41)*(COUNTIF(CONFIG_ASIGNATURAS!$B$2:$B$4,DATOS!$I$2:$I$20000)&gt;0)*1),"—")</f>
      </c>
      <c r="I41" s="15">
        <f>IFERROR(SUMPRODUCT((DATOS!$G$2:$G$20000=CONFIG_METADATA!$B$4)*(DATOS!$D$2:$D$20000=A41)*(COUNTIF(CONFIG_ASIGNATURAS!$B$2:$B$4,DATOS!$I$2:$I$20000)&gt;0)*(DATOS!$L$2:$L$20000="N"))/SUMPRODUCT((DATOS!$G$2:$G$20000=CONFIG_METADATA!$B$4)*(DATOS!$D$2:$D$20000=A41)*(COUNTIF(CONFIG_ASIGNATURAS!$B$2:$B$4,DATOS!$I$2:$I$20000)&gt;0)*1),"—")</f>
      </c>
      <c r="J41">
        <f>IFERROR(_xlfn.MODE.SNGL(IF((DATOS!$G$2:$G$20000=CONFIG_METADATA!$B$4)*(DATOS!$D$2:$D$20000=A41)*(COUNTIF(CONFIG_ASIGNATURAS!$B$2:$B$4,DATOS!$I$2:$I$20000)&gt;0)*(DATOS!$L$2:$L$20000="S"),DATOS!$K$2:$K$20000)),"—")</f>
      </c>
      <c r="K41">
        <f>IFERROR(_xlfn.MODE.SNGL(IF((DATOS!$G$2:$G$20000=CONFIG_METADATA!$B$4)*(DATOS!$D$2:$D$20000=A41)*(COUNTIF(CONFIG_ASIGNATURAS!$B$2:$B$4,DATOS!$I$2:$I$20000)&gt;0)*(DATOS!$L$2:$L$20000="N"),DATOS!$K$2:$K$20000)),"—")</f>
      </c>
      <c r="L41">
        <f>SUMPRODUCT((DATOS!$G$2:$G$20000=CONFIG_METADATA!$B$4)*(DATOS!$D$2:$D$20000=A41)*(COUNTIF(CONFIG_ASIGNATURAS!$B$2:$B$4,DATOS!$I$2:$I$20000)&gt;0)*(DATOS!$K$2:$K$20000=1))</f>
      </c>
      <c r="M41">
        <f>SUMPRODUCT((DATOS!$G$2:$G$20000=CONFIG_METADATA!$B$4)*(DATOS!$D$2:$D$20000=A41)*(COUNTIF(CONFIG_ASIGNATURAS!$B$2:$B$4,DATOS!$I$2:$I$20000)&gt;0)*(DATOS!$K$2:$K$20000=2))</f>
      </c>
      <c r="N41">
        <f>SUMPRODUCT((DATOS!$G$2:$G$20000=CONFIG_METADATA!$B$4)*(DATOS!$D$2:$D$20000=A41)*(COUNTIF(CONFIG_ASIGNATURAS!$B$2:$B$4,DATOS!$I$2:$I$20000)&gt;0)*(DATOS!$K$2:$K$20000=3))</f>
      </c>
      <c r="O41">
        <f>SUMPRODUCT((DATOS!$G$2:$G$20000=CONFIG_METADATA!$B$4)*(DATOS!$D$2:$D$20000=A41)*(COUNTIF(CONFIG_ASIGNATURAS!$B$2:$B$4,DATOS!$I$2:$I$20000)&gt;0)*(DATOS!$K$2:$K$20000=4))</f>
      </c>
      <c r="P41">
        <f>SUMPRODUCT((DATOS!$G$2:$G$20000=CONFIG_METADATA!$B$4)*(DATOS!$D$2:$D$20000=A41)*(COUNTIF(CONFIG_ASIGNATURAS!$B$2:$B$4,DATOS!$I$2:$I$20000)&gt;0)*(DATOS!$K$2:$K$20000=5))</f>
      </c>
      <c r="Q41">
        <f>SUMPRODUCT((DATOS!$G$2:$G$20000=CONFIG_METADATA!$B$4)*(DATOS!$D$2:$D$20000=A41)*(COUNTIF(CONFIG_ASIGNATURAS!$B$2:$B$4,DATOS!$I$2:$I$20000)&gt;0)*(DATOS!$K$2:$K$20000=6))</f>
      </c>
      <c r="R41">
        <f>SUMPRODUCT((DATOS!$G$2:$G$20000=CONFIG_METADATA!$B$4)*(DATOS!$D$2:$D$20000=A41)*(COUNTIF(CONFIG_ASIGNATURAS!$B$2:$B$4,DATOS!$I$2:$I$20000)&gt;0)*(DATOS!$K$2:$K$20000=7))</f>
      </c>
      <c r="S41">
        <f>SUMPRODUCT((DATOS!$G$2:$G$20000=CONFIG_METADATA!$B$4)*(DATOS!$D$2:$D$20000=A41)*(COUNTIF(CONFIG_ASIGNATURAS!$B$2:$B$4,DATOS!$I$2:$I$20000)&gt;0)*(DATOS!$K$2:$K$20000=8))</f>
      </c>
      <c r="T41">
        <f>SUMPRODUCT((DATOS!$G$2:$G$20000=CONFIG_METADATA!$B$4)*(DATOS!$D$2:$D$20000=A41)*(COUNTIF(CONFIG_ASIGNATURAS!$B$2:$B$4,DATOS!$I$2:$I$20000)&gt;0)*(DATOS!$K$2:$K$20000=9))</f>
      </c>
      <c r="U41">
        <f>SUMPRODUCT((DATOS!$G$2:$G$20000=CONFIG_METADATA!$B$4)*(DATOS!$D$2:$D$20000=A41)*(COUNTIF(CONFIG_ASIGNATURAS!$B$2:$B$4,DATOS!$I$2:$I$20000)&gt;0)*(DATOS!$K$2:$K$20000=10))</f>
      </c>
    </row>
    <row r="42" spans="1:22">
      <c r="A42" s="3" t="inlineStr">
        <is>
          <t xml:space="preserve">1EEM</t>
        </is>
      </c>
      <c r="B42" s="3">
        <f>IFERROR(INDEX(_xlfn._xlws.FILTER(CONFIG_ASIGNATURAS!$B$2:$B$27,CONFIG_ASIGNATURAS!$G$2:$G$27="Sí"),1),"")</f>
      </c>
      <c r="C42" s="3">
        <f>IF(B42="","",IFERROR(IF(VLOOKUP(B42,CONFIG_ASIGNATURAS!$B$2:$F$27,5,FALSE())="Sí","Especialidad","Asignatura"),"Asignatura"))</f>
      </c>
      <c r="D42">
        <f>COUNTIFS(DATOS!G:G,CONFIG_METADATA!$B$4,DATOS!I:I,B42)</f>
        <v>0</v>
      </c>
      <c r="E42" s="14" t="str">
        <f>IFERROR(AVERAGEIFS(DATOS!K:K,DATOS!G:G,CONFIG_METADATA!$B$4,DATOS!I:I,B42),"—")</f>
        <v>—</v>
      </c>
      <c r="F42" s="14" t="str" cm="1">
        <f t="array" ref="F42">IFERROR(_xlfn.STDEV.P(IF((DATOS!$G$2:$G$20000=CONFIG_METADATA!$B$4)*(DATOS!$I$2:$I$20000=B42),DATOS!$K$2:$K$20000)),"—")</f>
        <v>—</v>
      </c>
      <c r="G42" t="str" cm="1">
        <f t="array" ref="G42">IFERROR(_xlfn.MODE.SNGL(IF((DATOS!$G$2:$G$20000=CONFIG_METADATA!$B$4)*(DATOS!$I$2:$I$20000=B42),DATOS!$K$2:$K$20000)),"—")</f>
        <v>—</v>
      </c>
      <c r="H42" s="15" t="str">
        <f>IFERROR(COUNTIFS(DATOS!G:G,CONFIG_METADATA!$B$4,DATOS!I:I,B42,DATOS!L:L,"S")/COUNTIFS(DATOS!G:G,CONFIG_METADATA!$B$4,DATOS!I:I,B42),"—")</f>
        <v>—</v>
      </c>
      <c r="I42" s="15" t="str">
        <f>IFERROR(COUNTIFS(DATOS!G:G,CONFIG_METADATA!$B$4,DATOS!I:I,B42,DATOS!L:L,"N")/COUNTIFS(DATOS!G:G,CONFIG_METADATA!$B$4,DATOS!I:I,B42),"—")</f>
        <v>—</v>
      </c>
      <c r="J42" t="str" cm="1">
        <f t="array" ref="J42">IFERROR(_xlfn.MODE.SNGL(IF((DATOS!$G$2:$G$20000=CONFIG_METADATA!$B$4)*(DATOS!$I$2:$I$20000=B42)*(DATOS!$L$2:$L$20000="S"),DATOS!$K$2:$K$20000)),"—")</f>
        <v>—</v>
      </c>
      <c r="K42" t="str" cm="1">
        <f t="array" ref="K42">IFERROR(_xlfn.MODE.SNGL(IF((DATOS!$G$2:$G$20000=CONFIG_METADATA!$B$4)*(DATOS!$I$2:$I$20000=B42)*(DATOS!$L$2:$L$20000="N"),DATOS!$K$2:$K$20000)),"—")</f>
        <v>—</v>
      </c>
      <c r="L42">
        <f>COUNTIFS(DATOS!G:G,CONFIG_METADATA!$B$4,DATOS!I:I,B42,DATOS!K:K,1)</f>
        <v>0</v>
      </c>
      <c r="M42">
        <f>COUNTIFS(DATOS!G:G,CONFIG_METADATA!$B$4,DATOS!I:I,B42,DATOS!K:K,2)</f>
        <v>0</v>
      </c>
      <c r="N42">
        <f>COUNTIFS(DATOS!G:G,CONFIG_METADATA!$B$4,DATOS!I:I,B42,DATOS!K:K,3)</f>
        <v>0</v>
      </c>
      <c r="O42">
        <f>COUNTIFS(DATOS!G:G,CONFIG_METADATA!$B$4,DATOS!I:I,B42,DATOS!K:K,4)</f>
        <v>0</v>
      </c>
      <c r="P42">
        <f>COUNTIFS(DATOS!G:G,CONFIG_METADATA!$B$4,DATOS!I:I,B42,DATOS!K:K,5)</f>
        <v>0</v>
      </c>
      <c r="Q42">
        <f>COUNTIFS(DATOS!G:G,CONFIG_METADATA!$B$4,DATOS!I:I,B42,DATOS!K:K,6)</f>
        <v>0</v>
      </c>
      <c r="R42">
        <f>COUNTIFS(DATOS!G:G,CONFIG_METADATA!$B$4,DATOS!I:I,B42,DATOS!K:K,7)</f>
        <v>0</v>
      </c>
      <c r="S42">
        <f>COUNTIFS(DATOS!G:G,CONFIG_METADATA!$B$4,DATOS!I:I,B42,DATOS!K:K,8)</f>
        <v>0</v>
      </c>
      <c r="T42">
        <f>COUNTIFS(DATOS!G:G,CONFIG_METADATA!$B$4,DATOS!I:I,B42,DATOS!K:K,9)</f>
        <v>0</v>
      </c>
      <c r="U42">
        <f>COUNTIFS(DATOS!G:G,CONFIG_METADATA!$B$4,DATOS!I:I,B42,DATOS!K:K,10)</f>
        <v>0</v>
      </c>
    </row>
    <row r="43" spans="1:22">
      <c r="A43" s="3" t="inlineStr">
        <is>
          <t xml:space="preserve">1EEM</t>
        </is>
      </c>
      <c r="B43" s="3">
        <f>IFERROR(INDEX(_xlfn._xlws.FILTER(CONFIG_ASIGNATURAS!$B$2:$B$27,CONFIG_ASIGNATURAS!$G$2:$G$27="Sí"),2),"")</f>
      </c>
      <c r="C43" s="3">
        <f>IF(B43="","",IFERROR(IF(VLOOKUP(B43,CONFIG_ASIGNATURAS!$B$2:$F$27,5,FALSE())="Sí","Especialidad","Asignatura"),"Asignatura"))</f>
      </c>
      <c r="D43">
        <f>COUNTIFS(DATOS!G:G,CONFIG_METADATA!$B$4,DATOS!I:I,B43)</f>
        <v>0</v>
      </c>
      <c r="E43" s="14" t="str">
        <f>IFERROR(AVERAGEIFS(DATOS!K:K,DATOS!G:G,CONFIG_METADATA!$B$4,DATOS!I:I,B43),"—")</f>
        <v>—</v>
      </c>
      <c r="F43" s="14" t="str" cm="1">
        <f t="array" ref="F43">IFERROR(_xlfn.STDEV.P(IF((DATOS!$G$2:$G$20000=CONFIG_METADATA!$B$4)*(DATOS!$I$2:$I$20000=B43),DATOS!$K$2:$K$20000)),"—")</f>
        <v>—</v>
      </c>
      <c r="G43" t="str" cm="1">
        <f t="array" ref="G43">IFERROR(_xlfn.MODE.SNGL(IF((DATOS!$G$2:$G$20000=CONFIG_METADATA!$B$4)*(DATOS!$I$2:$I$20000=B43),DATOS!$K$2:$K$20000)),"—")</f>
        <v>—</v>
      </c>
      <c r="H43" s="15" t="str">
        <f>IFERROR(COUNTIFS(DATOS!G:G,CONFIG_METADATA!$B$4,DATOS!I:I,B43,DATOS!L:L,"S")/COUNTIFS(DATOS!G:G,CONFIG_METADATA!$B$4,DATOS!I:I,B43),"—")</f>
        <v>—</v>
      </c>
      <c r="I43" s="15" t="str">
        <f>IFERROR(COUNTIFS(DATOS!G:G,CONFIG_METADATA!$B$4,DATOS!I:I,B43,DATOS!L:L,"N")/COUNTIFS(DATOS!G:G,CONFIG_METADATA!$B$4,DATOS!I:I,B43),"—")</f>
        <v>—</v>
      </c>
      <c r="J43" t="str" cm="1">
        <f t="array" ref="J43">IFERROR(_xlfn.MODE.SNGL(IF((DATOS!$G$2:$G$20000=CONFIG_METADATA!$B$4)*(DATOS!$I$2:$I$20000=B43)*(DATOS!$L$2:$L$20000="S"),DATOS!$K$2:$K$20000)),"—")</f>
        <v>—</v>
      </c>
      <c r="K43" t="str" cm="1">
        <f t="array" ref="K43">IFERROR(_xlfn.MODE.SNGL(IF((DATOS!$G$2:$G$20000=CONFIG_METADATA!$B$4)*(DATOS!$I$2:$I$20000=B43)*(DATOS!$L$2:$L$20000="N"),DATOS!$K$2:$K$20000)),"—")</f>
        <v>—</v>
      </c>
      <c r="L43">
        <f>COUNTIFS(DATOS!G:G,CONFIG_METADATA!$B$4,DATOS!I:I,B43,DATOS!K:K,1)</f>
        <v>0</v>
      </c>
      <c r="M43">
        <f>COUNTIFS(DATOS!G:G,CONFIG_METADATA!$B$4,DATOS!I:I,B43,DATOS!K:K,2)</f>
        <v>0</v>
      </c>
      <c r="N43">
        <f>COUNTIFS(DATOS!G:G,CONFIG_METADATA!$B$4,DATOS!I:I,B43,DATOS!K:K,3)</f>
        <v>0</v>
      </c>
      <c r="O43">
        <f>COUNTIFS(DATOS!G:G,CONFIG_METADATA!$B$4,DATOS!I:I,B43,DATOS!K:K,4)</f>
        <v>0</v>
      </c>
      <c r="P43">
        <f>COUNTIFS(DATOS!G:G,CONFIG_METADATA!$B$4,DATOS!I:I,B43,DATOS!K:K,5)</f>
        <v>0</v>
      </c>
      <c r="Q43">
        <f>COUNTIFS(DATOS!G:G,CONFIG_METADATA!$B$4,DATOS!I:I,B43,DATOS!K:K,6)</f>
        <v>0</v>
      </c>
      <c r="R43">
        <f>COUNTIFS(DATOS!G:G,CONFIG_METADATA!$B$4,DATOS!I:I,B43,DATOS!K:K,7)</f>
        <v>0</v>
      </c>
      <c r="S43">
        <f>COUNTIFS(DATOS!G:G,CONFIG_METADATA!$B$4,DATOS!I:I,B43,DATOS!K:K,8)</f>
        <v>0</v>
      </c>
      <c r="T43">
        <f>COUNTIFS(DATOS!G:G,CONFIG_METADATA!$B$4,DATOS!I:I,B43,DATOS!K:K,9)</f>
        <v>0</v>
      </c>
      <c r="U43">
        <f>COUNTIFS(DATOS!G:G,CONFIG_METADATA!$B$4,DATOS!I:I,B43,DATOS!K:K,10)</f>
        <v>0</v>
      </c>
    </row>
    <row r="44" spans="1:22">
      <c r="A44" s="3" t="inlineStr">
        <is>
          <t xml:space="preserve">1EEM</t>
        </is>
      </c>
      <c r="B44" s="3">
        <f>IFERROR(INDEX(_xlfn._xlws.FILTER(CONFIG_ASIGNATURAS!$B$2:$B$27,CONFIG_ASIGNATURAS!$G$2:$G$27="Sí"),3),"")</f>
      </c>
      <c r="C44" s="3">
        <f>IF(B44="","",IFERROR(IF(VLOOKUP(B44,CONFIG_ASIGNATURAS!$B$2:$F$27,5,FALSE())="Sí","Especialidad","Asignatura"),"Asignatura"))</f>
      </c>
      <c r="D44">
        <f>COUNTIFS(DATOS!G:G,CONFIG_METADATA!$B$4,DATOS!I:I,B44)</f>
        <v>0</v>
      </c>
      <c r="E44" s="14" t="str">
        <f>IFERROR(AVERAGEIFS(DATOS!K:K,DATOS!G:G,CONFIG_METADATA!$B$4,DATOS!I:I,B44),"—")</f>
        <v>—</v>
      </c>
      <c r="F44" s="14" t="str" cm="1">
        <f t="array" ref="F44">IFERROR(_xlfn.STDEV.P(IF((DATOS!$G$2:$G$20000=CONFIG_METADATA!$B$4)*(DATOS!$I$2:$I$20000=B44),DATOS!$K$2:$K$20000)),"—")</f>
        <v>—</v>
      </c>
      <c r="G44" t="str" cm="1">
        <f t="array" ref="G44">IFERROR(_xlfn.MODE.SNGL(IF((DATOS!$G$2:$G$20000=CONFIG_METADATA!$B$4)*(DATOS!$I$2:$I$20000=B44),DATOS!$K$2:$K$20000)),"—")</f>
        <v>—</v>
      </c>
      <c r="H44" s="15" t="str">
        <f>IFERROR(COUNTIFS(DATOS!G:G,CONFIG_METADATA!$B$4,DATOS!I:I,B44,DATOS!L:L,"S")/COUNTIFS(DATOS!G:G,CONFIG_METADATA!$B$4,DATOS!I:I,B44),"—")</f>
        <v>—</v>
      </c>
      <c r="I44" s="15" t="str">
        <f>IFERROR(COUNTIFS(DATOS!G:G,CONFIG_METADATA!$B$4,DATOS!I:I,B44,DATOS!L:L,"N")/COUNTIFS(DATOS!G:G,CONFIG_METADATA!$B$4,DATOS!I:I,B44),"—")</f>
        <v>—</v>
      </c>
      <c r="J44" t="str" cm="1">
        <f t="array" ref="J44">IFERROR(_xlfn.MODE.SNGL(IF((DATOS!$G$2:$G$20000=CONFIG_METADATA!$B$4)*(DATOS!$I$2:$I$20000=B44)*(DATOS!$L$2:$L$20000="S"),DATOS!$K$2:$K$20000)),"—")</f>
        <v>—</v>
      </c>
      <c r="K44" t="str" cm="1">
        <f t="array" ref="K44">IFERROR(_xlfn.MODE.SNGL(IF((DATOS!$G$2:$G$20000=CONFIG_METADATA!$B$4)*(DATOS!$I$2:$I$20000=B44)*(DATOS!$L$2:$L$20000="N"),DATOS!$K$2:$K$20000)),"—")</f>
        <v>—</v>
      </c>
      <c r="L44">
        <f>COUNTIFS(DATOS!G:G,CONFIG_METADATA!$B$4,DATOS!I:I,B44,DATOS!K:K,1)</f>
        <v>0</v>
      </c>
      <c r="M44">
        <f>COUNTIFS(DATOS!G:G,CONFIG_METADATA!$B$4,DATOS!I:I,B44,DATOS!K:K,2)</f>
        <v>0</v>
      </c>
      <c r="N44">
        <f>COUNTIFS(DATOS!G:G,CONFIG_METADATA!$B$4,DATOS!I:I,B44,DATOS!K:K,3)</f>
        <v>0</v>
      </c>
      <c r="O44">
        <f>COUNTIFS(DATOS!G:G,CONFIG_METADATA!$B$4,DATOS!I:I,B44,DATOS!K:K,4)</f>
        <v>0</v>
      </c>
      <c r="P44">
        <f>COUNTIFS(DATOS!G:G,CONFIG_METADATA!$B$4,DATOS!I:I,B44,DATOS!K:K,5)</f>
        <v>0</v>
      </c>
      <c r="Q44">
        <f>COUNTIFS(DATOS!G:G,CONFIG_METADATA!$B$4,DATOS!I:I,B44,DATOS!K:K,6)</f>
        <v>0</v>
      </c>
      <c r="R44">
        <f>COUNTIFS(DATOS!G:G,CONFIG_METADATA!$B$4,DATOS!I:I,B44,DATOS!K:K,7)</f>
        <v>0</v>
      </c>
      <c r="S44">
        <f>COUNTIFS(DATOS!G:G,CONFIG_METADATA!$B$4,DATOS!I:I,B44,DATOS!K:K,8)</f>
        <v>0</v>
      </c>
      <c r="T44">
        <f>COUNTIFS(DATOS!G:G,CONFIG_METADATA!$B$4,DATOS!I:I,B44,DATOS!K:K,9)</f>
        <v>0</v>
      </c>
      <c r="U44">
        <f>COUNTIFS(DATOS!G:G,CONFIG_METADATA!$B$4,DATOS!I:I,B44,DATOS!K:K,10)</f>
        <v>0</v>
      </c>
    </row>
    <row r="45" spans="1:22">
      <c r="A45" s="3" t="inlineStr">
        <is>
          <t xml:space="preserve">1EEM</t>
        </is>
      </c>
      <c r="B45" s="3">
        <f>IFERROR(INDEX(_xlfn._xlws.FILTER(CONFIG_ASIGNATURAS!$B$2:$B$27,CONFIG_ASIGNATURAS!$G$2:$G$27="Sí"),4),"")</f>
      </c>
      <c r="C45" s="3">
        <f>IF(B45="","",IFERROR(IF(VLOOKUP(B45,CONFIG_ASIGNATURAS!$B$2:$F$27,5,FALSE())="Sí","Especialidad","Asignatura"),"Asignatura"))</f>
      </c>
      <c r="D45">
        <f>COUNTIFS(DATOS!G:G,CONFIG_METADATA!$B$4,DATOS!I:I,B45)</f>
        <v>0</v>
      </c>
      <c r="E45" s="14" t="str">
        <f>IFERROR(AVERAGEIFS(DATOS!K:K,DATOS!G:G,CONFIG_METADATA!$B$4,DATOS!I:I,B45),"—")</f>
        <v>—</v>
      </c>
      <c r="F45" s="14" t="str" cm="1">
        <f t="array" ref="F45">IFERROR(_xlfn.STDEV.P(IF((DATOS!$G$2:$G$20000=CONFIG_METADATA!$B$4)*(DATOS!$I$2:$I$20000=B45),DATOS!$K$2:$K$20000)),"—")</f>
        <v>—</v>
      </c>
      <c r="G45" t="str" cm="1">
        <f t="array" ref="G45">IFERROR(_xlfn.MODE.SNGL(IF((DATOS!$G$2:$G$20000=CONFIG_METADATA!$B$4)*(DATOS!$I$2:$I$20000=B45),DATOS!$K$2:$K$20000)),"—")</f>
        <v>—</v>
      </c>
      <c r="H45" s="15" t="str">
        <f>IFERROR(COUNTIFS(DATOS!G:G,CONFIG_METADATA!$B$4,DATOS!I:I,B45,DATOS!L:L,"S")/COUNTIFS(DATOS!G:G,CONFIG_METADATA!$B$4,DATOS!I:I,B45),"—")</f>
        <v>—</v>
      </c>
      <c r="I45" s="15" t="str">
        <f>IFERROR(COUNTIFS(DATOS!G:G,CONFIG_METADATA!$B$4,DATOS!I:I,B45,DATOS!L:L,"N")/COUNTIFS(DATOS!G:G,CONFIG_METADATA!$B$4,DATOS!I:I,B45),"—")</f>
        <v>—</v>
      </c>
      <c r="J45" t="str" cm="1">
        <f t="array" ref="J45">IFERROR(_xlfn.MODE.SNGL(IF((DATOS!$G$2:$G$20000=CONFIG_METADATA!$B$4)*(DATOS!$I$2:$I$20000=B45)*(DATOS!$L$2:$L$20000="S"),DATOS!$K$2:$K$20000)),"—")</f>
        <v>—</v>
      </c>
      <c r="K45" t="str" cm="1">
        <f t="array" ref="K45">IFERROR(_xlfn.MODE.SNGL(IF((DATOS!$G$2:$G$20000=CONFIG_METADATA!$B$4)*(DATOS!$I$2:$I$20000=B45)*(DATOS!$L$2:$L$20000="N"),DATOS!$K$2:$K$20000)),"—")</f>
        <v>—</v>
      </c>
      <c r="L45">
        <f>COUNTIFS(DATOS!G:G,CONFIG_METADATA!$B$4,DATOS!I:I,B45,DATOS!K:K,1)</f>
        <v>0</v>
      </c>
      <c r="M45">
        <f>COUNTIFS(DATOS!G:G,CONFIG_METADATA!$B$4,DATOS!I:I,B45,DATOS!K:K,2)</f>
        <v>0</v>
      </c>
      <c r="N45">
        <f>COUNTIFS(DATOS!G:G,CONFIG_METADATA!$B$4,DATOS!I:I,B45,DATOS!K:K,3)</f>
        <v>0</v>
      </c>
      <c r="O45">
        <f>COUNTIFS(DATOS!G:G,CONFIG_METADATA!$B$4,DATOS!I:I,B45,DATOS!K:K,4)</f>
        <v>0</v>
      </c>
      <c r="P45">
        <f>COUNTIFS(DATOS!G:G,CONFIG_METADATA!$B$4,DATOS!I:I,B45,DATOS!K:K,5)</f>
        <v>0</v>
      </c>
      <c r="Q45">
        <f>COUNTIFS(DATOS!G:G,CONFIG_METADATA!$B$4,DATOS!I:I,B45,DATOS!K:K,6)</f>
        <v>0</v>
      </c>
      <c r="R45">
        <f>COUNTIFS(DATOS!G:G,CONFIG_METADATA!$B$4,DATOS!I:I,B45,DATOS!K:K,7)</f>
        <v>0</v>
      </c>
      <c r="S45">
        <f>COUNTIFS(DATOS!G:G,CONFIG_METADATA!$B$4,DATOS!I:I,B45,DATOS!K:K,8)</f>
        <v>0</v>
      </c>
      <c r="T45">
        <f>COUNTIFS(DATOS!G:G,CONFIG_METADATA!$B$4,DATOS!I:I,B45,DATOS!K:K,9)</f>
        <v>0</v>
      </c>
      <c r="U45">
        <f>COUNTIFS(DATOS!G:G,CONFIG_METADATA!$B$4,DATOS!I:I,B45,DATOS!K:K,10)</f>
        <v>0</v>
      </c>
    </row>
    <row r="46" spans="1:22">
      <c r="A46" s="3" t="inlineStr">
        <is>
          <t xml:space="preserve">1EEM</t>
        </is>
      </c>
      <c r="B46" s="3">
        <f>IFERROR(INDEX(_xlfn._xlws.FILTER(CONFIG_ASIGNATURAS!$B$2:$B$27,CONFIG_ASIGNATURAS!$G$2:$G$27="Sí"),5),"")</f>
      </c>
      <c r="C46" s="3">
        <f>IF(B46="","",IFERROR(IF(VLOOKUP(B46,CONFIG_ASIGNATURAS!$B$2:$F$27,5,FALSE())="Sí","Especialidad","Asignatura"),"Asignatura"))</f>
      </c>
      <c r="D46">
        <f>COUNTIFS(DATOS!G:G,CONFIG_METADATA!$B$4,DATOS!I:I,B46)</f>
        <v>0</v>
      </c>
      <c r="E46" s="14" t="str">
        <f>IFERROR(AVERAGEIFS(DATOS!K:K,DATOS!G:G,CONFIG_METADATA!$B$4,DATOS!I:I,B46),"—")</f>
        <v>—</v>
      </c>
      <c r="F46" s="14" t="str" cm="1">
        <f t="array" ref="F46">IFERROR(_xlfn.STDEV.P(IF((DATOS!$G$2:$G$20000=CONFIG_METADATA!$B$4)*(DATOS!$I$2:$I$20000=B46),DATOS!$K$2:$K$20000)),"—")</f>
        <v>—</v>
      </c>
      <c r="G46" t="str" cm="1">
        <f t="array" ref="G46">IFERROR(_xlfn.MODE.SNGL(IF((DATOS!$G$2:$G$20000=CONFIG_METADATA!$B$4)*(DATOS!$I$2:$I$20000=B46),DATOS!$K$2:$K$20000)),"—")</f>
        <v>—</v>
      </c>
      <c r="H46" s="15" t="str">
        <f>IFERROR(COUNTIFS(DATOS!G:G,CONFIG_METADATA!$B$4,DATOS!I:I,B46,DATOS!L:L,"S")/COUNTIFS(DATOS!G:G,CONFIG_METADATA!$B$4,DATOS!I:I,B46),"—")</f>
        <v>—</v>
      </c>
      <c r="I46" s="15" t="str">
        <f>IFERROR(COUNTIFS(DATOS!G:G,CONFIG_METADATA!$B$4,DATOS!I:I,B46,DATOS!L:L,"N")/COUNTIFS(DATOS!G:G,CONFIG_METADATA!$B$4,DATOS!I:I,B46),"—")</f>
        <v>—</v>
      </c>
      <c r="J46" t="str" cm="1">
        <f t="array" ref="J46">IFERROR(_xlfn.MODE.SNGL(IF((DATOS!$G$2:$G$20000=CONFIG_METADATA!$B$4)*(DATOS!$I$2:$I$20000=B46)*(DATOS!$L$2:$L$20000="S"),DATOS!$K$2:$K$20000)),"—")</f>
        <v>—</v>
      </c>
      <c r="K46" t="str" cm="1">
        <f t="array" ref="K46">IFERROR(_xlfn.MODE.SNGL(IF((DATOS!$G$2:$G$20000=CONFIG_METADATA!$B$4)*(DATOS!$I$2:$I$20000=B46)*(DATOS!$L$2:$L$20000="N"),DATOS!$K$2:$K$20000)),"—")</f>
        <v>—</v>
      </c>
      <c r="L46">
        <f>COUNTIFS(DATOS!G:G,CONFIG_METADATA!$B$4,DATOS!I:I,B46,DATOS!K:K,1)</f>
        <v>0</v>
      </c>
      <c r="M46">
        <f>COUNTIFS(DATOS!G:G,CONFIG_METADATA!$B$4,DATOS!I:I,B46,DATOS!K:K,2)</f>
        <v>0</v>
      </c>
      <c r="N46">
        <f>COUNTIFS(DATOS!G:G,CONFIG_METADATA!$B$4,DATOS!I:I,B46,DATOS!K:K,3)</f>
        <v>0</v>
      </c>
      <c r="O46">
        <f>COUNTIFS(DATOS!G:G,CONFIG_METADATA!$B$4,DATOS!I:I,B46,DATOS!K:K,4)</f>
        <v>0</v>
      </c>
      <c r="P46">
        <f>COUNTIFS(DATOS!G:G,CONFIG_METADATA!$B$4,DATOS!I:I,B46,DATOS!K:K,5)</f>
        <v>0</v>
      </c>
      <c r="Q46">
        <f>COUNTIFS(DATOS!G:G,CONFIG_METADATA!$B$4,DATOS!I:I,B46,DATOS!K:K,6)</f>
        <v>0</v>
      </c>
      <c r="R46">
        <f>COUNTIFS(DATOS!G:G,CONFIG_METADATA!$B$4,DATOS!I:I,B46,DATOS!K:K,7)</f>
        <v>0</v>
      </c>
      <c r="S46">
        <f>COUNTIFS(DATOS!G:G,CONFIG_METADATA!$B$4,DATOS!I:I,B46,DATOS!K:K,8)</f>
        <v>0</v>
      </c>
      <c r="T46">
        <f>COUNTIFS(DATOS!G:G,CONFIG_METADATA!$B$4,DATOS!I:I,B46,DATOS!K:K,9)</f>
        <v>0</v>
      </c>
      <c r="U46">
        <f>COUNTIFS(DATOS!G:G,CONFIG_METADATA!$B$4,DATOS!I:I,B46,DATOS!K:K,10)</f>
        <v>0</v>
      </c>
    </row>
    <row r="47" spans="1:22">
      <c r="A47" s="3" t="inlineStr">
        <is>
          <t xml:space="preserve">1EEM</t>
        </is>
      </c>
      <c r="B47" s="3">
        <f>IFERROR(INDEX(_xlfn._xlws.FILTER(CONFIG_ASIGNATURAS!$B$2:$B$27,CONFIG_ASIGNATURAS!$G$2:$G$27="Sí"),6),"")</f>
      </c>
      <c r="C47" s="3">
        <f>IF(B47="","",IFERROR(IF(VLOOKUP(B47,CONFIG_ASIGNATURAS!$B$2:$F$27,5,FALSE())="Sí","Especialidad","Asignatura"),"Asignatura"))</f>
      </c>
      <c r="D47">
        <f>COUNTIFS(DATOS!G:G,CONFIG_METADATA!$B$4,DATOS!I:I,B47)</f>
        <v>0</v>
      </c>
      <c r="E47" s="14" t="str">
        <f>IFERROR(AVERAGEIFS(DATOS!K:K,DATOS!G:G,CONFIG_METADATA!$B$4,DATOS!I:I,B47),"—")</f>
        <v>—</v>
      </c>
      <c r="F47" s="14" t="str" cm="1">
        <f t="array" ref="F47">IFERROR(_xlfn.STDEV.P(IF((DATOS!$G$2:$G$20000=CONFIG_METADATA!$B$4)*(DATOS!$I$2:$I$20000=B47),DATOS!$K$2:$K$20000)),"—")</f>
        <v>—</v>
      </c>
      <c r="G47" t="str" cm="1">
        <f t="array" ref="G47">IFERROR(_xlfn.MODE.SNGL(IF((DATOS!$G$2:$G$20000=CONFIG_METADATA!$B$4)*(DATOS!$I$2:$I$20000=B47),DATOS!$K$2:$K$20000)),"—")</f>
        <v>—</v>
      </c>
      <c r="H47" s="15" t="str">
        <f>IFERROR(COUNTIFS(DATOS!G:G,CONFIG_METADATA!$B$4,DATOS!I:I,B47,DATOS!L:L,"S")/COUNTIFS(DATOS!G:G,CONFIG_METADATA!$B$4,DATOS!I:I,B47),"—")</f>
        <v>—</v>
      </c>
      <c r="I47" s="15" t="str">
        <f>IFERROR(COUNTIFS(DATOS!G:G,CONFIG_METADATA!$B$4,DATOS!I:I,B47,DATOS!L:L,"N")/COUNTIFS(DATOS!G:G,CONFIG_METADATA!$B$4,DATOS!I:I,B47),"—")</f>
        <v>—</v>
      </c>
      <c r="J47" t="str" cm="1">
        <f t="array" ref="J47">IFERROR(_xlfn.MODE.SNGL(IF((DATOS!$G$2:$G$20000=CONFIG_METADATA!$B$4)*(DATOS!$I$2:$I$20000=B47)*(DATOS!$L$2:$L$20000="S"),DATOS!$K$2:$K$20000)),"—")</f>
        <v>—</v>
      </c>
      <c r="K47" t="str" cm="1">
        <f t="array" ref="K47">IFERROR(_xlfn.MODE.SNGL(IF((DATOS!$G$2:$G$20000=CONFIG_METADATA!$B$4)*(DATOS!$I$2:$I$20000=B47)*(DATOS!$L$2:$L$20000="N"),DATOS!$K$2:$K$20000)),"—")</f>
        <v>—</v>
      </c>
      <c r="L47">
        <f>COUNTIFS(DATOS!G:G,CONFIG_METADATA!$B$4,DATOS!I:I,B47,DATOS!K:K,1)</f>
        <v>0</v>
      </c>
      <c r="M47">
        <f>COUNTIFS(DATOS!G:G,CONFIG_METADATA!$B$4,DATOS!I:I,B47,DATOS!K:K,2)</f>
        <v>0</v>
      </c>
      <c r="N47">
        <f>COUNTIFS(DATOS!G:G,CONFIG_METADATA!$B$4,DATOS!I:I,B47,DATOS!K:K,3)</f>
        <v>0</v>
      </c>
      <c r="O47">
        <f>COUNTIFS(DATOS!G:G,CONFIG_METADATA!$B$4,DATOS!I:I,B47,DATOS!K:K,4)</f>
        <v>0</v>
      </c>
      <c r="P47">
        <f>COUNTIFS(DATOS!G:G,CONFIG_METADATA!$B$4,DATOS!I:I,B47,DATOS!K:K,5)</f>
        <v>0</v>
      </c>
      <c r="Q47">
        <f>COUNTIFS(DATOS!G:G,CONFIG_METADATA!$B$4,DATOS!I:I,B47,DATOS!K:K,6)</f>
        <v>0</v>
      </c>
      <c r="R47">
        <f>COUNTIFS(DATOS!G:G,CONFIG_METADATA!$B$4,DATOS!I:I,B47,DATOS!K:K,7)</f>
        <v>0</v>
      </c>
      <c r="S47">
        <f>COUNTIFS(DATOS!G:G,CONFIG_METADATA!$B$4,DATOS!I:I,B47,DATOS!K:K,8)</f>
        <v>0</v>
      </c>
      <c r="T47">
        <f>COUNTIFS(DATOS!G:G,CONFIG_METADATA!$B$4,DATOS!I:I,B47,DATOS!K:K,9)</f>
        <v>0</v>
      </c>
      <c r="U47">
        <f>COUNTIFS(DATOS!G:G,CONFIG_METADATA!$B$4,DATOS!I:I,B47,DATOS!K:K,10)</f>
        <v>0</v>
      </c>
    </row>
    <row r="48" spans="1:22">
      <c r="A48" s="3" t="inlineStr">
        <is>
          <t xml:space="preserve">1EEM</t>
        </is>
      </c>
      <c r="B48" s="3">
        <f>IFERROR(INDEX(_xlfn._xlws.FILTER(CONFIG_ASIGNATURAS!$B$2:$B$27,CONFIG_ASIGNATURAS!$G$2:$G$27="Sí"),7),"")</f>
      </c>
      <c r="C48" s="3">
        <f>IF(B48="","",IFERROR(IF(VLOOKUP(B48,CONFIG_ASIGNATURAS!$B$2:$F$27,5,FALSE())="Sí","Especialidad","Asignatura"),"Asignatura"))</f>
      </c>
      <c r="D48">
        <f>COUNTIFS(DATOS!G:G,CONFIG_METADATA!$B$4,DATOS!I:I,B48)</f>
        <v>0</v>
      </c>
      <c r="E48" s="14" t="str">
        <f>IFERROR(AVERAGEIFS(DATOS!K:K,DATOS!G:G,CONFIG_METADATA!$B$4,DATOS!I:I,B48),"—")</f>
        <v>—</v>
      </c>
      <c r="F48" s="14" t="str" cm="1">
        <f t="array" ref="F48">IFERROR(_xlfn.STDEV.P(IF((DATOS!$G$2:$G$20000=CONFIG_METADATA!$B$4)*(DATOS!$I$2:$I$20000=B48),DATOS!$K$2:$K$20000)),"—")</f>
        <v>—</v>
      </c>
      <c r="G48" t="str" cm="1">
        <f t="array" ref="G48">IFERROR(_xlfn.MODE.SNGL(IF((DATOS!$G$2:$G$20000=CONFIG_METADATA!$B$4)*(DATOS!$I$2:$I$20000=B48),DATOS!$K$2:$K$20000)),"—")</f>
        <v>—</v>
      </c>
      <c r="H48" s="15" t="str">
        <f>IFERROR(COUNTIFS(DATOS!G:G,CONFIG_METADATA!$B$4,DATOS!I:I,B48,DATOS!L:L,"S")/COUNTIFS(DATOS!G:G,CONFIG_METADATA!$B$4,DATOS!I:I,B48),"—")</f>
        <v>—</v>
      </c>
      <c r="I48" s="15" t="str">
        <f>IFERROR(COUNTIFS(DATOS!G:G,CONFIG_METADATA!$B$4,DATOS!I:I,B48,DATOS!L:L,"N")/COUNTIFS(DATOS!G:G,CONFIG_METADATA!$B$4,DATOS!I:I,B48),"—")</f>
        <v>—</v>
      </c>
      <c r="J48" t="str" cm="1">
        <f t="array" ref="J48">IFERROR(_xlfn.MODE.SNGL(IF((DATOS!$G$2:$G$20000=CONFIG_METADATA!$B$4)*(DATOS!$I$2:$I$20000=B48)*(DATOS!$L$2:$L$20000="S"),DATOS!$K$2:$K$20000)),"—")</f>
        <v>—</v>
      </c>
      <c r="K48" t="str" cm="1">
        <f t="array" ref="K48">IFERROR(_xlfn.MODE.SNGL(IF((DATOS!$G$2:$G$20000=CONFIG_METADATA!$B$4)*(DATOS!$I$2:$I$20000=B48)*(DATOS!$L$2:$L$20000="N"),DATOS!$K$2:$K$20000)),"—")</f>
        <v>—</v>
      </c>
      <c r="L48">
        <f>COUNTIFS(DATOS!G:G,CONFIG_METADATA!$B$4,DATOS!I:I,B48,DATOS!K:K,1)</f>
        <v>0</v>
      </c>
      <c r="M48">
        <f>COUNTIFS(DATOS!G:G,CONFIG_METADATA!$B$4,DATOS!I:I,B48,DATOS!K:K,2)</f>
        <v>0</v>
      </c>
      <c r="N48">
        <f>COUNTIFS(DATOS!G:G,CONFIG_METADATA!$B$4,DATOS!I:I,B48,DATOS!K:K,3)</f>
        <v>0</v>
      </c>
      <c r="O48">
        <f>COUNTIFS(DATOS!G:G,CONFIG_METADATA!$B$4,DATOS!I:I,B48,DATOS!K:K,4)</f>
        <v>0</v>
      </c>
      <c r="P48">
        <f>COUNTIFS(DATOS!G:G,CONFIG_METADATA!$B$4,DATOS!I:I,B48,DATOS!K:K,5)</f>
        <v>0</v>
      </c>
      <c r="Q48">
        <f>COUNTIFS(DATOS!G:G,CONFIG_METADATA!$B$4,DATOS!I:I,B48,DATOS!K:K,6)</f>
        <v>0</v>
      </c>
      <c r="R48">
        <f>COUNTIFS(DATOS!G:G,CONFIG_METADATA!$B$4,DATOS!I:I,B48,DATOS!K:K,7)</f>
        <v>0</v>
      </c>
      <c r="S48">
        <f>COUNTIFS(DATOS!G:G,CONFIG_METADATA!$B$4,DATOS!I:I,B48,DATOS!K:K,8)</f>
        <v>0</v>
      </c>
      <c r="T48">
        <f>COUNTIFS(DATOS!G:G,CONFIG_METADATA!$B$4,DATOS!I:I,B48,DATOS!K:K,9)</f>
        <v>0</v>
      </c>
      <c r="U48">
        <f>COUNTIFS(DATOS!G:G,CONFIG_METADATA!$B$4,DATOS!I:I,B48,DATOS!K:K,10)</f>
        <v>0</v>
      </c>
    </row>
    <row r="49" spans="1:22">
      <c r="A49" s="3" t="inlineStr">
        <is>
          <t xml:space="preserve">1EEM</t>
        </is>
      </c>
      <c r="B49" s="3">
        <f>IFERROR(INDEX(_xlfn._xlws.FILTER(CONFIG_ASIGNATURAS!$B$2:$B$27,CONFIG_ASIGNATURAS!$G$2:$G$27="Sí"),8),"")</f>
      </c>
      <c r="C49" s="3">
        <f>IF(B49="","",IFERROR(IF(VLOOKUP(B49,CONFIG_ASIGNATURAS!$B$2:$F$27,5,FALSE())="Sí","Especialidad","Asignatura"),"Asignatura"))</f>
      </c>
      <c r="D49">
        <f>COUNTIFS(DATOS!G:G,CONFIG_METADATA!$B$4,DATOS!I:I,B49)</f>
        <v>0</v>
      </c>
      <c r="E49" s="14" t="str">
        <f>IFERROR(AVERAGEIFS(DATOS!K:K,DATOS!G:G,CONFIG_METADATA!$B$4,DATOS!I:I,B49),"—")</f>
        <v>—</v>
      </c>
      <c r="F49" s="14" t="str" cm="1">
        <f t="array" ref="F49">IFERROR(_xlfn.STDEV.P(IF((DATOS!$G$2:$G$20000=CONFIG_METADATA!$B$4)*(DATOS!$I$2:$I$20000=B49),DATOS!$K$2:$K$20000)),"—")</f>
        <v>—</v>
      </c>
      <c r="G49" t="str" cm="1">
        <f t="array" ref="G49">IFERROR(_xlfn.MODE.SNGL(IF((DATOS!$G$2:$G$20000=CONFIG_METADATA!$B$4)*(DATOS!$I$2:$I$20000=B49),DATOS!$K$2:$K$20000)),"—")</f>
        <v>—</v>
      </c>
      <c r="H49" s="15" t="str">
        <f>IFERROR(COUNTIFS(DATOS!G:G,CONFIG_METADATA!$B$4,DATOS!I:I,B49,DATOS!L:L,"S")/COUNTIFS(DATOS!G:G,CONFIG_METADATA!$B$4,DATOS!I:I,B49),"—")</f>
        <v>—</v>
      </c>
      <c r="I49" s="15" t="str">
        <f>IFERROR(COUNTIFS(DATOS!G:G,CONFIG_METADATA!$B$4,DATOS!I:I,B49,DATOS!L:L,"N")/COUNTIFS(DATOS!G:G,CONFIG_METADATA!$B$4,DATOS!I:I,B49),"—")</f>
        <v>—</v>
      </c>
      <c r="J49" t="str" cm="1">
        <f t="array" ref="J49">IFERROR(_xlfn.MODE.SNGL(IF((DATOS!$G$2:$G$20000=CONFIG_METADATA!$B$4)*(DATOS!$I$2:$I$20000=B49)*(DATOS!$L$2:$L$20000="S"),DATOS!$K$2:$K$20000)),"—")</f>
        <v>—</v>
      </c>
      <c r="K49" t="str" cm="1">
        <f t="array" ref="K49">IFERROR(_xlfn.MODE.SNGL(IF((DATOS!$G$2:$G$20000=CONFIG_METADATA!$B$4)*(DATOS!$I$2:$I$20000=B49)*(DATOS!$L$2:$L$20000="N"),DATOS!$K$2:$K$20000)),"—")</f>
        <v>—</v>
      </c>
      <c r="L49">
        <f>COUNTIFS(DATOS!G:G,CONFIG_METADATA!$B$4,DATOS!I:I,B49,DATOS!K:K,1)</f>
        <v>0</v>
      </c>
      <c r="M49">
        <f>COUNTIFS(DATOS!G:G,CONFIG_METADATA!$B$4,DATOS!I:I,B49,DATOS!K:K,2)</f>
        <v>0</v>
      </c>
      <c r="N49">
        <f>COUNTIFS(DATOS!G:G,CONFIG_METADATA!$B$4,DATOS!I:I,B49,DATOS!K:K,3)</f>
        <v>0</v>
      </c>
      <c r="O49">
        <f>COUNTIFS(DATOS!G:G,CONFIG_METADATA!$B$4,DATOS!I:I,B49,DATOS!K:K,4)</f>
        <v>0</v>
      </c>
      <c r="P49">
        <f>COUNTIFS(DATOS!G:G,CONFIG_METADATA!$B$4,DATOS!I:I,B49,DATOS!K:K,5)</f>
        <v>0</v>
      </c>
      <c r="Q49">
        <f>COUNTIFS(DATOS!G:G,CONFIG_METADATA!$B$4,DATOS!I:I,B49,DATOS!K:K,6)</f>
        <v>0</v>
      </c>
      <c r="R49">
        <f>COUNTIFS(DATOS!G:G,CONFIG_METADATA!$B$4,DATOS!I:I,B49,DATOS!K:K,7)</f>
        <v>0</v>
      </c>
      <c r="S49">
        <f>COUNTIFS(DATOS!G:G,CONFIG_METADATA!$B$4,DATOS!I:I,B49,DATOS!K:K,8)</f>
        <v>0</v>
      </c>
      <c r="T49">
        <f>COUNTIFS(DATOS!G:G,CONFIG_METADATA!$B$4,DATOS!I:I,B49,DATOS!K:K,9)</f>
        <v>0</v>
      </c>
      <c r="U49">
        <f>COUNTIFS(DATOS!G:G,CONFIG_METADATA!$B$4,DATOS!I:I,B49,DATOS!K:K,10)</f>
        <v>0</v>
      </c>
    </row>
    <row r="50" spans="1:22">
      <c r="A50" s="3" t="inlineStr">
        <is>
          <t xml:space="preserve">1EEM</t>
        </is>
      </c>
      <c r="B50" s="3">
        <f>IFERROR(INDEX(_xlfn._xlws.FILTER(CONFIG_ASIGNATURAS!$B$2:$B$27,CONFIG_ASIGNATURAS!$G$2:$G$27="Sí"),9),"")</f>
      </c>
      <c r="C50" s="3">
        <f>IF(B50="","",IFERROR(IF(VLOOKUP(B50,CONFIG_ASIGNATURAS!$B$2:$F$27,5,FALSE())="Sí","Especialidad","Asignatura"),"Asignatura"))</f>
      </c>
      <c r="D50">
        <f>COUNTIFS(DATOS!G:G,CONFIG_METADATA!$B$4,DATOS!I:I,B50)</f>
        <v>0</v>
      </c>
      <c r="E50" s="14" t="str">
        <f>IFERROR(AVERAGEIFS(DATOS!K:K,DATOS!G:G,CONFIG_METADATA!$B$4,DATOS!I:I,B50),"—")</f>
        <v>—</v>
      </c>
      <c r="F50" s="14" t="str" cm="1">
        <f t="array" ref="F50">IFERROR(_xlfn.STDEV.P(IF((DATOS!$G$2:$G$20000=CONFIG_METADATA!$B$4)*(DATOS!$I$2:$I$20000=B50),DATOS!$K$2:$K$20000)),"—")</f>
        <v>—</v>
      </c>
      <c r="G50" t="str" cm="1">
        <f t="array" ref="G50">IFERROR(_xlfn.MODE.SNGL(IF((DATOS!$G$2:$G$20000=CONFIG_METADATA!$B$4)*(DATOS!$I$2:$I$20000=B50),DATOS!$K$2:$K$20000)),"—")</f>
        <v>—</v>
      </c>
      <c r="H50" s="15" t="str">
        <f>IFERROR(COUNTIFS(DATOS!G:G,CONFIG_METADATA!$B$4,DATOS!I:I,B50,DATOS!L:L,"S")/COUNTIFS(DATOS!G:G,CONFIG_METADATA!$B$4,DATOS!I:I,B50),"—")</f>
        <v>—</v>
      </c>
      <c r="I50" s="15" t="str">
        <f>IFERROR(COUNTIFS(DATOS!G:G,CONFIG_METADATA!$B$4,DATOS!I:I,B50,DATOS!L:L,"N")/COUNTIFS(DATOS!G:G,CONFIG_METADATA!$B$4,DATOS!I:I,B50),"—")</f>
        <v>—</v>
      </c>
      <c r="J50" t="str" cm="1">
        <f t="array" ref="J50">IFERROR(_xlfn.MODE.SNGL(IF((DATOS!$G$2:$G$20000=CONFIG_METADATA!$B$4)*(DATOS!$I$2:$I$20000=B50)*(DATOS!$L$2:$L$20000="S"),DATOS!$K$2:$K$20000)),"—")</f>
        <v>—</v>
      </c>
      <c r="K50" t="str" cm="1">
        <f t="array" ref="K50">IFERROR(_xlfn.MODE.SNGL(IF((DATOS!$G$2:$G$20000=CONFIG_METADATA!$B$4)*(DATOS!$I$2:$I$20000=B50)*(DATOS!$L$2:$L$20000="N"),DATOS!$K$2:$K$20000)),"—")</f>
        <v>—</v>
      </c>
      <c r="L50">
        <f>COUNTIFS(DATOS!G:G,CONFIG_METADATA!$B$4,DATOS!I:I,B50,DATOS!K:K,1)</f>
        <v>0</v>
      </c>
      <c r="M50">
        <f>COUNTIFS(DATOS!G:G,CONFIG_METADATA!$B$4,DATOS!I:I,B50,DATOS!K:K,2)</f>
        <v>0</v>
      </c>
      <c r="N50">
        <f>COUNTIFS(DATOS!G:G,CONFIG_METADATA!$B$4,DATOS!I:I,B50,DATOS!K:K,3)</f>
        <v>0</v>
      </c>
      <c r="O50">
        <f>COUNTIFS(DATOS!G:G,CONFIG_METADATA!$B$4,DATOS!I:I,B50,DATOS!K:K,4)</f>
        <v>0</v>
      </c>
      <c r="P50">
        <f>COUNTIFS(DATOS!G:G,CONFIG_METADATA!$B$4,DATOS!I:I,B50,DATOS!K:K,5)</f>
        <v>0</v>
      </c>
      <c r="Q50">
        <f>COUNTIFS(DATOS!G:G,CONFIG_METADATA!$B$4,DATOS!I:I,B50,DATOS!K:K,6)</f>
        <v>0</v>
      </c>
      <c r="R50">
        <f>COUNTIFS(DATOS!G:G,CONFIG_METADATA!$B$4,DATOS!I:I,B50,DATOS!K:K,7)</f>
        <v>0</v>
      </c>
      <c r="S50">
        <f>COUNTIFS(DATOS!G:G,CONFIG_METADATA!$B$4,DATOS!I:I,B50,DATOS!K:K,8)</f>
        <v>0</v>
      </c>
      <c r="T50">
        <f>COUNTIFS(DATOS!G:G,CONFIG_METADATA!$B$4,DATOS!I:I,B50,DATOS!K:K,9)</f>
        <v>0</v>
      </c>
      <c r="U50">
        <f>COUNTIFS(DATOS!G:G,CONFIG_METADATA!$B$4,DATOS!I:I,B50,DATOS!K:K,10)</f>
        <v>0</v>
      </c>
    </row>
    <row r="51" spans="1:22">
      <c r="A51" s="3" t="inlineStr">
        <is>
          <t xml:space="preserve">1EEM</t>
        </is>
      </c>
      <c r="B51" s="3">
        <f>IFERROR(INDEX(_xlfn._xlws.FILTER(CONFIG_ASIGNATURAS!$B$2:$B$27,CONFIG_ASIGNATURAS!$G$2:$G$27="Sí"),10),"")</f>
      </c>
      <c r="C51" s="3">
        <f>IF(B51="","",IFERROR(IF(VLOOKUP(B51,CONFIG_ASIGNATURAS!$B$2:$F$27,5,FALSE())="Sí","Especialidad","Asignatura"),"Asignatura"))</f>
      </c>
      <c r="D51">
        <f>COUNTIFS(DATOS!G:G,CONFIG_METADATA!$B$4,DATOS!I:I,B51)</f>
        <v>0</v>
      </c>
      <c r="E51" s="14" t="str">
        <f>IFERROR(AVERAGEIFS(DATOS!K:K,DATOS!G:G,CONFIG_METADATA!$B$4,DATOS!I:I,B51),"—")</f>
        <v>—</v>
      </c>
      <c r="F51" s="14" t="str" cm="1">
        <f t="array" ref="F51">IFERROR(_xlfn.STDEV.P(IF((DATOS!$G$2:$G$20000=CONFIG_METADATA!$B$4)*(DATOS!$I$2:$I$20000=B51),DATOS!$K$2:$K$20000)),"—")</f>
        <v>—</v>
      </c>
      <c r="G51" t="str" cm="1">
        <f t="array" ref="G51">IFERROR(_xlfn.MODE.SNGL(IF((DATOS!$G$2:$G$20000=CONFIG_METADATA!$B$4)*(DATOS!$I$2:$I$20000=B51),DATOS!$K$2:$K$20000)),"—")</f>
        <v>—</v>
      </c>
      <c r="H51" s="15" t="str">
        <f>IFERROR(COUNTIFS(DATOS!G:G,CONFIG_METADATA!$B$4,DATOS!I:I,B51,DATOS!L:L,"S")/COUNTIFS(DATOS!G:G,CONFIG_METADATA!$B$4,DATOS!I:I,B51),"—")</f>
        <v>—</v>
      </c>
      <c r="I51" s="15" t="str">
        <f>IFERROR(COUNTIFS(DATOS!G:G,CONFIG_METADATA!$B$4,DATOS!I:I,B51,DATOS!L:L,"N")/COUNTIFS(DATOS!G:G,CONFIG_METADATA!$B$4,DATOS!I:I,B51),"—")</f>
        <v>—</v>
      </c>
      <c r="J51" t="str" cm="1">
        <f t="array" ref="J51">IFERROR(_xlfn.MODE.SNGL(IF((DATOS!$G$2:$G$20000=CONFIG_METADATA!$B$4)*(DATOS!$I$2:$I$20000=B51)*(DATOS!$L$2:$L$20000="S"),DATOS!$K$2:$K$20000)),"—")</f>
        <v>—</v>
      </c>
      <c r="K51" t="str" cm="1">
        <f t="array" ref="K51">IFERROR(_xlfn.MODE.SNGL(IF((DATOS!$G$2:$G$20000=CONFIG_METADATA!$B$4)*(DATOS!$I$2:$I$20000=B51)*(DATOS!$L$2:$L$20000="N"),DATOS!$K$2:$K$20000)),"—")</f>
        <v>—</v>
      </c>
      <c r="L51">
        <f>COUNTIFS(DATOS!G:G,CONFIG_METADATA!$B$4,DATOS!I:I,B51,DATOS!K:K,1)</f>
        <v>0</v>
      </c>
      <c r="M51">
        <f>COUNTIFS(DATOS!G:G,CONFIG_METADATA!$B$4,DATOS!I:I,B51,DATOS!K:K,2)</f>
        <v>0</v>
      </c>
      <c r="N51">
        <f>COUNTIFS(DATOS!G:G,CONFIG_METADATA!$B$4,DATOS!I:I,B51,DATOS!K:K,3)</f>
        <v>0</v>
      </c>
      <c r="O51">
        <f>COUNTIFS(DATOS!G:G,CONFIG_METADATA!$B$4,DATOS!I:I,B51,DATOS!K:K,4)</f>
        <v>0</v>
      </c>
      <c r="P51">
        <f>COUNTIFS(DATOS!G:G,CONFIG_METADATA!$B$4,DATOS!I:I,B51,DATOS!K:K,5)</f>
        <v>0</v>
      </c>
      <c r="Q51">
        <f>COUNTIFS(DATOS!G:G,CONFIG_METADATA!$B$4,DATOS!I:I,B51,DATOS!K:K,6)</f>
        <v>0</v>
      </c>
      <c r="R51">
        <f>COUNTIFS(DATOS!G:G,CONFIG_METADATA!$B$4,DATOS!I:I,B51,DATOS!K:K,7)</f>
        <v>0</v>
      </c>
      <c r="S51">
        <f>COUNTIFS(DATOS!G:G,CONFIG_METADATA!$B$4,DATOS!I:I,B51,DATOS!K:K,8)</f>
        <v>0</v>
      </c>
      <c r="T51">
        <f>COUNTIFS(DATOS!G:G,CONFIG_METADATA!$B$4,DATOS!I:I,B51,DATOS!K:K,9)</f>
        <v>0</v>
      </c>
      <c r="U51">
        <f>COUNTIFS(DATOS!G:G,CONFIG_METADATA!$B$4,DATOS!I:I,B51,DATOS!K:K,10)</f>
        <v>0</v>
      </c>
    </row>
    <row r="52" spans="1:22">
      <c r="A52" s="3" t="inlineStr">
        <is>
          <t xml:space="preserve">1EEM</t>
        </is>
      </c>
      <c r="B52" s="3">
        <f>IFERROR(INDEX(_xlfn._xlws.FILTER(CONFIG_ASIGNATURAS!$B$2:$B$27,CONFIG_ASIGNATURAS!$G$2:$G$27="Sí"),11),"")</f>
      </c>
      <c r="C52" s="3">
        <f>IF(B52="","",IFERROR(IF(VLOOKUP(B52,CONFIG_ASIGNATURAS!$B$2:$F$27,5,FALSE())="Sí","Especialidad","Asignatura"),"Asignatura"))</f>
      </c>
      <c r="D52">
        <f>COUNTIFS(DATOS!G:G,CONFIG_METADATA!$B$4,DATOS!I:I,B52)</f>
        <v>0</v>
      </c>
      <c r="E52" s="14" t="str">
        <f>IFERROR(AVERAGEIFS(DATOS!K:K,DATOS!G:G,CONFIG_METADATA!$B$4,DATOS!I:I,B52),"—")</f>
        <v>—</v>
      </c>
      <c r="F52" s="14" t="str" cm="1">
        <f t="array" ref="F52">IFERROR(_xlfn.STDEV.P(IF((DATOS!$G$2:$G$20000=CONFIG_METADATA!$B$4)*(DATOS!$I$2:$I$20000=B52),DATOS!$K$2:$K$20000)),"—")</f>
        <v>—</v>
      </c>
      <c r="G52" t="str" cm="1">
        <f t="array" ref="G52">IFERROR(_xlfn.MODE.SNGL(IF((DATOS!$G$2:$G$20000=CONFIG_METADATA!$B$4)*(DATOS!$I$2:$I$20000=B52),DATOS!$K$2:$K$20000)),"—")</f>
        <v>—</v>
      </c>
      <c r="H52" s="15" t="str">
        <f>IFERROR(COUNTIFS(DATOS!G:G,CONFIG_METADATA!$B$4,DATOS!I:I,B52,DATOS!L:L,"S")/COUNTIFS(DATOS!G:G,CONFIG_METADATA!$B$4,DATOS!I:I,B52),"—")</f>
        <v>—</v>
      </c>
      <c r="I52" s="15" t="str">
        <f>IFERROR(COUNTIFS(DATOS!G:G,CONFIG_METADATA!$B$4,DATOS!I:I,B52,DATOS!L:L,"N")/COUNTIFS(DATOS!G:G,CONFIG_METADATA!$B$4,DATOS!I:I,B52),"—")</f>
        <v>—</v>
      </c>
      <c r="J52" t="str" cm="1">
        <f t="array" ref="J52">IFERROR(_xlfn.MODE.SNGL(IF((DATOS!$G$2:$G$20000=CONFIG_METADATA!$B$4)*(DATOS!$I$2:$I$20000=B52)*(DATOS!$L$2:$L$20000="S"),DATOS!$K$2:$K$20000)),"—")</f>
        <v>—</v>
      </c>
      <c r="K52" t="str" cm="1">
        <f t="array" ref="K52">IFERROR(_xlfn.MODE.SNGL(IF((DATOS!$G$2:$G$20000=CONFIG_METADATA!$B$4)*(DATOS!$I$2:$I$20000=B52)*(DATOS!$L$2:$L$20000="N"),DATOS!$K$2:$K$20000)),"—")</f>
        <v>—</v>
      </c>
      <c r="L52">
        <f>COUNTIFS(DATOS!G:G,CONFIG_METADATA!$B$4,DATOS!I:I,B52,DATOS!K:K,1)</f>
        <v>0</v>
      </c>
      <c r="M52">
        <f>COUNTIFS(DATOS!G:G,CONFIG_METADATA!$B$4,DATOS!I:I,B52,DATOS!K:K,2)</f>
        <v>0</v>
      </c>
      <c r="N52">
        <f>COUNTIFS(DATOS!G:G,CONFIG_METADATA!$B$4,DATOS!I:I,B52,DATOS!K:K,3)</f>
        <v>0</v>
      </c>
      <c r="O52">
        <f>COUNTIFS(DATOS!G:G,CONFIG_METADATA!$B$4,DATOS!I:I,B52,DATOS!K:K,4)</f>
        <v>0</v>
      </c>
      <c r="P52">
        <f>COUNTIFS(DATOS!G:G,CONFIG_METADATA!$B$4,DATOS!I:I,B52,DATOS!K:K,5)</f>
        <v>0</v>
      </c>
      <c r="Q52">
        <f>COUNTIFS(DATOS!G:G,CONFIG_METADATA!$B$4,DATOS!I:I,B52,DATOS!K:K,6)</f>
        <v>0</v>
      </c>
      <c r="R52">
        <f>COUNTIFS(DATOS!G:G,CONFIG_METADATA!$B$4,DATOS!I:I,B52,DATOS!K:K,7)</f>
        <v>0</v>
      </c>
      <c r="S52">
        <f>COUNTIFS(DATOS!G:G,CONFIG_METADATA!$B$4,DATOS!I:I,B52,DATOS!K:K,8)</f>
        <v>0</v>
      </c>
      <c r="T52">
        <f>COUNTIFS(DATOS!G:G,CONFIG_METADATA!$B$4,DATOS!I:I,B52,DATOS!K:K,9)</f>
        <v>0</v>
      </c>
      <c r="U52">
        <f>COUNTIFS(DATOS!G:G,CONFIG_METADATA!$B$4,DATOS!I:I,B52,DATOS!K:K,10)</f>
        <v>0</v>
      </c>
    </row>
    <row r="53" spans="1:22">
      <c r="A53" s="3" t="inlineStr">
        <is>
          <t xml:space="preserve">1EEM</t>
        </is>
      </c>
      <c r="B53" s="3">
        <f>IFERROR(INDEX(_xlfn._xlws.FILTER(CONFIG_ASIGNATURAS!$B$2:$B$27,CONFIG_ASIGNATURAS!$G$2:$G$27="Sí"),12),"")</f>
      </c>
      <c r="C53" s="3">
        <f>IF(B53="","",IFERROR(IF(VLOOKUP(B53,CONFIG_ASIGNATURAS!$B$2:$F$27,5,FALSE())="Sí","Especialidad","Asignatura"),"Asignatura"))</f>
      </c>
      <c r="D53">
        <f>COUNTIFS(DATOS!G:G,CONFIG_METADATA!$B$4,DATOS!I:I,B53)</f>
        <v>0</v>
      </c>
      <c r="E53" s="14" t="str">
        <f>IFERROR(AVERAGEIFS(DATOS!K:K,DATOS!G:G,CONFIG_METADATA!$B$4,DATOS!I:I,B53),"—")</f>
        <v>—</v>
      </c>
      <c r="F53" s="14" t="str" cm="1">
        <f t="array" ref="F53">IFERROR(_xlfn.STDEV.P(IF((DATOS!$G$2:$G$20000=CONFIG_METADATA!$B$4)*(DATOS!$I$2:$I$20000=B53),DATOS!$K$2:$K$20000)),"—")</f>
        <v>—</v>
      </c>
      <c r="G53" t="str" cm="1">
        <f t="array" ref="G53">IFERROR(_xlfn.MODE.SNGL(IF((DATOS!$G$2:$G$20000=CONFIG_METADATA!$B$4)*(DATOS!$I$2:$I$20000=B53),DATOS!$K$2:$K$20000)),"—")</f>
        <v>—</v>
      </c>
      <c r="H53" s="15" t="str">
        <f>IFERROR(COUNTIFS(DATOS!G:G,CONFIG_METADATA!$B$4,DATOS!I:I,B53,DATOS!L:L,"S")/COUNTIFS(DATOS!G:G,CONFIG_METADATA!$B$4,DATOS!I:I,B53),"—")</f>
        <v>—</v>
      </c>
      <c r="I53" s="15" t="str">
        <f>IFERROR(COUNTIFS(DATOS!G:G,CONFIG_METADATA!$B$4,DATOS!I:I,B53,DATOS!L:L,"N")/COUNTIFS(DATOS!G:G,CONFIG_METADATA!$B$4,DATOS!I:I,B53),"—")</f>
        <v>—</v>
      </c>
      <c r="J53" t="str" cm="1">
        <f t="array" ref="J53">IFERROR(_xlfn.MODE.SNGL(IF((DATOS!$G$2:$G$20000=CONFIG_METADATA!$B$4)*(DATOS!$I$2:$I$20000=B53)*(DATOS!$L$2:$L$20000="S"),DATOS!$K$2:$K$20000)),"—")</f>
        <v>—</v>
      </c>
      <c r="K53" t="str" cm="1">
        <f t="array" ref="K53">IFERROR(_xlfn.MODE.SNGL(IF((DATOS!$G$2:$G$20000=CONFIG_METADATA!$B$4)*(DATOS!$I$2:$I$20000=B53)*(DATOS!$L$2:$L$20000="N"),DATOS!$K$2:$K$20000)),"—")</f>
        <v>—</v>
      </c>
      <c r="L53">
        <f>COUNTIFS(DATOS!G:G,CONFIG_METADATA!$B$4,DATOS!I:I,B53,DATOS!K:K,1)</f>
        <v>0</v>
      </c>
      <c r="M53">
        <f>COUNTIFS(DATOS!G:G,CONFIG_METADATA!$B$4,DATOS!I:I,B53,DATOS!K:K,2)</f>
        <v>0</v>
      </c>
      <c r="N53">
        <f>COUNTIFS(DATOS!G:G,CONFIG_METADATA!$B$4,DATOS!I:I,B53,DATOS!K:K,3)</f>
        <v>0</v>
      </c>
      <c r="O53">
        <f>COUNTIFS(DATOS!G:G,CONFIG_METADATA!$B$4,DATOS!I:I,B53,DATOS!K:K,4)</f>
        <v>0</v>
      </c>
      <c r="P53">
        <f>COUNTIFS(DATOS!G:G,CONFIG_METADATA!$B$4,DATOS!I:I,B53,DATOS!K:K,5)</f>
        <v>0</v>
      </c>
      <c r="Q53">
        <f>COUNTIFS(DATOS!G:G,CONFIG_METADATA!$B$4,DATOS!I:I,B53,DATOS!K:K,6)</f>
        <v>0</v>
      </c>
      <c r="R53">
        <f>COUNTIFS(DATOS!G:G,CONFIG_METADATA!$B$4,DATOS!I:I,B53,DATOS!K:K,7)</f>
        <v>0</v>
      </c>
      <c r="S53">
        <f>COUNTIFS(DATOS!G:G,CONFIG_METADATA!$B$4,DATOS!I:I,B53,DATOS!K:K,8)</f>
        <v>0</v>
      </c>
      <c r="T53">
        <f>COUNTIFS(DATOS!G:G,CONFIG_METADATA!$B$4,DATOS!I:I,B53,DATOS!K:K,9)</f>
        <v>0</v>
      </c>
      <c r="U53">
        <f>COUNTIFS(DATOS!G:G,CONFIG_METADATA!$B$4,DATOS!I:I,B53,DATOS!K:K,10)</f>
        <v>0</v>
      </c>
    </row>
    <row r="54" spans="1:22">
      <c r="A54" s="3" t="inlineStr">
        <is>
          <t xml:space="preserve">1EEM</t>
        </is>
      </c>
      <c r="B54" s="3">
        <f>IFERROR(INDEX(_xlfn._xlws.FILTER(CONFIG_ASIGNATURAS!$B$2:$B$27,CONFIG_ASIGNATURAS!$G$2:$G$27="Sí"),13),"")</f>
      </c>
      <c r="C54" s="3">
        <f>IF(B54="","",IFERROR(IF(VLOOKUP(B54,CONFIG_ASIGNATURAS!$B$2:$F$27,5,FALSE())="Sí","Especialidad","Asignatura"),"Asignatura"))</f>
      </c>
      <c r="D54">
        <f>COUNTIFS(DATOS!G:G,CONFIG_METADATA!$B$4,DATOS!I:I,B54)</f>
        <v>0</v>
      </c>
      <c r="E54" s="14" t="str">
        <f>IFERROR(AVERAGEIFS(DATOS!K:K,DATOS!G:G,CONFIG_METADATA!$B$4,DATOS!I:I,B54),"—")</f>
        <v>—</v>
      </c>
      <c r="F54" s="14" t="str" cm="1">
        <f t="array" ref="F54">IFERROR(_xlfn.STDEV.P(IF((DATOS!$G$2:$G$20000=CONFIG_METADATA!$B$4)*(DATOS!$I$2:$I$20000=B54),DATOS!$K$2:$K$20000)),"—")</f>
        <v>—</v>
      </c>
      <c r="G54" t="str" cm="1">
        <f t="array" ref="G54">IFERROR(_xlfn.MODE.SNGL(IF((DATOS!$G$2:$G$20000=CONFIG_METADATA!$B$4)*(DATOS!$I$2:$I$20000=B54),DATOS!$K$2:$K$20000)),"—")</f>
        <v>—</v>
      </c>
      <c r="H54" s="15" t="str">
        <f>IFERROR(COUNTIFS(DATOS!G:G,CONFIG_METADATA!$B$4,DATOS!I:I,B54,DATOS!L:L,"S")/COUNTIFS(DATOS!G:G,CONFIG_METADATA!$B$4,DATOS!I:I,B54),"—")</f>
        <v>—</v>
      </c>
      <c r="I54" s="15" t="str">
        <f>IFERROR(COUNTIFS(DATOS!G:G,CONFIG_METADATA!$B$4,DATOS!I:I,B54,DATOS!L:L,"N")/COUNTIFS(DATOS!G:G,CONFIG_METADATA!$B$4,DATOS!I:I,B54),"—")</f>
        <v>—</v>
      </c>
      <c r="J54" t="str" cm="1">
        <f t="array" ref="J54">IFERROR(_xlfn.MODE.SNGL(IF((DATOS!$G$2:$G$20000=CONFIG_METADATA!$B$4)*(DATOS!$I$2:$I$20000=B54)*(DATOS!$L$2:$L$20000="S"),DATOS!$K$2:$K$20000)),"—")</f>
        <v>—</v>
      </c>
      <c r="K54" t="str" cm="1">
        <f t="array" ref="K54">IFERROR(_xlfn.MODE.SNGL(IF((DATOS!$G$2:$G$20000=CONFIG_METADATA!$B$4)*(DATOS!$I$2:$I$20000=B54)*(DATOS!$L$2:$L$20000="N"),DATOS!$K$2:$K$20000)),"—")</f>
        <v>—</v>
      </c>
      <c r="L54">
        <f>COUNTIFS(DATOS!G:G,CONFIG_METADATA!$B$4,DATOS!I:I,B54,DATOS!K:K,1)</f>
        <v>0</v>
      </c>
      <c r="M54">
        <f>COUNTIFS(DATOS!G:G,CONFIG_METADATA!$B$4,DATOS!I:I,B54,DATOS!K:K,2)</f>
        <v>0</v>
      </c>
      <c r="N54">
        <f>COUNTIFS(DATOS!G:G,CONFIG_METADATA!$B$4,DATOS!I:I,B54,DATOS!K:K,3)</f>
        <v>0</v>
      </c>
      <c r="O54">
        <f>COUNTIFS(DATOS!G:G,CONFIG_METADATA!$B$4,DATOS!I:I,B54,DATOS!K:K,4)</f>
        <v>0</v>
      </c>
      <c r="P54">
        <f>COUNTIFS(DATOS!G:G,CONFIG_METADATA!$B$4,DATOS!I:I,B54,DATOS!K:K,5)</f>
        <v>0</v>
      </c>
      <c r="Q54">
        <f>COUNTIFS(DATOS!G:G,CONFIG_METADATA!$B$4,DATOS!I:I,B54,DATOS!K:K,6)</f>
        <v>0</v>
      </c>
      <c r="R54">
        <f>COUNTIFS(DATOS!G:G,CONFIG_METADATA!$B$4,DATOS!I:I,B54,DATOS!K:K,7)</f>
        <v>0</v>
      </c>
      <c r="S54">
        <f>COUNTIFS(DATOS!G:G,CONFIG_METADATA!$B$4,DATOS!I:I,B54,DATOS!K:K,8)</f>
        <v>0</v>
      </c>
      <c r="T54">
        <f>COUNTIFS(DATOS!G:G,CONFIG_METADATA!$B$4,DATOS!I:I,B54,DATOS!K:K,9)</f>
        <v>0</v>
      </c>
      <c r="U54">
        <f>COUNTIFS(DATOS!G:G,CONFIG_METADATA!$B$4,DATOS!I:I,B54,DATOS!K:K,10)</f>
        <v>0</v>
      </c>
    </row>
    <row r="55" spans="1:22">
      <c r="A55" s="3" t="inlineStr">
        <is>
          <t xml:space="preserve">1EEM</t>
        </is>
      </c>
      <c r="B55" s="3">
        <f>IFERROR(INDEX(_xlfn._xlws.FILTER(CONFIG_ASIGNATURAS!$B$2:$B$27,CONFIG_ASIGNATURAS!$G$2:$G$27="Sí"),14),"")</f>
      </c>
      <c r="C55" s="3">
        <f>IF(B55="","",IFERROR(IF(VLOOKUP(B55,CONFIG_ASIGNATURAS!$B$2:$F$27,5,FALSE())="Sí","Especialidad","Asignatura"),"Asignatura"))</f>
      </c>
      <c r="D55">
        <f>COUNTIFS(DATOS!G:G,CONFIG_METADATA!$B$4,DATOS!I:I,B55)</f>
        <v>0</v>
      </c>
      <c r="E55" s="14" t="str">
        <f>IFERROR(AVERAGEIFS(DATOS!K:K,DATOS!G:G,CONFIG_METADATA!$B$4,DATOS!I:I,B55),"—")</f>
        <v>—</v>
      </c>
      <c r="F55" s="14" t="str" cm="1">
        <f t="array" ref="F55">IFERROR(_xlfn.STDEV.P(IF((DATOS!$G$2:$G$20000=CONFIG_METADATA!$B$4)*(DATOS!$I$2:$I$20000=B55),DATOS!$K$2:$K$20000)),"—")</f>
        <v>—</v>
      </c>
      <c r="G55" t="str" cm="1">
        <f t="array" ref="G55">IFERROR(_xlfn.MODE.SNGL(IF((DATOS!$G$2:$G$20000=CONFIG_METADATA!$B$4)*(DATOS!$I$2:$I$20000=B55),DATOS!$K$2:$K$20000)),"—")</f>
        <v>—</v>
      </c>
      <c r="H55" s="15" t="str">
        <f>IFERROR(COUNTIFS(DATOS!G:G,CONFIG_METADATA!$B$4,DATOS!I:I,B55,DATOS!L:L,"S")/COUNTIFS(DATOS!G:G,CONFIG_METADATA!$B$4,DATOS!I:I,B55),"—")</f>
        <v>—</v>
      </c>
      <c r="I55" s="15" t="str">
        <f>IFERROR(COUNTIFS(DATOS!G:G,CONFIG_METADATA!$B$4,DATOS!I:I,B55,DATOS!L:L,"N")/COUNTIFS(DATOS!G:G,CONFIG_METADATA!$B$4,DATOS!I:I,B55),"—")</f>
        <v>—</v>
      </c>
      <c r="J55" t="str" cm="1">
        <f t="array" ref="J55">IFERROR(_xlfn.MODE.SNGL(IF((DATOS!$G$2:$G$20000=CONFIG_METADATA!$B$4)*(DATOS!$I$2:$I$20000=B55)*(DATOS!$L$2:$L$20000="S"),DATOS!$K$2:$K$20000)),"—")</f>
        <v>—</v>
      </c>
      <c r="K55" t="str" cm="1">
        <f t="array" ref="K55">IFERROR(_xlfn.MODE.SNGL(IF((DATOS!$G$2:$G$20000=CONFIG_METADATA!$B$4)*(DATOS!$I$2:$I$20000=B55)*(DATOS!$L$2:$L$20000="N"),DATOS!$K$2:$K$20000)),"—")</f>
        <v>—</v>
      </c>
      <c r="L55">
        <f>COUNTIFS(DATOS!G:G,CONFIG_METADATA!$B$4,DATOS!I:I,B55,DATOS!K:K,1)</f>
        <v>0</v>
      </c>
      <c r="M55">
        <f>COUNTIFS(DATOS!G:G,CONFIG_METADATA!$B$4,DATOS!I:I,B55,DATOS!K:K,2)</f>
        <v>0</v>
      </c>
      <c r="N55">
        <f>COUNTIFS(DATOS!G:G,CONFIG_METADATA!$B$4,DATOS!I:I,B55,DATOS!K:K,3)</f>
        <v>0</v>
      </c>
      <c r="O55">
        <f>COUNTIFS(DATOS!G:G,CONFIG_METADATA!$B$4,DATOS!I:I,B55,DATOS!K:K,4)</f>
        <v>0</v>
      </c>
      <c r="P55">
        <f>COUNTIFS(DATOS!G:G,CONFIG_METADATA!$B$4,DATOS!I:I,B55,DATOS!K:K,5)</f>
        <v>0</v>
      </c>
      <c r="Q55">
        <f>COUNTIFS(DATOS!G:G,CONFIG_METADATA!$B$4,DATOS!I:I,B55,DATOS!K:K,6)</f>
        <v>0</v>
      </c>
      <c r="R55">
        <f>COUNTIFS(DATOS!G:G,CONFIG_METADATA!$B$4,DATOS!I:I,B55,DATOS!K:K,7)</f>
        <v>0</v>
      </c>
      <c r="S55">
        <f>COUNTIFS(DATOS!G:G,CONFIG_METADATA!$B$4,DATOS!I:I,B55,DATOS!K:K,8)</f>
        <v>0</v>
      </c>
      <c r="T55">
        <f>COUNTIFS(DATOS!G:G,CONFIG_METADATA!$B$4,DATOS!I:I,B55,DATOS!K:K,9)</f>
        <v>0</v>
      </c>
      <c r="U55">
        <f>COUNTIFS(DATOS!G:G,CONFIG_METADATA!$B$4,DATOS!I:I,B55,DATOS!K:K,10)</f>
        <v>0</v>
      </c>
    </row>
    <row r="56" spans="1:22">
      <c r="A56" s="3" t="inlineStr">
        <is>
          <t xml:space="preserve">1EEM</t>
        </is>
      </c>
      <c r="B56" s="3">
        <f>IFERROR(INDEX(_xlfn._xlws.FILTER(CONFIG_ASIGNATURAS!$B$2:$B$27,CONFIG_ASIGNATURAS!$G$2:$G$27="Sí"),15),"")</f>
      </c>
      <c r="C56" s="3">
        <f>IF(B56="","",IFERROR(IF(VLOOKUP(B56,CONFIG_ASIGNATURAS!$B$2:$F$27,5,FALSE())="Sí","Especialidad","Asignatura"),"Asignatura"))</f>
      </c>
      <c r="D56">
        <f>COUNTIFS(DATOS!G:G,CONFIG_METADATA!$B$4,DATOS!I:I,B56)</f>
        <v>0</v>
      </c>
      <c r="E56" s="14" t="str">
        <f>IFERROR(AVERAGEIFS(DATOS!K:K,DATOS!G:G,CONFIG_METADATA!$B$4,DATOS!I:I,B56),"—")</f>
        <v>—</v>
      </c>
      <c r="F56" s="14" t="str" cm="1">
        <f t="array" ref="F56">IFERROR(_xlfn.STDEV.P(IF((DATOS!$G$2:$G$20000=CONFIG_METADATA!$B$4)*(DATOS!$I$2:$I$20000=B56),DATOS!$K$2:$K$20000)),"—")</f>
        <v>—</v>
      </c>
      <c r="G56" t="str" cm="1">
        <f t="array" ref="G56">IFERROR(_xlfn.MODE.SNGL(IF((DATOS!$G$2:$G$20000=CONFIG_METADATA!$B$4)*(DATOS!$I$2:$I$20000=B56),DATOS!$K$2:$K$20000)),"—")</f>
        <v>—</v>
      </c>
      <c r="H56" s="15" t="str">
        <f>IFERROR(COUNTIFS(DATOS!G:G,CONFIG_METADATA!$B$4,DATOS!I:I,B56,DATOS!L:L,"S")/COUNTIFS(DATOS!G:G,CONFIG_METADATA!$B$4,DATOS!I:I,B56),"—")</f>
        <v>—</v>
      </c>
      <c r="I56" s="15" t="str">
        <f>IFERROR(COUNTIFS(DATOS!G:G,CONFIG_METADATA!$B$4,DATOS!I:I,B56,DATOS!L:L,"N")/COUNTIFS(DATOS!G:G,CONFIG_METADATA!$B$4,DATOS!I:I,B56),"—")</f>
        <v>—</v>
      </c>
      <c r="J56" t="str" cm="1">
        <f t="array" ref="J56">IFERROR(_xlfn.MODE.SNGL(IF((DATOS!$G$2:$G$20000=CONFIG_METADATA!$B$4)*(DATOS!$I$2:$I$20000=B56)*(DATOS!$L$2:$L$20000="S"),DATOS!$K$2:$K$20000)),"—")</f>
        <v>—</v>
      </c>
      <c r="K56" t="str" cm="1">
        <f t="array" ref="K56">IFERROR(_xlfn.MODE.SNGL(IF((DATOS!$G$2:$G$20000=CONFIG_METADATA!$B$4)*(DATOS!$I$2:$I$20000=B56)*(DATOS!$L$2:$L$20000="N"),DATOS!$K$2:$K$20000)),"—")</f>
        <v>—</v>
      </c>
      <c r="L56">
        <f>COUNTIFS(DATOS!G:G,CONFIG_METADATA!$B$4,DATOS!I:I,B56,DATOS!K:K,1)</f>
        <v>0</v>
      </c>
      <c r="M56">
        <f>COUNTIFS(DATOS!G:G,CONFIG_METADATA!$B$4,DATOS!I:I,B56,DATOS!K:K,2)</f>
        <v>0</v>
      </c>
      <c r="N56">
        <f>COUNTIFS(DATOS!G:G,CONFIG_METADATA!$B$4,DATOS!I:I,B56,DATOS!K:K,3)</f>
        <v>0</v>
      </c>
      <c r="O56">
        <f>COUNTIFS(DATOS!G:G,CONFIG_METADATA!$B$4,DATOS!I:I,B56,DATOS!K:K,4)</f>
        <v>0</v>
      </c>
      <c r="P56">
        <f>COUNTIFS(DATOS!G:G,CONFIG_METADATA!$B$4,DATOS!I:I,B56,DATOS!K:K,5)</f>
        <v>0</v>
      </c>
      <c r="Q56">
        <f>COUNTIFS(DATOS!G:G,CONFIG_METADATA!$B$4,DATOS!I:I,B56,DATOS!K:K,6)</f>
        <v>0</v>
      </c>
      <c r="R56">
        <f>COUNTIFS(DATOS!G:G,CONFIG_METADATA!$B$4,DATOS!I:I,B56,DATOS!K:K,7)</f>
        <v>0</v>
      </c>
      <c r="S56">
        <f>COUNTIFS(DATOS!G:G,CONFIG_METADATA!$B$4,DATOS!I:I,B56,DATOS!K:K,8)</f>
        <v>0</v>
      </c>
      <c r="T56">
        <f>COUNTIFS(DATOS!G:G,CONFIG_METADATA!$B$4,DATOS!I:I,B56,DATOS!K:K,9)</f>
        <v>0</v>
      </c>
      <c r="U56">
        <f>COUNTIFS(DATOS!G:G,CONFIG_METADATA!$B$4,DATOS!I:I,B56,DATOS!K:K,10)</f>
        <v>0</v>
      </c>
    </row>
    <row r="57" spans="1:22">
      <c r="A57" s="3" t="inlineStr">
        <is>
          <t xml:space="preserve">1EEM</t>
        </is>
      </c>
      <c r="B57" s="3">
        <f>IFERROR(INDEX(_xlfn._xlws.FILTER(CONFIG_ASIGNATURAS!$B$2:$B$27,CONFIG_ASIGNATURAS!$G$2:$G$27="Sí"),16),"")</f>
      </c>
      <c r="C57" s="3">
        <f>IF(B57="","",IFERROR(IF(VLOOKUP(B57,CONFIG_ASIGNATURAS!$B$2:$F$27,5,FALSE())="Sí","Especialidad","Asignatura"),"Asignatura"))</f>
      </c>
      <c r="D57">
        <f>COUNTIFS(DATOS!G:G,CONFIG_METADATA!$B$4,DATOS!I:I,B57)</f>
        <v>0</v>
      </c>
      <c r="E57" s="14" t="str">
        <f>IFERROR(AVERAGEIFS(DATOS!K:K,DATOS!G:G,CONFIG_METADATA!$B$4,DATOS!I:I,B57),"—")</f>
        <v>—</v>
      </c>
      <c r="F57" s="14" t="str" cm="1">
        <f t="array" ref="F57">IFERROR(_xlfn.STDEV.P(IF((DATOS!$G$2:$G$20000=CONFIG_METADATA!$B$4)*(DATOS!$I$2:$I$20000=B57),DATOS!$K$2:$K$20000)),"—")</f>
        <v>—</v>
      </c>
      <c r="G57" t="str" cm="1">
        <f t="array" ref="G57">IFERROR(_xlfn.MODE.SNGL(IF((DATOS!$G$2:$G$20000=CONFIG_METADATA!$B$4)*(DATOS!$I$2:$I$20000=B57),DATOS!$K$2:$K$20000)),"—")</f>
        <v>—</v>
      </c>
      <c r="H57" s="15" t="str">
        <f>IFERROR(COUNTIFS(DATOS!G:G,CONFIG_METADATA!$B$4,DATOS!I:I,B57,DATOS!L:L,"S")/COUNTIFS(DATOS!G:G,CONFIG_METADATA!$B$4,DATOS!I:I,B57),"—")</f>
        <v>—</v>
      </c>
      <c r="I57" s="15" t="str">
        <f>IFERROR(COUNTIFS(DATOS!G:G,CONFIG_METADATA!$B$4,DATOS!I:I,B57,DATOS!L:L,"N")/COUNTIFS(DATOS!G:G,CONFIG_METADATA!$B$4,DATOS!I:I,B57),"—")</f>
        <v>—</v>
      </c>
      <c r="J57" t="str" cm="1">
        <f t="array" ref="J57">IFERROR(_xlfn.MODE.SNGL(IF((DATOS!$G$2:$G$20000=CONFIG_METADATA!$B$4)*(DATOS!$I$2:$I$20000=B57)*(DATOS!$L$2:$L$20000="S"),DATOS!$K$2:$K$20000)),"—")</f>
        <v>—</v>
      </c>
      <c r="K57" t="str" cm="1">
        <f t="array" ref="K57">IFERROR(_xlfn.MODE.SNGL(IF((DATOS!$G$2:$G$20000=CONFIG_METADATA!$B$4)*(DATOS!$I$2:$I$20000=B57)*(DATOS!$L$2:$L$20000="N"),DATOS!$K$2:$K$20000)),"—")</f>
        <v>—</v>
      </c>
      <c r="L57">
        <f>COUNTIFS(DATOS!G:G,CONFIG_METADATA!$B$4,DATOS!I:I,B57,DATOS!K:K,1)</f>
        <v>0</v>
      </c>
      <c r="M57">
        <f>COUNTIFS(DATOS!G:G,CONFIG_METADATA!$B$4,DATOS!I:I,B57,DATOS!K:K,2)</f>
        <v>0</v>
      </c>
      <c r="N57">
        <f>COUNTIFS(DATOS!G:G,CONFIG_METADATA!$B$4,DATOS!I:I,B57,DATOS!K:K,3)</f>
        <v>0</v>
      </c>
      <c r="O57">
        <f>COUNTIFS(DATOS!G:G,CONFIG_METADATA!$B$4,DATOS!I:I,B57,DATOS!K:K,4)</f>
        <v>0</v>
      </c>
      <c r="P57">
        <f>COUNTIFS(DATOS!G:G,CONFIG_METADATA!$B$4,DATOS!I:I,B57,DATOS!K:K,5)</f>
        <v>0</v>
      </c>
      <c r="Q57">
        <f>COUNTIFS(DATOS!G:G,CONFIG_METADATA!$B$4,DATOS!I:I,B57,DATOS!K:K,6)</f>
        <v>0</v>
      </c>
      <c r="R57">
        <f>COUNTIFS(DATOS!G:G,CONFIG_METADATA!$B$4,DATOS!I:I,B57,DATOS!K:K,7)</f>
        <v>0</v>
      </c>
      <c r="S57">
        <f>COUNTIFS(DATOS!G:G,CONFIG_METADATA!$B$4,DATOS!I:I,B57,DATOS!K:K,8)</f>
        <v>0</v>
      </c>
      <c r="T57">
        <f>COUNTIFS(DATOS!G:G,CONFIG_METADATA!$B$4,DATOS!I:I,B57,DATOS!K:K,9)</f>
        <v>0</v>
      </c>
      <c r="U57">
        <f>COUNTIFS(DATOS!G:G,CONFIG_METADATA!$B$4,DATOS!I:I,B57,DATOS!K:K,10)</f>
        <v>0</v>
      </c>
    </row>
    <row r="58" spans="1:22">
      <c r="A58" s="3" t="inlineStr">
        <is>
          <t xml:space="preserve">1EEM</t>
        </is>
      </c>
      <c r="B58" s="3">
        <f>IFERROR(INDEX(_xlfn._xlws.FILTER(CONFIG_ASIGNATURAS!$B$2:$B$27,CONFIG_ASIGNATURAS!$G$2:$G$27="Sí"),17),"")</f>
      </c>
      <c r="C58" s="3">
        <f>IF(B58="","",IFERROR(IF(VLOOKUP(B58,CONFIG_ASIGNATURAS!$B$2:$F$27,5,FALSE())="Sí","Especialidad","Asignatura"),"Asignatura"))</f>
      </c>
      <c r="D58">
        <f>COUNTIFS(DATOS!G:G,CONFIG_METADATA!$B$4,DATOS!I:I,B58)</f>
        <v>0</v>
      </c>
      <c r="E58" s="14" t="str">
        <f>IFERROR(AVERAGEIFS(DATOS!K:K,DATOS!G:G,CONFIG_METADATA!$B$4,DATOS!I:I,B58),"—")</f>
        <v>—</v>
      </c>
      <c r="F58" s="14" t="str" cm="1">
        <f t="array" ref="F58">IFERROR(_xlfn.STDEV.P(IF((DATOS!$G$2:$G$20000=CONFIG_METADATA!$B$4)*(DATOS!$I$2:$I$20000=B58),DATOS!$K$2:$K$20000)),"—")</f>
        <v>—</v>
      </c>
      <c r="G58" t="str" cm="1">
        <f t="array" ref="G58">IFERROR(_xlfn.MODE.SNGL(IF((DATOS!$G$2:$G$20000=CONFIG_METADATA!$B$4)*(DATOS!$I$2:$I$20000=B58),DATOS!$K$2:$K$20000)),"—")</f>
        <v>—</v>
      </c>
      <c r="H58" s="15" t="str">
        <f>IFERROR(COUNTIFS(DATOS!G:G,CONFIG_METADATA!$B$4,DATOS!I:I,B58,DATOS!L:L,"S")/COUNTIFS(DATOS!G:G,CONFIG_METADATA!$B$4,DATOS!I:I,B58),"—")</f>
        <v>—</v>
      </c>
      <c r="I58" s="15" t="str">
        <f>IFERROR(COUNTIFS(DATOS!G:G,CONFIG_METADATA!$B$4,DATOS!I:I,B58,DATOS!L:L,"N")/COUNTIFS(DATOS!G:G,CONFIG_METADATA!$B$4,DATOS!I:I,B58),"—")</f>
        <v>—</v>
      </c>
      <c r="J58" t="str" cm="1">
        <f t="array" ref="J58">IFERROR(_xlfn.MODE.SNGL(IF((DATOS!$G$2:$G$20000=CONFIG_METADATA!$B$4)*(DATOS!$I$2:$I$20000=B58)*(DATOS!$L$2:$L$20000="S"),DATOS!$K$2:$K$20000)),"—")</f>
        <v>—</v>
      </c>
      <c r="K58" t="str" cm="1">
        <f t="array" ref="K58">IFERROR(_xlfn.MODE.SNGL(IF((DATOS!$G$2:$G$20000=CONFIG_METADATA!$B$4)*(DATOS!$I$2:$I$20000=B58)*(DATOS!$L$2:$L$20000="N"),DATOS!$K$2:$K$20000)),"—")</f>
        <v>—</v>
      </c>
      <c r="L58">
        <f>COUNTIFS(DATOS!G:G,CONFIG_METADATA!$B$4,DATOS!I:I,B58,DATOS!K:K,1)</f>
        <v>0</v>
      </c>
      <c r="M58">
        <f>COUNTIFS(DATOS!G:G,CONFIG_METADATA!$B$4,DATOS!I:I,B58,DATOS!K:K,2)</f>
        <v>0</v>
      </c>
      <c r="N58">
        <f>COUNTIFS(DATOS!G:G,CONFIG_METADATA!$B$4,DATOS!I:I,B58,DATOS!K:K,3)</f>
        <v>0</v>
      </c>
      <c r="O58">
        <f>COUNTIFS(DATOS!G:G,CONFIG_METADATA!$B$4,DATOS!I:I,B58,DATOS!K:K,4)</f>
        <v>0</v>
      </c>
      <c r="P58">
        <f>COUNTIFS(DATOS!G:G,CONFIG_METADATA!$B$4,DATOS!I:I,B58,DATOS!K:K,5)</f>
        <v>0</v>
      </c>
      <c r="Q58">
        <f>COUNTIFS(DATOS!G:G,CONFIG_METADATA!$B$4,DATOS!I:I,B58,DATOS!K:K,6)</f>
        <v>0</v>
      </c>
      <c r="R58">
        <f>COUNTIFS(DATOS!G:G,CONFIG_METADATA!$B$4,DATOS!I:I,B58,DATOS!K:K,7)</f>
        <v>0</v>
      </c>
      <c r="S58">
        <f>COUNTIFS(DATOS!G:G,CONFIG_METADATA!$B$4,DATOS!I:I,B58,DATOS!K:K,8)</f>
        <v>0</v>
      </c>
      <c r="T58">
        <f>COUNTIFS(DATOS!G:G,CONFIG_METADATA!$B$4,DATOS!I:I,B58,DATOS!K:K,9)</f>
        <v>0</v>
      </c>
      <c r="U58">
        <f>COUNTIFS(DATOS!G:G,CONFIG_METADATA!$B$4,DATOS!I:I,B58,DATOS!K:K,10)</f>
        <v>0</v>
      </c>
    </row>
    <row r="59" spans="1:22">
      <c r="A59" s="3" t="inlineStr">
        <is>
          <t xml:space="preserve">1EEM</t>
        </is>
      </c>
      <c r="B59" s="3">
        <f>IFERROR(INDEX(_xlfn._xlws.FILTER(CONFIG_ASIGNATURAS!$B$2:$B$27,CONFIG_ASIGNATURAS!$G$2:$G$27="Sí"),18),"")</f>
      </c>
      <c r="C59" s="3">
        <f>IF(B59="","",IFERROR(IF(VLOOKUP(B59,CONFIG_ASIGNATURAS!$B$2:$F$27,5,FALSE())="Sí","Especialidad","Asignatura"),"Asignatura"))</f>
      </c>
      <c r="D59">
        <f>COUNTIFS(DATOS!G:G,CONFIG_METADATA!$B$4,DATOS!I:I,B59)</f>
        <v>0</v>
      </c>
      <c r="E59" s="14" t="str">
        <f>IFERROR(AVERAGEIFS(DATOS!K:K,DATOS!G:G,CONFIG_METADATA!$B$4,DATOS!I:I,B59),"—")</f>
        <v>—</v>
      </c>
      <c r="F59" s="14" t="str" cm="1">
        <f t="array" ref="F59">IFERROR(_xlfn.STDEV.P(IF((DATOS!$G$2:$G$20000=CONFIG_METADATA!$B$4)*(DATOS!$I$2:$I$20000=B59),DATOS!$K$2:$K$20000)),"—")</f>
        <v>—</v>
      </c>
      <c r="G59" t="str" cm="1">
        <f t="array" ref="G59">IFERROR(_xlfn.MODE.SNGL(IF((DATOS!$G$2:$G$20000=CONFIG_METADATA!$B$4)*(DATOS!$I$2:$I$20000=B59),DATOS!$K$2:$K$20000)),"—")</f>
        <v>—</v>
      </c>
      <c r="H59" s="15" t="str">
        <f>IFERROR(COUNTIFS(DATOS!G:G,CONFIG_METADATA!$B$4,DATOS!I:I,B59,DATOS!L:L,"S")/COUNTIFS(DATOS!G:G,CONFIG_METADATA!$B$4,DATOS!I:I,B59),"—")</f>
        <v>—</v>
      </c>
      <c r="I59" s="15" t="str">
        <f>IFERROR(COUNTIFS(DATOS!G:G,CONFIG_METADATA!$B$4,DATOS!I:I,B59,DATOS!L:L,"N")/COUNTIFS(DATOS!G:G,CONFIG_METADATA!$B$4,DATOS!I:I,B59),"—")</f>
        <v>—</v>
      </c>
      <c r="J59" t="str" cm="1">
        <f t="array" ref="J59">IFERROR(_xlfn.MODE.SNGL(IF((DATOS!$G$2:$G$20000=CONFIG_METADATA!$B$4)*(DATOS!$I$2:$I$20000=B59)*(DATOS!$L$2:$L$20000="S"),DATOS!$K$2:$K$20000)),"—")</f>
        <v>—</v>
      </c>
      <c r="K59" t="str" cm="1">
        <f t="array" ref="K59">IFERROR(_xlfn.MODE.SNGL(IF((DATOS!$G$2:$G$20000=CONFIG_METADATA!$B$4)*(DATOS!$I$2:$I$20000=B59)*(DATOS!$L$2:$L$20000="N"),DATOS!$K$2:$K$20000)),"—")</f>
        <v>—</v>
      </c>
      <c r="L59">
        <f>COUNTIFS(DATOS!G:G,CONFIG_METADATA!$B$4,DATOS!I:I,B59,DATOS!K:K,1)</f>
        <v>0</v>
      </c>
      <c r="M59">
        <f>COUNTIFS(DATOS!G:G,CONFIG_METADATA!$B$4,DATOS!I:I,B59,DATOS!K:K,2)</f>
        <v>0</v>
      </c>
      <c r="N59">
        <f>COUNTIFS(DATOS!G:G,CONFIG_METADATA!$B$4,DATOS!I:I,B59,DATOS!K:K,3)</f>
        <v>0</v>
      </c>
      <c r="O59">
        <f>COUNTIFS(DATOS!G:G,CONFIG_METADATA!$B$4,DATOS!I:I,B59,DATOS!K:K,4)</f>
        <v>0</v>
      </c>
      <c r="P59">
        <f>COUNTIFS(DATOS!G:G,CONFIG_METADATA!$B$4,DATOS!I:I,B59,DATOS!K:K,5)</f>
        <v>0</v>
      </c>
      <c r="Q59">
        <f>COUNTIFS(DATOS!G:G,CONFIG_METADATA!$B$4,DATOS!I:I,B59,DATOS!K:K,6)</f>
        <v>0</v>
      </c>
      <c r="R59">
        <f>COUNTIFS(DATOS!G:G,CONFIG_METADATA!$B$4,DATOS!I:I,B59,DATOS!K:K,7)</f>
        <v>0</v>
      </c>
      <c r="S59">
        <f>COUNTIFS(DATOS!G:G,CONFIG_METADATA!$B$4,DATOS!I:I,B59,DATOS!K:K,8)</f>
        <v>0</v>
      </c>
      <c r="T59">
        <f>COUNTIFS(DATOS!G:G,CONFIG_METADATA!$B$4,DATOS!I:I,B59,DATOS!K:K,9)</f>
        <v>0</v>
      </c>
      <c r="U59">
        <f>COUNTIFS(DATOS!G:G,CONFIG_METADATA!$B$4,DATOS!I:I,B59,DATOS!K:K,10)</f>
        <v>0</v>
      </c>
    </row>
    <row r="60" spans="1:22">
      <c r="A60" s="3" t="inlineStr">
        <is>
          <t xml:space="preserve">1EEM</t>
        </is>
      </c>
      <c r="B60" s="3">
        <f>IFERROR(INDEX(_xlfn._xlws.FILTER(CONFIG_ASIGNATURAS!$B$2:$B$27,CONFIG_ASIGNATURAS!$G$2:$G$27="Sí"),19),"")</f>
      </c>
      <c r="C60" s="3">
        <f>IF(B60="","",IFERROR(IF(VLOOKUP(B60,CONFIG_ASIGNATURAS!$B$2:$F$27,5,FALSE())="Sí","Especialidad","Asignatura"),"Asignatura"))</f>
      </c>
      <c r="D60">
        <f>COUNTIFS(DATOS!G:G,CONFIG_METADATA!$B$4,DATOS!I:I,B60)</f>
        <v>0</v>
      </c>
      <c r="E60" s="14" t="str">
        <f>IFERROR(AVERAGEIFS(DATOS!K:K,DATOS!G:G,CONFIG_METADATA!$B$4,DATOS!I:I,B60),"—")</f>
        <v>—</v>
      </c>
      <c r="F60" s="14" t="str" cm="1">
        <f t="array" ref="F60">IFERROR(_xlfn.STDEV.P(IF((DATOS!$G$2:$G$20000=CONFIG_METADATA!$B$4)*(DATOS!$I$2:$I$20000=B60),DATOS!$K$2:$K$20000)),"—")</f>
        <v>—</v>
      </c>
      <c r="G60" t="str" cm="1">
        <f t="array" ref="G60">IFERROR(_xlfn.MODE.SNGL(IF((DATOS!$G$2:$G$20000=CONFIG_METADATA!$B$4)*(DATOS!$I$2:$I$20000=B60),DATOS!$K$2:$K$20000)),"—")</f>
        <v>—</v>
      </c>
      <c r="H60" s="15" t="str">
        <f>IFERROR(COUNTIFS(DATOS!G:G,CONFIG_METADATA!$B$4,DATOS!I:I,B60,DATOS!L:L,"S")/COUNTIFS(DATOS!G:G,CONFIG_METADATA!$B$4,DATOS!I:I,B60),"—")</f>
        <v>—</v>
      </c>
      <c r="I60" s="15" t="str">
        <f>IFERROR(COUNTIFS(DATOS!G:G,CONFIG_METADATA!$B$4,DATOS!I:I,B60,DATOS!L:L,"N")/COUNTIFS(DATOS!G:G,CONFIG_METADATA!$B$4,DATOS!I:I,B60),"—")</f>
        <v>—</v>
      </c>
      <c r="J60" t="str" cm="1">
        <f t="array" ref="J60">IFERROR(_xlfn.MODE.SNGL(IF((DATOS!$G$2:$G$20000=CONFIG_METADATA!$B$4)*(DATOS!$I$2:$I$20000=B60)*(DATOS!$L$2:$L$20000="S"),DATOS!$K$2:$K$20000)),"—")</f>
        <v>—</v>
      </c>
      <c r="K60" t="str" cm="1">
        <f t="array" ref="K60">IFERROR(_xlfn.MODE.SNGL(IF((DATOS!$G$2:$G$20000=CONFIG_METADATA!$B$4)*(DATOS!$I$2:$I$20000=B60)*(DATOS!$L$2:$L$20000="N"),DATOS!$K$2:$K$20000)),"—")</f>
        <v>—</v>
      </c>
      <c r="L60">
        <f>COUNTIFS(DATOS!G:G,CONFIG_METADATA!$B$4,DATOS!I:I,B60,DATOS!K:K,1)</f>
        <v>0</v>
      </c>
      <c r="M60">
        <f>COUNTIFS(DATOS!G:G,CONFIG_METADATA!$B$4,DATOS!I:I,B60,DATOS!K:K,2)</f>
        <v>0</v>
      </c>
      <c r="N60">
        <f>COUNTIFS(DATOS!G:G,CONFIG_METADATA!$B$4,DATOS!I:I,B60,DATOS!K:K,3)</f>
        <v>0</v>
      </c>
      <c r="O60">
        <f>COUNTIFS(DATOS!G:G,CONFIG_METADATA!$B$4,DATOS!I:I,B60,DATOS!K:K,4)</f>
        <v>0</v>
      </c>
      <c r="P60">
        <f>COUNTIFS(DATOS!G:G,CONFIG_METADATA!$B$4,DATOS!I:I,B60,DATOS!K:K,5)</f>
        <v>0</v>
      </c>
      <c r="Q60">
        <f>COUNTIFS(DATOS!G:G,CONFIG_METADATA!$B$4,DATOS!I:I,B60,DATOS!K:K,6)</f>
        <v>0</v>
      </c>
      <c r="R60">
        <f>COUNTIFS(DATOS!G:G,CONFIG_METADATA!$B$4,DATOS!I:I,B60,DATOS!K:K,7)</f>
        <v>0</v>
      </c>
      <c r="S60">
        <f>COUNTIFS(DATOS!G:G,CONFIG_METADATA!$B$4,DATOS!I:I,B60,DATOS!K:K,8)</f>
        <v>0</v>
      </c>
      <c r="T60">
        <f>COUNTIFS(DATOS!G:G,CONFIG_METADATA!$B$4,DATOS!I:I,B60,DATOS!K:K,9)</f>
        <v>0</v>
      </c>
      <c r="U60">
        <f>COUNTIFS(DATOS!G:G,CONFIG_METADATA!$B$4,DATOS!I:I,B60,DATOS!K:K,10)</f>
        <v>0</v>
      </c>
    </row>
    <row r="61" spans="1:22">
      <c r="A61" s="3" t="inlineStr">
        <is>
          <t xml:space="preserve">1EEM</t>
        </is>
      </c>
      <c r="B61" s="3">
        <f>IFERROR(INDEX(_xlfn._xlws.FILTER(CONFIG_ASIGNATURAS!$B$2:$B$27,CONFIG_ASIGNATURAS!$G$2:$G$27="Sí"),20),"")</f>
      </c>
      <c r="C61" s="3">
        <f>IF(B61="","",IFERROR(IF(VLOOKUP(B61,CONFIG_ASIGNATURAS!$B$2:$F$27,5,FALSE())="Sí","Especialidad","Asignatura"),"Asignatura"))</f>
      </c>
      <c r="D61">
        <f>COUNTIFS(DATOS!G:G,CONFIG_METADATA!$B$4,DATOS!I:I,B61)</f>
        <v>0</v>
      </c>
      <c r="E61" s="14" t="str">
        <f>IFERROR(AVERAGEIFS(DATOS!K:K,DATOS!G:G,CONFIG_METADATA!$B$4,DATOS!I:I,B61),"—")</f>
        <v>—</v>
      </c>
      <c r="F61" s="14" t="str" cm="1">
        <f t="array" ref="F61">IFERROR(_xlfn.STDEV.P(IF((DATOS!$G$2:$G$20000=CONFIG_METADATA!$B$4)*(DATOS!$I$2:$I$20000=B61),DATOS!$K$2:$K$20000)),"—")</f>
        <v>—</v>
      </c>
      <c r="G61" t="str" cm="1">
        <f t="array" ref="G61">IFERROR(_xlfn.MODE.SNGL(IF((DATOS!$G$2:$G$20000=CONFIG_METADATA!$B$4)*(DATOS!$I$2:$I$20000=B61),DATOS!$K$2:$K$20000)),"—")</f>
        <v>—</v>
      </c>
      <c r="H61" s="15" t="str">
        <f>IFERROR(COUNTIFS(DATOS!G:G,CONFIG_METADATA!$B$4,DATOS!I:I,B61,DATOS!L:L,"S")/COUNTIFS(DATOS!G:G,CONFIG_METADATA!$B$4,DATOS!I:I,B61),"—")</f>
        <v>—</v>
      </c>
      <c r="I61" s="15" t="str">
        <f>IFERROR(COUNTIFS(DATOS!G:G,CONFIG_METADATA!$B$4,DATOS!I:I,B61,DATOS!L:L,"N")/COUNTIFS(DATOS!G:G,CONFIG_METADATA!$B$4,DATOS!I:I,B61),"—")</f>
        <v>—</v>
      </c>
      <c r="J61" t="str" cm="1">
        <f t="array" ref="J61">IFERROR(_xlfn.MODE.SNGL(IF((DATOS!$G$2:$G$20000=CONFIG_METADATA!$B$4)*(DATOS!$I$2:$I$20000=B61)*(DATOS!$L$2:$L$20000="S"),DATOS!$K$2:$K$20000)),"—")</f>
        <v>—</v>
      </c>
      <c r="K61" t="str" cm="1">
        <f t="array" ref="K61">IFERROR(_xlfn.MODE.SNGL(IF((DATOS!$G$2:$G$20000=CONFIG_METADATA!$B$4)*(DATOS!$I$2:$I$20000=B61)*(DATOS!$L$2:$L$20000="N"),DATOS!$K$2:$K$20000)),"—")</f>
        <v>—</v>
      </c>
      <c r="L61">
        <f>COUNTIFS(DATOS!G:G,CONFIG_METADATA!$B$4,DATOS!I:I,B61,DATOS!K:K,1)</f>
        <v>0</v>
      </c>
      <c r="M61">
        <f>COUNTIFS(DATOS!G:G,CONFIG_METADATA!$B$4,DATOS!I:I,B61,DATOS!K:K,2)</f>
        <v>0</v>
      </c>
      <c r="N61">
        <f>COUNTIFS(DATOS!G:G,CONFIG_METADATA!$B$4,DATOS!I:I,B61,DATOS!K:K,3)</f>
        <v>0</v>
      </c>
      <c r="O61">
        <f>COUNTIFS(DATOS!G:G,CONFIG_METADATA!$B$4,DATOS!I:I,B61,DATOS!K:K,4)</f>
        <v>0</v>
      </c>
      <c r="P61">
        <f>COUNTIFS(DATOS!G:G,CONFIG_METADATA!$B$4,DATOS!I:I,B61,DATOS!K:K,5)</f>
        <v>0</v>
      </c>
      <c r="Q61">
        <f>COUNTIFS(DATOS!G:G,CONFIG_METADATA!$B$4,DATOS!I:I,B61,DATOS!K:K,6)</f>
        <v>0</v>
      </c>
      <c r="R61">
        <f>COUNTIFS(DATOS!G:G,CONFIG_METADATA!$B$4,DATOS!I:I,B61,DATOS!K:K,7)</f>
        <v>0</v>
      </c>
      <c r="S61">
        <f>COUNTIFS(DATOS!G:G,CONFIG_METADATA!$B$4,DATOS!I:I,B61,DATOS!K:K,8)</f>
        <v>0</v>
      </c>
      <c r="T61">
        <f>COUNTIFS(DATOS!G:G,CONFIG_METADATA!$B$4,DATOS!I:I,B61,DATOS!K:K,9)</f>
        <v>0</v>
      </c>
      <c r="U61">
        <f>COUNTIFS(DATOS!G:G,CONFIG_METADATA!$B$4,DATOS!I:I,B61,DATOS!K:K,10)</f>
        <v>0</v>
      </c>
    </row>
    <row r="62" spans="1:22">
      <c r="A62" s="3" t="inlineStr">
        <is>
          <t xml:space="preserve">1EEM</t>
        </is>
      </c>
      <c r="B62" s="3">
        <f>IFERROR(INDEX(_xlfn._xlws.FILTER(CONFIG_ASIGNATURAS!$B$2:$B$27,CONFIG_ASIGNATURAS!$G$2:$G$27="Sí"),21),"")</f>
      </c>
      <c r="C62" s="3">
        <f>IF(B62="","",IFERROR(IF(VLOOKUP(B62,CONFIG_ASIGNATURAS!$B$2:$F$27,5,FALSE())="Sí","Especialidad","Asignatura"),"Asignatura"))</f>
      </c>
      <c r="D62">
        <f>COUNTIFS(DATOS!G:G,CONFIG_METADATA!$B$4,DATOS!I:I,B62)</f>
        <v>0</v>
      </c>
      <c r="E62" s="14" t="str">
        <f>IFERROR(AVERAGEIFS(DATOS!K:K,DATOS!G:G,CONFIG_METADATA!$B$4,DATOS!I:I,B62),"—")</f>
        <v>—</v>
      </c>
      <c r="F62" s="14" t="str" cm="1">
        <f t="array" ref="F62">IFERROR(_xlfn.STDEV.P(IF((DATOS!$G$2:$G$20000=CONFIG_METADATA!$B$4)*(DATOS!$I$2:$I$20000=B62),DATOS!$K$2:$K$20000)),"—")</f>
        <v>—</v>
      </c>
      <c r="G62" t="str" cm="1">
        <f t="array" ref="G62">IFERROR(_xlfn.MODE.SNGL(IF((DATOS!$G$2:$G$20000=CONFIG_METADATA!$B$4)*(DATOS!$I$2:$I$20000=B62),DATOS!$K$2:$K$20000)),"—")</f>
        <v>—</v>
      </c>
      <c r="H62" s="15" t="str">
        <f>IFERROR(COUNTIFS(DATOS!G:G,CONFIG_METADATA!$B$4,DATOS!I:I,B62,DATOS!L:L,"S")/COUNTIFS(DATOS!G:G,CONFIG_METADATA!$B$4,DATOS!I:I,B62),"—")</f>
        <v>—</v>
      </c>
      <c r="I62" s="15" t="str">
        <f>IFERROR(COUNTIFS(DATOS!G:G,CONFIG_METADATA!$B$4,DATOS!I:I,B62,DATOS!L:L,"N")/COUNTIFS(DATOS!G:G,CONFIG_METADATA!$B$4,DATOS!I:I,B62),"—")</f>
        <v>—</v>
      </c>
      <c r="J62" t="str" cm="1">
        <f t="array" ref="J62">IFERROR(_xlfn.MODE.SNGL(IF((DATOS!$G$2:$G$20000=CONFIG_METADATA!$B$4)*(DATOS!$I$2:$I$20000=B62)*(DATOS!$L$2:$L$20000="S"),DATOS!$K$2:$K$20000)),"—")</f>
        <v>—</v>
      </c>
      <c r="K62" t="str" cm="1">
        <f t="array" ref="K62">IFERROR(_xlfn.MODE.SNGL(IF((DATOS!$G$2:$G$20000=CONFIG_METADATA!$B$4)*(DATOS!$I$2:$I$20000=B62)*(DATOS!$L$2:$L$20000="N"),DATOS!$K$2:$K$20000)),"—")</f>
        <v>—</v>
      </c>
      <c r="L62">
        <f>COUNTIFS(DATOS!G:G,CONFIG_METADATA!$B$4,DATOS!I:I,B62,DATOS!K:K,1)</f>
        <v>0</v>
      </c>
      <c r="M62">
        <f>COUNTIFS(DATOS!G:G,CONFIG_METADATA!$B$4,DATOS!I:I,B62,DATOS!K:K,2)</f>
        <v>0</v>
      </c>
      <c r="N62">
        <f>COUNTIFS(DATOS!G:G,CONFIG_METADATA!$B$4,DATOS!I:I,B62,DATOS!K:K,3)</f>
        <v>0</v>
      </c>
      <c r="O62">
        <f>COUNTIFS(DATOS!G:G,CONFIG_METADATA!$B$4,DATOS!I:I,B62,DATOS!K:K,4)</f>
        <v>0</v>
      </c>
      <c r="P62">
        <f>COUNTIFS(DATOS!G:G,CONFIG_METADATA!$B$4,DATOS!I:I,B62,DATOS!K:K,5)</f>
        <v>0</v>
      </c>
      <c r="Q62">
        <f>COUNTIFS(DATOS!G:G,CONFIG_METADATA!$B$4,DATOS!I:I,B62,DATOS!K:K,6)</f>
        <v>0</v>
      </c>
      <c r="R62">
        <f>COUNTIFS(DATOS!G:G,CONFIG_METADATA!$B$4,DATOS!I:I,B62,DATOS!K:K,7)</f>
        <v>0</v>
      </c>
      <c r="S62">
        <f>COUNTIFS(DATOS!G:G,CONFIG_METADATA!$B$4,DATOS!I:I,B62,DATOS!K:K,8)</f>
        <v>0</v>
      </c>
      <c r="T62">
        <f>COUNTIFS(DATOS!G:G,CONFIG_METADATA!$B$4,DATOS!I:I,B62,DATOS!K:K,9)</f>
        <v>0</v>
      </c>
      <c r="U62">
        <f>COUNTIFS(DATOS!G:G,CONFIG_METADATA!$B$4,DATOS!I:I,B62,DATOS!K:K,10)</f>
        <v>0</v>
      </c>
    </row>
    <row r="63" spans="1:22">
      <c r="A63" s="3" t="inlineStr">
        <is>
          <t xml:space="preserve">1EEM</t>
        </is>
      </c>
      <c r="B63" s="3">
        <f>IFERROR(INDEX(_xlfn._xlws.FILTER(CONFIG_ASIGNATURAS!$B$2:$B$27,CONFIG_ASIGNATURAS!$G$2:$G$27="Sí"),22),"")</f>
      </c>
      <c r="C63" s="3">
        <f>IF(B63="","",IFERROR(IF(VLOOKUP(B63,CONFIG_ASIGNATURAS!$B$2:$F$27,5,FALSE())="Sí","Especialidad","Asignatura"),"Asignatura"))</f>
      </c>
      <c r="D63">
        <f>COUNTIFS(DATOS!G:G,CONFIG_METADATA!$B$4,DATOS!I:I,B63)</f>
        <v>0</v>
      </c>
      <c r="E63" s="14" t="str">
        <f>IFERROR(AVERAGEIFS(DATOS!K:K,DATOS!G:G,CONFIG_METADATA!$B$4,DATOS!I:I,B63),"—")</f>
        <v>—</v>
      </c>
      <c r="F63" s="14" t="str" cm="1">
        <f t="array" ref="F63">IFERROR(_xlfn.STDEV.P(IF((DATOS!$G$2:$G$20000=CONFIG_METADATA!$B$4)*(DATOS!$I$2:$I$20000=B63),DATOS!$K$2:$K$20000)),"—")</f>
        <v>—</v>
      </c>
      <c r="G63" t="str" cm="1">
        <f t="array" ref="G63">IFERROR(_xlfn.MODE.SNGL(IF((DATOS!$G$2:$G$20000=CONFIG_METADATA!$B$4)*(DATOS!$I$2:$I$20000=B63),DATOS!$K$2:$K$20000)),"—")</f>
        <v>—</v>
      </c>
      <c r="H63" s="15" t="str">
        <f>IFERROR(COUNTIFS(DATOS!G:G,CONFIG_METADATA!$B$4,DATOS!I:I,B63,DATOS!L:L,"S")/COUNTIFS(DATOS!G:G,CONFIG_METADATA!$B$4,DATOS!I:I,B63),"—")</f>
        <v>—</v>
      </c>
      <c r="I63" s="15" t="str">
        <f>IFERROR(COUNTIFS(DATOS!G:G,CONFIG_METADATA!$B$4,DATOS!I:I,B63,DATOS!L:L,"N")/COUNTIFS(DATOS!G:G,CONFIG_METADATA!$B$4,DATOS!I:I,B63),"—")</f>
        <v>—</v>
      </c>
      <c r="J63" t="str" cm="1">
        <f t="array" ref="J63">IFERROR(_xlfn.MODE.SNGL(IF((DATOS!$G$2:$G$20000=CONFIG_METADATA!$B$4)*(DATOS!$I$2:$I$20000=B63)*(DATOS!$L$2:$L$20000="S"),DATOS!$K$2:$K$20000)),"—")</f>
        <v>—</v>
      </c>
      <c r="K63" t="str" cm="1">
        <f t="array" ref="K63">IFERROR(_xlfn.MODE.SNGL(IF((DATOS!$G$2:$G$20000=CONFIG_METADATA!$B$4)*(DATOS!$I$2:$I$20000=B63)*(DATOS!$L$2:$L$20000="N"),DATOS!$K$2:$K$20000)),"—")</f>
        <v>—</v>
      </c>
      <c r="L63">
        <f>COUNTIFS(DATOS!G:G,CONFIG_METADATA!$B$4,DATOS!I:I,B63,DATOS!K:K,1)</f>
        <v>0</v>
      </c>
      <c r="M63">
        <f>COUNTIFS(DATOS!G:G,CONFIG_METADATA!$B$4,DATOS!I:I,B63,DATOS!K:K,2)</f>
        <v>0</v>
      </c>
      <c r="N63">
        <f>COUNTIFS(DATOS!G:G,CONFIG_METADATA!$B$4,DATOS!I:I,B63,DATOS!K:K,3)</f>
        <v>0</v>
      </c>
      <c r="O63">
        <f>COUNTIFS(DATOS!G:G,CONFIG_METADATA!$B$4,DATOS!I:I,B63,DATOS!K:K,4)</f>
        <v>0</v>
      </c>
      <c r="P63">
        <f>COUNTIFS(DATOS!G:G,CONFIG_METADATA!$B$4,DATOS!I:I,B63,DATOS!K:K,5)</f>
        <v>0</v>
      </c>
      <c r="Q63">
        <f>COUNTIFS(DATOS!G:G,CONFIG_METADATA!$B$4,DATOS!I:I,B63,DATOS!K:K,6)</f>
        <v>0</v>
      </c>
      <c r="R63">
        <f>COUNTIFS(DATOS!G:G,CONFIG_METADATA!$B$4,DATOS!I:I,B63,DATOS!K:K,7)</f>
        <v>0</v>
      </c>
      <c r="S63">
        <f>COUNTIFS(DATOS!G:G,CONFIG_METADATA!$B$4,DATOS!I:I,B63,DATOS!K:K,8)</f>
        <v>0</v>
      </c>
      <c r="T63">
        <f>COUNTIFS(DATOS!G:G,CONFIG_METADATA!$B$4,DATOS!I:I,B63,DATOS!K:K,9)</f>
        <v>0</v>
      </c>
      <c r="U63">
        <f>COUNTIFS(DATOS!G:G,CONFIG_METADATA!$B$4,DATOS!I:I,B63,DATOS!K:K,10)</f>
        <v>0</v>
      </c>
    </row>
    <row r="64" spans="1:22">
      <c r="A64" s="3" t="inlineStr">
        <is>
          <t xml:space="preserve">1EEM</t>
        </is>
      </c>
      <c r="B64" s="3">
        <f>IFERROR(INDEX(_xlfn._xlws.FILTER(CONFIG_ASIGNATURAS!$B$2:$B$27,CONFIG_ASIGNATURAS!$G$2:$G$27="Sí"),23),"")</f>
      </c>
      <c r="C64" s="3">
        <f>IF(B64="","",IFERROR(IF(VLOOKUP(B64,CONFIG_ASIGNATURAS!$B$2:$F$27,5,FALSE())="Sí","Especialidad","Asignatura"),"Asignatura"))</f>
      </c>
      <c r="D64">
        <f>COUNTIFS(DATOS!G:G,CONFIG_METADATA!$B$4,DATOS!I:I,B64)</f>
        <v>0</v>
      </c>
      <c r="E64" s="14" t="str">
        <f>IFERROR(AVERAGEIFS(DATOS!K:K,DATOS!G:G,CONFIG_METADATA!$B$4,DATOS!I:I,B64),"—")</f>
        <v>—</v>
      </c>
      <c r="F64" s="14" t="str" cm="1">
        <f t="array" ref="F64">IFERROR(_xlfn.STDEV.P(IF((DATOS!$G$2:$G$20000=CONFIG_METADATA!$B$4)*(DATOS!$I$2:$I$20000=B64),DATOS!$K$2:$K$20000)),"—")</f>
        <v>—</v>
      </c>
      <c r="G64" t="str" cm="1">
        <f t="array" ref="G64">IFERROR(_xlfn.MODE.SNGL(IF((DATOS!$G$2:$G$20000=CONFIG_METADATA!$B$4)*(DATOS!$I$2:$I$20000=B64),DATOS!$K$2:$K$20000)),"—")</f>
        <v>—</v>
      </c>
      <c r="H64" s="15" t="str">
        <f>IFERROR(COUNTIFS(DATOS!G:G,CONFIG_METADATA!$B$4,DATOS!I:I,B64,DATOS!L:L,"S")/COUNTIFS(DATOS!G:G,CONFIG_METADATA!$B$4,DATOS!I:I,B64),"—")</f>
        <v>—</v>
      </c>
      <c r="I64" s="15" t="str">
        <f>IFERROR(COUNTIFS(DATOS!G:G,CONFIG_METADATA!$B$4,DATOS!I:I,B64,DATOS!L:L,"N")/COUNTIFS(DATOS!G:G,CONFIG_METADATA!$B$4,DATOS!I:I,B64),"—")</f>
        <v>—</v>
      </c>
      <c r="J64" t="str" cm="1">
        <f t="array" ref="J64">IFERROR(_xlfn.MODE.SNGL(IF((DATOS!$G$2:$G$20000=CONFIG_METADATA!$B$4)*(DATOS!$I$2:$I$20000=B64)*(DATOS!$L$2:$L$20000="S"),DATOS!$K$2:$K$20000)),"—")</f>
        <v>—</v>
      </c>
      <c r="K64" t="str" cm="1">
        <f t="array" ref="K64">IFERROR(_xlfn.MODE.SNGL(IF((DATOS!$G$2:$G$20000=CONFIG_METADATA!$B$4)*(DATOS!$I$2:$I$20000=B64)*(DATOS!$L$2:$L$20000="N"),DATOS!$K$2:$K$20000)),"—")</f>
        <v>—</v>
      </c>
      <c r="L64">
        <f>COUNTIFS(DATOS!G:G,CONFIG_METADATA!$B$4,DATOS!I:I,B64,DATOS!K:K,1)</f>
        <v>0</v>
      </c>
      <c r="M64">
        <f>COUNTIFS(DATOS!G:G,CONFIG_METADATA!$B$4,DATOS!I:I,B64,DATOS!K:K,2)</f>
        <v>0</v>
      </c>
      <c r="N64">
        <f>COUNTIFS(DATOS!G:G,CONFIG_METADATA!$B$4,DATOS!I:I,B64,DATOS!K:K,3)</f>
        <v>0</v>
      </c>
      <c r="O64">
        <f>COUNTIFS(DATOS!G:G,CONFIG_METADATA!$B$4,DATOS!I:I,B64,DATOS!K:K,4)</f>
        <v>0</v>
      </c>
      <c r="P64">
        <f>COUNTIFS(DATOS!G:G,CONFIG_METADATA!$B$4,DATOS!I:I,B64,DATOS!K:K,5)</f>
        <v>0</v>
      </c>
      <c r="Q64">
        <f>COUNTIFS(DATOS!G:G,CONFIG_METADATA!$B$4,DATOS!I:I,B64,DATOS!K:K,6)</f>
        <v>0</v>
      </c>
      <c r="R64">
        <f>COUNTIFS(DATOS!G:G,CONFIG_METADATA!$B$4,DATOS!I:I,B64,DATOS!K:K,7)</f>
        <v>0</v>
      </c>
      <c r="S64">
        <f>COUNTIFS(DATOS!G:G,CONFIG_METADATA!$B$4,DATOS!I:I,B64,DATOS!K:K,8)</f>
        <v>0</v>
      </c>
      <c r="T64">
        <f>COUNTIFS(DATOS!G:G,CONFIG_METADATA!$B$4,DATOS!I:I,B64,DATOS!K:K,9)</f>
        <v>0</v>
      </c>
      <c r="U64">
        <f>COUNTIFS(DATOS!G:G,CONFIG_METADATA!$B$4,DATOS!I:I,B64,DATOS!K:K,10)</f>
        <v>0</v>
      </c>
    </row>
    <row r="65" spans="1:22">
      <c r="A65" s="3" t="inlineStr">
        <is>
          <t xml:space="preserve">1EEM</t>
        </is>
      </c>
      <c r="B65" s="3">
        <f>IFERROR(INDEX(_xlfn._xlws.FILTER(CONFIG_ASIGNATURAS!$B$2:$B$27,CONFIG_ASIGNATURAS!$G$2:$G$27="Sí"),24),"")</f>
      </c>
      <c r="C65" s="3">
        <f>IF(B65="","",IFERROR(IF(VLOOKUP(B65,CONFIG_ASIGNATURAS!$B$2:$F$27,5,FALSE())="Sí","Especialidad","Asignatura"),"Asignatura"))</f>
      </c>
      <c r="D65">
        <f>COUNTIFS(DATOS!G:G,CONFIG_METADATA!$B$4,DATOS!I:I,B65)</f>
        <v>0</v>
      </c>
      <c r="E65" s="14" t="str">
        <f>IFERROR(AVERAGEIFS(DATOS!K:K,DATOS!G:G,CONFIG_METADATA!$B$4,DATOS!I:I,B65),"—")</f>
        <v>—</v>
      </c>
      <c r="F65" s="14" t="str" cm="1">
        <f t="array" ref="F65">IFERROR(_xlfn.STDEV.P(IF((DATOS!$G$2:$G$20000=CONFIG_METADATA!$B$4)*(DATOS!$I$2:$I$20000=B65),DATOS!$K$2:$K$20000)),"—")</f>
        <v>—</v>
      </c>
      <c r="G65" t="str" cm="1">
        <f t="array" ref="G65">IFERROR(_xlfn.MODE.SNGL(IF((DATOS!$G$2:$G$20000=CONFIG_METADATA!$B$4)*(DATOS!$I$2:$I$20000=B65),DATOS!$K$2:$K$20000)),"—")</f>
        <v>—</v>
      </c>
      <c r="H65" s="15" t="str">
        <f>IFERROR(COUNTIFS(DATOS!G:G,CONFIG_METADATA!$B$4,DATOS!I:I,B65,DATOS!L:L,"S")/COUNTIFS(DATOS!G:G,CONFIG_METADATA!$B$4,DATOS!I:I,B65),"—")</f>
        <v>—</v>
      </c>
      <c r="I65" s="15" t="str">
        <f>IFERROR(COUNTIFS(DATOS!G:G,CONFIG_METADATA!$B$4,DATOS!I:I,B65,DATOS!L:L,"N")/COUNTIFS(DATOS!G:G,CONFIG_METADATA!$B$4,DATOS!I:I,B65),"—")</f>
        <v>—</v>
      </c>
      <c r="J65" t="str" cm="1">
        <f t="array" ref="J65">IFERROR(_xlfn.MODE.SNGL(IF((DATOS!$G$2:$G$20000=CONFIG_METADATA!$B$4)*(DATOS!$I$2:$I$20000=B65)*(DATOS!$L$2:$L$20000="S"),DATOS!$K$2:$K$20000)),"—")</f>
        <v>—</v>
      </c>
      <c r="K65" t="str" cm="1">
        <f t="array" ref="K65">IFERROR(_xlfn.MODE.SNGL(IF((DATOS!$G$2:$G$20000=CONFIG_METADATA!$B$4)*(DATOS!$I$2:$I$20000=B65)*(DATOS!$L$2:$L$20000="N"),DATOS!$K$2:$K$20000)),"—")</f>
        <v>—</v>
      </c>
      <c r="L65">
        <f>COUNTIFS(DATOS!G:G,CONFIG_METADATA!$B$4,DATOS!I:I,B65,DATOS!K:K,1)</f>
        <v>0</v>
      </c>
      <c r="M65">
        <f>COUNTIFS(DATOS!G:G,CONFIG_METADATA!$B$4,DATOS!I:I,B65,DATOS!K:K,2)</f>
        <v>0</v>
      </c>
      <c r="N65">
        <f>COUNTIFS(DATOS!G:G,CONFIG_METADATA!$B$4,DATOS!I:I,B65,DATOS!K:K,3)</f>
        <v>0</v>
      </c>
      <c r="O65">
        <f>COUNTIFS(DATOS!G:G,CONFIG_METADATA!$B$4,DATOS!I:I,B65,DATOS!K:K,4)</f>
        <v>0</v>
      </c>
      <c r="P65">
        <f>COUNTIFS(DATOS!G:G,CONFIG_METADATA!$B$4,DATOS!I:I,B65,DATOS!K:K,5)</f>
        <v>0</v>
      </c>
      <c r="Q65">
        <f>COUNTIFS(DATOS!G:G,CONFIG_METADATA!$B$4,DATOS!I:I,B65,DATOS!K:K,6)</f>
        <v>0</v>
      </c>
      <c r="R65">
        <f>COUNTIFS(DATOS!G:G,CONFIG_METADATA!$B$4,DATOS!I:I,B65,DATOS!K:K,7)</f>
        <v>0</v>
      </c>
      <c r="S65">
        <f>COUNTIFS(DATOS!G:G,CONFIG_METADATA!$B$4,DATOS!I:I,B65,DATOS!K:K,8)</f>
        <v>0</v>
      </c>
      <c r="T65">
        <f>COUNTIFS(DATOS!G:G,CONFIG_METADATA!$B$4,DATOS!I:I,B65,DATOS!K:K,9)</f>
        <v>0</v>
      </c>
      <c r="U65">
        <f>COUNTIFS(DATOS!G:G,CONFIG_METADATA!$B$4,DATOS!I:I,B65,DATOS!K:K,10)</f>
        <v>0</v>
      </c>
    </row>
    <row r="66" spans="1:22">
      <c r="A66" s="3" t="inlineStr">
        <is>
          <t xml:space="preserve">1EEM</t>
        </is>
      </c>
      <c r="B66" s="3">
        <f>IFERROR(INDEX(_xlfn._xlws.FILTER(CONFIG_ASIGNATURAS!$B$2:$B$27,CONFIG_ASIGNATURAS!$G$2:$G$27="Sí"),25),"")</f>
      </c>
      <c r="C66" s="3">
        <f>IF(B66="","",IFERROR(IF(VLOOKUP(B66,CONFIG_ASIGNATURAS!$B$2:$F$27,5,FALSE())="Sí","Especialidad","Asignatura"),"Asignatura"))</f>
      </c>
      <c r="D66">
        <f>COUNTIFS(DATOS!G:G,CONFIG_METADATA!$B$4,DATOS!I:I,B66)</f>
        <v>0</v>
      </c>
      <c r="E66" s="14" t="str">
        <f>IFERROR(AVERAGEIFS(DATOS!K:K,DATOS!G:G,CONFIG_METADATA!$B$4,DATOS!I:I,B66),"—")</f>
        <v>—</v>
      </c>
      <c r="F66" s="14" t="str" cm="1">
        <f t="array" ref="F66">IFERROR(_xlfn.STDEV.P(IF((DATOS!$G$2:$G$20000=CONFIG_METADATA!$B$4)*(DATOS!$I$2:$I$20000=B66),DATOS!$K$2:$K$20000)),"—")</f>
        <v>—</v>
      </c>
      <c r="G66" t="str" cm="1">
        <f t="array" ref="G66">IFERROR(_xlfn.MODE.SNGL(IF((DATOS!$G$2:$G$20000=CONFIG_METADATA!$B$4)*(DATOS!$I$2:$I$20000=B66),DATOS!$K$2:$K$20000)),"—")</f>
        <v>—</v>
      </c>
      <c r="H66" s="15" t="str">
        <f>IFERROR(COUNTIFS(DATOS!G:G,CONFIG_METADATA!$B$4,DATOS!I:I,B66,DATOS!L:L,"S")/COUNTIFS(DATOS!G:G,CONFIG_METADATA!$B$4,DATOS!I:I,B66),"—")</f>
        <v>—</v>
      </c>
      <c r="I66" s="15" t="str">
        <f>IFERROR(COUNTIFS(DATOS!G:G,CONFIG_METADATA!$B$4,DATOS!I:I,B66,DATOS!L:L,"N")/COUNTIFS(DATOS!G:G,CONFIG_METADATA!$B$4,DATOS!I:I,B66),"—")</f>
        <v>—</v>
      </c>
      <c r="J66" t="str" cm="1">
        <f t="array" ref="J66">IFERROR(_xlfn.MODE.SNGL(IF((DATOS!$G$2:$G$20000=CONFIG_METADATA!$B$4)*(DATOS!$I$2:$I$20000=B66)*(DATOS!$L$2:$L$20000="S"),DATOS!$K$2:$K$20000)),"—")</f>
        <v>—</v>
      </c>
      <c r="K66" t="str" cm="1">
        <f t="array" ref="K66">IFERROR(_xlfn.MODE.SNGL(IF((DATOS!$G$2:$G$20000=CONFIG_METADATA!$B$4)*(DATOS!$I$2:$I$20000=B66)*(DATOS!$L$2:$L$20000="N"),DATOS!$K$2:$K$20000)),"—")</f>
        <v>—</v>
      </c>
      <c r="L66">
        <f>COUNTIFS(DATOS!G:G,CONFIG_METADATA!$B$4,DATOS!I:I,B66,DATOS!K:K,1)</f>
        <v>0</v>
      </c>
      <c r="M66">
        <f>COUNTIFS(DATOS!G:G,CONFIG_METADATA!$B$4,DATOS!I:I,B66,DATOS!K:K,2)</f>
        <v>0</v>
      </c>
      <c r="N66">
        <f>COUNTIFS(DATOS!G:G,CONFIG_METADATA!$B$4,DATOS!I:I,B66,DATOS!K:K,3)</f>
        <v>0</v>
      </c>
      <c r="O66">
        <f>COUNTIFS(DATOS!G:G,CONFIG_METADATA!$B$4,DATOS!I:I,B66,DATOS!K:K,4)</f>
        <v>0</v>
      </c>
      <c r="P66">
        <f>COUNTIFS(DATOS!G:G,CONFIG_METADATA!$B$4,DATOS!I:I,B66,DATOS!K:K,5)</f>
        <v>0</v>
      </c>
      <c r="Q66">
        <f>COUNTIFS(DATOS!G:G,CONFIG_METADATA!$B$4,DATOS!I:I,B66,DATOS!K:K,6)</f>
        <v>0</v>
      </c>
      <c r="R66">
        <f>COUNTIFS(DATOS!G:G,CONFIG_METADATA!$B$4,DATOS!I:I,B66,DATOS!K:K,7)</f>
        <v>0</v>
      </c>
      <c r="S66">
        <f>COUNTIFS(DATOS!G:G,CONFIG_METADATA!$B$4,DATOS!I:I,B66,DATOS!K:K,8)</f>
        <v>0</v>
      </c>
      <c r="T66">
        <f>COUNTIFS(DATOS!G:G,CONFIG_METADATA!$B$4,DATOS!I:I,B66,DATOS!K:K,9)</f>
        <v>0</v>
      </c>
      <c r="U66">
        <f>COUNTIFS(DATOS!G:G,CONFIG_METADATA!$B$4,DATOS!I:I,B66,DATOS!K:K,10)</f>
        <v>0</v>
      </c>
    </row>
    <row r="67" spans="1:22">
      <c r="A67" s="3" t="inlineStr">
        <is>
          <t xml:space="preserve">1EEM</t>
        </is>
      </c>
      <c r="B67" s="3">
        <f>IFERROR(INDEX(_xlfn._xlws.FILTER(CONFIG_ASIGNATURAS!$B$2:$B$27,CONFIG_ASIGNATURAS!$G$2:$G$27="Sí"),26),"")</f>
      </c>
      <c r="C67" s="3">
        <f>IF(B67="","",IFERROR(IF(VLOOKUP(B67,CONFIG_ASIGNATURAS!$B$2:$F$27,5,FALSE())="Sí","Especialidad","Asignatura"),"Asignatura"))</f>
      </c>
      <c r="D67">
        <f>COUNTIFS(DATOS!G:G,CONFIG_METADATA!$B$4,DATOS!I:I,B67)</f>
        <v>0</v>
      </c>
      <c r="E67" s="14" t="str">
        <f>IFERROR(AVERAGEIFS(DATOS!K:K,DATOS!G:G,CONFIG_METADATA!$B$4,DATOS!I:I,B67),"—")</f>
        <v>—</v>
      </c>
      <c r="F67" s="14" t="str" cm="1">
        <f t="array" ref="F67">IFERROR(_xlfn.STDEV.P(IF((DATOS!$G$2:$G$20000=CONFIG_METADATA!$B$4)*(DATOS!$I$2:$I$20000=B67),DATOS!$K$2:$K$20000)),"—")</f>
        <v>—</v>
      </c>
      <c r="G67" t="str" cm="1">
        <f t="array" ref="G67">IFERROR(_xlfn.MODE.SNGL(IF((DATOS!$G$2:$G$20000=CONFIG_METADATA!$B$4)*(DATOS!$I$2:$I$20000=B67),DATOS!$K$2:$K$20000)),"—")</f>
        <v>—</v>
      </c>
      <c r="H67" s="15" t="str">
        <f>IFERROR(COUNTIFS(DATOS!G:G,CONFIG_METADATA!$B$4,DATOS!I:I,B67,DATOS!L:L,"S")/COUNTIFS(DATOS!G:G,CONFIG_METADATA!$B$4,DATOS!I:I,B67),"—")</f>
        <v>—</v>
      </c>
      <c r="I67" s="15" t="str">
        <f>IFERROR(COUNTIFS(DATOS!G:G,CONFIG_METADATA!$B$4,DATOS!I:I,B67,DATOS!L:L,"N")/COUNTIFS(DATOS!G:G,CONFIG_METADATA!$B$4,DATOS!I:I,B67),"—")</f>
        <v>—</v>
      </c>
      <c r="J67" t="str" cm="1">
        <f t="array" ref="J67">IFERROR(_xlfn.MODE.SNGL(IF((DATOS!$G$2:$G$20000=CONFIG_METADATA!$B$4)*(DATOS!$I$2:$I$20000=B67)*(DATOS!$L$2:$L$20000="S"),DATOS!$K$2:$K$20000)),"—")</f>
        <v>—</v>
      </c>
      <c r="K67" t="str" cm="1">
        <f t="array" ref="K67">IFERROR(_xlfn.MODE.SNGL(IF((DATOS!$G$2:$G$20000=CONFIG_METADATA!$B$4)*(DATOS!$I$2:$I$20000=B67)*(DATOS!$L$2:$L$20000="N"),DATOS!$K$2:$K$20000)),"—")</f>
        <v>—</v>
      </c>
      <c r="L67">
        <f>COUNTIFS(DATOS!G:G,CONFIG_METADATA!$B$4,DATOS!I:I,B67,DATOS!K:K,1)</f>
        <v>0</v>
      </c>
      <c r="M67">
        <f>COUNTIFS(DATOS!G:G,CONFIG_METADATA!$B$4,DATOS!I:I,B67,DATOS!K:K,2)</f>
        <v>0</v>
      </c>
      <c r="N67">
        <f>COUNTIFS(DATOS!G:G,CONFIG_METADATA!$B$4,DATOS!I:I,B67,DATOS!K:K,3)</f>
        <v>0</v>
      </c>
      <c r="O67">
        <f>COUNTIFS(DATOS!G:G,CONFIG_METADATA!$B$4,DATOS!I:I,B67,DATOS!K:K,4)</f>
        <v>0</v>
      </c>
      <c r="P67">
        <f>COUNTIFS(DATOS!G:G,CONFIG_METADATA!$B$4,DATOS!I:I,B67,DATOS!K:K,5)</f>
        <v>0</v>
      </c>
      <c r="Q67">
        <f>COUNTIFS(DATOS!G:G,CONFIG_METADATA!$B$4,DATOS!I:I,B67,DATOS!K:K,6)</f>
        <v>0</v>
      </c>
      <c r="R67">
        <f>COUNTIFS(DATOS!G:G,CONFIG_METADATA!$B$4,DATOS!I:I,B67,DATOS!K:K,7)</f>
        <v>0</v>
      </c>
      <c r="S67">
        <f>COUNTIFS(DATOS!G:G,CONFIG_METADATA!$B$4,DATOS!I:I,B67,DATOS!K:K,8)</f>
        <v>0</v>
      </c>
      <c r="T67">
        <f>COUNTIFS(DATOS!G:G,CONFIG_METADATA!$B$4,DATOS!I:I,B67,DATOS!K:K,9)</f>
        <v>0</v>
      </c>
      <c r="U67">
        <f>COUNTIFS(DATOS!G:G,CONFIG_METADATA!$B$4,DATOS!I:I,B67,DATOS!K:K,10)</f>
        <v>0</v>
      </c>
    </row>
    <row r="68" spans="1:22">
      <c r="A68" s="3" t="inlineStr">
        <is>
          <t xml:space="preserve">1EEM</t>
        </is>
      </c>
      <c r="B68" s="3">
        <f>IFERROR(INDEX(_xlfn._xlws.FILTER(CONFIG_ASIGNATURAS!$B$2:$B$27,CONFIG_ASIGNATURAS!$G$2:$G$27="Sí"),27),"")</f>
      </c>
      <c r="C68" s="3">
        <f>IF(B68="","",IFERROR(IF(VLOOKUP(B68,CONFIG_ASIGNATURAS!$B$2:$F$27,5,FALSE())="Sí","Especialidad","Asignatura"),"Asignatura"))</f>
      </c>
      <c r="D68">
        <f>COUNTIFS(DATOS!G:G,CONFIG_METADATA!$B$4,DATOS!I:I,B68)</f>
        <v>0</v>
      </c>
      <c r="E68" s="14" t="str">
        <f>IFERROR(AVERAGEIFS(DATOS!K:K,DATOS!G:G,CONFIG_METADATA!$B$4,DATOS!I:I,B68),"—")</f>
        <v>—</v>
      </c>
      <c r="F68" s="14" t="str" cm="1">
        <f t="array" ref="F68">IFERROR(_xlfn.STDEV.P(IF((DATOS!$G$2:$G$20000=CONFIG_METADATA!$B$4)*(DATOS!$I$2:$I$20000=B68),DATOS!$K$2:$K$20000)),"—")</f>
        <v>—</v>
      </c>
      <c r="G68" t="str" cm="1">
        <f t="array" ref="G68">IFERROR(_xlfn.MODE.SNGL(IF((DATOS!$G$2:$G$20000=CONFIG_METADATA!$B$4)*(DATOS!$I$2:$I$20000=B68),DATOS!$K$2:$K$20000)),"—")</f>
        <v>—</v>
      </c>
      <c r="H68" s="15" t="str">
        <f>IFERROR(COUNTIFS(DATOS!G:G,CONFIG_METADATA!$B$4,DATOS!I:I,B68,DATOS!L:L,"S")/COUNTIFS(DATOS!G:G,CONFIG_METADATA!$B$4,DATOS!I:I,B68),"—")</f>
        <v>—</v>
      </c>
      <c r="I68" s="15" t="str">
        <f>IFERROR(COUNTIFS(DATOS!G:G,CONFIG_METADATA!$B$4,DATOS!I:I,B68,DATOS!L:L,"N")/COUNTIFS(DATOS!G:G,CONFIG_METADATA!$B$4,DATOS!I:I,B68),"—")</f>
        <v>—</v>
      </c>
      <c r="J68" t="str" cm="1">
        <f t="array" ref="J68">IFERROR(_xlfn.MODE.SNGL(IF((DATOS!$G$2:$G$20000=CONFIG_METADATA!$B$4)*(DATOS!$I$2:$I$20000=B68)*(DATOS!$L$2:$L$20000="S"),DATOS!$K$2:$K$20000)),"—")</f>
        <v>—</v>
      </c>
      <c r="K68" t="str" cm="1">
        <f t="array" ref="K68">IFERROR(_xlfn.MODE.SNGL(IF((DATOS!$G$2:$G$20000=CONFIG_METADATA!$B$4)*(DATOS!$I$2:$I$20000=B68)*(DATOS!$L$2:$L$20000="N"),DATOS!$K$2:$K$20000)),"—")</f>
        <v>—</v>
      </c>
      <c r="L68">
        <f>COUNTIFS(DATOS!G:G,CONFIG_METADATA!$B$4,DATOS!I:I,B68,DATOS!K:K,1)</f>
        <v>0</v>
      </c>
      <c r="M68">
        <f>COUNTIFS(DATOS!G:G,CONFIG_METADATA!$B$4,DATOS!I:I,B68,DATOS!K:K,2)</f>
        <v>0</v>
      </c>
      <c r="N68">
        <f>COUNTIFS(DATOS!G:G,CONFIG_METADATA!$B$4,DATOS!I:I,B68,DATOS!K:K,3)</f>
        <v>0</v>
      </c>
      <c r="O68">
        <f>COUNTIFS(DATOS!G:G,CONFIG_METADATA!$B$4,DATOS!I:I,B68,DATOS!K:K,4)</f>
        <v>0</v>
      </c>
      <c r="P68">
        <f>COUNTIFS(DATOS!G:G,CONFIG_METADATA!$B$4,DATOS!I:I,B68,DATOS!K:K,5)</f>
        <v>0</v>
      </c>
      <c r="Q68">
        <f>COUNTIFS(DATOS!G:G,CONFIG_METADATA!$B$4,DATOS!I:I,B68,DATOS!K:K,6)</f>
        <v>0</v>
      </c>
      <c r="R68">
        <f>COUNTIFS(DATOS!G:G,CONFIG_METADATA!$B$4,DATOS!I:I,B68,DATOS!K:K,7)</f>
        <v>0</v>
      </c>
      <c r="S68">
        <f>COUNTIFS(DATOS!G:G,CONFIG_METADATA!$B$4,DATOS!I:I,B68,DATOS!K:K,8)</f>
        <v>0</v>
      </c>
      <c r="T68">
        <f>COUNTIFS(DATOS!G:G,CONFIG_METADATA!$B$4,DATOS!I:I,B68,DATOS!K:K,9)</f>
        <v>0</v>
      </c>
      <c r="U68">
        <f>COUNTIFS(DATOS!G:G,CONFIG_METADATA!$B$4,DATOS!I:I,B68,DATOS!K:K,10)</f>
        <v>0</v>
      </c>
    </row>
    <row r="69" spans="1:22">
      <c r="A69" s="3" t="inlineStr">
        <is>
          <t xml:space="preserve">1EEM</t>
        </is>
      </c>
      <c r="B69" s="3">
        <f>IFERROR(INDEX(_xlfn._xlws.FILTER(CONFIG_ASIGNATURAS!$B$2:$B$27,CONFIG_ASIGNATURAS!$G$2:$G$27="Sí"),28),"")</f>
      </c>
      <c r="C69" s="3">
        <f>IF(B69="","",IFERROR(IF(VLOOKUP(B69,CONFIG_ASIGNATURAS!$B$2:$F$27,5,FALSE())="Sí","Especialidad","Asignatura"),"Asignatura"))</f>
      </c>
      <c r="D69">
        <f>COUNTIFS(DATOS!G:G,CONFIG_METADATA!$B$4,DATOS!I:I,B69)</f>
        <v>0</v>
      </c>
      <c r="E69" s="14" t="str">
        <f>IFERROR(AVERAGEIFS(DATOS!K:K,DATOS!G:G,CONFIG_METADATA!$B$4,DATOS!I:I,B69),"—")</f>
        <v>—</v>
      </c>
      <c r="F69" s="14" t="str" cm="1">
        <f t="array" ref="F69">IFERROR(_xlfn.STDEV.P(IF((DATOS!$G$2:$G$20000=CONFIG_METADATA!$B$4)*(DATOS!$I$2:$I$20000=B69),DATOS!$K$2:$K$20000)),"—")</f>
        <v>—</v>
      </c>
      <c r="G69" t="str" cm="1">
        <f t="array" ref="G69">IFERROR(_xlfn.MODE.SNGL(IF((DATOS!$G$2:$G$20000=CONFIG_METADATA!$B$4)*(DATOS!$I$2:$I$20000=B69),DATOS!$K$2:$K$20000)),"—")</f>
        <v>—</v>
      </c>
      <c r="H69" s="15" t="str">
        <f>IFERROR(COUNTIFS(DATOS!G:G,CONFIG_METADATA!$B$4,DATOS!I:I,B69,DATOS!L:L,"S")/COUNTIFS(DATOS!G:G,CONFIG_METADATA!$B$4,DATOS!I:I,B69),"—")</f>
        <v>—</v>
      </c>
      <c r="I69" s="15" t="str">
        <f>IFERROR(COUNTIFS(DATOS!G:G,CONFIG_METADATA!$B$4,DATOS!I:I,B69,DATOS!L:L,"N")/COUNTIFS(DATOS!G:G,CONFIG_METADATA!$B$4,DATOS!I:I,B69),"—")</f>
        <v>—</v>
      </c>
      <c r="J69" t="str" cm="1">
        <f t="array" ref="J69">IFERROR(_xlfn.MODE.SNGL(IF((DATOS!$G$2:$G$20000=CONFIG_METADATA!$B$4)*(DATOS!$I$2:$I$20000=B69)*(DATOS!$L$2:$L$20000="S"),DATOS!$K$2:$K$20000)),"—")</f>
        <v>—</v>
      </c>
      <c r="K69" t="str" cm="1">
        <f t="array" ref="K69">IFERROR(_xlfn.MODE.SNGL(IF((DATOS!$G$2:$G$20000=CONFIG_METADATA!$B$4)*(DATOS!$I$2:$I$20000=B69)*(DATOS!$L$2:$L$20000="N"),DATOS!$K$2:$K$20000)),"—")</f>
        <v>—</v>
      </c>
      <c r="L69">
        <f>COUNTIFS(DATOS!G:G,CONFIG_METADATA!$B$4,DATOS!I:I,B69,DATOS!K:K,1)</f>
        <v>0</v>
      </c>
      <c r="M69">
        <f>COUNTIFS(DATOS!G:G,CONFIG_METADATA!$B$4,DATOS!I:I,B69,DATOS!K:K,2)</f>
        <v>0</v>
      </c>
      <c r="N69">
        <f>COUNTIFS(DATOS!G:G,CONFIG_METADATA!$B$4,DATOS!I:I,B69,DATOS!K:K,3)</f>
        <v>0</v>
      </c>
      <c r="O69">
        <f>COUNTIFS(DATOS!G:G,CONFIG_METADATA!$B$4,DATOS!I:I,B69,DATOS!K:K,4)</f>
        <v>0</v>
      </c>
      <c r="P69">
        <f>COUNTIFS(DATOS!G:G,CONFIG_METADATA!$B$4,DATOS!I:I,B69,DATOS!K:K,5)</f>
        <v>0</v>
      </c>
      <c r="Q69">
        <f>COUNTIFS(DATOS!G:G,CONFIG_METADATA!$B$4,DATOS!I:I,B69,DATOS!K:K,6)</f>
        <v>0</v>
      </c>
      <c r="R69">
        <f>COUNTIFS(DATOS!G:G,CONFIG_METADATA!$B$4,DATOS!I:I,B69,DATOS!K:K,7)</f>
        <v>0</v>
      </c>
      <c r="S69">
        <f>COUNTIFS(DATOS!G:G,CONFIG_METADATA!$B$4,DATOS!I:I,B69,DATOS!K:K,8)</f>
        <v>0</v>
      </c>
      <c r="T69">
        <f>COUNTIFS(DATOS!G:G,CONFIG_METADATA!$B$4,DATOS!I:I,B69,DATOS!K:K,9)</f>
        <v>0</v>
      </c>
      <c r="U69">
        <f>COUNTIFS(DATOS!G:G,CONFIG_METADATA!$B$4,DATOS!I:I,B69,DATOS!K:K,10)</f>
        <v>0</v>
      </c>
    </row>
    <row r="70" spans="1:22">
      <c r="A70" s="3" t="inlineStr">
        <is>
          <t xml:space="preserve">1EEM</t>
        </is>
      </c>
      <c r="B70" s="3">
        <f>IFERROR(INDEX(_xlfn._xlws.FILTER(CONFIG_ASIGNATURAS!$B$2:$B$27,CONFIG_ASIGNATURAS!$G$2:$G$27="Sí"),29),"")</f>
      </c>
      <c r="C70" s="3">
        <f>IF(B70="","",IFERROR(IF(VLOOKUP(B70,CONFIG_ASIGNATURAS!$B$2:$F$27,5,FALSE())="Sí","Especialidad","Asignatura"),"Asignatura"))</f>
      </c>
      <c r="D70">
        <f>COUNTIFS(DATOS!G:G,CONFIG_METADATA!$B$4,DATOS!I:I,B70)</f>
        <v>0</v>
      </c>
      <c r="E70" s="14" t="str">
        <f>IFERROR(AVERAGEIFS(DATOS!K:K,DATOS!G:G,CONFIG_METADATA!$B$4,DATOS!I:I,B70),"—")</f>
        <v>—</v>
      </c>
      <c r="F70" s="14" t="str" cm="1">
        <f t="array" ref="F70">IFERROR(_xlfn.STDEV.P(IF((DATOS!$G$2:$G$20000=CONFIG_METADATA!$B$4)*(DATOS!$I$2:$I$20000=B70),DATOS!$K$2:$K$20000)),"—")</f>
        <v>—</v>
      </c>
      <c r="G70" t="str" cm="1">
        <f t="array" ref="G70">IFERROR(_xlfn.MODE.SNGL(IF((DATOS!$G$2:$G$20000=CONFIG_METADATA!$B$4)*(DATOS!$I$2:$I$20000=B70),DATOS!$K$2:$K$20000)),"—")</f>
        <v>—</v>
      </c>
      <c r="H70" s="15" t="str">
        <f>IFERROR(COUNTIFS(DATOS!G:G,CONFIG_METADATA!$B$4,DATOS!I:I,B70,DATOS!L:L,"S")/COUNTIFS(DATOS!G:G,CONFIG_METADATA!$B$4,DATOS!I:I,B70),"—")</f>
        <v>—</v>
      </c>
      <c r="I70" s="15" t="str">
        <f>IFERROR(COUNTIFS(DATOS!G:G,CONFIG_METADATA!$B$4,DATOS!I:I,B70,DATOS!L:L,"N")/COUNTIFS(DATOS!G:G,CONFIG_METADATA!$B$4,DATOS!I:I,B70),"—")</f>
        <v>—</v>
      </c>
      <c r="J70" t="str" cm="1">
        <f t="array" ref="J70">IFERROR(_xlfn.MODE.SNGL(IF((DATOS!$G$2:$G$20000=CONFIG_METADATA!$B$4)*(DATOS!$I$2:$I$20000=B70)*(DATOS!$L$2:$L$20000="S"),DATOS!$K$2:$K$20000)),"—")</f>
        <v>—</v>
      </c>
      <c r="K70" t="str" cm="1">
        <f t="array" ref="K70">IFERROR(_xlfn.MODE.SNGL(IF((DATOS!$G$2:$G$20000=CONFIG_METADATA!$B$4)*(DATOS!$I$2:$I$20000=B70)*(DATOS!$L$2:$L$20000="N"),DATOS!$K$2:$K$20000)),"—")</f>
        <v>—</v>
      </c>
      <c r="L70">
        <f>COUNTIFS(DATOS!G:G,CONFIG_METADATA!$B$4,DATOS!I:I,B70,DATOS!K:K,1)</f>
        <v>0</v>
      </c>
      <c r="M70">
        <f>COUNTIFS(DATOS!G:G,CONFIG_METADATA!$B$4,DATOS!I:I,B70,DATOS!K:K,2)</f>
        <v>0</v>
      </c>
      <c r="N70">
        <f>COUNTIFS(DATOS!G:G,CONFIG_METADATA!$B$4,DATOS!I:I,B70,DATOS!K:K,3)</f>
        <v>0</v>
      </c>
      <c r="O70">
        <f>COUNTIFS(DATOS!G:G,CONFIG_METADATA!$B$4,DATOS!I:I,B70,DATOS!K:K,4)</f>
        <v>0</v>
      </c>
      <c r="P70">
        <f>COUNTIFS(DATOS!G:G,CONFIG_METADATA!$B$4,DATOS!I:I,B70,DATOS!K:K,5)</f>
        <v>0</v>
      </c>
      <c r="Q70">
        <f>COUNTIFS(DATOS!G:G,CONFIG_METADATA!$B$4,DATOS!I:I,B70,DATOS!K:K,6)</f>
        <v>0</v>
      </c>
      <c r="R70">
        <f>COUNTIFS(DATOS!G:G,CONFIG_METADATA!$B$4,DATOS!I:I,B70,DATOS!K:K,7)</f>
        <v>0</v>
      </c>
      <c r="S70">
        <f>COUNTIFS(DATOS!G:G,CONFIG_METADATA!$B$4,DATOS!I:I,B70,DATOS!K:K,8)</f>
        <v>0</v>
      </c>
      <c r="T70">
        <f>COUNTIFS(DATOS!G:G,CONFIG_METADATA!$B$4,DATOS!I:I,B70,DATOS!K:K,9)</f>
        <v>0</v>
      </c>
      <c r="U70">
        <f>COUNTIFS(DATOS!G:G,CONFIG_METADATA!$B$4,DATOS!I:I,B70,DATOS!K:K,10)</f>
        <v>0</v>
      </c>
    </row>
    <row r="71" spans="1:22">
      <c r="A71" s="3" t="inlineStr">
        <is>
          <t xml:space="preserve">1EEM</t>
        </is>
      </c>
      <c r="B71" s="3">
        <f>IFERROR(INDEX(_xlfn._xlws.FILTER(CONFIG_ASIGNATURAS!$B$2:$B$27,CONFIG_ASIGNATURAS!$G$2:$G$27="Sí"),30),"")</f>
      </c>
      <c r="C71" s="3">
        <f>IF(B71="","",IFERROR(IF(VLOOKUP(B71,CONFIG_ASIGNATURAS!$B$2:$F$27,5,FALSE())="Sí","Especialidad","Asignatura"),"Asignatura"))</f>
      </c>
      <c r="D71">
        <f>COUNTIFS(DATOS!G:G,CONFIG_METADATA!$B$4,DATOS!I:I,B71)</f>
        <v>0</v>
      </c>
      <c r="E71" s="14" t="str">
        <f>IFERROR(AVERAGEIFS(DATOS!K:K,DATOS!G:G,CONFIG_METADATA!$B$4,DATOS!I:I,B71),"—")</f>
        <v>—</v>
      </c>
      <c r="F71" s="14" t="str" cm="1">
        <f t="array" ref="F71">IFERROR(_xlfn.STDEV.P(IF((DATOS!$G$2:$G$20000=CONFIG_METADATA!$B$4)*(DATOS!$I$2:$I$20000=B71),DATOS!$K$2:$K$20000)),"—")</f>
        <v>—</v>
      </c>
      <c r="G71" t="str" cm="1">
        <f t="array" ref="G71">IFERROR(_xlfn.MODE.SNGL(IF((DATOS!$G$2:$G$20000=CONFIG_METADATA!$B$4)*(DATOS!$I$2:$I$20000=B71),DATOS!$K$2:$K$20000)),"—")</f>
        <v>—</v>
      </c>
      <c r="H71" s="15" t="str">
        <f>IFERROR(COUNTIFS(DATOS!G:G,CONFIG_METADATA!$B$4,DATOS!I:I,B71,DATOS!L:L,"S")/COUNTIFS(DATOS!G:G,CONFIG_METADATA!$B$4,DATOS!I:I,B71),"—")</f>
        <v>—</v>
      </c>
      <c r="I71" s="15" t="str">
        <f>IFERROR(COUNTIFS(DATOS!G:G,CONFIG_METADATA!$B$4,DATOS!I:I,B71,DATOS!L:L,"N")/COUNTIFS(DATOS!G:G,CONFIG_METADATA!$B$4,DATOS!I:I,B71),"—")</f>
        <v>—</v>
      </c>
      <c r="J71" t="str" cm="1">
        <f t="array" ref="J71">IFERROR(_xlfn.MODE.SNGL(IF((DATOS!$G$2:$G$20000=CONFIG_METADATA!$B$4)*(DATOS!$I$2:$I$20000=B71)*(DATOS!$L$2:$L$20000="S"),DATOS!$K$2:$K$20000)),"—")</f>
        <v>—</v>
      </c>
      <c r="K71" t="str" cm="1">
        <f t="array" ref="K71">IFERROR(_xlfn.MODE.SNGL(IF((DATOS!$G$2:$G$20000=CONFIG_METADATA!$B$4)*(DATOS!$I$2:$I$20000=B71)*(DATOS!$L$2:$L$20000="N"),DATOS!$K$2:$K$20000)),"—")</f>
        <v>—</v>
      </c>
      <c r="L71">
        <f>COUNTIFS(DATOS!G:G,CONFIG_METADATA!$B$4,DATOS!I:I,B71,DATOS!K:K,1)</f>
        <v>0</v>
      </c>
      <c r="M71">
        <f>COUNTIFS(DATOS!G:G,CONFIG_METADATA!$B$4,DATOS!I:I,B71,DATOS!K:K,2)</f>
        <v>0</v>
      </c>
      <c r="N71">
        <f>COUNTIFS(DATOS!G:G,CONFIG_METADATA!$B$4,DATOS!I:I,B71,DATOS!K:K,3)</f>
        <v>0</v>
      </c>
      <c r="O71">
        <f>COUNTIFS(DATOS!G:G,CONFIG_METADATA!$B$4,DATOS!I:I,B71,DATOS!K:K,4)</f>
        <v>0</v>
      </c>
      <c r="P71">
        <f>COUNTIFS(DATOS!G:G,CONFIG_METADATA!$B$4,DATOS!I:I,B71,DATOS!K:K,5)</f>
        <v>0</v>
      </c>
      <c r="Q71">
        <f>COUNTIFS(DATOS!G:G,CONFIG_METADATA!$B$4,DATOS!I:I,B71,DATOS!K:K,6)</f>
        <v>0</v>
      </c>
      <c r="R71">
        <f>COUNTIFS(DATOS!G:G,CONFIG_METADATA!$B$4,DATOS!I:I,B71,DATOS!K:K,7)</f>
        <v>0</v>
      </c>
      <c r="S71">
        <f>COUNTIFS(DATOS!G:G,CONFIG_METADATA!$B$4,DATOS!I:I,B71,DATOS!K:K,8)</f>
        <v>0</v>
      </c>
      <c r="T71">
        <f>COUNTIFS(DATOS!G:G,CONFIG_METADATA!$B$4,DATOS!I:I,B71,DATOS!K:K,9)</f>
        <v>0</v>
      </c>
      <c r="U71">
        <f>COUNTIFS(DATOS!G:G,CONFIG_METADATA!$B$4,DATOS!I:I,B71,DATOS!K:K,10)</f>
        <v>0</v>
      </c>
    </row>
    <row r="72" spans="1:22">
      <c r="A72" s="3" t="inlineStr">
        <is>
          <t xml:space="preserve">1EEM</t>
        </is>
      </c>
      <c r="B72" s="3">
        <f>IFERROR(INDEX(_xlfn._xlws.FILTER(CONFIG_ASIGNATURAS!$B$2:$B$27,CONFIG_ASIGNATURAS!$G$2:$G$27="Sí"),31),"")</f>
      </c>
      <c r="C72" s="3">
        <f>IF(B72="","",IFERROR(IF(VLOOKUP(B72,CONFIG_ASIGNATURAS!$B$2:$F$27,5,FALSE())="Sí","Especialidad","Asignatura"),"Asignatura"))</f>
      </c>
      <c r="D72">
        <f>COUNTIFS(DATOS!G:G,CONFIG_METADATA!$B$4,DATOS!I:I,B72)</f>
        <v>0</v>
      </c>
      <c r="E72" s="14" t="str">
        <f>IFERROR(AVERAGEIFS(DATOS!K:K,DATOS!G:G,CONFIG_METADATA!$B$4,DATOS!I:I,B72),"—")</f>
        <v>—</v>
      </c>
      <c r="F72" s="14" t="str" cm="1">
        <f t="array" ref="F72">IFERROR(_xlfn.STDEV.P(IF((DATOS!$G$2:$G$20000=CONFIG_METADATA!$B$4)*(DATOS!$I$2:$I$20000=B72),DATOS!$K$2:$K$20000)),"—")</f>
        <v>—</v>
      </c>
      <c r="G72" t="str" cm="1">
        <f t="array" ref="G72">IFERROR(_xlfn.MODE.SNGL(IF((DATOS!$G$2:$G$20000=CONFIG_METADATA!$B$4)*(DATOS!$I$2:$I$20000=B72),DATOS!$K$2:$K$20000)),"—")</f>
        <v>—</v>
      </c>
      <c r="H72" s="15" t="str">
        <f>IFERROR(COUNTIFS(DATOS!G:G,CONFIG_METADATA!$B$4,DATOS!I:I,B72,DATOS!L:L,"S")/COUNTIFS(DATOS!G:G,CONFIG_METADATA!$B$4,DATOS!I:I,B72),"—")</f>
        <v>—</v>
      </c>
      <c r="I72" s="15" t="str">
        <f>IFERROR(COUNTIFS(DATOS!G:G,CONFIG_METADATA!$B$4,DATOS!I:I,B72,DATOS!L:L,"N")/COUNTIFS(DATOS!G:G,CONFIG_METADATA!$B$4,DATOS!I:I,B72),"—")</f>
        <v>—</v>
      </c>
      <c r="J72" t="str" cm="1">
        <f t="array" ref="J72">IFERROR(_xlfn.MODE.SNGL(IF((DATOS!$G$2:$G$20000=CONFIG_METADATA!$B$4)*(DATOS!$I$2:$I$20000=B72)*(DATOS!$L$2:$L$20000="S"),DATOS!$K$2:$K$20000)),"—")</f>
        <v>—</v>
      </c>
      <c r="K72" t="str" cm="1">
        <f t="array" ref="K72">IFERROR(_xlfn.MODE.SNGL(IF((DATOS!$G$2:$G$20000=CONFIG_METADATA!$B$4)*(DATOS!$I$2:$I$20000=B72)*(DATOS!$L$2:$L$20000="N"),DATOS!$K$2:$K$20000)),"—")</f>
        <v>—</v>
      </c>
      <c r="L72">
        <f>COUNTIFS(DATOS!G:G,CONFIG_METADATA!$B$4,DATOS!I:I,B72,DATOS!K:K,1)</f>
        <v>0</v>
      </c>
      <c r="M72">
        <f>COUNTIFS(DATOS!G:G,CONFIG_METADATA!$B$4,DATOS!I:I,B72,DATOS!K:K,2)</f>
        <v>0</v>
      </c>
      <c r="N72">
        <f>COUNTIFS(DATOS!G:G,CONFIG_METADATA!$B$4,DATOS!I:I,B72,DATOS!K:K,3)</f>
        <v>0</v>
      </c>
      <c r="O72">
        <f>COUNTIFS(DATOS!G:G,CONFIG_METADATA!$B$4,DATOS!I:I,B72,DATOS!K:K,4)</f>
        <v>0</v>
      </c>
      <c r="P72">
        <f>COUNTIFS(DATOS!G:G,CONFIG_METADATA!$B$4,DATOS!I:I,B72,DATOS!K:K,5)</f>
        <v>0</v>
      </c>
      <c r="Q72">
        <f>COUNTIFS(DATOS!G:G,CONFIG_METADATA!$B$4,DATOS!I:I,B72,DATOS!K:K,6)</f>
        <v>0</v>
      </c>
      <c r="R72">
        <f>COUNTIFS(DATOS!G:G,CONFIG_METADATA!$B$4,DATOS!I:I,B72,DATOS!K:K,7)</f>
        <v>0</v>
      </c>
      <c r="S72">
        <f>COUNTIFS(DATOS!G:G,CONFIG_METADATA!$B$4,DATOS!I:I,B72,DATOS!K:K,8)</f>
        <v>0</v>
      </c>
      <c r="T72">
        <f>COUNTIFS(DATOS!G:G,CONFIG_METADATA!$B$4,DATOS!I:I,B72,DATOS!K:K,9)</f>
        <v>0</v>
      </c>
      <c r="U72">
        <f>COUNTIFS(DATOS!G:G,CONFIG_METADATA!$B$4,DATOS!I:I,B72,DATOS!K:K,10)</f>
        <v>0</v>
      </c>
    </row>
    <row r="73" spans="1:22">
      <c r="A73" s="3" t="inlineStr">
        <is>
          <t xml:space="preserve">1EEM</t>
        </is>
      </c>
      <c r="B73" s="3">
        <f>IFERROR(INDEX(_xlfn._xlws.FILTER(CONFIG_ASIGNATURAS!$B$2:$B$27,CONFIG_ASIGNATURAS!$G$2:$G$27="Sí"),32),"")</f>
      </c>
      <c r="C73" s="3">
        <f>IF(B73="","",IFERROR(IF(VLOOKUP(B73,CONFIG_ASIGNATURAS!$B$2:$F$27,5,FALSE())="Sí","Especialidad","Asignatura"),"Asignatura"))</f>
      </c>
      <c r="D73">
        <f>COUNTIFS(DATOS!G:G,CONFIG_METADATA!$B$4,DATOS!I:I,B73)</f>
        <v>0</v>
      </c>
      <c r="E73" s="14" t="str">
        <f>IFERROR(AVERAGEIFS(DATOS!K:K,DATOS!G:G,CONFIG_METADATA!$B$4,DATOS!I:I,B73),"—")</f>
        <v>—</v>
      </c>
      <c r="F73" s="14" t="str" cm="1">
        <f t="array" ref="F73">IFERROR(_xlfn.STDEV.P(IF((DATOS!$G$2:$G$20000=CONFIG_METADATA!$B$4)*(DATOS!$I$2:$I$20000=B73),DATOS!$K$2:$K$20000)),"—")</f>
        <v>—</v>
      </c>
      <c r="G73" t="str" cm="1">
        <f t="array" ref="G73">IFERROR(_xlfn.MODE.SNGL(IF((DATOS!$G$2:$G$20000=CONFIG_METADATA!$B$4)*(DATOS!$I$2:$I$20000=B73),DATOS!$K$2:$K$20000)),"—")</f>
        <v>—</v>
      </c>
      <c r="H73" s="15" t="str">
        <f>IFERROR(COUNTIFS(DATOS!G:G,CONFIG_METADATA!$B$4,DATOS!I:I,B73,DATOS!L:L,"S")/COUNTIFS(DATOS!G:G,CONFIG_METADATA!$B$4,DATOS!I:I,B73),"—")</f>
        <v>—</v>
      </c>
      <c r="I73" s="15" t="str">
        <f>IFERROR(COUNTIFS(DATOS!G:G,CONFIG_METADATA!$B$4,DATOS!I:I,B73,DATOS!L:L,"N")/COUNTIFS(DATOS!G:G,CONFIG_METADATA!$B$4,DATOS!I:I,B73),"—")</f>
        <v>—</v>
      </c>
      <c r="J73" t="str" cm="1">
        <f t="array" ref="J73">IFERROR(_xlfn.MODE.SNGL(IF((DATOS!$G$2:$G$20000=CONFIG_METADATA!$B$4)*(DATOS!$I$2:$I$20000=B73)*(DATOS!$L$2:$L$20000="S"),DATOS!$K$2:$K$20000)),"—")</f>
        <v>—</v>
      </c>
      <c r="K73" t="str" cm="1">
        <f t="array" ref="K73">IFERROR(_xlfn.MODE.SNGL(IF((DATOS!$G$2:$G$20000=CONFIG_METADATA!$B$4)*(DATOS!$I$2:$I$20000=B73)*(DATOS!$L$2:$L$20000="N"),DATOS!$K$2:$K$20000)),"—")</f>
        <v>—</v>
      </c>
      <c r="L73">
        <f>COUNTIFS(DATOS!G:G,CONFIG_METADATA!$B$4,DATOS!I:I,B73,DATOS!K:K,1)</f>
        <v>0</v>
      </c>
      <c r="M73">
        <f>COUNTIFS(DATOS!G:G,CONFIG_METADATA!$B$4,DATOS!I:I,B73,DATOS!K:K,2)</f>
        <v>0</v>
      </c>
      <c r="N73">
        <f>COUNTIFS(DATOS!G:G,CONFIG_METADATA!$B$4,DATOS!I:I,B73,DATOS!K:K,3)</f>
        <v>0</v>
      </c>
      <c r="O73">
        <f>COUNTIFS(DATOS!G:G,CONFIG_METADATA!$B$4,DATOS!I:I,B73,DATOS!K:K,4)</f>
        <v>0</v>
      </c>
      <c r="P73">
        <f>COUNTIFS(DATOS!G:G,CONFIG_METADATA!$B$4,DATOS!I:I,B73,DATOS!K:K,5)</f>
        <v>0</v>
      </c>
      <c r="Q73">
        <f>COUNTIFS(DATOS!G:G,CONFIG_METADATA!$B$4,DATOS!I:I,B73,DATOS!K:K,6)</f>
        <v>0</v>
      </c>
      <c r="R73">
        <f>COUNTIFS(DATOS!G:G,CONFIG_METADATA!$B$4,DATOS!I:I,B73,DATOS!K:K,7)</f>
        <v>0</v>
      </c>
      <c r="S73">
        <f>COUNTIFS(DATOS!G:G,CONFIG_METADATA!$B$4,DATOS!I:I,B73,DATOS!K:K,8)</f>
        <v>0</v>
      </c>
      <c r="T73">
        <f>COUNTIFS(DATOS!G:G,CONFIG_METADATA!$B$4,DATOS!I:I,B73,DATOS!K:K,9)</f>
        <v>0</v>
      </c>
      <c r="U73">
        <f>COUNTIFS(DATOS!G:G,CONFIG_METADATA!$B$4,DATOS!I:I,B73,DATOS!K:K,10)</f>
        <v>0</v>
      </c>
    </row>
    <row r="74" spans="1:22">
      <c r="A74" s="3" t="inlineStr">
        <is>
          <t xml:space="preserve">1EEM</t>
        </is>
      </c>
      <c r="B74" s="3">
        <f>IFERROR(INDEX(_xlfn._xlws.FILTER(CONFIG_ASIGNATURAS!$B$2:$B$27,CONFIG_ASIGNATURAS!$G$2:$G$27="Sí"),33),"")</f>
      </c>
      <c r="C74" s="3">
        <f>IF(B74="","",IFERROR(IF(VLOOKUP(B74,CONFIG_ASIGNATURAS!$B$2:$F$27,5,FALSE())="Sí","Especialidad","Asignatura"),"Asignatura"))</f>
      </c>
      <c r="D74">
        <f>COUNTIFS(DATOS!G:G,CONFIG_METADATA!$B$4,DATOS!I:I,B74)</f>
        <v>0</v>
      </c>
      <c r="E74" s="14" t="str">
        <f>IFERROR(AVERAGEIFS(DATOS!K:K,DATOS!G:G,CONFIG_METADATA!$B$4,DATOS!I:I,B74),"—")</f>
        <v>—</v>
      </c>
      <c r="F74" s="14" t="str" cm="1">
        <f t="array" ref="F74">IFERROR(_xlfn.STDEV.P(IF((DATOS!$G$2:$G$20000=CONFIG_METADATA!$B$4)*(DATOS!$I$2:$I$20000=B74),DATOS!$K$2:$K$20000)),"—")</f>
        <v>—</v>
      </c>
      <c r="G74" t="str" cm="1">
        <f t="array" ref="G74">IFERROR(_xlfn.MODE.SNGL(IF((DATOS!$G$2:$G$20000=CONFIG_METADATA!$B$4)*(DATOS!$I$2:$I$20000=B74),DATOS!$K$2:$K$20000)),"—")</f>
        <v>—</v>
      </c>
      <c r="H74" s="15" t="str">
        <f>IFERROR(COUNTIFS(DATOS!G:G,CONFIG_METADATA!$B$4,DATOS!I:I,B74,DATOS!L:L,"S")/COUNTIFS(DATOS!G:G,CONFIG_METADATA!$B$4,DATOS!I:I,B74),"—")</f>
        <v>—</v>
      </c>
      <c r="I74" s="15" t="str">
        <f>IFERROR(COUNTIFS(DATOS!G:G,CONFIG_METADATA!$B$4,DATOS!I:I,B74,DATOS!L:L,"N")/COUNTIFS(DATOS!G:G,CONFIG_METADATA!$B$4,DATOS!I:I,B74),"—")</f>
        <v>—</v>
      </c>
      <c r="J74" t="str" cm="1">
        <f t="array" ref="J74">IFERROR(_xlfn.MODE.SNGL(IF((DATOS!$G$2:$G$20000=CONFIG_METADATA!$B$4)*(DATOS!$I$2:$I$20000=B74)*(DATOS!$L$2:$L$20000="S"),DATOS!$K$2:$K$20000)),"—")</f>
        <v>—</v>
      </c>
      <c r="K74" t="str" cm="1">
        <f t="array" ref="K74">IFERROR(_xlfn.MODE.SNGL(IF((DATOS!$G$2:$G$20000=CONFIG_METADATA!$B$4)*(DATOS!$I$2:$I$20000=B74)*(DATOS!$L$2:$L$20000="N"),DATOS!$K$2:$K$20000)),"—")</f>
        <v>—</v>
      </c>
      <c r="L74">
        <f>COUNTIFS(DATOS!G:G,CONFIG_METADATA!$B$4,DATOS!I:I,B74,DATOS!K:K,1)</f>
        <v>0</v>
      </c>
      <c r="M74">
        <f>COUNTIFS(DATOS!G:G,CONFIG_METADATA!$B$4,DATOS!I:I,B74,DATOS!K:K,2)</f>
        <v>0</v>
      </c>
      <c r="N74">
        <f>COUNTIFS(DATOS!G:G,CONFIG_METADATA!$B$4,DATOS!I:I,B74,DATOS!K:K,3)</f>
        <v>0</v>
      </c>
      <c r="O74">
        <f>COUNTIFS(DATOS!G:G,CONFIG_METADATA!$B$4,DATOS!I:I,B74,DATOS!K:K,4)</f>
        <v>0</v>
      </c>
      <c r="P74">
        <f>COUNTIFS(DATOS!G:G,CONFIG_METADATA!$B$4,DATOS!I:I,B74,DATOS!K:K,5)</f>
        <v>0</v>
      </c>
      <c r="Q74">
        <f>COUNTIFS(DATOS!G:G,CONFIG_METADATA!$B$4,DATOS!I:I,B74,DATOS!K:K,6)</f>
        <v>0</v>
      </c>
      <c r="R74">
        <f>COUNTIFS(DATOS!G:G,CONFIG_METADATA!$B$4,DATOS!I:I,B74,DATOS!K:K,7)</f>
        <v>0</v>
      </c>
      <c r="S74">
        <f>COUNTIFS(DATOS!G:G,CONFIG_METADATA!$B$4,DATOS!I:I,B74,DATOS!K:K,8)</f>
        <v>0</v>
      </c>
      <c r="T74">
        <f>COUNTIFS(DATOS!G:G,CONFIG_METADATA!$B$4,DATOS!I:I,B74,DATOS!K:K,9)</f>
        <v>0</v>
      </c>
      <c r="U74">
        <f>COUNTIFS(DATOS!G:G,CONFIG_METADATA!$B$4,DATOS!I:I,B74,DATOS!K:K,10)</f>
        <v>0</v>
      </c>
    </row>
    <row r="75" spans="1:22">
      <c r="A75" s="3" t="inlineStr">
        <is>
          <t xml:space="preserve">1EEM</t>
        </is>
      </c>
      <c r="B75" s="3">
        <f>IFERROR(INDEX(_xlfn._xlws.FILTER(CONFIG_ASIGNATURAS!$B$2:$B$27,CONFIG_ASIGNATURAS!$G$2:$G$27="Sí"),34),"")</f>
      </c>
      <c r="C75" s="3">
        <f>IF(B75="","",IFERROR(IF(VLOOKUP(B75,CONFIG_ASIGNATURAS!$B$2:$F$27,5,FALSE())="Sí","Especialidad","Asignatura"),"Asignatura"))</f>
      </c>
      <c r="D75">
        <f>COUNTIFS(DATOS!G:G,CONFIG_METADATA!$B$4,DATOS!I:I,B75)</f>
        <v>0</v>
      </c>
      <c r="E75" s="14" t="str">
        <f>IFERROR(AVERAGEIFS(DATOS!K:K,DATOS!G:G,CONFIG_METADATA!$B$4,DATOS!I:I,B75),"—")</f>
        <v>—</v>
      </c>
      <c r="F75" s="14" t="str" cm="1">
        <f t="array" ref="F75">IFERROR(_xlfn.STDEV.P(IF((DATOS!$G$2:$G$20000=CONFIG_METADATA!$B$4)*(DATOS!$I$2:$I$20000=B75),DATOS!$K$2:$K$20000)),"—")</f>
        <v>—</v>
      </c>
      <c r="G75" t="str" cm="1">
        <f t="array" ref="G75">IFERROR(_xlfn.MODE.SNGL(IF((DATOS!$G$2:$G$20000=CONFIG_METADATA!$B$4)*(DATOS!$I$2:$I$20000=B75),DATOS!$K$2:$K$20000)),"—")</f>
        <v>—</v>
      </c>
      <c r="H75" s="15" t="str">
        <f>IFERROR(COUNTIFS(DATOS!G:G,CONFIG_METADATA!$B$4,DATOS!I:I,B75,DATOS!L:L,"S")/COUNTIFS(DATOS!G:G,CONFIG_METADATA!$B$4,DATOS!I:I,B75),"—")</f>
        <v>—</v>
      </c>
      <c r="I75" s="15" t="str">
        <f>IFERROR(COUNTIFS(DATOS!G:G,CONFIG_METADATA!$B$4,DATOS!I:I,B75,DATOS!L:L,"N")/COUNTIFS(DATOS!G:G,CONFIG_METADATA!$B$4,DATOS!I:I,B75),"—")</f>
        <v>—</v>
      </c>
      <c r="J75" t="str" cm="1">
        <f t="array" ref="J75">IFERROR(_xlfn.MODE.SNGL(IF((DATOS!$G$2:$G$20000=CONFIG_METADATA!$B$4)*(DATOS!$I$2:$I$20000=B75)*(DATOS!$L$2:$L$20000="S"),DATOS!$K$2:$K$20000)),"—")</f>
        <v>—</v>
      </c>
      <c r="K75" t="str" cm="1">
        <f t="array" ref="K75">IFERROR(_xlfn.MODE.SNGL(IF((DATOS!$G$2:$G$20000=CONFIG_METADATA!$B$4)*(DATOS!$I$2:$I$20000=B75)*(DATOS!$L$2:$L$20000="N"),DATOS!$K$2:$K$20000)),"—")</f>
        <v>—</v>
      </c>
      <c r="L75">
        <f>COUNTIFS(DATOS!G:G,CONFIG_METADATA!$B$4,DATOS!I:I,B75,DATOS!K:K,1)</f>
        <v>0</v>
      </c>
      <c r="M75">
        <f>COUNTIFS(DATOS!G:G,CONFIG_METADATA!$B$4,DATOS!I:I,B75,DATOS!K:K,2)</f>
        <v>0</v>
      </c>
      <c r="N75">
        <f>COUNTIFS(DATOS!G:G,CONFIG_METADATA!$B$4,DATOS!I:I,B75,DATOS!K:K,3)</f>
        <v>0</v>
      </c>
      <c r="O75">
        <f>COUNTIFS(DATOS!G:G,CONFIG_METADATA!$B$4,DATOS!I:I,B75,DATOS!K:K,4)</f>
        <v>0</v>
      </c>
      <c r="P75">
        <f>COUNTIFS(DATOS!G:G,CONFIG_METADATA!$B$4,DATOS!I:I,B75,DATOS!K:K,5)</f>
        <v>0</v>
      </c>
      <c r="Q75">
        <f>COUNTIFS(DATOS!G:G,CONFIG_METADATA!$B$4,DATOS!I:I,B75,DATOS!K:K,6)</f>
        <v>0</v>
      </c>
      <c r="R75">
        <f>COUNTIFS(DATOS!G:G,CONFIG_METADATA!$B$4,DATOS!I:I,B75,DATOS!K:K,7)</f>
        <v>0</v>
      </c>
      <c r="S75">
        <f>COUNTIFS(DATOS!G:G,CONFIG_METADATA!$B$4,DATOS!I:I,B75,DATOS!K:K,8)</f>
        <v>0</v>
      </c>
      <c r="T75">
        <f>COUNTIFS(DATOS!G:G,CONFIG_METADATA!$B$4,DATOS!I:I,B75,DATOS!K:K,9)</f>
        <v>0</v>
      </c>
      <c r="U75">
        <f>COUNTIFS(DATOS!G:G,CONFIG_METADATA!$B$4,DATOS!I:I,B75,DATOS!K:K,10)</f>
        <v>0</v>
      </c>
    </row>
    <row r="76" spans="1:22">
      <c r="A76" s="3" t="inlineStr">
        <is>
          <t xml:space="preserve">2EEM</t>
        </is>
      </c>
      <c r="B76" s="3" t="inlineStr">
        <is>
          <t xml:space="preserve">Total</t>
        </is>
      </c>
      <c r="C76" s="3" t="inlineStr">
        <is>
          <t xml:space="preserve">Total</t>
        </is>
      </c>
      <c r="D76">
        <f>COUNTIFS(DATOS!G:G,CONFIG_METADATA!$B$4,DATOS!I:I,B76)</f>
        <v>0</v>
      </c>
      <c r="E76" s="14" t="str">
        <f>IFERROR(AVERAGEIFS(DATOS!K:K,DATOS!G:G,CONFIG_METADATA!$B$4,DATOS!I:I,B76),"—")</f>
        <v>—</v>
      </c>
      <c r="F76" s="14" t="str" cm="1">
        <f t="array" ref="F76">IFERROR(_xlfn.STDEV.P(IF((DATOS!$G$2:$G$20000=CONFIG_METADATA!$B$4)*(DATOS!$I$2:$I$20000=B76),DATOS!$K$2:$K$20000)),"—")</f>
        <v>—</v>
      </c>
      <c r="G76" t="str" cm="1">
        <f t="array" ref="G76">IFERROR(_xlfn.MODE.SNGL(IF((DATOS!$G$2:$G$20000=CONFIG_METADATA!$B$4)*(DATOS!$I$2:$I$20000=B76),DATOS!$K$2:$K$20000)),"—")</f>
        <v>—</v>
      </c>
      <c r="H76" s="15" t="str">
        <f>IFERROR(COUNTIFS(DATOS!G:G,CONFIG_METADATA!$B$4,DATOS!I:I,B76,DATOS!L:L,"S")/COUNTIFS(DATOS!G:G,CONFIG_METADATA!$B$4,DATOS!I:I,B76),"—")</f>
        <v>—</v>
      </c>
      <c r="I76" s="15" t="str">
        <f>IFERROR(COUNTIFS(DATOS!G:G,CONFIG_METADATA!$B$4,DATOS!I:I,B76,DATOS!L:L,"N")/COUNTIFS(DATOS!G:G,CONFIG_METADATA!$B$4,DATOS!I:I,B76),"—")</f>
        <v>—</v>
      </c>
      <c r="J76" t="str" cm="1">
        <f t="array" ref="J76">IFERROR(_xlfn.MODE.SNGL(IF((DATOS!$G$2:$G$20000=CONFIG_METADATA!$B$4)*(DATOS!$I$2:$I$20000=B76)*(DATOS!$L$2:$L$20000="S"),DATOS!$K$2:$K$20000)),"—")</f>
        <v>—</v>
      </c>
      <c r="K76" t="str" cm="1">
        <f t="array" ref="K76">IFERROR(_xlfn.MODE.SNGL(IF((DATOS!$G$2:$G$20000=CONFIG_METADATA!$B$4)*(DATOS!$I$2:$I$20000=B76)*(DATOS!$L$2:$L$20000="N"),DATOS!$K$2:$K$20000)),"—")</f>
        <v>—</v>
      </c>
      <c r="L76">
        <f>COUNTIFS(DATOS!G:G,CONFIG_METADATA!$B$4,DATOS!I:I,B76,DATOS!K:K,1)</f>
        <v>0</v>
      </c>
      <c r="M76">
        <f>COUNTIFS(DATOS!G:G,CONFIG_METADATA!$B$4,DATOS!I:I,B76,DATOS!K:K,2)</f>
        <v>0</v>
      </c>
      <c r="N76">
        <f>COUNTIFS(DATOS!G:G,CONFIG_METADATA!$B$4,DATOS!I:I,B76,DATOS!K:K,3)</f>
        <v>0</v>
      </c>
      <c r="O76">
        <f>COUNTIFS(DATOS!G:G,CONFIG_METADATA!$B$4,DATOS!I:I,B76,DATOS!K:K,4)</f>
        <v>0</v>
      </c>
      <c r="P76">
        <f>COUNTIFS(DATOS!G:G,CONFIG_METADATA!$B$4,DATOS!I:I,B76,DATOS!K:K,5)</f>
        <v>0</v>
      </c>
      <c r="Q76">
        <f>COUNTIFS(DATOS!G:G,CONFIG_METADATA!$B$4,DATOS!I:I,B76,DATOS!K:K,6)</f>
        <v>0</v>
      </c>
      <c r="R76">
        <f>COUNTIFS(DATOS!G:G,CONFIG_METADATA!$B$4,DATOS!I:I,B76,DATOS!K:K,7)</f>
        <v>0</v>
      </c>
      <c r="S76">
        <f>COUNTIFS(DATOS!G:G,CONFIG_METADATA!$B$4,DATOS!I:I,B76,DATOS!K:K,8)</f>
        <v>0</v>
      </c>
      <c r="T76">
        <f>COUNTIFS(DATOS!G:G,CONFIG_METADATA!$B$4,DATOS!I:I,B76,DATOS!K:K,9)</f>
        <v>0</v>
      </c>
      <c r="U76">
        <f>COUNTIFS(DATOS!G:G,CONFIG_METADATA!$B$4,DATOS!I:I,B76,DATOS!K:K,10)</f>
        <v>0</v>
      </c>
    </row>
    <row r="77" spans="1:22">
      <c r="A77" s="3" t="inlineStr">
        <is>
          <t xml:space="preserve">2EEM</t>
        </is>
      </c>
      <c r="B77" s="3" t="inlineStr">
        <is>
          <t xml:space="preserve">Total Especialidad</t>
        </is>
      </c>
      <c r="C77" s="3" t="inlineStr">
        <is>
          <t xml:space="preserve">TotalEsp</t>
        </is>
      </c>
      <c r="D77">
        <f>SUMPRODUCT((DATOS!$G$2:$G$20000=CONFIG_METADATA!$B$4)*(DATOS!$D$2:$D$20000=A77)*(COUNTIF(CONFIG_ASIGNATURAS!$B$5:$B$27,DATOS!$I$2:$I$20000)&gt;0)*1)</f>
      </c>
      <c r="E77" s="14">
        <f>IFERROR(AVERAGE(IF((DATOS!$G$2:$G$20000=CONFIG_METADATA!$B$4)*(DATOS!$D$2:$D$20000=A77)*(COUNTIF(CONFIG_ASIGNATURAS!$B$5:$B$27,DATOS!$I$2:$I$20000)&gt;0),DATOS!$K$2:$K$20000)),"—")</f>
      </c>
      <c r="F77" s="14">
        <f>IFERROR(_xlfn.STDEV.P(IF((DATOS!$G$2:$G$20000=CONFIG_METADATA!$B$4)*(DATOS!$D$2:$D$20000=A77)*(COUNTIF(CONFIG_ASIGNATURAS!$B$5:$B$27,DATOS!$I$2:$I$20000)&gt;0),DATOS!$K$2:$K$20000)),"—")</f>
      </c>
      <c r="G77">
        <f>IFERROR(_xlfn.MODE.SNGL(IF((DATOS!$G$2:$G$20000=CONFIG_METADATA!$B$4)*(DATOS!$D$2:$D$20000=A77)*(COUNTIF(CONFIG_ASIGNATURAS!$B$5:$B$27,DATOS!$I$2:$I$20000)&gt;0),DATOS!$K$2:$K$20000)),"—")</f>
      </c>
      <c r="H77" s="15">
        <f>IFERROR(SUMPRODUCT((DATOS!$G$2:$G$20000=CONFIG_METADATA!$B$4)*(DATOS!$D$2:$D$20000=A77)*(COUNTIF(CONFIG_ASIGNATURAS!$B$5:$B$27,DATOS!$I$2:$I$20000)&gt;0)*(DATOS!$L$2:$L$20000="S"))/SUMPRODUCT((DATOS!$G$2:$G$20000=CONFIG_METADATA!$B$4)*(DATOS!$D$2:$D$20000=A77)*(COUNTIF(CONFIG_ASIGNATURAS!$B$5:$B$27,DATOS!$I$2:$I$20000)&gt;0)*1),"—")</f>
      </c>
      <c r="I77" s="15">
        <f>IFERROR(SUMPRODUCT((DATOS!$G$2:$G$20000=CONFIG_METADATA!$B$4)*(DATOS!$D$2:$D$20000=A77)*(COUNTIF(CONFIG_ASIGNATURAS!$B$5:$B$27,DATOS!$I$2:$I$20000)&gt;0)*(DATOS!$L$2:$L$20000="N"))/SUMPRODUCT((DATOS!$G$2:$G$20000=CONFIG_METADATA!$B$4)*(DATOS!$D$2:$D$20000=A77)*(COUNTIF(CONFIG_ASIGNATURAS!$B$5:$B$27,DATOS!$I$2:$I$20000)&gt;0)*1),"—")</f>
      </c>
      <c r="J77">
        <f>IFERROR(_xlfn.MODE.SNGL(IF((DATOS!$G$2:$G$20000=CONFIG_METADATA!$B$4)*(DATOS!$D$2:$D$20000=A77)*(COUNTIF(CONFIG_ASIGNATURAS!$B$5:$B$27,DATOS!$I$2:$I$20000)&gt;0)*(DATOS!$L$2:$L$20000="S"),DATOS!$K$2:$K$20000)),"—")</f>
      </c>
      <c r="K77">
        <f>IFERROR(_xlfn.MODE.SNGL(IF((DATOS!$G$2:$G$20000=CONFIG_METADATA!$B$4)*(DATOS!$D$2:$D$20000=A77)*(COUNTIF(CONFIG_ASIGNATURAS!$B$5:$B$27,DATOS!$I$2:$I$20000)&gt;0)*(DATOS!$L$2:$L$20000="N"),DATOS!$K$2:$K$20000)),"—")</f>
      </c>
      <c r="L77">
        <f>SUMPRODUCT((DATOS!$G$2:$G$20000=CONFIG_METADATA!$B$4)*(DATOS!$D$2:$D$20000=A77)*(COUNTIF(CONFIG_ASIGNATURAS!$B$5:$B$27,DATOS!$I$2:$I$20000)&gt;0)*(DATOS!$K$2:$K$20000=1))</f>
      </c>
      <c r="M77">
        <f>SUMPRODUCT((DATOS!$G$2:$G$20000=CONFIG_METADATA!$B$4)*(DATOS!$D$2:$D$20000=A77)*(COUNTIF(CONFIG_ASIGNATURAS!$B$5:$B$27,DATOS!$I$2:$I$20000)&gt;0)*(DATOS!$K$2:$K$20000=2))</f>
      </c>
      <c r="N77">
        <f>SUMPRODUCT((DATOS!$G$2:$G$20000=CONFIG_METADATA!$B$4)*(DATOS!$D$2:$D$20000=A77)*(COUNTIF(CONFIG_ASIGNATURAS!$B$5:$B$27,DATOS!$I$2:$I$20000)&gt;0)*(DATOS!$K$2:$K$20000=3))</f>
      </c>
      <c r="O77">
        <f>SUMPRODUCT((DATOS!$G$2:$G$20000=CONFIG_METADATA!$B$4)*(DATOS!$D$2:$D$20000=A77)*(COUNTIF(CONFIG_ASIGNATURAS!$B$5:$B$27,DATOS!$I$2:$I$20000)&gt;0)*(DATOS!$K$2:$K$20000=4))</f>
      </c>
      <c r="P77">
        <f>SUMPRODUCT((DATOS!$G$2:$G$20000=CONFIG_METADATA!$B$4)*(DATOS!$D$2:$D$20000=A77)*(COUNTIF(CONFIG_ASIGNATURAS!$B$5:$B$27,DATOS!$I$2:$I$20000)&gt;0)*(DATOS!$K$2:$K$20000=5))</f>
      </c>
      <c r="Q77">
        <f>SUMPRODUCT((DATOS!$G$2:$G$20000=CONFIG_METADATA!$B$4)*(DATOS!$D$2:$D$20000=A77)*(COUNTIF(CONFIG_ASIGNATURAS!$B$5:$B$27,DATOS!$I$2:$I$20000)&gt;0)*(DATOS!$K$2:$K$20000=6))</f>
      </c>
      <c r="R77">
        <f>SUMPRODUCT((DATOS!$G$2:$G$20000=CONFIG_METADATA!$B$4)*(DATOS!$D$2:$D$20000=A77)*(COUNTIF(CONFIG_ASIGNATURAS!$B$5:$B$27,DATOS!$I$2:$I$20000)&gt;0)*(DATOS!$K$2:$K$20000=7))</f>
      </c>
      <c r="S77">
        <f>SUMPRODUCT((DATOS!$G$2:$G$20000=CONFIG_METADATA!$B$4)*(DATOS!$D$2:$D$20000=A77)*(COUNTIF(CONFIG_ASIGNATURAS!$B$5:$B$27,DATOS!$I$2:$I$20000)&gt;0)*(DATOS!$K$2:$K$20000=8))</f>
      </c>
      <c r="T77">
        <f>SUMPRODUCT((DATOS!$G$2:$G$20000=CONFIG_METADATA!$B$4)*(DATOS!$D$2:$D$20000=A77)*(COUNTIF(CONFIG_ASIGNATURAS!$B$5:$B$27,DATOS!$I$2:$I$20000)&gt;0)*(DATOS!$K$2:$K$20000=9))</f>
      </c>
      <c r="U77">
        <f>SUMPRODUCT((DATOS!$G$2:$G$20000=CONFIG_METADATA!$B$4)*(DATOS!$D$2:$D$20000=A77)*(COUNTIF(CONFIG_ASIGNATURAS!$B$5:$B$27,DATOS!$I$2:$I$20000)&gt;0)*(DATOS!$K$2:$K$20000=10))</f>
      </c>
    </row>
    <row r="78" spans="1:22">
      <c r="A78" s="3" t="inlineStr">
        <is>
          <t xml:space="preserve">2EEM</t>
        </is>
      </c>
      <c r="B78" s="3" t="inlineStr">
        <is>
          <t xml:space="preserve">Total no Especialidad</t>
        </is>
      </c>
      <c r="C78" s="3" t="inlineStr">
        <is>
          <t xml:space="preserve">TotalNoEsp</t>
        </is>
      </c>
      <c r="D78">
        <f>SUMPRODUCT((DATOS!$G$2:$G$20000=CONFIG_METADATA!$B$4)*(DATOS!$D$2:$D$20000=A78)*(COUNTIF(CONFIG_ASIGNATURAS!$B$2:$B$4,DATOS!$I$2:$I$20000)&gt;0)*1)</f>
      </c>
      <c r="E78" s="14">
        <f>IFERROR(AVERAGE(IF((DATOS!$G$2:$G$20000=CONFIG_METADATA!$B$4)*(DATOS!$D$2:$D$20000=A78)*(COUNTIF(CONFIG_ASIGNATURAS!$B$2:$B$4,DATOS!$I$2:$I$20000)&gt;0),DATOS!$K$2:$K$20000)),"—")</f>
      </c>
      <c r="F78" s="14">
        <f>IFERROR(_xlfn.STDEV.P(IF((DATOS!$G$2:$G$20000=CONFIG_METADATA!$B$4)*(DATOS!$D$2:$D$20000=A78)*(COUNTIF(CONFIG_ASIGNATURAS!$B$2:$B$4,DATOS!$I$2:$I$20000)&gt;0),DATOS!$K$2:$K$20000)),"—")</f>
      </c>
      <c r="G78">
        <f>IFERROR(_xlfn.MODE.SNGL(IF((DATOS!$G$2:$G$20000=CONFIG_METADATA!$B$4)*(DATOS!$D$2:$D$20000=A78)*(COUNTIF(CONFIG_ASIGNATURAS!$B$2:$B$4,DATOS!$I$2:$I$20000)&gt;0),DATOS!$K$2:$K$20000)),"—")</f>
      </c>
      <c r="H78" s="15">
        <f>IFERROR(SUMPRODUCT((DATOS!$G$2:$G$20000=CONFIG_METADATA!$B$4)*(DATOS!$D$2:$D$20000=A78)*(COUNTIF(CONFIG_ASIGNATURAS!$B$2:$B$4,DATOS!$I$2:$I$20000)&gt;0)*(DATOS!$L$2:$L$20000="S"))/SUMPRODUCT((DATOS!$G$2:$G$20000=CONFIG_METADATA!$B$4)*(DATOS!$D$2:$D$20000=A78)*(COUNTIF(CONFIG_ASIGNATURAS!$B$2:$B$4,DATOS!$I$2:$I$20000)&gt;0)*1),"—")</f>
      </c>
      <c r="I78" s="15">
        <f>IFERROR(SUMPRODUCT((DATOS!$G$2:$G$20000=CONFIG_METADATA!$B$4)*(DATOS!$D$2:$D$20000=A78)*(COUNTIF(CONFIG_ASIGNATURAS!$B$2:$B$4,DATOS!$I$2:$I$20000)&gt;0)*(DATOS!$L$2:$L$20000="N"))/SUMPRODUCT((DATOS!$G$2:$G$20000=CONFIG_METADATA!$B$4)*(DATOS!$D$2:$D$20000=A78)*(COUNTIF(CONFIG_ASIGNATURAS!$B$2:$B$4,DATOS!$I$2:$I$20000)&gt;0)*1),"—")</f>
      </c>
      <c r="J78">
        <f>IFERROR(_xlfn.MODE.SNGL(IF((DATOS!$G$2:$G$20000=CONFIG_METADATA!$B$4)*(DATOS!$D$2:$D$20000=A78)*(COUNTIF(CONFIG_ASIGNATURAS!$B$2:$B$4,DATOS!$I$2:$I$20000)&gt;0)*(DATOS!$L$2:$L$20000="S"),DATOS!$K$2:$K$20000)),"—")</f>
      </c>
      <c r="K78">
        <f>IFERROR(_xlfn.MODE.SNGL(IF((DATOS!$G$2:$G$20000=CONFIG_METADATA!$B$4)*(DATOS!$D$2:$D$20000=A78)*(COUNTIF(CONFIG_ASIGNATURAS!$B$2:$B$4,DATOS!$I$2:$I$20000)&gt;0)*(DATOS!$L$2:$L$20000="N"),DATOS!$K$2:$K$20000)),"—")</f>
      </c>
      <c r="L78">
        <f>SUMPRODUCT((DATOS!$G$2:$G$20000=CONFIG_METADATA!$B$4)*(DATOS!$D$2:$D$20000=A78)*(COUNTIF(CONFIG_ASIGNATURAS!$B$2:$B$4,DATOS!$I$2:$I$20000)&gt;0)*(DATOS!$K$2:$K$20000=1))</f>
      </c>
      <c r="M78">
        <f>SUMPRODUCT((DATOS!$G$2:$G$20000=CONFIG_METADATA!$B$4)*(DATOS!$D$2:$D$20000=A78)*(COUNTIF(CONFIG_ASIGNATURAS!$B$2:$B$4,DATOS!$I$2:$I$20000)&gt;0)*(DATOS!$K$2:$K$20000=2))</f>
      </c>
      <c r="N78">
        <f>SUMPRODUCT((DATOS!$G$2:$G$20000=CONFIG_METADATA!$B$4)*(DATOS!$D$2:$D$20000=A78)*(COUNTIF(CONFIG_ASIGNATURAS!$B$2:$B$4,DATOS!$I$2:$I$20000)&gt;0)*(DATOS!$K$2:$K$20000=3))</f>
      </c>
      <c r="O78">
        <f>SUMPRODUCT((DATOS!$G$2:$G$20000=CONFIG_METADATA!$B$4)*(DATOS!$D$2:$D$20000=A78)*(COUNTIF(CONFIG_ASIGNATURAS!$B$2:$B$4,DATOS!$I$2:$I$20000)&gt;0)*(DATOS!$K$2:$K$20000=4))</f>
      </c>
      <c r="P78">
        <f>SUMPRODUCT((DATOS!$G$2:$G$20000=CONFIG_METADATA!$B$4)*(DATOS!$D$2:$D$20000=A78)*(COUNTIF(CONFIG_ASIGNATURAS!$B$2:$B$4,DATOS!$I$2:$I$20000)&gt;0)*(DATOS!$K$2:$K$20000=5))</f>
      </c>
      <c r="Q78">
        <f>SUMPRODUCT((DATOS!$G$2:$G$20000=CONFIG_METADATA!$B$4)*(DATOS!$D$2:$D$20000=A78)*(COUNTIF(CONFIG_ASIGNATURAS!$B$2:$B$4,DATOS!$I$2:$I$20000)&gt;0)*(DATOS!$K$2:$K$20000=6))</f>
      </c>
      <c r="R78">
        <f>SUMPRODUCT((DATOS!$G$2:$G$20000=CONFIG_METADATA!$B$4)*(DATOS!$D$2:$D$20000=A78)*(COUNTIF(CONFIG_ASIGNATURAS!$B$2:$B$4,DATOS!$I$2:$I$20000)&gt;0)*(DATOS!$K$2:$K$20000=7))</f>
      </c>
      <c r="S78">
        <f>SUMPRODUCT((DATOS!$G$2:$G$20000=CONFIG_METADATA!$B$4)*(DATOS!$D$2:$D$20000=A78)*(COUNTIF(CONFIG_ASIGNATURAS!$B$2:$B$4,DATOS!$I$2:$I$20000)&gt;0)*(DATOS!$K$2:$K$20000=8))</f>
      </c>
      <c r="T78">
        <f>SUMPRODUCT((DATOS!$G$2:$G$20000=CONFIG_METADATA!$B$4)*(DATOS!$D$2:$D$20000=A78)*(COUNTIF(CONFIG_ASIGNATURAS!$B$2:$B$4,DATOS!$I$2:$I$20000)&gt;0)*(DATOS!$K$2:$K$20000=9))</f>
      </c>
      <c r="U78">
        <f>SUMPRODUCT((DATOS!$G$2:$G$20000=CONFIG_METADATA!$B$4)*(DATOS!$D$2:$D$20000=A78)*(COUNTIF(CONFIG_ASIGNATURAS!$B$2:$B$4,DATOS!$I$2:$I$20000)&gt;0)*(DATOS!$K$2:$K$20000=10))</f>
      </c>
    </row>
    <row r="79" spans="1:22">
      <c r="A79" s="3" t="inlineStr">
        <is>
          <t xml:space="preserve">2EEM</t>
        </is>
      </c>
      <c r="B79" s="3">
        <f>IFERROR(INDEX(_xlfn._xlws.FILTER(CONFIG_ASIGNATURAS!$B$2:$B$27,CONFIG_ASIGNATURAS!$G$2:$G$27="Sí"),1),"")</f>
      </c>
      <c r="C79" s="3">
        <f>IF(B79="","",IFERROR(IF(VLOOKUP(B79,CONFIG_ASIGNATURAS!$B$2:$F$27,5,FALSE())="Sí","Especialidad","Asignatura"),"Asignatura"))</f>
      </c>
      <c r="D79">
        <f>COUNTIFS(DATOS!G:G,CONFIG_METADATA!$B$4,DATOS!I:I,B79)</f>
        <v>0</v>
      </c>
      <c r="E79" s="14" t="str">
        <f>IFERROR(AVERAGEIFS(DATOS!K:K,DATOS!G:G,CONFIG_METADATA!$B$4,DATOS!I:I,B79),"—")</f>
        <v>—</v>
      </c>
      <c r="F79" s="14" t="str" cm="1">
        <f t="array" ref="F79">IFERROR(_xlfn.STDEV.P(IF((DATOS!$G$2:$G$20000=CONFIG_METADATA!$B$4)*(DATOS!$I$2:$I$20000=B79),DATOS!$K$2:$K$20000)),"—")</f>
        <v>—</v>
      </c>
      <c r="G79" t="str" cm="1">
        <f t="array" ref="G79">IFERROR(_xlfn.MODE.SNGL(IF((DATOS!$G$2:$G$20000=CONFIG_METADATA!$B$4)*(DATOS!$I$2:$I$20000=B79),DATOS!$K$2:$K$20000)),"—")</f>
        <v>—</v>
      </c>
      <c r="H79" s="15" t="str">
        <f>IFERROR(COUNTIFS(DATOS!G:G,CONFIG_METADATA!$B$4,DATOS!I:I,B79,DATOS!L:L,"S")/COUNTIFS(DATOS!G:G,CONFIG_METADATA!$B$4,DATOS!I:I,B79),"—")</f>
        <v>—</v>
      </c>
      <c r="I79" s="15" t="str">
        <f>IFERROR(COUNTIFS(DATOS!G:G,CONFIG_METADATA!$B$4,DATOS!I:I,B79,DATOS!L:L,"N")/COUNTIFS(DATOS!G:G,CONFIG_METADATA!$B$4,DATOS!I:I,B79),"—")</f>
        <v>—</v>
      </c>
      <c r="J79" t="str" cm="1">
        <f t="array" ref="J79">IFERROR(_xlfn.MODE.SNGL(IF((DATOS!$G$2:$G$20000=CONFIG_METADATA!$B$4)*(DATOS!$I$2:$I$20000=B79)*(DATOS!$L$2:$L$20000="S"),DATOS!$K$2:$K$20000)),"—")</f>
        <v>—</v>
      </c>
      <c r="K79" t="str" cm="1">
        <f t="array" ref="K79">IFERROR(_xlfn.MODE.SNGL(IF((DATOS!$G$2:$G$20000=CONFIG_METADATA!$B$4)*(DATOS!$I$2:$I$20000=B79)*(DATOS!$L$2:$L$20000="N"),DATOS!$K$2:$K$20000)),"—")</f>
        <v>—</v>
      </c>
      <c r="L79">
        <f>COUNTIFS(DATOS!G:G,CONFIG_METADATA!$B$4,DATOS!I:I,B79,DATOS!K:K,1)</f>
        <v>0</v>
      </c>
      <c r="M79">
        <f>COUNTIFS(DATOS!G:G,CONFIG_METADATA!$B$4,DATOS!I:I,B79,DATOS!K:K,2)</f>
        <v>0</v>
      </c>
      <c r="N79">
        <f>COUNTIFS(DATOS!G:G,CONFIG_METADATA!$B$4,DATOS!I:I,B79,DATOS!K:K,3)</f>
        <v>0</v>
      </c>
      <c r="O79">
        <f>COUNTIFS(DATOS!G:G,CONFIG_METADATA!$B$4,DATOS!I:I,B79,DATOS!K:K,4)</f>
        <v>0</v>
      </c>
      <c r="P79">
        <f>COUNTIFS(DATOS!G:G,CONFIG_METADATA!$B$4,DATOS!I:I,B79,DATOS!K:K,5)</f>
        <v>0</v>
      </c>
      <c r="Q79">
        <f>COUNTIFS(DATOS!G:G,CONFIG_METADATA!$B$4,DATOS!I:I,B79,DATOS!K:K,6)</f>
        <v>0</v>
      </c>
      <c r="R79">
        <f>COUNTIFS(DATOS!G:G,CONFIG_METADATA!$B$4,DATOS!I:I,B79,DATOS!K:K,7)</f>
        <v>0</v>
      </c>
      <c r="S79">
        <f>COUNTIFS(DATOS!G:G,CONFIG_METADATA!$B$4,DATOS!I:I,B79,DATOS!K:K,8)</f>
        <v>0</v>
      </c>
      <c r="T79">
        <f>COUNTIFS(DATOS!G:G,CONFIG_METADATA!$B$4,DATOS!I:I,B79,DATOS!K:K,9)</f>
        <v>0</v>
      </c>
      <c r="U79">
        <f>COUNTIFS(DATOS!G:G,CONFIG_METADATA!$B$4,DATOS!I:I,B79,DATOS!K:K,10)</f>
        <v>0</v>
      </c>
    </row>
    <row r="80" spans="1:22">
      <c r="A80" s="3" t="inlineStr">
        <is>
          <t xml:space="preserve">2EEM</t>
        </is>
      </c>
      <c r="B80" s="3">
        <f>IFERROR(INDEX(_xlfn._xlws.FILTER(CONFIG_ASIGNATURAS!$B$2:$B$27,CONFIG_ASIGNATURAS!$G$2:$G$27="Sí"),2),"")</f>
      </c>
      <c r="C80" s="3">
        <f>IF(B80="","",IFERROR(IF(VLOOKUP(B80,CONFIG_ASIGNATURAS!$B$2:$F$27,5,FALSE())="Sí","Especialidad","Asignatura"),"Asignatura"))</f>
      </c>
      <c r="D80">
        <f>COUNTIFS(DATOS!G:G,CONFIG_METADATA!$B$4,DATOS!I:I,B80)</f>
        <v>0</v>
      </c>
      <c r="E80" s="14" t="str">
        <f>IFERROR(AVERAGEIFS(DATOS!K:K,DATOS!G:G,CONFIG_METADATA!$B$4,DATOS!I:I,B80),"—")</f>
        <v>—</v>
      </c>
      <c r="F80" s="14" t="str" cm="1">
        <f t="array" ref="F80">IFERROR(_xlfn.STDEV.P(IF((DATOS!$G$2:$G$20000=CONFIG_METADATA!$B$4)*(DATOS!$I$2:$I$20000=B80),DATOS!$K$2:$K$20000)),"—")</f>
        <v>—</v>
      </c>
      <c r="G80" t="str" cm="1">
        <f t="array" ref="G80">IFERROR(_xlfn.MODE.SNGL(IF((DATOS!$G$2:$G$20000=CONFIG_METADATA!$B$4)*(DATOS!$I$2:$I$20000=B80),DATOS!$K$2:$K$20000)),"—")</f>
        <v>—</v>
      </c>
      <c r="H80" s="15" t="str">
        <f>IFERROR(COUNTIFS(DATOS!G:G,CONFIG_METADATA!$B$4,DATOS!I:I,B80,DATOS!L:L,"S")/COUNTIFS(DATOS!G:G,CONFIG_METADATA!$B$4,DATOS!I:I,B80),"—")</f>
        <v>—</v>
      </c>
      <c r="I80" s="15" t="str">
        <f>IFERROR(COUNTIFS(DATOS!G:G,CONFIG_METADATA!$B$4,DATOS!I:I,B80,DATOS!L:L,"N")/COUNTIFS(DATOS!G:G,CONFIG_METADATA!$B$4,DATOS!I:I,B80),"—")</f>
        <v>—</v>
      </c>
      <c r="J80" t="str" cm="1">
        <f t="array" ref="J80">IFERROR(_xlfn.MODE.SNGL(IF((DATOS!$G$2:$G$20000=CONFIG_METADATA!$B$4)*(DATOS!$I$2:$I$20000=B80)*(DATOS!$L$2:$L$20000="S"),DATOS!$K$2:$K$20000)),"—")</f>
        <v>—</v>
      </c>
      <c r="K80" t="str" cm="1">
        <f t="array" ref="K80">IFERROR(_xlfn.MODE.SNGL(IF((DATOS!$G$2:$G$20000=CONFIG_METADATA!$B$4)*(DATOS!$I$2:$I$20000=B80)*(DATOS!$L$2:$L$20000="N"),DATOS!$K$2:$K$20000)),"—")</f>
        <v>—</v>
      </c>
      <c r="L80">
        <f>COUNTIFS(DATOS!G:G,CONFIG_METADATA!$B$4,DATOS!I:I,B80,DATOS!K:K,1)</f>
        <v>0</v>
      </c>
      <c r="M80">
        <f>COUNTIFS(DATOS!G:G,CONFIG_METADATA!$B$4,DATOS!I:I,B80,DATOS!K:K,2)</f>
        <v>0</v>
      </c>
      <c r="N80">
        <f>COUNTIFS(DATOS!G:G,CONFIG_METADATA!$B$4,DATOS!I:I,B80,DATOS!K:K,3)</f>
        <v>0</v>
      </c>
      <c r="O80">
        <f>COUNTIFS(DATOS!G:G,CONFIG_METADATA!$B$4,DATOS!I:I,B80,DATOS!K:K,4)</f>
        <v>0</v>
      </c>
      <c r="P80">
        <f>COUNTIFS(DATOS!G:G,CONFIG_METADATA!$B$4,DATOS!I:I,B80,DATOS!K:K,5)</f>
        <v>0</v>
      </c>
      <c r="Q80">
        <f>COUNTIFS(DATOS!G:G,CONFIG_METADATA!$B$4,DATOS!I:I,B80,DATOS!K:K,6)</f>
        <v>0</v>
      </c>
      <c r="R80">
        <f>COUNTIFS(DATOS!G:G,CONFIG_METADATA!$B$4,DATOS!I:I,B80,DATOS!K:K,7)</f>
        <v>0</v>
      </c>
      <c r="S80">
        <f>COUNTIFS(DATOS!G:G,CONFIG_METADATA!$B$4,DATOS!I:I,B80,DATOS!K:K,8)</f>
        <v>0</v>
      </c>
      <c r="T80">
        <f>COUNTIFS(DATOS!G:G,CONFIG_METADATA!$B$4,DATOS!I:I,B80,DATOS!K:K,9)</f>
        <v>0</v>
      </c>
      <c r="U80">
        <f>COUNTIFS(DATOS!G:G,CONFIG_METADATA!$B$4,DATOS!I:I,B80,DATOS!K:K,10)</f>
        <v>0</v>
      </c>
    </row>
    <row r="81" spans="1:22">
      <c r="A81" s="3" t="inlineStr">
        <is>
          <t xml:space="preserve">2EEM</t>
        </is>
      </c>
      <c r="B81" s="3">
        <f>IFERROR(INDEX(_xlfn._xlws.FILTER(CONFIG_ASIGNATURAS!$B$2:$B$27,CONFIG_ASIGNATURAS!$G$2:$G$27="Sí"),3),"")</f>
      </c>
      <c r="C81" s="3">
        <f>IF(B81="","",IFERROR(IF(VLOOKUP(B81,CONFIG_ASIGNATURAS!$B$2:$F$27,5,FALSE())="Sí","Especialidad","Asignatura"),"Asignatura"))</f>
      </c>
      <c r="D81">
        <f>COUNTIFS(DATOS!G:G,CONFIG_METADATA!$B$4,DATOS!I:I,B81)</f>
        <v>0</v>
      </c>
      <c r="E81" s="14" t="str">
        <f>IFERROR(AVERAGEIFS(DATOS!K:K,DATOS!G:G,CONFIG_METADATA!$B$4,DATOS!I:I,B81),"—")</f>
        <v>—</v>
      </c>
      <c r="F81" s="14" t="str" cm="1">
        <f t="array" ref="F81">IFERROR(_xlfn.STDEV.P(IF((DATOS!$G$2:$G$20000=CONFIG_METADATA!$B$4)*(DATOS!$I$2:$I$20000=B81),DATOS!$K$2:$K$20000)),"—")</f>
        <v>—</v>
      </c>
      <c r="G81" t="str" cm="1">
        <f t="array" ref="G81">IFERROR(_xlfn.MODE.SNGL(IF((DATOS!$G$2:$G$20000=CONFIG_METADATA!$B$4)*(DATOS!$I$2:$I$20000=B81),DATOS!$K$2:$K$20000)),"—")</f>
        <v>—</v>
      </c>
      <c r="H81" s="15" t="str">
        <f>IFERROR(COUNTIFS(DATOS!G:G,CONFIG_METADATA!$B$4,DATOS!I:I,B81,DATOS!L:L,"S")/COUNTIFS(DATOS!G:G,CONFIG_METADATA!$B$4,DATOS!I:I,B81),"—")</f>
        <v>—</v>
      </c>
      <c r="I81" s="15" t="str">
        <f>IFERROR(COUNTIFS(DATOS!G:G,CONFIG_METADATA!$B$4,DATOS!I:I,B81,DATOS!L:L,"N")/COUNTIFS(DATOS!G:G,CONFIG_METADATA!$B$4,DATOS!I:I,B81),"—")</f>
        <v>—</v>
      </c>
      <c r="J81" t="str" cm="1">
        <f t="array" ref="J81">IFERROR(_xlfn.MODE.SNGL(IF((DATOS!$G$2:$G$20000=CONFIG_METADATA!$B$4)*(DATOS!$I$2:$I$20000=B81)*(DATOS!$L$2:$L$20000="S"),DATOS!$K$2:$K$20000)),"—")</f>
        <v>—</v>
      </c>
      <c r="K81" t="str" cm="1">
        <f t="array" ref="K81">IFERROR(_xlfn.MODE.SNGL(IF((DATOS!$G$2:$G$20000=CONFIG_METADATA!$B$4)*(DATOS!$I$2:$I$20000=B81)*(DATOS!$L$2:$L$20000="N"),DATOS!$K$2:$K$20000)),"—")</f>
        <v>—</v>
      </c>
      <c r="L81">
        <f>COUNTIFS(DATOS!G:G,CONFIG_METADATA!$B$4,DATOS!I:I,B81,DATOS!K:K,1)</f>
        <v>0</v>
      </c>
      <c r="M81">
        <f>COUNTIFS(DATOS!G:G,CONFIG_METADATA!$B$4,DATOS!I:I,B81,DATOS!K:K,2)</f>
        <v>0</v>
      </c>
      <c r="N81">
        <f>COUNTIFS(DATOS!G:G,CONFIG_METADATA!$B$4,DATOS!I:I,B81,DATOS!K:K,3)</f>
        <v>0</v>
      </c>
      <c r="O81">
        <f>COUNTIFS(DATOS!G:G,CONFIG_METADATA!$B$4,DATOS!I:I,B81,DATOS!K:K,4)</f>
        <v>0</v>
      </c>
      <c r="P81">
        <f>COUNTIFS(DATOS!G:G,CONFIG_METADATA!$B$4,DATOS!I:I,B81,DATOS!K:K,5)</f>
        <v>0</v>
      </c>
      <c r="Q81">
        <f>COUNTIFS(DATOS!G:G,CONFIG_METADATA!$B$4,DATOS!I:I,B81,DATOS!K:K,6)</f>
        <v>0</v>
      </c>
      <c r="R81">
        <f>COUNTIFS(DATOS!G:G,CONFIG_METADATA!$B$4,DATOS!I:I,B81,DATOS!K:K,7)</f>
        <v>0</v>
      </c>
      <c r="S81">
        <f>COUNTIFS(DATOS!G:G,CONFIG_METADATA!$B$4,DATOS!I:I,B81,DATOS!K:K,8)</f>
        <v>0</v>
      </c>
      <c r="T81">
        <f>COUNTIFS(DATOS!G:G,CONFIG_METADATA!$B$4,DATOS!I:I,B81,DATOS!K:K,9)</f>
        <v>0</v>
      </c>
      <c r="U81">
        <f>COUNTIFS(DATOS!G:G,CONFIG_METADATA!$B$4,DATOS!I:I,B81,DATOS!K:K,10)</f>
        <v>0</v>
      </c>
    </row>
    <row r="82" spans="1:22">
      <c r="A82" s="3" t="inlineStr">
        <is>
          <t xml:space="preserve">2EEM</t>
        </is>
      </c>
      <c r="B82" s="3">
        <f>IFERROR(INDEX(_xlfn._xlws.FILTER(CONFIG_ASIGNATURAS!$B$2:$B$27,CONFIG_ASIGNATURAS!$G$2:$G$27="Sí"),4),"")</f>
      </c>
      <c r="C82" s="3">
        <f>IF(B82="","",IFERROR(IF(VLOOKUP(B82,CONFIG_ASIGNATURAS!$B$2:$F$27,5,FALSE())="Sí","Especialidad","Asignatura"),"Asignatura"))</f>
      </c>
      <c r="D82">
        <f>COUNTIFS(DATOS!G:G,CONFIG_METADATA!$B$4,DATOS!I:I,B82)</f>
        <v>0</v>
      </c>
      <c r="E82" s="14" t="str">
        <f>IFERROR(AVERAGEIFS(DATOS!K:K,DATOS!G:G,CONFIG_METADATA!$B$4,DATOS!I:I,B82),"—")</f>
        <v>—</v>
      </c>
      <c r="F82" s="14" t="str" cm="1">
        <f t="array" ref="F82">IFERROR(_xlfn.STDEV.P(IF((DATOS!$G$2:$G$20000=CONFIG_METADATA!$B$4)*(DATOS!$I$2:$I$20000=B82),DATOS!$K$2:$K$20000)),"—")</f>
        <v>—</v>
      </c>
      <c r="G82" t="str" cm="1">
        <f t="array" ref="G82">IFERROR(_xlfn.MODE.SNGL(IF((DATOS!$G$2:$G$20000=CONFIG_METADATA!$B$4)*(DATOS!$I$2:$I$20000=B82),DATOS!$K$2:$K$20000)),"—")</f>
        <v>—</v>
      </c>
      <c r="H82" s="15" t="str">
        <f>IFERROR(COUNTIFS(DATOS!G:G,CONFIG_METADATA!$B$4,DATOS!I:I,B82,DATOS!L:L,"S")/COUNTIFS(DATOS!G:G,CONFIG_METADATA!$B$4,DATOS!I:I,B82),"—")</f>
        <v>—</v>
      </c>
      <c r="I82" s="15" t="str">
        <f>IFERROR(COUNTIFS(DATOS!G:G,CONFIG_METADATA!$B$4,DATOS!I:I,B82,DATOS!L:L,"N")/COUNTIFS(DATOS!G:G,CONFIG_METADATA!$B$4,DATOS!I:I,B82),"—")</f>
        <v>—</v>
      </c>
      <c r="J82" t="str" cm="1">
        <f t="array" ref="J82">IFERROR(_xlfn.MODE.SNGL(IF((DATOS!$G$2:$G$20000=CONFIG_METADATA!$B$4)*(DATOS!$I$2:$I$20000=B82)*(DATOS!$L$2:$L$20000="S"),DATOS!$K$2:$K$20000)),"—")</f>
        <v>—</v>
      </c>
      <c r="K82" t="str" cm="1">
        <f t="array" ref="K82">IFERROR(_xlfn.MODE.SNGL(IF((DATOS!$G$2:$G$20000=CONFIG_METADATA!$B$4)*(DATOS!$I$2:$I$20000=B82)*(DATOS!$L$2:$L$20000="N"),DATOS!$K$2:$K$20000)),"—")</f>
        <v>—</v>
      </c>
      <c r="L82">
        <f>COUNTIFS(DATOS!G:G,CONFIG_METADATA!$B$4,DATOS!I:I,B82,DATOS!K:K,1)</f>
        <v>0</v>
      </c>
      <c r="M82">
        <f>COUNTIFS(DATOS!G:G,CONFIG_METADATA!$B$4,DATOS!I:I,B82,DATOS!K:K,2)</f>
        <v>0</v>
      </c>
      <c r="N82">
        <f>COUNTIFS(DATOS!G:G,CONFIG_METADATA!$B$4,DATOS!I:I,B82,DATOS!K:K,3)</f>
        <v>0</v>
      </c>
      <c r="O82">
        <f>COUNTIFS(DATOS!G:G,CONFIG_METADATA!$B$4,DATOS!I:I,B82,DATOS!K:K,4)</f>
        <v>0</v>
      </c>
      <c r="P82">
        <f>COUNTIFS(DATOS!G:G,CONFIG_METADATA!$B$4,DATOS!I:I,B82,DATOS!K:K,5)</f>
        <v>0</v>
      </c>
      <c r="Q82">
        <f>COUNTIFS(DATOS!G:G,CONFIG_METADATA!$B$4,DATOS!I:I,B82,DATOS!K:K,6)</f>
        <v>0</v>
      </c>
      <c r="R82">
        <f>COUNTIFS(DATOS!G:G,CONFIG_METADATA!$B$4,DATOS!I:I,B82,DATOS!K:K,7)</f>
        <v>0</v>
      </c>
      <c r="S82">
        <f>COUNTIFS(DATOS!G:G,CONFIG_METADATA!$B$4,DATOS!I:I,B82,DATOS!K:K,8)</f>
        <v>0</v>
      </c>
      <c r="T82">
        <f>COUNTIFS(DATOS!G:G,CONFIG_METADATA!$B$4,DATOS!I:I,B82,DATOS!K:K,9)</f>
        <v>0</v>
      </c>
      <c r="U82">
        <f>COUNTIFS(DATOS!G:G,CONFIG_METADATA!$B$4,DATOS!I:I,B82,DATOS!K:K,10)</f>
        <v>0</v>
      </c>
    </row>
    <row r="83" spans="1:22">
      <c r="A83" s="3" t="inlineStr">
        <is>
          <t xml:space="preserve">2EEM</t>
        </is>
      </c>
      <c r="B83" s="3">
        <f>IFERROR(INDEX(_xlfn._xlws.FILTER(CONFIG_ASIGNATURAS!$B$2:$B$27,CONFIG_ASIGNATURAS!$G$2:$G$27="Sí"),5),"")</f>
      </c>
      <c r="C83" s="3">
        <f>IF(B83="","",IFERROR(IF(VLOOKUP(B83,CONFIG_ASIGNATURAS!$B$2:$F$27,5,FALSE())="Sí","Especialidad","Asignatura"),"Asignatura"))</f>
      </c>
      <c r="D83">
        <f>COUNTIFS(DATOS!G:G,CONFIG_METADATA!$B$4,DATOS!I:I,B83)</f>
        <v>0</v>
      </c>
      <c r="E83" s="14" t="str">
        <f>IFERROR(AVERAGEIFS(DATOS!K:K,DATOS!G:G,CONFIG_METADATA!$B$4,DATOS!I:I,B83),"—")</f>
        <v>—</v>
      </c>
      <c r="F83" s="14" t="str" cm="1">
        <f t="array" ref="F83">IFERROR(_xlfn.STDEV.P(IF((DATOS!$G$2:$G$20000=CONFIG_METADATA!$B$4)*(DATOS!$I$2:$I$20000=B83),DATOS!$K$2:$K$20000)),"—")</f>
        <v>—</v>
      </c>
      <c r="G83" t="str" cm="1">
        <f t="array" ref="G83">IFERROR(_xlfn.MODE.SNGL(IF((DATOS!$G$2:$G$20000=CONFIG_METADATA!$B$4)*(DATOS!$I$2:$I$20000=B83),DATOS!$K$2:$K$20000)),"—")</f>
        <v>—</v>
      </c>
      <c r="H83" s="15" t="str">
        <f>IFERROR(COUNTIFS(DATOS!G:G,CONFIG_METADATA!$B$4,DATOS!I:I,B83,DATOS!L:L,"S")/COUNTIFS(DATOS!G:G,CONFIG_METADATA!$B$4,DATOS!I:I,B83),"—")</f>
        <v>—</v>
      </c>
      <c r="I83" s="15" t="str">
        <f>IFERROR(COUNTIFS(DATOS!G:G,CONFIG_METADATA!$B$4,DATOS!I:I,B83,DATOS!L:L,"N")/COUNTIFS(DATOS!G:G,CONFIG_METADATA!$B$4,DATOS!I:I,B83),"—")</f>
        <v>—</v>
      </c>
      <c r="J83" t="str" cm="1">
        <f t="array" ref="J83">IFERROR(_xlfn.MODE.SNGL(IF((DATOS!$G$2:$G$20000=CONFIG_METADATA!$B$4)*(DATOS!$I$2:$I$20000=B83)*(DATOS!$L$2:$L$20000="S"),DATOS!$K$2:$K$20000)),"—")</f>
        <v>—</v>
      </c>
      <c r="K83" t="str" cm="1">
        <f t="array" ref="K83">IFERROR(_xlfn.MODE.SNGL(IF((DATOS!$G$2:$G$20000=CONFIG_METADATA!$B$4)*(DATOS!$I$2:$I$20000=B83)*(DATOS!$L$2:$L$20000="N"),DATOS!$K$2:$K$20000)),"—")</f>
        <v>—</v>
      </c>
      <c r="L83">
        <f>COUNTIFS(DATOS!G:G,CONFIG_METADATA!$B$4,DATOS!I:I,B83,DATOS!K:K,1)</f>
        <v>0</v>
      </c>
      <c r="M83">
        <f>COUNTIFS(DATOS!G:G,CONFIG_METADATA!$B$4,DATOS!I:I,B83,DATOS!K:K,2)</f>
        <v>0</v>
      </c>
      <c r="N83">
        <f>COUNTIFS(DATOS!G:G,CONFIG_METADATA!$B$4,DATOS!I:I,B83,DATOS!K:K,3)</f>
        <v>0</v>
      </c>
      <c r="O83">
        <f>COUNTIFS(DATOS!G:G,CONFIG_METADATA!$B$4,DATOS!I:I,B83,DATOS!K:K,4)</f>
        <v>0</v>
      </c>
      <c r="P83">
        <f>COUNTIFS(DATOS!G:G,CONFIG_METADATA!$B$4,DATOS!I:I,B83,DATOS!K:K,5)</f>
        <v>0</v>
      </c>
      <c r="Q83">
        <f>COUNTIFS(DATOS!G:G,CONFIG_METADATA!$B$4,DATOS!I:I,B83,DATOS!K:K,6)</f>
        <v>0</v>
      </c>
      <c r="R83">
        <f>COUNTIFS(DATOS!G:G,CONFIG_METADATA!$B$4,DATOS!I:I,B83,DATOS!K:K,7)</f>
        <v>0</v>
      </c>
      <c r="S83">
        <f>COUNTIFS(DATOS!G:G,CONFIG_METADATA!$B$4,DATOS!I:I,B83,DATOS!K:K,8)</f>
        <v>0</v>
      </c>
      <c r="T83">
        <f>COUNTIFS(DATOS!G:G,CONFIG_METADATA!$B$4,DATOS!I:I,B83,DATOS!K:K,9)</f>
        <v>0</v>
      </c>
      <c r="U83">
        <f>COUNTIFS(DATOS!G:G,CONFIG_METADATA!$B$4,DATOS!I:I,B83,DATOS!K:K,10)</f>
        <v>0</v>
      </c>
    </row>
    <row r="84" spans="1:22">
      <c r="A84" s="3" t="inlineStr">
        <is>
          <t xml:space="preserve">2EEM</t>
        </is>
      </c>
      <c r="B84" s="3">
        <f>IFERROR(INDEX(_xlfn._xlws.FILTER(CONFIG_ASIGNATURAS!$B$2:$B$27,CONFIG_ASIGNATURAS!$G$2:$G$27="Sí"),6),"")</f>
      </c>
      <c r="C84" s="3">
        <f>IF(B84="","",IFERROR(IF(VLOOKUP(B84,CONFIG_ASIGNATURAS!$B$2:$F$27,5,FALSE())="Sí","Especialidad","Asignatura"),"Asignatura"))</f>
      </c>
      <c r="D84">
        <f>COUNTIFS(DATOS!G:G,CONFIG_METADATA!$B$4,DATOS!I:I,B84)</f>
        <v>0</v>
      </c>
      <c r="E84" s="14" t="str">
        <f>IFERROR(AVERAGEIFS(DATOS!K:K,DATOS!G:G,CONFIG_METADATA!$B$4,DATOS!I:I,B84),"—")</f>
        <v>—</v>
      </c>
      <c r="F84" s="14" t="str" cm="1">
        <f t="array" ref="F84">IFERROR(_xlfn.STDEV.P(IF((DATOS!$G$2:$G$20000=CONFIG_METADATA!$B$4)*(DATOS!$I$2:$I$20000=B84),DATOS!$K$2:$K$20000)),"—")</f>
        <v>—</v>
      </c>
      <c r="G84" t="str" cm="1">
        <f t="array" ref="G84">IFERROR(_xlfn.MODE.SNGL(IF((DATOS!$G$2:$G$20000=CONFIG_METADATA!$B$4)*(DATOS!$I$2:$I$20000=B84),DATOS!$K$2:$K$20000)),"—")</f>
        <v>—</v>
      </c>
      <c r="H84" s="15" t="str">
        <f>IFERROR(COUNTIFS(DATOS!G:G,CONFIG_METADATA!$B$4,DATOS!I:I,B84,DATOS!L:L,"S")/COUNTIFS(DATOS!G:G,CONFIG_METADATA!$B$4,DATOS!I:I,B84),"—")</f>
        <v>—</v>
      </c>
      <c r="I84" s="15" t="str">
        <f>IFERROR(COUNTIFS(DATOS!G:G,CONFIG_METADATA!$B$4,DATOS!I:I,B84,DATOS!L:L,"N")/COUNTIFS(DATOS!G:G,CONFIG_METADATA!$B$4,DATOS!I:I,B84),"—")</f>
        <v>—</v>
      </c>
      <c r="J84" t="str" cm="1">
        <f t="array" ref="J84">IFERROR(_xlfn.MODE.SNGL(IF((DATOS!$G$2:$G$20000=CONFIG_METADATA!$B$4)*(DATOS!$I$2:$I$20000=B84)*(DATOS!$L$2:$L$20000="S"),DATOS!$K$2:$K$20000)),"—")</f>
        <v>—</v>
      </c>
      <c r="K84" t="str" cm="1">
        <f t="array" ref="K84">IFERROR(_xlfn.MODE.SNGL(IF((DATOS!$G$2:$G$20000=CONFIG_METADATA!$B$4)*(DATOS!$I$2:$I$20000=B84)*(DATOS!$L$2:$L$20000="N"),DATOS!$K$2:$K$20000)),"—")</f>
        <v>—</v>
      </c>
      <c r="L84">
        <f>COUNTIFS(DATOS!G:G,CONFIG_METADATA!$B$4,DATOS!I:I,B84,DATOS!K:K,1)</f>
        <v>0</v>
      </c>
      <c r="M84">
        <f>COUNTIFS(DATOS!G:G,CONFIG_METADATA!$B$4,DATOS!I:I,B84,DATOS!K:K,2)</f>
        <v>0</v>
      </c>
      <c r="N84">
        <f>COUNTIFS(DATOS!G:G,CONFIG_METADATA!$B$4,DATOS!I:I,B84,DATOS!K:K,3)</f>
        <v>0</v>
      </c>
      <c r="O84">
        <f>COUNTIFS(DATOS!G:G,CONFIG_METADATA!$B$4,DATOS!I:I,B84,DATOS!K:K,4)</f>
        <v>0</v>
      </c>
      <c r="P84">
        <f>COUNTIFS(DATOS!G:G,CONFIG_METADATA!$B$4,DATOS!I:I,B84,DATOS!K:K,5)</f>
        <v>0</v>
      </c>
      <c r="Q84">
        <f>COUNTIFS(DATOS!G:G,CONFIG_METADATA!$B$4,DATOS!I:I,B84,DATOS!K:K,6)</f>
        <v>0</v>
      </c>
      <c r="R84">
        <f>COUNTIFS(DATOS!G:G,CONFIG_METADATA!$B$4,DATOS!I:I,B84,DATOS!K:K,7)</f>
        <v>0</v>
      </c>
      <c r="S84">
        <f>COUNTIFS(DATOS!G:G,CONFIG_METADATA!$B$4,DATOS!I:I,B84,DATOS!K:K,8)</f>
        <v>0</v>
      </c>
      <c r="T84">
        <f>COUNTIFS(DATOS!G:G,CONFIG_METADATA!$B$4,DATOS!I:I,B84,DATOS!K:K,9)</f>
        <v>0</v>
      </c>
      <c r="U84">
        <f>COUNTIFS(DATOS!G:G,CONFIG_METADATA!$B$4,DATOS!I:I,B84,DATOS!K:K,10)</f>
        <v>0</v>
      </c>
    </row>
    <row r="85" spans="1:22">
      <c r="A85" s="3" t="inlineStr">
        <is>
          <t xml:space="preserve">2EEM</t>
        </is>
      </c>
      <c r="B85" s="3">
        <f>IFERROR(INDEX(_xlfn._xlws.FILTER(CONFIG_ASIGNATURAS!$B$2:$B$27,CONFIG_ASIGNATURAS!$G$2:$G$27="Sí"),7),"")</f>
      </c>
      <c r="C85" s="3">
        <f>IF(B85="","",IFERROR(IF(VLOOKUP(B85,CONFIG_ASIGNATURAS!$B$2:$F$27,5,FALSE())="Sí","Especialidad","Asignatura"),"Asignatura"))</f>
      </c>
      <c r="D85">
        <f>COUNTIFS(DATOS!G:G,CONFIG_METADATA!$B$4,DATOS!I:I,B85)</f>
        <v>0</v>
      </c>
      <c r="E85" s="14" t="str">
        <f>IFERROR(AVERAGEIFS(DATOS!K:K,DATOS!G:G,CONFIG_METADATA!$B$4,DATOS!I:I,B85),"—")</f>
        <v>—</v>
      </c>
      <c r="F85" s="14" t="str" cm="1">
        <f t="array" ref="F85">IFERROR(_xlfn.STDEV.P(IF((DATOS!$G$2:$G$20000=CONFIG_METADATA!$B$4)*(DATOS!$I$2:$I$20000=B85),DATOS!$K$2:$K$20000)),"—")</f>
        <v>—</v>
      </c>
      <c r="G85" t="str" cm="1">
        <f t="array" ref="G85">IFERROR(_xlfn.MODE.SNGL(IF((DATOS!$G$2:$G$20000=CONFIG_METADATA!$B$4)*(DATOS!$I$2:$I$20000=B85),DATOS!$K$2:$K$20000)),"—")</f>
        <v>—</v>
      </c>
      <c r="H85" s="15" t="str">
        <f>IFERROR(COUNTIFS(DATOS!G:G,CONFIG_METADATA!$B$4,DATOS!I:I,B85,DATOS!L:L,"S")/COUNTIFS(DATOS!G:G,CONFIG_METADATA!$B$4,DATOS!I:I,B85),"—")</f>
        <v>—</v>
      </c>
      <c r="I85" s="15" t="str">
        <f>IFERROR(COUNTIFS(DATOS!G:G,CONFIG_METADATA!$B$4,DATOS!I:I,B85,DATOS!L:L,"N")/COUNTIFS(DATOS!G:G,CONFIG_METADATA!$B$4,DATOS!I:I,B85),"—")</f>
        <v>—</v>
      </c>
      <c r="J85" t="str" cm="1">
        <f t="array" ref="J85">IFERROR(_xlfn.MODE.SNGL(IF((DATOS!$G$2:$G$20000=CONFIG_METADATA!$B$4)*(DATOS!$I$2:$I$20000=B85)*(DATOS!$L$2:$L$20000="S"),DATOS!$K$2:$K$20000)),"—")</f>
        <v>—</v>
      </c>
      <c r="K85" t="str" cm="1">
        <f t="array" ref="K85">IFERROR(_xlfn.MODE.SNGL(IF((DATOS!$G$2:$G$20000=CONFIG_METADATA!$B$4)*(DATOS!$I$2:$I$20000=B85)*(DATOS!$L$2:$L$20000="N"),DATOS!$K$2:$K$20000)),"—")</f>
        <v>—</v>
      </c>
      <c r="L85">
        <f>COUNTIFS(DATOS!G:G,CONFIG_METADATA!$B$4,DATOS!I:I,B85,DATOS!K:K,1)</f>
        <v>0</v>
      </c>
      <c r="M85">
        <f>COUNTIFS(DATOS!G:G,CONFIG_METADATA!$B$4,DATOS!I:I,B85,DATOS!K:K,2)</f>
        <v>0</v>
      </c>
      <c r="N85">
        <f>COUNTIFS(DATOS!G:G,CONFIG_METADATA!$B$4,DATOS!I:I,B85,DATOS!K:K,3)</f>
        <v>0</v>
      </c>
      <c r="O85">
        <f>COUNTIFS(DATOS!G:G,CONFIG_METADATA!$B$4,DATOS!I:I,B85,DATOS!K:K,4)</f>
        <v>0</v>
      </c>
      <c r="P85">
        <f>COUNTIFS(DATOS!G:G,CONFIG_METADATA!$B$4,DATOS!I:I,B85,DATOS!K:K,5)</f>
        <v>0</v>
      </c>
      <c r="Q85">
        <f>COUNTIFS(DATOS!G:G,CONFIG_METADATA!$B$4,DATOS!I:I,B85,DATOS!K:K,6)</f>
        <v>0</v>
      </c>
      <c r="R85">
        <f>COUNTIFS(DATOS!G:G,CONFIG_METADATA!$B$4,DATOS!I:I,B85,DATOS!K:K,7)</f>
        <v>0</v>
      </c>
      <c r="S85">
        <f>COUNTIFS(DATOS!G:G,CONFIG_METADATA!$B$4,DATOS!I:I,B85,DATOS!K:K,8)</f>
        <v>0</v>
      </c>
      <c r="T85">
        <f>COUNTIFS(DATOS!G:G,CONFIG_METADATA!$B$4,DATOS!I:I,B85,DATOS!K:K,9)</f>
        <v>0</v>
      </c>
      <c r="U85">
        <f>COUNTIFS(DATOS!G:G,CONFIG_METADATA!$B$4,DATOS!I:I,B85,DATOS!K:K,10)</f>
        <v>0</v>
      </c>
    </row>
    <row r="86" spans="1:22">
      <c r="A86" s="3" t="inlineStr">
        <is>
          <t xml:space="preserve">2EEM</t>
        </is>
      </c>
      <c r="B86" s="3">
        <f>IFERROR(INDEX(_xlfn._xlws.FILTER(CONFIG_ASIGNATURAS!$B$2:$B$27,CONFIG_ASIGNATURAS!$G$2:$G$27="Sí"),8),"")</f>
      </c>
      <c r="C86" s="3">
        <f>IF(B86="","",IFERROR(IF(VLOOKUP(B86,CONFIG_ASIGNATURAS!$B$2:$F$27,5,FALSE())="Sí","Especialidad","Asignatura"),"Asignatura"))</f>
      </c>
      <c r="D86">
        <f>COUNTIFS(DATOS!G:G,CONFIG_METADATA!$B$4,DATOS!I:I,B86)</f>
        <v>0</v>
      </c>
      <c r="E86" s="14" t="str">
        <f>IFERROR(AVERAGEIFS(DATOS!K:K,DATOS!G:G,CONFIG_METADATA!$B$4,DATOS!I:I,B86),"—")</f>
        <v>—</v>
      </c>
      <c r="F86" s="14" t="str" cm="1">
        <f t="array" ref="F86">IFERROR(_xlfn.STDEV.P(IF((DATOS!$G$2:$G$20000=CONFIG_METADATA!$B$4)*(DATOS!$I$2:$I$20000=B86),DATOS!$K$2:$K$20000)),"—")</f>
        <v>—</v>
      </c>
      <c r="G86" t="str" cm="1">
        <f t="array" ref="G86">IFERROR(_xlfn.MODE.SNGL(IF((DATOS!$G$2:$G$20000=CONFIG_METADATA!$B$4)*(DATOS!$I$2:$I$20000=B86),DATOS!$K$2:$K$20000)),"—")</f>
        <v>—</v>
      </c>
      <c r="H86" s="15" t="str">
        <f>IFERROR(COUNTIFS(DATOS!G:G,CONFIG_METADATA!$B$4,DATOS!I:I,B86,DATOS!L:L,"S")/COUNTIFS(DATOS!G:G,CONFIG_METADATA!$B$4,DATOS!I:I,B86),"—")</f>
        <v>—</v>
      </c>
      <c r="I86" s="15" t="str">
        <f>IFERROR(COUNTIFS(DATOS!G:G,CONFIG_METADATA!$B$4,DATOS!I:I,B86,DATOS!L:L,"N")/COUNTIFS(DATOS!G:G,CONFIG_METADATA!$B$4,DATOS!I:I,B86),"—")</f>
        <v>—</v>
      </c>
      <c r="J86" t="str" cm="1">
        <f t="array" ref="J86">IFERROR(_xlfn.MODE.SNGL(IF((DATOS!$G$2:$G$20000=CONFIG_METADATA!$B$4)*(DATOS!$I$2:$I$20000=B86)*(DATOS!$L$2:$L$20000="S"),DATOS!$K$2:$K$20000)),"—")</f>
        <v>—</v>
      </c>
      <c r="K86" t="str" cm="1">
        <f t="array" ref="K86">IFERROR(_xlfn.MODE.SNGL(IF((DATOS!$G$2:$G$20000=CONFIG_METADATA!$B$4)*(DATOS!$I$2:$I$20000=B86)*(DATOS!$L$2:$L$20000="N"),DATOS!$K$2:$K$20000)),"—")</f>
        <v>—</v>
      </c>
      <c r="L86">
        <f>COUNTIFS(DATOS!G:G,CONFIG_METADATA!$B$4,DATOS!I:I,B86,DATOS!K:K,1)</f>
        <v>0</v>
      </c>
      <c r="M86">
        <f>COUNTIFS(DATOS!G:G,CONFIG_METADATA!$B$4,DATOS!I:I,B86,DATOS!K:K,2)</f>
        <v>0</v>
      </c>
      <c r="N86">
        <f>COUNTIFS(DATOS!G:G,CONFIG_METADATA!$B$4,DATOS!I:I,B86,DATOS!K:K,3)</f>
        <v>0</v>
      </c>
      <c r="O86">
        <f>COUNTIFS(DATOS!G:G,CONFIG_METADATA!$B$4,DATOS!I:I,B86,DATOS!K:K,4)</f>
        <v>0</v>
      </c>
      <c r="P86">
        <f>COUNTIFS(DATOS!G:G,CONFIG_METADATA!$B$4,DATOS!I:I,B86,DATOS!K:K,5)</f>
        <v>0</v>
      </c>
      <c r="Q86">
        <f>COUNTIFS(DATOS!G:G,CONFIG_METADATA!$B$4,DATOS!I:I,B86,DATOS!K:K,6)</f>
        <v>0</v>
      </c>
      <c r="R86">
        <f>COUNTIFS(DATOS!G:G,CONFIG_METADATA!$B$4,DATOS!I:I,B86,DATOS!K:K,7)</f>
        <v>0</v>
      </c>
      <c r="S86">
        <f>COUNTIFS(DATOS!G:G,CONFIG_METADATA!$B$4,DATOS!I:I,B86,DATOS!K:K,8)</f>
        <v>0</v>
      </c>
      <c r="T86">
        <f>COUNTIFS(DATOS!G:G,CONFIG_METADATA!$B$4,DATOS!I:I,B86,DATOS!K:K,9)</f>
        <v>0</v>
      </c>
      <c r="U86">
        <f>COUNTIFS(DATOS!G:G,CONFIG_METADATA!$B$4,DATOS!I:I,B86,DATOS!K:K,10)</f>
        <v>0</v>
      </c>
    </row>
    <row r="87" spans="1:22">
      <c r="A87" s="3" t="inlineStr">
        <is>
          <t xml:space="preserve">2EEM</t>
        </is>
      </c>
      <c r="B87" s="3">
        <f>IFERROR(INDEX(_xlfn._xlws.FILTER(CONFIG_ASIGNATURAS!$B$2:$B$27,CONFIG_ASIGNATURAS!$G$2:$G$27="Sí"),9),"")</f>
      </c>
      <c r="C87" s="3">
        <f>IF(B87="","",IFERROR(IF(VLOOKUP(B87,CONFIG_ASIGNATURAS!$B$2:$F$27,5,FALSE())="Sí","Especialidad","Asignatura"),"Asignatura"))</f>
      </c>
      <c r="D87">
        <f>COUNTIFS(DATOS!G:G,CONFIG_METADATA!$B$4,DATOS!I:I,B87)</f>
        <v>0</v>
      </c>
      <c r="E87" s="14" t="str">
        <f>IFERROR(AVERAGEIFS(DATOS!K:K,DATOS!G:G,CONFIG_METADATA!$B$4,DATOS!I:I,B87),"—")</f>
        <v>—</v>
      </c>
      <c r="F87" s="14" t="str" cm="1">
        <f t="array" ref="F87">IFERROR(_xlfn.STDEV.P(IF((DATOS!$G$2:$G$20000=CONFIG_METADATA!$B$4)*(DATOS!$I$2:$I$20000=B87),DATOS!$K$2:$K$20000)),"—")</f>
        <v>—</v>
      </c>
      <c r="G87" t="str" cm="1">
        <f t="array" ref="G87">IFERROR(_xlfn.MODE.SNGL(IF((DATOS!$G$2:$G$20000=CONFIG_METADATA!$B$4)*(DATOS!$I$2:$I$20000=B87),DATOS!$K$2:$K$20000)),"—")</f>
        <v>—</v>
      </c>
      <c r="H87" s="15" t="str">
        <f>IFERROR(COUNTIFS(DATOS!G:G,CONFIG_METADATA!$B$4,DATOS!I:I,B87,DATOS!L:L,"S")/COUNTIFS(DATOS!G:G,CONFIG_METADATA!$B$4,DATOS!I:I,B87),"—")</f>
        <v>—</v>
      </c>
      <c r="I87" s="15" t="str">
        <f>IFERROR(COUNTIFS(DATOS!G:G,CONFIG_METADATA!$B$4,DATOS!I:I,B87,DATOS!L:L,"N")/COUNTIFS(DATOS!G:G,CONFIG_METADATA!$B$4,DATOS!I:I,B87),"—")</f>
        <v>—</v>
      </c>
      <c r="J87" t="str" cm="1">
        <f t="array" ref="J87">IFERROR(_xlfn.MODE.SNGL(IF((DATOS!$G$2:$G$20000=CONFIG_METADATA!$B$4)*(DATOS!$I$2:$I$20000=B87)*(DATOS!$L$2:$L$20000="S"),DATOS!$K$2:$K$20000)),"—")</f>
        <v>—</v>
      </c>
      <c r="K87" t="str" cm="1">
        <f t="array" ref="K87">IFERROR(_xlfn.MODE.SNGL(IF((DATOS!$G$2:$G$20000=CONFIG_METADATA!$B$4)*(DATOS!$I$2:$I$20000=B87)*(DATOS!$L$2:$L$20000="N"),DATOS!$K$2:$K$20000)),"—")</f>
        <v>—</v>
      </c>
      <c r="L87">
        <f>COUNTIFS(DATOS!G:G,CONFIG_METADATA!$B$4,DATOS!I:I,B87,DATOS!K:K,1)</f>
        <v>0</v>
      </c>
      <c r="M87">
        <f>COUNTIFS(DATOS!G:G,CONFIG_METADATA!$B$4,DATOS!I:I,B87,DATOS!K:K,2)</f>
        <v>0</v>
      </c>
      <c r="N87">
        <f>COUNTIFS(DATOS!G:G,CONFIG_METADATA!$B$4,DATOS!I:I,B87,DATOS!K:K,3)</f>
        <v>0</v>
      </c>
      <c r="O87">
        <f>COUNTIFS(DATOS!G:G,CONFIG_METADATA!$B$4,DATOS!I:I,B87,DATOS!K:K,4)</f>
        <v>0</v>
      </c>
      <c r="P87">
        <f>COUNTIFS(DATOS!G:G,CONFIG_METADATA!$B$4,DATOS!I:I,B87,DATOS!K:K,5)</f>
        <v>0</v>
      </c>
      <c r="Q87">
        <f>COUNTIFS(DATOS!G:G,CONFIG_METADATA!$B$4,DATOS!I:I,B87,DATOS!K:K,6)</f>
        <v>0</v>
      </c>
      <c r="R87">
        <f>COUNTIFS(DATOS!G:G,CONFIG_METADATA!$B$4,DATOS!I:I,B87,DATOS!K:K,7)</f>
        <v>0</v>
      </c>
      <c r="S87">
        <f>COUNTIFS(DATOS!G:G,CONFIG_METADATA!$B$4,DATOS!I:I,B87,DATOS!K:K,8)</f>
        <v>0</v>
      </c>
      <c r="T87">
        <f>COUNTIFS(DATOS!G:G,CONFIG_METADATA!$B$4,DATOS!I:I,B87,DATOS!K:K,9)</f>
        <v>0</v>
      </c>
      <c r="U87">
        <f>COUNTIFS(DATOS!G:G,CONFIG_METADATA!$B$4,DATOS!I:I,B87,DATOS!K:K,10)</f>
        <v>0</v>
      </c>
    </row>
    <row r="88" spans="1:22">
      <c r="A88" s="3" t="inlineStr">
        <is>
          <t xml:space="preserve">2EEM</t>
        </is>
      </c>
      <c r="B88" s="3">
        <f>IFERROR(INDEX(_xlfn._xlws.FILTER(CONFIG_ASIGNATURAS!$B$2:$B$27,CONFIG_ASIGNATURAS!$G$2:$G$27="Sí"),10),"")</f>
      </c>
      <c r="C88" s="3">
        <f>IF(B88="","",IFERROR(IF(VLOOKUP(B88,CONFIG_ASIGNATURAS!$B$2:$F$27,5,FALSE())="Sí","Especialidad","Asignatura"),"Asignatura"))</f>
      </c>
      <c r="D88">
        <f>COUNTIFS(DATOS!G:G,CONFIG_METADATA!$B$4,DATOS!I:I,B88)</f>
        <v>0</v>
      </c>
      <c r="E88" s="14" t="str">
        <f>IFERROR(AVERAGEIFS(DATOS!K:K,DATOS!G:G,CONFIG_METADATA!$B$4,DATOS!I:I,B88),"—")</f>
        <v>—</v>
      </c>
      <c r="F88" s="14" t="str" cm="1">
        <f t="array" ref="F88">IFERROR(_xlfn.STDEV.P(IF((DATOS!$G$2:$G$20000=CONFIG_METADATA!$B$4)*(DATOS!$I$2:$I$20000=B88),DATOS!$K$2:$K$20000)),"—")</f>
        <v>—</v>
      </c>
      <c r="G88" t="str" cm="1">
        <f t="array" ref="G88">IFERROR(_xlfn.MODE.SNGL(IF((DATOS!$G$2:$G$20000=CONFIG_METADATA!$B$4)*(DATOS!$I$2:$I$20000=B88),DATOS!$K$2:$K$20000)),"—")</f>
        <v>—</v>
      </c>
      <c r="H88" s="15" t="str">
        <f>IFERROR(COUNTIFS(DATOS!G:G,CONFIG_METADATA!$B$4,DATOS!I:I,B88,DATOS!L:L,"S")/COUNTIFS(DATOS!G:G,CONFIG_METADATA!$B$4,DATOS!I:I,B88),"—")</f>
        <v>—</v>
      </c>
      <c r="I88" s="15" t="str">
        <f>IFERROR(COUNTIFS(DATOS!G:G,CONFIG_METADATA!$B$4,DATOS!I:I,B88,DATOS!L:L,"N")/COUNTIFS(DATOS!G:G,CONFIG_METADATA!$B$4,DATOS!I:I,B88),"—")</f>
        <v>—</v>
      </c>
      <c r="J88" t="str" cm="1">
        <f t="array" ref="J88">IFERROR(_xlfn.MODE.SNGL(IF((DATOS!$G$2:$G$20000=CONFIG_METADATA!$B$4)*(DATOS!$I$2:$I$20000=B88)*(DATOS!$L$2:$L$20000="S"),DATOS!$K$2:$K$20000)),"—")</f>
        <v>—</v>
      </c>
      <c r="K88" t="str" cm="1">
        <f t="array" ref="K88">IFERROR(_xlfn.MODE.SNGL(IF((DATOS!$G$2:$G$20000=CONFIG_METADATA!$B$4)*(DATOS!$I$2:$I$20000=B88)*(DATOS!$L$2:$L$20000="N"),DATOS!$K$2:$K$20000)),"—")</f>
        <v>—</v>
      </c>
      <c r="L88">
        <f>COUNTIFS(DATOS!G:G,CONFIG_METADATA!$B$4,DATOS!I:I,B88,DATOS!K:K,1)</f>
        <v>0</v>
      </c>
      <c r="M88">
        <f>COUNTIFS(DATOS!G:G,CONFIG_METADATA!$B$4,DATOS!I:I,B88,DATOS!K:K,2)</f>
        <v>0</v>
      </c>
      <c r="N88">
        <f>COUNTIFS(DATOS!G:G,CONFIG_METADATA!$B$4,DATOS!I:I,B88,DATOS!K:K,3)</f>
        <v>0</v>
      </c>
      <c r="O88">
        <f>COUNTIFS(DATOS!G:G,CONFIG_METADATA!$B$4,DATOS!I:I,B88,DATOS!K:K,4)</f>
        <v>0</v>
      </c>
      <c r="P88">
        <f>COUNTIFS(DATOS!G:G,CONFIG_METADATA!$B$4,DATOS!I:I,B88,DATOS!K:K,5)</f>
        <v>0</v>
      </c>
      <c r="Q88">
        <f>COUNTIFS(DATOS!G:G,CONFIG_METADATA!$B$4,DATOS!I:I,B88,DATOS!K:K,6)</f>
        <v>0</v>
      </c>
      <c r="R88">
        <f>COUNTIFS(DATOS!G:G,CONFIG_METADATA!$B$4,DATOS!I:I,B88,DATOS!K:K,7)</f>
        <v>0</v>
      </c>
      <c r="S88">
        <f>COUNTIFS(DATOS!G:G,CONFIG_METADATA!$B$4,DATOS!I:I,B88,DATOS!K:K,8)</f>
        <v>0</v>
      </c>
      <c r="T88">
        <f>COUNTIFS(DATOS!G:G,CONFIG_METADATA!$B$4,DATOS!I:I,B88,DATOS!K:K,9)</f>
        <v>0</v>
      </c>
      <c r="U88">
        <f>COUNTIFS(DATOS!G:G,CONFIG_METADATA!$B$4,DATOS!I:I,B88,DATOS!K:K,10)</f>
        <v>0</v>
      </c>
    </row>
    <row r="89" spans="1:22">
      <c r="A89" s="3" t="inlineStr">
        <is>
          <t xml:space="preserve">2EEM</t>
        </is>
      </c>
      <c r="B89" s="3">
        <f>IFERROR(INDEX(_xlfn._xlws.FILTER(CONFIG_ASIGNATURAS!$B$2:$B$27,CONFIG_ASIGNATURAS!$G$2:$G$27="Sí"),11),"")</f>
      </c>
      <c r="C89" s="3">
        <f>IF(B89="","",IFERROR(IF(VLOOKUP(B89,CONFIG_ASIGNATURAS!$B$2:$F$27,5,FALSE())="Sí","Especialidad","Asignatura"),"Asignatura"))</f>
      </c>
      <c r="D89">
        <f>COUNTIFS(DATOS!G:G,CONFIG_METADATA!$B$4,DATOS!I:I,B89)</f>
        <v>0</v>
      </c>
      <c r="E89" s="14" t="str">
        <f>IFERROR(AVERAGEIFS(DATOS!K:K,DATOS!G:G,CONFIG_METADATA!$B$4,DATOS!I:I,B89),"—")</f>
        <v>—</v>
      </c>
      <c r="F89" s="14" t="str" cm="1">
        <f t="array" ref="F89">IFERROR(_xlfn.STDEV.P(IF((DATOS!$G$2:$G$20000=CONFIG_METADATA!$B$4)*(DATOS!$I$2:$I$20000=B89),DATOS!$K$2:$K$20000)),"—")</f>
        <v>—</v>
      </c>
      <c r="G89" t="str" cm="1">
        <f t="array" ref="G89">IFERROR(_xlfn.MODE.SNGL(IF((DATOS!$G$2:$G$20000=CONFIG_METADATA!$B$4)*(DATOS!$I$2:$I$20000=B89),DATOS!$K$2:$K$20000)),"—")</f>
        <v>—</v>
      </c>
      <c r="H89" s="15" t="str">
        <f>IFERROR(COUNTIFS(DATOS!G:G,CONFIG_METADATA!$B$4,DATOS!I:I,B89,DATOS!L:L,"S")/COUNTIFS(DATOS!G:G,CONFIG_METADATA!$B$4,DATOS!I:I,B89),"—")</f>
        <v>—</v>
      </c>
      <c r="I89" s="15" t="str">
        <f>IFERROR(COUNTIFS(DATOS!G:G,CONFIG_METADATA!$B$4,DATOS!I:I,B89,DATOS!L:L,"N")/COUNTIFS(DATOS!G:G,CONFIG_METADATA!$B$4,DATOS!I:I,B89),"—")</f>
        <v>—</v>
      </c>
      <c r="J89" t="str" cm="1">
        <f t="array" ref="J89">IFERROR(_xlfn.MODE.SNGL(IF((DATOS!$G$2:$G$20000=CONFIG_METADATA!$B$4)*(DATOS!$I$2:$I$20000=B89)*(DATOS!$L$2:$L$20000="S"),DATOS!$K$2:$K$20000)),"—")</f>
        <v>—</v>
      </c>
      <c r="K89" t="str" cm="1">
        <f t="array" ref="K89">IFERROR(_xlfn.MODE.SNGL(IF((DATOS!$G$2:$G$20000=CONFIG_METADATA!$B$4)*(DATOS!$I$2:$I$20000=B89)*(DATOS!$L$2:$L$20000="N"),DATOS!$K$2:$K$20000)),"—")</f>
        <v>—</v>
      </c>
      <c r="L89">
        <f>COUNTIFS(DATOS!G:G,CONFIG_METADATA!$B$4,DATOS!I:I,B89,DATOS!K:K,1)</f>
        <v>0</v>
      </c>
      <c r="M89">
        <f>COUNTIFS(DATOS!G:G,CONFIG_METADATA!$B$4,DATOS!I:I,B89,DATOS!K:K,2)</f>
        <v>0</v>
      </c>
      <c r="N89">
        <f>COUNTIFS(DATOS!G:G,CONFIG_METADATA!$B$4,DATOS!I:I,B89,DATOS!K:K,3)</f>
        <v>0</v>
      </c>
      <c r="O89">
        <f>COUNTIFS(DATOS!G:G,CONFIG_METADATA!$B$4,DATOS!I:I,B89,DATOS!K:K,4)</f>
        <v>0</v>
      </c>
      <c r="P89">
        <f>COUNTIFS(DATOS!G:G,CONFIG_METADATA!$B$4,DATOS!I:I,B89,DATOS!K:K,5)</f>
        <v>0</v>
      </c>
      <c r="Q89">
        <f>COUNTIFS(DATOS!G:G,CONFIG_METADATA!$B$4,DATOS!I:I,B89,DATOS!K:K,6)</f>
        <v>0</v>
      </c>
      <c r="R89">
        <f>COUNTIFS(DATOS!G:G,CONFIG_METADATA!$B$4,DATOS!I:I,B89,DATOS!K:K,7)</f>
        <v>0</v>
      </c>
      <c r="S89">
        <f>COUNTIFS(DATOS!G:G,CONFIG_METADATA!$B$4,DATOS!I:I,B89,DATOS!K:K,8)</f>
        <v>0</v>
      </c>
      <c r="T89">
        <f>COUNTIFS(DATOS!G:G,CONFIG_METADATA!$B$4,DATOS!I:I,B89,DATOS!K:K,9)</f>
        <v>0</v>
      </c>
      <c r="U89">
        <f>COUNTIFS(DATOS!G:G,CONFIG_METADATA!$B$4,DATOS!I:I,B89,DATOS!K:K,10)</f>
        <v>0</v>
      </c>
    </row>
    <row r="90" spans="1:22">
      <c r="A90" s="3" t="inlineStr">
        <is>
          <t xml:space="preserve">2EEM</t>
        </is>
      </c>
      <c r="B90" s="3">
        <f>IFERROR(INDEX(_xlfn._xlws.FILTER(CONFIG_ASIGNATURAS!$B$2:$B$27,CONFIG_ASIGNATURAS!$G$2:$G$27="Sí"),12),"")</f>
      </c>
      <c r="C90" s="3">
        <f>IF(B90="","",IFERROR(IF(VLOOKUP(B90,CONFIG_ASIGNATURAS!$B$2:$F$27,5,FALSE())="Sí","Especialidad","Asignatura"),"Asignatura"))</f>
      </c>
      <c r="D90">
        <f>COUNTIFS(DATOS!G:G,CONFIG_METADATA!$B$4,DATOS!I:I,B90)</f>
        <v>0</v>
      </c>
      <c r="E90" s="14" t="str">
        <f>IFERROR(AVERAGEIFS(DATOS!K:K,DATOS!G:G,CONFIG_METADATA!$B$4,DATOS!I:I,B90),"—")</f>
        <v>—</v>
      </c>
      <c r="F90" s="14" t="str" cm="1">
        <f t="array" ref="F90">IFERROR(_xlfn.STDEV.P(IF((DATOS!$G$2:$G$20000=CONFIG_METADATA!$B$4)*(DATOS!$I$2:$I$20000=B90),DATOS!$K$2:$K$20000)),"—")</f>
        <v>—</v>
      </c>
      <c r="G90" t="str" cm="1">
        <f t="array" ref="G90">IFERROR(_xlfn.MODE.SNGL(IF((DATOS!$G$2:$G$20000=CONFIG_METADATA!$B$4)*(DATOS!$I$2:$I$20000=B90),DATOS!$K$2:$K$20000)),"—")</f>
        <v>—</v>
      </c>
      <c r="H90" s="15" t="str">
        <f>IFERROR(COUNTIFS(DATOS!G:G,CONFIG_METADATA!$B$4,DATOS!I:I,B90,DATOS!L:L,"S")/COUNTIFS(DATOS!G:G,CONFIG_METADATA!$B$4,DATOS!I:I,B90),"—")</f>
        <v>—</v>
      </c>
      <c r="I90" s="15" t="str">
        <f>IFERROR(COUNTIFS(DATOS!G:G,CONFIG_METADATA!$B$4,DATOS!I:I,B90,DATOS!L:L,"N")/COUNTIFS(DATOS!G:G,CONFIG_METADATA!$B$4,DATOS!I:I,B90),"—")</f>
        <v>—</v>
      </c>
      <c r="J90" t="str" cm="1">
        <f t="array" ref="J90">IFERROR(_xlfn.MODE.SNGL(IF((DATOS!$G$2:$G$20000=CONFIG_METADATA!$B$4)*(DATOS!$I$2:$I$20000=B90)*(DATOS!$L$2:$L$20000="S"),DATOS!$K$2:$K$20000)),"—")</f>
        <v>—</v>
      </c>
      <c r="K90" t="str" cm="1">
        <f t="array" ref="K90">IFERROR(_xlfn.MODE.SNGL(IF((DATOS!$G$2:$G$20000=CONFIG_METADATA!$B$4)*(DATOS!$I$2:$I$20000=B90)*(DATOS!$L$2:$L$20000="N"),DATOS!$K$2:$K$20000)),"—")</f>
        <v>—</v>
      </c>
      <c r="L90">
        <f>COUNTIFS(DATOS!G:G,CONFIG_METADATA!$B$4,DATOS!I:I,B90,DATOS!K:K,1)</f>
        <v>0</v>
      </c>
      <c r="M90">
        <f>COUNTIFS(DATOS!G:G,CONFIG_METADATA!$B$4,DATOS!I:I,B90,DATOS!K:K,2)</f>
        <v>0</v>
      </c>
      <c r="N90">
        <f>COUNTIFS(DATOS!G:G,CONFIG_METADATA!$B$4,DATOS!I:I,B90,DATOS!K:K,3)</f>
        <v>0</v>
      </c>
      <c r="O90">
        <f>COUNTIFS(DATOS!G:G,CONFIG_METADATA!$B$4,DATOS!I:I,B90,DATOS!K:K,4)</f>
        <v>0</v>
      </c>
      <c r="P90">
        <f>COUNTIFS(DATOS!G:G,CONFIG_METADATA!$B$4,DATOS!I:I,B90,DATOS!K:K,5)</f>
        <v>0</v>
      </c>
      <c r="Q90">
        <f>COUNTIFS(DATOS!G:G,CONFIG_METADATA!$B$4,DATOS!I:I,B90,DATOS!K:K,6)</f>
        <v>0</v>
      </c>
      <c r="R90">
        <f>COUNTIFS(DATOS!G:G,CONFIG_METADATA!$B$4,DATOS!I:I,B90,DATOS!K:K,7)</f>
        <v>0</v>
      </c>
      <c r="S90">
        <f>COUNTIFS(DATOS!G:G,CONFIG_METADATA!$B$4,DATOS!I:I,B90,DATOS!K:K,8)</f>
        <v>0</v>
      </c>
      <c r="T90">
        <f>COUNTIFS(DATOS!G:G,CONFIG_METADATA!$B$4,DATOS!I:I,B90,DATOS!K:K,9)</f>
        <v>0</v>
      </c>
      <c r="U90">
        <f>COUNTIFS(DATOS!G:G,CONFIG_METADATA!$B$4,DATOS!I:I,B90,DATOS!K:K,10)</f>
        <v>0</v>
      </c>
    </row>
    <row r="91" spans="1:22">
      <c r="A91" s="3" t="inlineStr">
        <is>
          <t xml:space="preserve">2EEM</t>
        </is>
      </c>
      <c r="B91" s="3">
        <f>IFERROR(INDEX(_xlfn._xlws.FILTER(CONFIG_ASIGNATURAS!$B$2:$B$27,CONFIG_ASIGNATURAS!$G$2:$G$27="Sí"),13),"")</f>
      </c>
      <c r="C91" s="3">
        <f>IF(B91="","",IFERROR(IF(VLOOKUP(B91,CONFIG_ASIGNATURAS!$B$2:$F$27,5,FALSE())="Sí","Especialidad","Asignatura"),"Asignatura"))</f>
      </c>
      <c r="D91">
        <f>COUNTIFS(DATOS!G:G,CONFIG_METADATA!$B$4,DATOS!I:I,B91)</f>
        <v>0</v>
      </c>
      <c r="E91" s="14" t="str">
        <f>IFERROR(AVERAGEIFS(DATOS!K:K,DATOS!G:G,CONFIG_METADATA!$B$4,DATOS!I:I,B91),"—")</f>
        <v>—</v>
      </c>
      <c r="F91" s="14" t="str" cm="1">
        <f t="array" ref="F91">IFERROR(_xlfn.STDEV.P(IF((DATOS!$G$2:$G$20000=CONFIG_METADATA!$B$4)*(DATOS!$I$2:$I$20000=B91),DATOS!$K$2:$K$20000)),"—")</f>
        <v>—</v>
      </c>
      <c r="G91" t="str" cm="1">
        <f t="array" ref="G91">IFERROR(_xlfn.MODE.SNGL(IF((DATOS!$G$2:$G$20000=CONFIG_METADATA!$B$4)*(DATOS!$I$2:$I$20000=B91),DATOS!$K$2:$K$20000)),"—")</f>
        <v>—</v>
      </c>
      <c r="H91" s="15" t="str">
        <f>IFERROR(COUNTIFS(DATOS!G:G,CONFIG_METADATA!$B$4,DATOS!I:I,B91,DATOS!L:L,"S")/COUNTIFS(DATOS!G:G,CONFIG_METADATA!$B$4,DATOS!I:I,B91),"—")</f>
        <v>—</v>
      </c>
      <c r="I91" s="15" t="str">
        <f>IFERROR(COUNTIFS(DATOS!G:G,CONFIG_METADATA!$B$4,DATOS!I:I,B91,DATOS!L:L,"N")/COUNTIFS(DATOS!G:G,CONFIG_METADATA!$B$4,DATOS!I:I,B91),"—")</f>
        <v>—</v>
      </c>
      <c r="J91" t="str" cm="1">
        <f t="array" ref="J91">IFERROR(_xlfn.MODE.SNGL(IF((DATOS!$G$2:$G$20000=CONFIG_METADATA!$B$4)*(DATOS!$I$2:$I$20000=B91)*(DATOS!$L$2:$L$20000="S"),DATOS!$K$2:$K$20000)),"—")</f>
        <v>—</v>
      </c>
      <c r="K91" t="str" cm="1">
        <f t="array" ref="K91">IFERROR(_xlfn.MODE.SNGL(IF((DATOS!$G$2:$G$20000=CONFIG_METADATA!$B$4)*(DATOS!$I$2:$I$20000=B91)*(DATOS!$L$2:$L$20000="N"),DATOS!$K$2:$K$20000)),"—")</f>
        <v>—</v>
      </c>
      <c r="L91">
        <f>COUNTIFS(DATOS!G:G,CONFIG_METADATA!$B$4,DATOS!I:I,B91,DATOS!K:K,1)</f>
        <v>0</v>
      </c>
      <c r="M91">
        <f>COUNTIFS(DATOS!G:G,CONFIG_METADATA!$B$4,DATOS!I:I,B91,DATOS!K:K,2)</f>
        <v>0</v>
      </c>
      <c r="N91">
        <f>COUNTIFS(DATOS!G:G,CONFIG_METADATA!$B$4,DATOS!I:I,B91,DATOS!K:K,3)</f>
        <v>0</v>
      </c>
      <c r="O91">
        <f>COUNTIFS(DATOS!G:G,CONFIG_METADATA!$B$4,DATOS!I:I,B91,DATOS!K:K,4)</f>
        <v>0</v>
      </c>
      <c r="P91">
        <f>COUNTIFS(DATOS!G:G,CONFIG_METADATA!$B$4,DATOS!I:I,B91,DATOS!K:K,5)</f>
        <v>0</v>
      </c>
      <c r="Q91">
        <f>COUNTIFS(DATOS!G:G,CONFIG_METADATA!$B$4,DATOS!I:I,B91,DATOS!K:K,6)</f>
        <v>0</v>
      </c>
      <c r="R91">
        <f>COUNTIFS(DATOS!G:G,CONFIG_METADATA!$B$4,DATOS!I:I,B91,DATOS!K:K,7)</f>
        <v>0</v>
      </c>
      <c r="S91">
        <f>COUNTIFS(DATOS!G:G,CONFIG_METADATA!$B$4,DATOS!I:I,B91,DATOS!K:K,8)</f>
        <v>0</v>
      </c>
      <c r="T91">
        <f>COUNTIFS(DATOS!G:G,CONFIG_METADATA!$B$4,DATOS!I:I,B91,DATOS!K:K,9)</f>
        <v>0</v>
      </c>
      <c r="U91">
        <f>COUNTIFS(DATOS!G:G,CONFIG_METADATA!$B$4,DATOS!I:I,B91,DATOS!K:K,10)</f>
        <v>0</v>
      </c>
    </row>
    <row r="92" spans="1:22">
      <c r="A92" s="3" t="inlineStr">
        <is>
          <t xml:space="preserve">2EEM</t>
        </is>
      </c>
      <c r="B92" s="3">
        <f>IFERROR(INDEX(_xlfn._xlws.FILTER(CONFIG_ASIGNATURAS!$B$2:$B$27,CONFIG_ASIGNATURAS!$G$2:$G$27="Sí"),14),"")</f>
      </c>
      <c r="C92" s="3">
        <f>IF(B92="","",IFERROR(IF(VLOOKUP(B92,CONFIG_ASIGNATURAS!$B$2:$F$27,5,FALSE())="Sí","Especialidad","Asignatura"),"Asignatura"))</f>
      </c>
      <c r="D92">
        <f>COUNTIFS(DATOS!G:G,CONFIG_METADATA!$B$4,DATOS!I:I,B92)</f>
        <v>0</v>
      </c>
      <c r="E92" s="14" t="str">
        <f>IFERROR(AVERAGEIFS(DATOS!K:K,DATOS!G:G,CONFIG_METADATA!$B$4,DATOS!I:I,B92),"—")</f>
        <v>—</v>
      </c>
      <c r="F92" s="14" t="str" cm="1">
        <f t="array" ref="F92">IFERROR(_xlfn.STDEV.P(IF((DATOS!$G$2:$G$20000=CONFIG_METADATA!$B$4)*(DATOS!$I$2:$I$20000=B92),DATOS!$K$2:$K$20000)),"—")</f>
        <v>—</v>
      </c>
      <c r="G92" t="str" cm="1">
        <f t="array" ref="G92">IFERROR(_xlfn.MODE.SNGL(IF((DATOS!$G$2:$G$20000=CONFIG_METADATA!$B$4)*(DATOS!$I$2:$I$20000=B92),DATOS!$K$2:$K$20000)),"—")</f>
        <v>—</v>
      </c>
      <c r="H92" s="15" t="str">
        <f>IFERROR(COUNTIFS(DATOS!G:G,CONFIG_METADATA!$B$4,DATOS!I:I,B92,DATOS!L:L,"S")/COUNTIFS(DATOS!G:G,CONFIG_METADATA!$B$4,DATOS!I:I,B92),"—")</f>
        <v>—</v>
      </c>
      <c r="I92" s="15" t="str">
        <f>IFERROR(COUNTIFS(DATOS!G:G,CONFIG_METADATA!$B$4,DATOS!I:I,B92,DATOS!L:L,"N")/COUNTIFS(DATOS!G:G,CONFIG_METADATA!$B$4,DATOS!I:I,B92),"—")</f>
        <v>—</v>
      </c>
      <c r="J92" t="str" cm="1">
        <f t="array" ref="J92">IFERROR(_xlfn.MODE.SNGL(IF((DATOS!$G$2:$G$20000=CONFIG_METADATA!$B$4)*(DATOS!$I$2:$I$20000=B92)*(DATOS!$L$2:$L$20000="S"),DATOS!$K$2:$K$20000)),"—")</f>
        <v>—</v>
      </c>
      <c r="K92" t="str" cm="1">
        <f t="array" ref="K92">IFERROR(_xlfn.MODE.SNGL(IF((DATOS!$G$2:$G$20000=CONFIG_METADATA!$B$4)*(DATOS!$I$2:$I$20000=B92)*(DATOS!$L$2:$L$20000="N"),DATOS!$K$2:$K$20000)),"—")</f>
        <v>—</v>
      </c>
      <c r="L92">
        <f>COUNTIFS(DATOS!G:G,CONFIG_METADATA!$B$4,DATOS!I:I,B92,DATOS!K:K,1)</f>
        <v>0</v>
      </c>
      <c r="M92">
        <f>COUNTIFS(DATOS!G:G,CONFIG_METADATA!$B$4,DATOS!I:I,B92,DATOS!K:K,2)</f>
        <v>0</v>
      </c>
      <c r="N92">
        <f>COUNTIFS(DATOS!G:G,CONFIG_METADATA!$B$4,DATOS!I:I,B92,DATOS!K:K,3)</f>
        <v>0</v>
      </c>
      <c r="O92">
        <f>COUNTIFS(DATOS!G:G,CONFIG_METADATA!$B$4,DATOS!I:I,B92,DATOS!K:K,4)</f>
        <v>0</v>
      </c>
      <c r="P92">
        <f>COUNTIFS(DATOS!G:G,CONFIG_METADATA!$B$4,DATOS!I:I,B92,DATOS!K:K,5)</f>
        <v>0</v>
      </c>
      <c r="Q92">
        <f>COUNTIFS(DATOS!G:G,CONFIG_METADATA!$B$4,DATOS!I:I,B92,DATOS!K:K,6)</f>
        <v>0</v>
      </c>
      <c r="R92">
        <f>COUNTIFS(DATOS!G:G,CONFIG_METADATA!$B$4,DATOS!I:I,B92,DATOS!K:K,7)</f>
        <v>0</v>
      </c>
      <c r="S92">
        <f>COUNTIFS(DATOS!G:G,CONFIG_METADATA!$B$4,DATOS!I:I,B92,DATOS!K:K,8)</f>
        <v>0</v>
      </c>
      <c r="T92">
        <f>COUNTIFS(DATOS!G:G,CONFIG_METADATA!$B$4,DATOS!I:I,B92,DATOS!K:K,9)</f>
        <v>0</v>
      </c>
      <c r="U92">
        <f>COUNTIFS(DATOS!G:G,CONFIG_METADATA!$B$4,DATOS!I:I,B92,DATOS!K:K,10)</f>
        <v>0</v>
      </c>
    </row>
    <row r="93" spans="1:22">
      <c r="A93" s="3" t="inlineStr">
        <is>
          <t xml:space="preserve">2EEM</t>
        </is>
      </c>
      <c r="B93" s="3">
        <f>IFERROR(INDEX(_xlfn._xlws.FILTER(CONFIG_ASIGNATURAS!$B$2:$B$27,CONFIG_ASIGNATURAS!$G$2:$G$27="Sí"),15),"")</f>
      </c>
      <c r="C93" s="3">
        <f>IF(B93="","",IFERROR(IF(VLOOKUP(B93,CONFIG_ASIGNATURAS!$B$2:$F$27,5,FALSE())="Sí","Especialidad","Asignatura"),"Asignatura"))</f>
      </c>
      <c r="D93">
        <f>COUNTIFS(DATOS!G:G,CONFIG_METADATA!$B$4,DATOS!I:I,B93)</f>
        <v>0</v>
      </c>
      <c r="E93" s="14" t="str">
        <f>IFERROR(AVERAGEIFS(DATOS!K:K,DATOS!G:G,CONFIG_METADATA!$B$4,DATOS!I:I,B93),"—")</f>
        <v>—</v>
      </c>
      <c r="F93" s="14" t="str" cm="1">
        <f t="array" ref="F93">IFERROR(_xlfn.STDEV.P(IF((DATOS!$G$2:$G$20000=CONFIG_METADATA!$B$4)*(DATOS!$I$2:$I$20000=B93),DATOS!$K$2:$K$20000)),"—")</f>
        <v>—</v>
      </c>
      <c r="G93" t="str" cm="1">
        <f t="array" ref="G93">IFERROR(_xlfn.MODE.SNGL(IF((DATOS!$G$2:$G$20000=CONFIG_METADATA!$B$4)*(DATOS!$I$2:$I$20000=B93),DATOS!$K$2:$K$20000)),"—")</f>
        <v>—</v>
      </c>
      <c r="H93" s="15" t="str">
        <f>IFERROR(COUNTIFS(DATOS!G:G,CONFIG_METADATA!$B$4,DATOS!I:I,B93,DATOS!L:L,"S")/COUNTIFS(DATOS!G:G,CONFIG_METADATA!$B$4,DATOS!I:I,B93),"—")</f>
        <v>—</v>
      </c>
      <c r="I93" s="15" t="str">
        <f>IFERROR(COUNTIFS(DATOS!G:G,CONFIG_METADATA!$B$4,DATOS!I:I,B93,DATOS!L:L,"N")/COUNTIFS(DATOS!G:G,CONFIG_METADATA!$B$4,DATOS!I:I,B93),"—")</f>
        <v>—</v>
      </c>
      <c r="J93" t="str" cm="1">
        <f t="array" ref="J93">IFERROR(_xlfn.MODE.SNGL(IF((DATOS!$G$2:$G$20000=CONFIG_METADATA!$B$4)*(DATOS!$I$2:$I$20000=B93)*(DATOS!$L$2:$L$20000="S"),DATOS!$K$2:$K$20000)),"—")</f>
        <v>—</v>
      </c>
      <c r="K93" t="str" cm="1">
        <f t="array" ref="K93">IFERROR(_xlfn.MODE.SNGL(IF((DATOS!$G$2:$G$20000=CONFIG_METADATA!$B$4)*(DATOS!$I$2:$I$20000=B93)*(DATOS!$L$2:$L$20000="N"),DATOS!$K$2:$K$20000)),"—")</f>
        <v>—</v>
      </c>
      <c r="L93">
        <f>COUNTIFS(DATOS!G:G,CONFIG_METADATA!$B$4,DATOS!I:I,B93,DATOS!K:K,1)</f>
        <v>0</v>
      </c>
      <c r="M93">
        <f>COUNTIFS(DATOS!G:G,CONFIG_METADATA!$B$4,DATOS!I:I,B93,DATOS!K:K,2)</f>
        <v>0</v>
      </c>
      <c r="N93">
        <f>COUNTIFS(DATOS!G:G,CONFIG_METADATA!$B$4,DATOS!I:I,B93,DATOS!K:K,3)</f>
        <v>0</v>
      </c>
      <c r="O93">
        <f>COUNTIFS(DATOS!G:G,CONFIG_METADATA!$B$4,DATOS!I:I,B93,DATOS!K:K,4)</f>
        <v>0</v>
      </c>
      <c r="P93">
        <f>COUNTIFS(DATOS!G:G,CONFIG_METADATA!$B$4,DATOS!I:I,B93,DATOS!K:K,5)</f>
        <v>0</v>
      </c>
      <c r="Q93">
        <f>COUNTIFS(DATOS!G:G,CONFIG_METADATA!$B$4,DATOS!I:I,B93,DATOS!K:K,6)</f>
        <v>0</v>
      </c>
      <c r="R93">
        <f>COUNTIFS(DATOS!G:G,CONFIG_METADATA!$B$4,DATOS!I:I,B93,DATOS!K:K,7)</f>
        <v>0</v>
      </c>
      <c r="S93">
        <f>COUNTIFS(DATOS!G:G,CONFIG_METADATA!$B$4,DATOS!I:I,B93,DATOS!K:K,8)</f>
        <v>0</v>
      </c>
      <c r="T93">
        <f>COUNTIFS(DATOS!G:G,CONFIG_METADATA!$B$4,DATOS!I:I,B93,DATOS!K:K,9)</f>
        <v>0</v>
      </c>
      <c r="U93">
        <f>COUNTIFS(DATOS!G:G,CONFIG_METADATA!$B$4,DATOS!I:I,B93,DATOS!K:K,10)</f>
        <v>0</v>
      </c>
    </row>
    <row r="94" spans="1:22">
      <c r="A94" s="3" t="inlineStr">
        <is>
          <t xml:space="preserve">2EEM</t>
        </is>
      </c>
      <c r="B94" s="3">
        <f>IFERROR(INDEX(_xlfn._xlws.FILTER(CONFIG_ASIGNATURAS!$B$2:$B$27,CONFIG_ASIGNATURAS!$G$2:$G$27="Sí"),16),"")</f>
      </c>
      <c r="C94" s="3">
        <f>IF(B94="","",IFERROR(IF(VLOOKUP(B94,CONFIG_ASIGNATURAS!$B$2:$F$27,5,FALSE())="Sí","Especialidad","Asignatura"),"Asignatura"))</f>
      </c>
      <c r="D94">
        <f>COUNTIFS(DATOS!G:G,CONFIG_METADATA!$B$4,DATOS!I:I,B94)</f>
        <v>0</v>
      </c>
      <c r="E94" s="14" t="str">
        <f>IFERROR(AVERAGEIFS(DATOS!K:K,DATOS!G:G,CONFIG_METADATA!$B$4,DATOS!I:I,B94),"—")</f>
        <v>—</v>
      </c>
      <c r="F94" s="14" t="str" cm="1">
        <f t="array" ref="F94">IFERROR(_xlfn.STDEV.P(IF((DATOS!$G$2:$G$20000=CONFIG_METADATA!$B$4)*(DATOS!$I$2:$I$20000=B94),DATOS!$K$2:$K$20000)),"—")</f>
        <v>—</v>
      </c>
      <c r="G94" t="str" cm="1">
        <f t="array" ref="G94">IFERROR(_xlfn.MODE.SNGL(IF((DATOS!$G$2:$G$20000=CONFIG_METADATA!$B$4)*(DATOS!$I$2:$I$20000=B94),DATOS!$K$2:$K$20000)),"—")</f>
        <v>—</v>
      </c>
      <c r="H94" s="15" t="str">
        <f>IFERROR(COUNTIFS(DATOS!G:G,CONFIG_METADATA!$B$4,DATOS!I:I,B94,DATOS!L:L,"S")/COUNTIFS(DATOS!G:G,CONFIG_METADATA!$B$4,DATOS!I:I,B94),"—")</f>
        <v>—</v>
      </c>
      <c r="I94" s="15" t="str">
        <f>IFERROR(COUNTIFS(DATOS!G:G,CONFIG_METADATA!$B$4,DATOS!I:I,B94,DATOS!L:L,"N")/COUNTIFS(DATOS!G:G,CONFIG_METADATA!$B$4,DATOS!I:I,B94),"—")</f>
        <v>—</v>
      </c>
      <c r="J94" t="str" cm="1">
        <f t="array" ref="J94">IFERROR(_xlfn.MODE.SNGL(IF((DATOS!$G$2:$G$20000=CONFIG_METADATA!$B$4)*(DATOS!$I$2:$I$20000=B94)*(DATOS!$L$2:$L$20000="S"),DATOS!$K$2:$K$20000)),"—")</f>
        <v>—</v>
      </c>
      <c r="K94" t="str" cm="1">
        <f t="array" ref="K94">IFERROR(_xlfn.MODE.SNGL(IF((DATOS!$G$2:$G$20000=CONFIG_METADATA!$B$4)*(DATOS!$I$2:$I$20000=B94)*(DATOS!$L$2:$L$20000="N"),DATOS!$K$2:$K$20000)),"—")</f>
        <v>—</v>
      </c>
      <c r="L94">
        <f>COUNTIFS(DATOS!G:G,CONFIG_METADATA!$B$4,DATOS!I:I,B94,DATOS!K:K,1)</f>
        <v>0</v>
      </c>
      <c r="M94">
        <f>COUNTIFS(DATOS!G:G,CONFIG_METADATA!$B$4,DATOS!I:I,B94,DATOS!K:K,2)</f>
        <v>0</v>
      </c>
      <c r="N94">
        <f>COUNTIFS(DATOS!G:G,CONFIG_METADATA!$B$4,DATOS!I:I,B94,DATOS!K:K,3)</f>
        <v>0</v>
      </c>
      <c r="O94">
        <f>COUNTIFS(DATOS!G:G,CONFIG_METADATA!$B$4,DATOS!I:I,B94,DATOS!K:K,4)</f>
        <v>0</v>
      </c>
      <c r="P94">
        <f>COUNTIFS(DATOS!G:G,CONFIG_METADATA!$B$4,DATOS!I:I,B94,DATOS!K:K,5)</f>
        <v>0</v>
      </c>
      <c r="Q94">
        <f>COUNTIFS(DATOS!G:G,CONFIG_METADATA!$B$4,DATOS!I:I,B94,DATOS!K:K,6)</f>
        <v>0</v>
      </c>
      <c r="R94">
        <f>COUNTIFS(DATOS!G:G,CONFIG_METADATA!$B$4,DATOS!I:I,B94,DATOS!K:K,7)</f>
        <v>0</v>
      </c>
      <c r="S94">
        <f>COUNTIFS(DATOS!G:G,CONFIG_METADATA!$B$4,DATOS!I:I,B94,DATOS!K:K,8)</f>
        <v>0</v>
      </c>
      <c r="T94">
        <f>COUNTIFS(DATOS!G:G,CONFIG_METADATA!$B$4,DATOS!I:I,B94,DATOS!K:K,9)</f>
        <v>0</v>
      </c>
      <c r="U94">
        <f>COUNTIFS(DATOS!G:G,CONFIG_METADATA!$B$4,DATOS!I:I,B94,DATOS!K:K,10)</f>
        <v>0</v>
      </c>
    </row>
    <row r="95" spans="1:22">
      <c r="A95" s="3" t="inlineStr">
        <is>
          <t xml:space="preserve">2EEM</t>
        </is>
      </c>
      <c r="B95" s="3">
        <f>IFERROR(INDEX(_xlfn._xlws.FILTER(CONFIG_ASIGNATURAS!$B$2:$B$27,CONFIG_ASIGNATURAS!$G$2:$G$27="Sí"),17),"")</f>
      </c>
      <c r="C95" s="3">
        <f>IF(B95="","",IFERROR(IF(VLOOKUP(B95,CONFIG_ASIGNATURAS!$B$2:$F$27,5,FALSE())="Sí","Especialidad","Asignatura"),"Asignatura"))</f>
      </c>
      <c r="D95">
        <f>COUNTIFS(DATOS!G:G,CONFIG_METADATA!$B$4,DATOS!I:I,B95)</f>
        <v>0</v>
      </c>
      <c r="E95" s="14" t="str">
        <f>IFERROR(AVERAGEIFS(DATOS!K:K,DATOS!G:G,CONFIG_METADATA!$B$4,DATOS!I:I,B95),"—")</f>
        <v>—</v>
      </c>
      <c r="F95" s="14" t="str" cm="1">
        <f t="array" ref="F95">IFERROR(_xlfn.STDEV.P(IF((DATOS!$G$2:$G$20000=CONFIG_METADATA!$B$4)*(DATOS!$I$2:$I$20000=B95),DATOS!$K$2:$K$20000)),"—")</f>
        <v>—</v>
      </c>
      <c r="G95" t="str" cm="1">
        <f t="array" ref="G95">IFERROR(_xlfn.MODE.SNGL(IF((DATOS!$G$2:$G$20000=CONFIG_METADATA!$B$4)*(DATOS!$I$2:$I$20000=B95),DATOS!$K$2:$K$20000)),"—")</f>
        <v>—</v>
      </c>
      <c r="H95" s="15" t="str">
        <f>IFERROR(COUNTIFS(DATOS!G:G,CONFIG_METADATA!$B$4,DATOS!I:I,B95,DATOS!L:L,"S")/COUNTIFS(DATOS!G:G,CONFIG_METADATA!$B$4,DATOS!I:I,B95),"—")</f>
        <v>—</v>
      </c>
      <c r="I95" s="15" t="str">
        <f>IFERROR(COUNTIFS(DATOS!G:G,CONFIG_METADATA!$B$4,DATOS!I:I,B95,DATOS!L:L,"N")/COUNTIFS(DATOS!G:G,CONFIG_METADATA!$B$4,DATOS!I:I,B95),"—")</f>
        <v>—</v>
      </c>
      <c r="J95" t="str" cm="1">
        <f t="array" ref="J95">IFERROR(_xlfn.MODE.SNGL(IF((DATOS!$G$2:$G$20000=CONFIG_METADATA!$B$4)*(DATOS!$I$2:$I$20000=B95)*(DATOS!$L$2:$L$20000="S"),DATOS!$K$2:$K$20000)),"—")</f>
        <v>—</v>
      </c>
      <c r="K95" t="str" cm="1">
        <f t="array" ref="K95">IFERROR(_xlfn.MODE.SNGL(IF((DATOS!$G$2:$G$20000=CONFIG_METADATA!$B$4)*(DATOS!$I$2:$I$20000=B95)*(DATOS!$L$2:$L$20000="N"),DATOS!$K$2:$K$20000)),"—")</f>
        <v>—</v>
      </c>
      <c r="L95">
        <f>COUNTIFS(DATOS!G:G,CONFIG_METADATA!$B$4,DATOS!I:I,B95,DATOS!K:K,1)</f>
        <v>0</v>
      </c>
      <c r="M95">
        <f>COUNTIFS(DATOS!G:G,CONFIG_METADATA!$B$4,DATOS!I:I,B95,DATOS!K:K,2)</f>
        <v>0</v>
      </c>
      <c r="N95">
        <f>COUNTIFS(DATOS!G:G,CONFIG_METADATA!$B$4,DATOS!I:I,B95,DATOS!K:K,3)</f>
        <v>0</v>
      </c>
      <c r="O95">
        <f>COUNTIFS(DATOS!G:G,CONFIG_METADATA!$B$4,DATOS!I:I,B95,DATOS!K:K,4)</f>
        <v>0</v>
      </c>
      <c r="P95">
        <f>COUNTIFS(DATOS!G:G,CONFIG_METADATA!$B$4,DATOS!I:I,B95,DATOS!K:K,5)</f>
        <v>0</v>
      </c>
      <c r="Q95">
        <f>COUNTIFS(DATOS!G:G,CONFIG_METADATA!$B$4,DATOS!I:I,B95,DATOS!K:K,6)</f>
        <v>0</v>
      </c>
      <c r="R95">
        <f>COUNTIFS(DATOS!G:G,CONFIG_METADATA!$B$4,DATOS!I:I,B95,DATOS!K:K,7)</f>
        <v>0</v>
      </c>
      <c r="S95">
        <f>COUNTIFS(DATOS!G:G,CONFIG_METADATA!$B$4,DATOS!I:I,B95,DATOS!K:K,8)</f>
        <v>0</v>
      </c>
      <c r="T95">
        <f>COUNTIFS(DATOS!G:G,CONFIG_METADATA!$B$4,DATOS!I:I,B95,DATOS!K:K,9)</f>
        <v>0</v>
      </c>
      <c r="U95">
        <f>COUNTIFS(DATOS!G:G,CONFIG_METADATA!$B$4,DATOS!I:I,B95,DATOS!K:K,10)</f>
        <v>0</v>
      </c>
    </row>
    <row r="96" spans="1:22">
      <c r="A96" s="3" t="inlineStr">
        <is>
          <t xml:space="preserve">2EEM</t>
        </is>
      </c>
      <c r="B96" s="3">
        <f>IFERROR(INDEX(_xlfn._xlws.FILTER(CONFIG_ASIGNATURAS!$B$2:$B$27,CONFIG_ASIGNATURAS!$G$2:$G$27="Sí"),18),"")</f>
      </c>
      <c r="C96" s="3">
        <f>IF(B96="","",IFERROR(IF(VLOOKUP(B96,CONFIG_ASIGNATURAS!$B$2:$F$27,5,FALSE())="Sí","Especialidad","Asignatura"),"Asignatura"))</f>
      </c>
      <c r="D96">
        <f>COUNTIFS(DATOS!G:G,CONFIG_METADATA!$B$4,DATOS!I:I,B96)</f>
        <v>0</v>
      </c>
      <c r="E96" s="14" t="str">
        <f>IFERROR(AVERAGEIFS(DATOS!K:K,DATOS!G:G,CONFIG_METADATA!$B$4,DATOS!I:I,B96),"—")</f>
        <v>—</v>
      </c>
      <c r="F96" s="14" t="str" cm="1">
        <f t="array" ref="F96">IFERROR(_xlfn.STDEV.P(IF((DATOS!$G$2:$G$20000=CONFIG_METADATA!$B$4)*(DATOS!$I$2:$I$20000=B96),DATOS!$K$2:$K$20000)),"—")</f>
        <v>—</v>
      </c>
      <c r="G96" t="str" cm="1">
        <f t="array" ref="G96">IFERROR(_xlfn.MODE.SNGL(IF((DATOS!$G$2:$G$20000=CONFIG_METADATA!$B$4)*(DATOS!$I$2:$I$20000=B96),DATOS!$K$2:$K$20000)),"—")</f>
        <v>—</v>
      </c>
      <c r="H96" s="15" t="str">
        <f>IFERROR(COUNTIFS(DATOS!G:G,CONFIG_METADATA!$B$4,DATOS!I:I,B96,DATOS!L:L,"S")/COUNTIFS(DATOS!G:G,CONFIG_METADATA!$B$4,DATOS!I:I,B96),"—")</f>
        <v>—</v>
      </c>
      <c r="I96" s="15" t="str">
        <f>IFERROR(COUNTIFS(DATOS!G:G,CONFIG_METADATA!$B$4,DATOS!I:I,B96,DATOS!L:L,"N")/COUNTIFS(DATOS!G:G,CONFIG_METADATA!$B$4,DATOS!I:I,B96),"—")</f>
        <v>—</v>
      </c>
      <c r="J96" t="str" cm="1">
        <f t="array" ref="J96">IFERROR(_xlfn.MODE.SNGL(IF((DATOS!$G$2:$G$20000=CONFIG_METADATA!$B$4)*(DATOS!$I$2:$I$20000=B96)*(DATOS!$L$2:$L$20000="S"),DATOS!$K$2:$K$20000)),"—")</f>
        <v>—</v>
      </c>
      <c r="K96" t="str" cm="1">
        <f t="array" ref="K96">IFERROR(_xlfn.MODE.SNGL(IF((DATOS!$G$2:$G$20000=CONFIG_METADATA!$B$4)*(DATOS!$I$2:$I$20000=B96)*(DATOS!$L$2:$L$20000="N"),DATOS!$K$2:$K$20000)),"—")</f>
        <v>—</v>
      </c>
      <c r="L96">
        <f>COUNTIFS(DATOS!G:G,CONFIG_METADATA!$B$4,DATOS!I:I,B96,DATOS!K:K,1)</f>
        <v>0</v>
      </c>
      <c r="M96">
        <f>COUNTIFS(DATOS!G:G,CONFIG_METADATA!$B$4,DATOS!I:I,B96,DATOS!K:K,2)</f>
        <v>0</v>
      </c>
      <c r="N96">
        <f>COUNTIFS(DATOS!G:G,CONFIG_METADATA!$B$4,DATOS!I:I,B96,DATOS!K:K,3)</f>
        <v>0</v>
      </c>
      <c r="O96">
        <f>COUNTIFS(DATOS!G:G,CONFIG_METADATA!$B$4,DATOS!I:I,B96,DATOS!K:K,4)</f>
        <v>0</v>
      </c>
      <c r="P96">
        <f>COUNTIFS(DATOS!G:G,CONFIG_METADATA!$B$4,DATOS!I:I,B96,DATOS!K:K,5)</f>
        <v>0</v>
      </c>
      <c r="Q96">
        <f>COUNTIFS(DATOS!G:G,CONFIG_METADATA!$B$4,DATOS!I:I,B96,DATOS!K:K,6)</f>
        <v>0</v>
      </c>
      <c r="R96">
        <f>COUNTIFS(DATOS!G:G,CONFIG_METADATA!$B$4,DATOS!I:I,B96,DATOS!K:K,7)</f>
        <v>0</v>
      </c>
      <c r="S96">
        <f>COUNTIFS(DATOS!G:G,CONFIG_METADATA!$B$4,DATOS!I:I,B96,DATOS!K:K,8)</f>
        <v>0</v>
      </c>
      <c r="T96">
        <f>COUNTIFS(DATOS!G:G,CONFIG_METADATA!$B$4,DATOS!I:I,B96,DATOS!K:K,9)</f>
        <v>0</v>
      </c>
      <c r="U96">
        <f>COUNTIFS(DATOS!G:G,CONFIG_METADATA!$B$4,DATOS!I:I,B96,DATOS!K:K,10)</f>
        <v>0</v>
      </c>
    </row>
    <row r="97" spans="1:22">
      <c r="A97" s="3" t="inlineStr">
        <is>
          <t xml:space="preserve">2EEM</t>
        </is>
      </c>
      <c r="B97" s="3">
        <f>IFERROR(INDEX(_xlfn._xlws.FILTER(CONFIG_ASIGNATURAS!$B$2:$B$27,CONFIG_ASIGNATURAS!$G$2:$G$27="Sí"),19),"")</f>
      </c>
      <c r="C97" s="3">
        <f>IF(B97="","",IFERROR(IF(VLOOKUP(B97,CONFIG_ASIGNATURAS!$B$2:$F$27,5,FALSE())="Sí","Especialidad","Asignatura"),"Asignatura"))</f>
      </c>
      <c r="D97">
        <f>COUNTIFS(DATOS!G:G,CONFIG_METADATA!$B$4,DATOS!I:I,B97)</f>
        <v>0</v>
      </c>
      <c r="E97" s="14" t="str">
        <f>IFERROR(AVERAGEIFS(DATOS!K:K,DATOS!G:G,CONFIG_METADATA!$B$4,DATOS!I:I,B97),"—")</f>
        <v>—</v>
      </c>
      <c r="F97" s="14" t="str" cm="1">
        <f t="array" ref="F97">IFERROR(_xlfn.STDEV.P(IF((DATOS!$G$2:$G$20000=CONFIG_METADATA!$B$4)*(DATOS!$I$2:$I$20000=B97),DATOS!$K$2:$K$20000)),"—")</f>
        <v>—</v>
      </c>
      <c r="G97" t="str" cm="1">
        <f t="array" ref="G97">IFERROR(_xlfn.MODE.SNGL(IF((DATOS!$G$2:$G$20000=CONFIG_METADATA!$B$4)*(DATOS!$I$2:$I$20000=B97),DATOS!$K$2:$K$20000)),"—")</f>
        <v>—</v>
      </c>
      <c r="H97" s="15" t="str">
        <f>IFERROR(COUNTIFS(DATOS!G:G,CONFIG_METADATA!$B$4,DATOS!I:I,B97,DATOS!L:L,"S")/COUNTIFS(DATOS!G:G,CONFIG_METADATA!$B$4,DATOS!I:I,B97),"—")</f>
        <v>—</v>
      </c>
      <c r="I97" s="15" t="str">
        <f>IFERROR(COUNTIFS(DATOS!G:G,CONFIG_METADATA!$B$4,DATOS!I:I,B97,DATOS!L:L,"N")/COUNTIFS(DATOS!G:G,CONFIG_METADATA!$B$4,DATOS!I:I,B97),"—")</f>
        <v>—</v>
      </c>
      <c r="J97" t="str" cm="1">
        <f t="array" ref="J97">IFERROR(_xlfn.MODE.SNGL(IF((DATOS!$G$2:$G$20000=CONFIG_METADATA!$B$4)*(DATOS!$I$2:$I$20000=B97)*(DATOS!$L$2:$L$20000="S"),DATOS!$K$2:$K$20000)),"—")</f>
        <v>—</v>
      </c>
      <c r="K97" t="str" cm="1">
        <f t="array" ref="K97">IFERROR(_xlfn.MODE.SNGL(IF((DATOS!$G$2:$G$20000=CONFIG_METADATA!$B$4)*(DATOS!$I$2:$I$20000=B97)*(DATOS!$L$2:$L$20000="N"),DATOS!$K$2:$K$20000)),"—")</f>
        <v>—</v>
      </c>
      <c r="L97">
        <f>COUNTIFS(DATOS!G:G,CONFIG_METADATA!$B$4,DATOS!I:I,B97,DATOS!K:K,1)</f>
        <v>0</v>
      </c>
      <c r="M97">
        <f>COUNTIFS(DATOS!G:G,CONFIG_METADATA!$B$4,DATOS!I:I,B97,DATOS!K:K,2)</f>
        <v>0</v>
      </c>
      <c r="N97">
        <f>COUNTIFS(DATOS!G:G,CONFIG_METADATA!$B$4,DATOS!I:I,B97,DATOS!K:K,3)</f>
        <v>0</v>
      </c>
      <c r="O97">
        <f>COUNTIFS(DATOS!G:G,CONFIG_METADATA!$B$4,DATOS!I:I,B97,DATOS!K:K,4)</f>
        <v>0</v>
      </c>
      <c r="P97">
        <f>COUNTIFS(DATOS!G:G,CONFIG_METADATA!$B$4,DATOS!I:I,B97,DATOS!K:K,5)</f>
        <v>0</v>
      </c>
      <c r="Q97">
        <f>COUNTIFS(DATOS!G:G,CONFIG_METADATA!$B$4,DATOS!I:I,B97,DATOS!K:K,6)</f>
        <v>0</v>
      </c>
      <c r="R97">
        <f>COUNTIFS(DATOS!G:G,CONFIG_METADATA!$B$4,DATOS!I:I,B97,DATOS!K:K,7)</f>
        <v>0</v>
      </c>
      <c r="S97">
        <f>COUNTIFS(DATOS!G:G,CONFIG_METADATA!$B$4,DATOS!I:I,B97,DATOS!K:K,8)</f>
        <v>0</v>
      </c>
      <c r="T97">
        <f>COUNTIFS(DATOS!G:G,CONFIG_METADATA!$B$4,DATOS!I:I,B97,DATOS!K:K,9)</f>
        <v>0</v>
      </c>
      <c r="U97">
        <f>COUNTIFS(DATOS!G:G,CONFIG_METADATA!$B$4,DATOS!I:I,B97,DATOS!K:K,10)</f>
        <v>0</v>
      </c>
    </row>
    <row r="98" spans="1:22">
      <c r="A98" s="3" t="inlineStr">
        <is>
          <t xml:space="preserve">2EEM</t>
        </is>
      </c>
      <c r="B98" s="3">
        <f>IFERROR(INDEX(_xlfn._xlws.FILTER(CONFIG_ASIGNATURAS!$B$2:$B$27,CONFIG_ASIGNATURAS!$G$2:$G$27="Sí"),20),"")</f>
      </c>
      <c r="C98" s="3">
        <f>IF(B98="","",IFERROR(IF(VLOOKUP(B98,CONFIG_ASIGNATURAS!$B$2:$F$27,5,FALSE())="Sí","Especialidad","Asignatura"),"Asignatura"))</f>
      </c>
      <c r="D98">
        <f>COUNTIFS(DATOS!G:G,CONFIG_METADATA!$B$4,DATOS!I:I,B98)</f>
        <v>0</v>
      </c>
      <c r="E98" s="14" t="str">
        <f>IFERROR(AVERAGEIFS(DATOS!K:K,DATOS!G:G,CONFIG_METADATA!$B$4,DATOS!I:I,B98),"—")</f>
        <v>—</v>
      </c>
      <c r="F98" s="14" t="str" cm="1">
        <f t="array" ref="F98">IFERROR(_xlfn.STDEV.P(IF((DATOS!$G$2:$G$20000=CONFIG_METADATA!$B$4)*(DATOS!$I$2:$I$20000=B98),DATOS!$K$2:$K$20000)),"—")</f>
        <v>—</v>
      </c>
      <c r="G98" t="str" cm="1">
        <f t="array" ref="G98">IFERROR(_xlfn.MODE.SNGL(IF((DATOS!$G$2:$G$20000=CONFIG_METADATA!$B$4)*(DATOS!$I$2:$I$20000=B98),DATOS!$K$2:$K$20000)),"—")</f>
        <v>—</v>
      </c>
      <c r="H98" s="15" t="str">
        <f>IFERROR(COUNTIFS(DATOS!G:G,CONFIG_METADATA!$B$4,DATOS!I:I,B98,DATOS!L:L,"S")/COUNTIFS(DATOS!G:G,CONFIG_METADATA!$B$4,DATOS!I:I,B98),"—")</f>
        <v>—</v>
      </c>
      <c r="I98" s="15" t="str">
        <f>IFERROR(COUNTIFS(DATOS!G:G,CONFIG_METADATA!$B$4,DATOS!I:I,B98,DATOS!L:L,"N")/COUNTIFS(DATOS!G:G,CONFIG_METADATA!$B$4,DATOS!I:I,B98),"—")</f>
        <v>—</v>
      </c>
      <c r="J98" t="str" cm="1">
        <f t="array" ref="J98">IFERROR(_xlfn.MODE.SNGL(IF((DATOS!$G$2:$G$20000=CONFIG_METADATA!$B$4)*(DATOS!$I$2:$I$20000=B98)*(DATOS!$L$2:$L$20000="S"),DATOS!$K$2:$K$20000)),"—")</f>
        <v>—</v>
      </c>
      <c r="K98" t="str" cm="1">
        <f t="array" ref="K98">IFERROR(_xlfn.MODE.SNGL(IF((DATOS!$G$2:$G$20000=CONFIG_METADATA!$B$4)*(DATOS!$I$2:$I$20000=B98)*(DATOS!$L$2:$L$20000="N"),DATOS!$K$2:$K$20000)),"—")</f>
        <v>—</v>
      </c>
      <c r="L98">
        <f>COUNTIFS(DATOS!G:G,CONFIG_METADATA!$B$4,DATOS!I:I,B98,DATOS!K:K,1)</f>
        <v>0</v>
      </c>
      <c r="M98">
        <f>COUNTIFS(DATOS!G:G,CONFIG_METADATA!$B$4,DATOS!I:I,B98,DATOS!K:K,2)</f>
        <v>0</v>
      </c>
      <c r="N98">
        <f>COUNTIFS(DATOS!G:G,CONFIG_METADATA!$B$4,DATOS!I:I,B98,DATOS!K:K,3)</f>
        <v>0</v>
      </c>
      <c r="O98">
        <f>COUNTIFS(DATOS!G:G,CONFIG_METADATA!$B$4,DATOS!I:I,B98,DATOS!K:K,4)</f>
        <v>0</v>
      </c>
      <c r="P98">
        <f>COUNTIFS(DATOS!G:G,CONFIG_METADATA!$B$4,DATOS!I:I,B98,DATOS!K:K,5)</f>
        <v>0</v>
      </c>
      <c r="Q98">
        <f>COUNTIFS(DATOS!G:G,CONFIG_METADATA!$B$4,DATOS!I:I,B98,DATOS!K:K,6)</f>
        <v>0</v>
      </c>
      <c r="R98">
        <f>COUNTIFS(DATOS!G:G,CONFIG_METADATA!$B$4,DATOS!I:I,B98,DATOS!K:K,7)</f>
        <v>0</v>
      </c>
      <c r="S98">
        <f>COUNTIFS(DATOS!G:G,CONFIG_METADATA!$B$4,DATOS!I:I,B98,DATOS!K:K,8)</f>
        <v>0</v>
      </c>
      <c r="T98">
        <f>COUNTIFS(DATOS!G:G,CONFIG_METADATA!$B$4,DATOS!I:I,B98,DATOS!K:K,9)</f>
        <v>0</v>
      </c>
      <c r="U98">
        <f>COUNTIFS(DATOS!G:G,CONFIG_METADATA!$B$4,DATOS!I:I,B98,DATOS!K:K,10)</f>
        <v>0</v>
      </c>
    </row>
    <row r="99" spans="1:22">
      <c r="A99" s="3" t="inlineStr">
        <is>
          <t xml:space="preserve">2EEM</t>
        </is>
      </c>
      <c r="B99" s="3">
        <f>IFERROR(INDEX(_xlfn._xlws.FILTER(CONFIG_ASIGNATURAS!$B$2:$B$27,CONFIG_ASIGNATURAS!$G$2:$G$27="Sí"),21),"")</f>
      </c>
      <c r="C99" s="3">
        <f>IF(B99="","",IFERROR(IF(VLOOKUP(B99,CONFIG_ASIGNATURAS!$B$2:$F$27,5,FALSE())="Sí","Especialidad","Asignatura"),"Asignatura"))</f>
      </c>
      <c r="D99">
        <f>COUNTIFS(DATOS!G:G,CONFIG_METADATA!$B$4,DATOS!I:I,B99)</f>
        <v>0</v>
      </c>
      <c r="E99" s="14" t="str">
        <f>IFERROR(AVERAGEIFS(DATOS!K:K,DATOS!G:G,CONFIG_METADATA!$B$4,DATOS!I:I,B99),"—")</f>
        <v>—</v>
      </c>
      <c r="F99" s="14" t="str" cm="1">
        <f t="array" ref="F99">IFERROR(_xlfn.STDEV.P(IF((DATOS!$G$2:$G$20000=CONFIG_METADATA!$B$4)*(DATOS!$I$2:$I$20000=B99),DATOS!$K$2:$K$20000)),"—")</f>
        <v>—</v>
      </c>
      <c r="G99" t="str" cm="1">
        <f t="array" ref="G99">IFERROR(_xlfn.MODE.SNGL(IF((DATOS!$G$2:$G$20000=CONFIG_METADATA!$B$4)*(DATOS!$I$2:$I$20000=B99),DATOS!$K$2:$K$20000)),"—")</f>
        <v>—</v>
      </c>
      <c r="H99" s="15" t="str">
        <f>IFERROR(COUNTIFS(DATOS!G:G,CONFIG_METADATA!$B$4,DATOS!I:I,B99,DATOS!L:L,"S")/COUNTIFS(DATOS!G:G,CONFIG_METADATA!$B$4,DATOS!I:I,B99),"—")</f>
        <v>—</v>
      </c>
      <c r="I99" s="15" t="str">
        <f>IFERROR(COUNTIFS(DATOS!G:G,CONFIG_METADATA!$B$4,DATOS!I:I,B99,DATOS!L:L,"N")/COUNTIFS(DATOS!G:G,CONFIG_METADATA!$B$4,DATOS!I:I,B99),"—")</f>
        <v>—</v>
      </c>
      <c r="J99" t="str" cm="1">
        <f t="array" ref="J99">IFERROR(_xlfn.MODE.SNGL(IF((DATOS!$G$2:$G$20000=CONFIG_METADATA!$B$4)*(DATOS!$I$2:$I$20000=B99)*(DATOS!$L$2:$L$20000="S"),DATOS!$K$2:$K$20000)),"—")</f>
        <v>—</v>
      </c>
      <c r="K99" t="str" cm="1">
        <f t="array" ref="K99">IFERROR(_xlfn.MODE.SNGL(IF((DATOS!$G$2:$G$20000=CONFIG_METADATA!$B$4)*(DATOS!$I$2:$I$20000=B99)*(DATOS!$L$2:$L$20000="N"),DATOS!$K$2:$K$20000)),"—")</f>
        <v>—</v>
      </c>
      <c r="L99">
        <f>COUNTIFS(DATOS!G:G,CONFIG_METADATA!$B$4,DATOS!I:I,B99,DATOS!K:K,1)</f>
        <v>0</v>
      </c>
      <c r="M99">
        <f>COUNTIFS(DATOS!G:G,CONFIG_METADATA!$B$4,DATOS!I:I,B99,DATOS!K:K,2)</f>
        <v>0</v>
      </c>
      <c r="N99">
        <f>COUNTIFS(DATOS!G:G,CONFIG_METADATA!$B$4,DATOS!I:I,B99,DATOS!K:K,3)</f>
        <v>0</v>
      </c>
      <c r="O99">
        <f>COUNTIFS(DATOS!G:G,CONFIG_METADATA!$B$4,DATOS!I:I,B99,DATOS!K:K,4)</f>
        <v>0</v>
      </c>
      <c r="P99">
        <f>COUNTIFS(DATOS!G:G,CONFIG_METADATA!$B$4,DATOS!I:I,B99,DATOS!K:K,5)</f>
        <v>0</v>
      </c>
      <c r="Q99">
        <f>COUNTIFS(DATOS!G:G,CONFIG_METADATA!$B$4,DATOS!I:I,B99,DATOS!K:K,6)</f>
        <v>0</v>
      </c>
      <c r="R99">
        <f>COUNTIFS(DATOS!G:G,CONFIG_METADATA!$B$4,DATOS!I:I,B99,DATOS!K:K,7)</f>
        <v>0</v>
      </c>
      <c r="S99">
        <f>COUNTIFS(DATOS!G:G,CONFIG_METADATA!$B$4,DATOS!I:I,B99,DATOS!K:K,8)</f>
        <v>0</v>
      </c>
      <c r="T99">
        <f>COUNTIFS(DATOS!G:G,CONFIG_METADATA!$B$4,DATOS!I:I,B99,DATOS!K:K,9)</f>
        <v>0</v>
      </c>
      <c r="U99">
        <f>COUNTIFS(DATOS!G:G,CONFIG_METADATA!$B$4,DATOS!I:I,B99,DATOS!K:K,10)</f>
        <v>0</v>
      </c>
    </row>
    <row r="100" spans="1:22">
      <c r="A100" s="3" t="inlineStr">
        <is>
          <t xml:space="preserve">2EEM</t>
        </is>
      </c>
      <c r="B100" s="3">
        <f>IFERROR(INDEX(_xlfn._xlws.FILTER(CONFIG_ASIGNATURAS!$B$2:$B$27,CONFIG_ASIGNATURAS!$G$2:$G$27="Sí"),22),"")</f>
      </c>
      <c r="C100" s="3">
        <f>IF(B100="","",IFERROR(IF(VLOOKUP(B100,CONFIG_ASIGNATURAS!$B$2:$F$27,5,FALSE())="Sí","Especialidad","Asignatura"),"Asignatura"))</f>
      </c>
      <c r="D100">
        <f>COUNTIFS(DATOS!G:G,CONFIG_METADATA!$B$4,DATOS!I:I,B100)</f>
        <v>0</v>
      </c>
      <c r="E100" s="14" t="str">
        <f>IFERROR(AVERAGEIFS(DATOS!K:K,DATOS!G:G,CONFIG_METADATA!$B$4,DATOS!I:I,B100),"—")</f>
        <v>—</v>
      </c>
      <c r="F100" s="14" t="str" cm="1">
        <f t="array" ref="F100">IFERROR(_xlfn.STDEV.P(IF((DATOS!$G$2:$G$20000=CONFIG_METADATA!$B$4)*(DATOS!$I$2:$I$20000=B100),DATOS!$K$2:$K$20000)),"—")</f>
        <v>—</v>
      </c>
      <c r="G100" t="str" cm="1">
        <f t="array" ref="G100">IFERROR(_xlfn.MODE.SNGL(IF((DATOS!$G$2:$G$20000=CONFIG_METADATA!$B$4)*(DATOS!$I$2:$I$20000=B100),DATOS!$K$2:$K$20000)),"—")</f>
        <v>—</v>
      </c>
      <c r="H100" s="15" t="str">
        <f>IFERROR(COUNTIFS(DATOS!G:G,CONFIG_METADATA!$B$4,DATOS!I:I,B100,DATOS!L:L,"S")/COUNTIFS(DATOS!G:G,CONFIG_METADATA!$B$4,DATOS!I:I,B100),"—")</f>
        <v>—</v>
      </c>
      <c r="I100" s="15" t="str">
        <f>IFERROR(COUNTIFS(DATOS!G:G,CONFIG_METADATA!$B$4,DATOS!I:I,B100,DATOS!L:L,"N")/COUNTIFS(DATOS!G:G,CONFIG_METADATA!$B$4,DATOS!I:I,B100),"—")</f>
        <v>—</v>
      </c>
      <c r="J100" t="str" cm="1">
        <f t="array" ref="J100">IFERROR(_xlfn.MODE.SNGL(IF((DATOS!$G$2:$G$20000=CONFIG_METADATA!$B$4)*(DATOS!$I$2:$I$20000=B100)*(DATOS!$L$2:$L$20000="S"),DATOS!$K$2:$K$20000)),"—")</f>
        <v>—</v>
      </c>
      <c r="K100" t="str" cm="1">
        <f t="array" ref="K100">IFERROR(_xlfn.MODE.SNGL(IF((DATOS!$G$2:$G$20000=CONFIG_METADATA!$B$4)*(DATOS!$I$2:$I$20000=B100)*(DATOS!$L$2:$L$20000="N"),DATOS!$K$2:$K$20000)),"—")</f>
        <v>—</v>
      </c>
      <c r="L100">
        <f>COUNTIFS(DATOS!G:G,CONFIG_METADATA!$B$4,DATOS!I:I,B100,DATOS!K:K,1)</f>
        <v>0</v>
      </c>
      <c r="M100">
        <f>COUNTIFS(DATOS!G:G,CONFIG_METADATA!$B$4,DATOS!I:I,B100,DATOS!K:K,2)</f>
        <v>0</v>
      </c>
      <c r="N100">
        <f>COUNTIFS(DATOS!G:G,CONFIG_METADATA!$B$4,DATOS!I:I,B100,DATOS!K:K,3)</f>
        <v>0</v>
      </c>
      <c r="O100">
        <f>COUNTIFS(DATOS!G:G,CONFIG_METADATA!$B$4,DATOS!I:I,B100,DATOS!K:K,4)</f>
        <v>0</v>
      </c>
      <c r="P100">
        <f>COUNTIFS(DATOS!G:G,CONFIG_METADATA!$B$4,DATOS!I:I,B100,DATOS!K:K,5)</f>
        <v>0</v>
      </c>
      <c r="Q100">
        <f>COUNTIFS(DATOS!G:G,CONFIG_METADATA!$B$4,DATOS!I:I,B100,DATOS!K:K,6)</f>
        <v>0</v>
      </c>
      <c r="R100">
        <f>COUNTIFS(DATOS!G:G,CONFIG_METADATA!$B$4,DATOS!I:I,B100,DATOS!K:K,7)</f>
        <v>0</v>
      </c>
      <c r="S100">
        <f>COUNTIFS(DATOS!G:G,CONFIG_METADATA!$B$4,DATOS!I:I,B100,DATOS!K:K,8)</f>
        <v>0</v>
      </c>
      <c r="T100">
        <f>COUNTIFS(DATOS!G:G,CONFIG_METADATA!$B$4,DATOS!I:I,B100,DATOS!K:K,9)</f>
        <v>0</v>
      </c>
      <c r="U100">
        <f>COUNTIFS(DATOS!G:G,CONFIG_METADATA!$B$4,DATOS!I:I,B100,DATOS!K:K,10)</f>
        <v>0</v>
      </c>
    </row>
    <row r="101" spans="1:22">
      <c r="A101" s="3" t="inlineStr">
        <is>
          <t xml:space="preserve">2EEM</t>
        </is>
      </c>
      <c r="B101" s="3">
        <f>IFERROR(INDEX(_xlfn._xlws.FILTER(CONFIG_ASIGNATURAS!$B$2:$B$27,CONFIG_ASIGNATURAS!$G$2:$G$27="Sí"),23),"")</f>
      </c>
      <c r="C101" s="3">
        <f>IF(B101="","",IFERROR(IF(VLOOKUP(B101,CONFIG_ASIGNATURAS!$B$2:$F$27,5,FALSE())="Sí","Especialidad","Asignatura"),"Asignatura"))</f>
      </c>
      <c r="D101">
        <f>COUNTIFS(DATOS!G:G,CONFIG_METADATA!$B$4,DATOS!I:I,B101)</f>
        <v>0</v>
      </c>
      <c r="E101" s="14" t="str">
        <f>IFERROR(AVERAGEIFS(DATOS!K:K,DATOS!G:G,CONFIG_METADATA!$B$4,DATOS!I:I,B101),"—")</f>
        <v>—</v>
      </c>
      <c r="F101" s="14" t="str" cm="1">
        <f t="array" ref="F101">IFERROR(_xlfn.STDEV.P(IF((DATOS!$G$2:$G$20000=CONFIG_METADATA!$B$4)*(DATOS!$I$2:$I$20000=B101),DATOS!$K$2:$K$20000)),"—")</f>
        <v>—</v>
      </c>
      <c r="G101" t="str" cm="1">
        <f t="array" ref="G101">IFERROR(_xlfn.MODE.SNGL(IF((DATOS!$G$2:$G$20000=CONFIG_METADATA!$B$4)*(DATOS!$I$2:$I$20000=B101),DATOS!$K$2:$K$20000)),"—")</f>
        <v>—</v>
      </c>
      <c r="H101" s="15" t="str">
        <f>IFERROR(COUNTIFS(DATOS!G:G,CONFIG_METADATA!$B$4,DATOS!I:I,B101,DATOS!L:L,"S")/COUNTIFS(DATOS!G:G,CONFIG_METADATA!$B$4,DATOS!I:I,B101),"—")</f>
        <v>—</v>
      </c>
      <c r="I101" s="15" t="str">
        <f>IFERROR(COUNTIFS(DATOS!G:G,CONFIG_METADATA!$B$4,DATOS!I:I,B101,DATOS!L:L,"N")/COUNTIFS(DATOS!G:G,CONFIG_METADATA!$B$4,DATOS!I:I,B101),"—")</f>
        <v>—</v>
      </c>
      <c r="J101" t="str" cm="1">
        <f t="array" ref="J101">IFERROR(_xlfn.MODE.SNGL(IF((DATOS!$G$2:$G$20000=CONFIG_METADATA!$B$4)*(DATOS!$I$2:$I$20000=B101)*(DATOS!$L$2:$L$20000="S"),DATOS!$K$2:$K$20000)),"—")</f>
        <v>—</v>
      </c>
      <c r="K101" t="str" cm="1">
        <f t="array" ref="K101">IFERROR(_xlfn.MODE.SNGL(IF((DATOS!$G$2:$G$20000=CONFIG_METADATA!$B$4)*(DATOS!$I$2:$I$20000=B101)*(DATOS!$L$2:$L$20000="N"),DATOS!$K$2:$K$20000)),"—")</f>
        <v>—</v>
      </c>
      <c r="L101">
        <f>COUNTIFS(DATOS!G:G,CONFIG_METADATA!$B$4,DATOS!I:I,B101,DATOS!K:K,1)</f>
        <v>0</v>
      </c>
      <c r="M101">
        <f>COUNTIFS(DATOS!G:G,CONFIG_METADATA!$B$4,DATOS!I:I,B101,DATOS!K:K,2)</f>
        <v>0</v>
      </c>
      <c r="N101">
        <f>COUNTIFS(DATOS!G:G,CONFIG_METADATA!$B$4,DATOS!I:I,B101,DATOS!K:K,3)</f>
        <v>0</v>
      </c>
      <c r="O101">
        <f>COUNTIFS(DATOS!G:G,CONFIG_METADATA!$B$4,DATOS!I:I,B101,DATOS!K:K,4)</f>
        <v>0</v>
      </c>
      <c r="P101">
        <f>COUNTIFS(DATOS!G:G,CONFIG_METADATA!$B$4,DATOS!I:I,B101,DATOS!K:K,5)</f>
        <v>0</v>
      </c>
      <c r="Q101">
        <f>COUNTIFS(DATOS!G:G,CONFIG_METADATA!$B$4,DATOS!I:I,B101,DATOS!K:K,6)</f>
        <v>0</v>
      </c>
      <c r="R101">
        <f>COUNTIFS(DATOS!G:G,CONFIG_METADATA!$B$4,DATOS!I:I,B101,DATOS!K:K,7)</f>
        <v>0</v>
      </c>
      <c r="S101">
        <f>COUNTIFS(DATOS!G:G,CONFIG_METADATA!$B$4,DATOS!I:I,B101,DATOS!K:K,8)</f>
        <v>0</v>
      </c>
      <c r="T101">
        <f>COUNTIFS(DATOS!G:G,CONFIG_METADATA!$B$4,DATOS!I:I,B101,DATOS!K:K,9)</f>
        <v>0</v>
      </c>
      <c r="U101">
        <f>COUNTIFS(DATOS!G:G,CONFIG_METADATA!$B$4,DATOS!I:I,B101,DATOS!K:K,10)</f>
        <v>0</v>
      </c>
    </row>
    <row r="102" spans="1:22">
      <c r="A102" s="3" t="inlineStr">
        <is>
          <t xml:space="preserve">2EEM</t>
        </is>
      </c>
      <c r="B102" s="3">
        <f>IFERROR(INDEX(_xlfn._xlws.FILTER(CONFIG_ASIGNATURAS!$B$2:$B$27,CONFIG_ASIGNATURAS!$G$2:$G$27="Sí"),24),"")</f>
      </c>
      <c r="C102" s="3">
        <f>IF(B102="","",IFERROR(IF(VLOOKUP(B102,CONFIG_ASIGNATURAS!$B$2:$F$27,5,FALSE())="Sí","Especialidad","Asignatura"),"Asignatura"))</f>
      </c>
      <c r="D102">
        <f>COUNTIFS(DATOS!G:G,CONFIG_METADATA!$B$4,DATOS!I:I,B102)</f>
        <v>0</v>
      </c>
      <c r="E102" s="14" t="str">
        <f>IFERROR(AVERAGEIFS(DATOS!K:K,DATOS!G:G,CONFIG_METADATA!$B$4,DATOS!I:I,B102),"—")</f>
        <v>—</v>
      </c>
      <c r="F102" s="14" t="str" cm="1">
        <f t="array" ref="F102">IFERROR(_xlfn.STDEV.P(IF((DATOS!$G$2:$G$20000=CONFIG_METADATA!$B$4)*(DATOS!$I$2:$I$20000=B102),DATOS!$K$2:$K$20000)),"—")</f>
        <v>—</v>
      </c>
      <c r="G102" t="str" cm="1">
        <f t="array" ref="G102">IFERROR(_xlfn.MODE.SNGL(IF((DATOS!$G$2:$G$20000=CONFIG_METADATA!$B$4)*(DATOS!$I$2:$I$20000=B102),DATOS!$K$2:$K$20000)),"—")</f>
        <v>—</v>
      </c>
      <c r="H102" s="15" t="str">
        <f>IFERROR(COUNTIFS(DATOS!G:G,CONFIG_METADATA!$B$4,DATOS!I:I,B102,DATOS!L:L,"S")/COUNTIFS(DATOS!G:G,CONFIG_METADATA!$B$4,DATOS!I:I,B102),"—")</f>
        <v>—</v>
      </c>
      <c r="I102" s="15" t="str">
        <f>IFERROR(COUNTIFS(DATOS!G:G,CONFIG_METADATA!$B$4,DATOS!I:I,B102,DATOS!L:L,"N")/COUNTIFS(DATOS!G:G,CONFIG_METADATA!$B$4,DATOS!I:I,B102),"—")</f>
        <v>—</v>
      </c>
      <c r="J102" t="str" cm="1">
        <f t="array" ref="J102">IFERROR(_xlfn.MODE.SNGL(IF((DATOS!$G$2:$G$20000=CONFIG_METADATA!$B$4)*(DATOS!$I$2:$I$20000=B102)*(DATOS!$L$2:$L$20000="S"),DATOS!$K$2:$K$20000)),"—")</f>
        <v>—</v>
      </c>
      <c r="K102" t="str" cm="1">
        <f t="array" ref="K102">IFERROR(_xlfn.MODE.SNGL(IF((DATOS!$G$2:$G$20000=CONFIG_METADATA!$B$4)*(DATOS!$I$2:$I$20000=B102)*(DATOS!$L$2:$L$20000="N"),DATOS!$K$2:$K$20000)),"—")</f>
        <v>—</v>
      </c>
      <c r="L102">
        <f>COUNTIFS(DATOS!G:G,CONFIG_METADATA!$B$4,DATOS!I:I,B102,DATOS!K:K,1)</f>
        <v>0</v>
      </c>
      <c r="M102">
        <f>COUNTIFS(DATOS!G:G,CONFIG_METADATA!$B$4,DATOS!I:I,B102,DATOS!K:K,2)</f>
        <v>0</v>
      </c>
      <c r="N102">
        <f>COUNTIFS(DATOS!G:G,CONFIG_METADATA!$B$4,DATOS!I:I,B102,DATOS!K:K,3)</f>
        <v>0</v>
      </c>
      <c r="O102">
        <f>COUNTIFS(DATOS!G:G,CONFIG_METADATA!$B$4,DATOS!I:I,B102,DATOS!K:K,4)</f>
        <v>0</v>
      </c>
      <c r="P102">
        <f>COUNTIFS(DATOS!G:G,CONFIG_METADATA!$B$4,DATOS!I:I,B102,DATOS!K:K,5)</f>
        <v>0</v>
      </c>
      <c r="Q102">
        <f>COUNTIFS(DATOS!G:G,CONFIG_METADATA!$B$4,DATOS!I:I,B102,DATOS!K:K,6)</f>
        <v>0</v>
      </c>
      <c r="R102">
        <f>COUNTIFS(DATOS!G:G,CONFIG_METADATA!$B$4,DATOS!I:I,B102,DATOS!K:K,7)</f>
        <v>0</v>
      </c>
      <c r="S102">
        <f>COUNTIFS(DATOS!G:G,CONFIG_METADATA!$B$4,DATOS!I:I,B102,DATOS!K:K,8)</f>
        <v>0</v>
      </c>
      <c r="T102">
        <f>COUNTIFS(DATOS!G:G,CONFIG_METADATA!$B$4,DATOS!I:I,B102,DATOS!K:K,9)</f>
        <v>0</v>
      </c>
      <c r="U102">
        <f>COUNTIFS(DATOS!G:G,CONFIG_METADATA!$B$4,DATOS!I:I,B102,DATOS!K:K,10)</f>
        <v>0</v>
      </c>
    </row>
    <row r="103" spans="1:22">
      <c r="A103" s="3" t="inlineStr">
        <is>
          <t xml:space="preserve">2EEM</t>
        </is>
      </c>
      <c r="B103" s="3">
        <f>IFERROR(INDEX(_xlfn._xlws.FILTER(CONFIG_ASIGNATURAS!$B$2:$B$27,CONFIG_ASIGNATURAS!$G$2:$G$27="Sí"),25),"")</f>
      </c>
      <c r="C103" s="3">
        <f>IF(B103="","",IFERROR(IF(VLOOKUP(B103,CONFIG_ASIGNATURAS!$B$2:$F$27,5,FALSE())="Sí","Especialidad","Asignatura"),"Asignatura"))</f>
      </c>
      <c r="D103">
        <f>COUNTIFS(DATOS!G:G,CONFIG_METADATA!$B$4,DATOS!I:I,B103)</f>
        <v>0</v>
      </c>
      <c r="E103" s="14" t="str">
        <f>IFERROR(AVERAGEIFS(DATOS!K:K,DATOS!G:G,CONFIG_METADATA!$B$4,DATOS!I:I,B103),"—")</f>
        <v>—</v>
      </c>
      <c r="F103" s="14" t="str" cm="1">
        <f t="array" ref="F103">IFERROR(_xlfn.STDEV.P(IF((DATOS!$G$2:$G$20000=CONFIG_METADATA!$B$4)*(DATOS!$I$2:$I$20000=B103),DATOS!$K$2:$K$20000)),"—")</f>
        <v>—</v>
      </c>
      <c r="G103" t="str" cm="1">
        <f t="array" ref="G103">IFERROR(_xlfn.MODE.SNGL(IF((DATOS!$G$2:$G$20000=CONFIG_METADATA!$B$4)*(DATOS!$I$2:$I$20000=B103),DATOS!$K$2:$K$20000)),"—")</f>
        <v>—</v>
      </c>
      <c r="H103" s="15" t="str">
        <f>IFERROR(COUNTIFS(DATOS!G:G,CONFIG_METADATA!$B$4,DATOS!I:I,B103,DATOS!L:L,"S")/COUNTIFS(DATOS!G:G,CONFIG_METADATA!$B$4,DATOS!I:I,B103),"—")</f>
        <v>—</v>
      </c>
      <c r="I103" s="15" t="str">
        <f>IFERROR(COUNTIFS(DATOS!G:G,CONFIG_METADATA!$B$4,DATOS!I:I,B103,DATOS!L:L,"N")/COUNTIFS(DATOS!G:G,CONFIG_METADATA!$B$4,DATOS!I:I,B103),"—")</f>
        <v>—</v>
      </c>
      <c r="J103" t="str" cm="1">
        <f t="array" ref="J103">IFERROR(_xlfn.MODE.SNGL(IF((DATOS!$G$2:$G$20000=CONFIG_METADATA!$B$4)*(DATOS!$I$2:$I$20000=B103)*(DATOS!$L$2:$L$20000="S"),DATOS!$K$2:$K$20000)),"—")</f>
        <v>—</v>
      </c>
      <c r="K103" t="str" cm="1">
        <f t="array" ref="K103">IFERROR(_xlfn.MODE.SNGL(IF((DATOS!$G$2:$G$20000=CONFIG_METADATA!$B$4)*(DATOS!$I$2:$I$20000=B103)*(DATOS!$L$2:$L$20000="N"),DATOS!$K$2:$K$20000)),"—")</f>
        <v>—</v>
      </c>
      <c r="L103">
        <f>COUNTIFS(DATOS!G:G,CONFIG_METADATA!$B$4,DATOS!I:I,B103,DATOS!K:K,1)</f>
        <v>0</v>
      </c>
      <c r="M103">
        <f>COUNTIFS(DATOS!G:G,CONFIG_METADATA!$B$4,DATOS!I:I,B103,DATOS!K:K,2)</f>
        <v>0</v>
      </c>
      <c r="N103">
        <f>COUNTIFS(DATOS!G:G,CONFIG_METADATA!$B$4,DATOS!I:I,B103,DATOS!K:K,3)</f>
        <v>0</v>
      </c>
      <c r="O103">
        <f>COUNTIFS(DATOS!G:G,CONFIG_METADATA!$B$4,DATOS!I:I,B103,DATOS!K:K,4)</f>
        <v>0</v>
      </c>
      <c r="P103">
        <f>COUNTIFS(DATOS!G:G,CONFIG_METADATA!$B$4,DATOS!I:I,B103,DATOS!K:K,5)</f>
        <v>0</v>
      </c>
      <c r="Q103">
        <f>COUNTIFS(DATOS!G:G,CONFIG_METADATA!$B$4,DATOS!I:I,B103,DATOS!K:K,6)</f>
        <v>0</v>
      </c>
      <c r="R103">
        <f>COUNTIFS(DATOS!G:G,CONFIG_METADATA!$B$4,DATOS!I:I,B103,DATOS!K:K,7)</f>
        <v>0</v>
      </c>
      <c r="S103">
        <f>COUNTIFS(DATOS!G:G,CONFIG_METADATA!$B$4,DATOS!I:I,B103,DATOS!K:K,8)</f>
        <v>0</v>
      </c>
      <c r="T103">
        <f>COUNTIFS(DATOS!G:G,CONFIG_METADATA!$B$4,DATOS!I:I,B103,DATOS!K:K,9)</f>
        <v>0</v>
      </c>
      <c r="U103">
        <f>COUNTIFS(DATOS!G:G,CONFIG_METADATA!$B$4,DATOS!I:I,B103,DATOS!K:K,10)</f>
        <v>0</v>
      </c>
    </row>
    <row r="104" spans="1:22">
      <c r="A104" s="3" t="inlineStr">
        <is>
          <t xml:space="preserve">2EEM</t>
        </is>
      </c>
      <c r="B104" s="3">
        <f>IFERROR(INDEX(_xlfn._xlws.FILTER(CONFIG_ASIGNATURAS!$B$2:$B$27,CONFIG_ASIGNATURAS!$G$2:$G$27="Sí"),26),"")</f>
      </c>
      <c r="C104" s="3">
        <f>IF(B104="","",IFERROR(IF(VLOOKUP(B104,CONFIG_ASIGNATURAS!$B$2:$F$27,5,FALSE())="Sí","Especialidad","Asignatura"),"Asignatura"))</f>
      </c>
      <c r="D104">
        <f>COUNTIFS(DATOS!G:G,CONFIG_METADATA!$B$4,DATOS!I:I,B104)</f>
        <v>0</v>
      </c>
      <c r="E104" s="14" t="str">
        <f>IFERROR(AVERAGEIFS(DATOS!K:K,DATOS!G:G,CONFIG_METADATA!$B$4,DATOS!I:I,B104),"—")</f>
        <v>—</v>
      </c>
      <c r="F104" s="14" t="str" cm="1">
        <f t="array" ref="F104">IFERROR(_xlfn.STDEV.P(IF((DATOS!$G$2:$G$20000=CONFIG_METADATA!$B$4)*(DATOS!$I$2:$I$20000=B104),DATOS!$K$2:$K$20000)),"—")</f>
        <v>—</v>
      </c>
      <c r="G104" t="str" cm="1">
        <f t="array" ref="G104">IFERROR(_xlfn.MODE.SNGL(IF((DATOS!$G$2:$G$20000=CONFIG_METADATA!$B$4)*(DATOS!$I$2:$I$20000=B104),DATOS!$K$2:$K$20000)),"—")</f>
        <v>—</v>
      </c>
      <c r="H104" s="15" t="str">
        <f>IFERROR(COUNTIFS(DATOS!G:G,CONFIG_METADATA!$B$4,DATOS!I:I,B104,DATOS!L:L,"S")/COUNTIFS(DATOS!G:G,CONFIG_METADATA!$B$4,DATOS!I:I,B104),"—")</f>
        <v>—</v>
      </c>
      <c r="I104" s="15" t="str">
        <f>IFERROR(COUNTIFS(DATOS!G:G,CONFIG_METADATA!$B$4,DATOS!I:I,B104,DATOS!L:L,"N")/COUNTIFS(DATOS!G:G,CONFIG_METADATA!$B$4,DATOS!I:I,B104),"—")</f>
        <v>—</v>
      </c>
      <c r="J104" t="str" cm="1">
        <f t="array" ref="J104">IFERROR(_xlfn.MODE.SNGL(IF((DATOS!$G$2:$G$20000=CONFIG_METADATA!$B$4)*(DATOS!$I$2:$I$20000=B104)*(DATOS!$L$2:$L$20000="S"),DATOS!$K$2:$K$20000)),"—")</f>
        <v>—</v>
      </c>
      <c r="K104" t="str" cm="1">
        <f t="array" ref="K104">IFERROR(_xlfn.MODE.SNGL(IF((DATOS!$G$2:$G$20000=CONFIG_METADATA!$B$4)*(DATOS!$I$2:$I$20000=B104)*(DATOS!$L$2:$L$20000="N"),DATOS!$K$2:$K$20000)),"—")</f>
        <v>—</v>
      </c>
      <c r="L104">
        <f>COUNTIFS(DATOS!G:G,CONFIG_METADATA!$B$4,DATOS!I:I,B104,DATOS!K:K,1)</f>
        <v>0</v>
      </c>
      <c r="M104">
        <f>COUNTIFS(DATOS!G:G,CONFIG_METADATA!$B$4,DATOS!I:I,B104,DATOS!K:K,2)</f>
        <v>0</v>
      </c>
      <c r="N104">
        <f>COUNTIFS(DATOS!G:G,CONFIG_METADATA!$B$4,DATOS!I:I,B104,DATOS!K:K,3)</f>
        <v>0</v>
      </c>
      <c r="O104">
        <f>COUNTIFS(DATOS!G:G,CONFIG_METADATA!$B$4,DATOS!I:I,B104,DATOS!K:K,4)</f>
        <v>0</v>
      </c>
      <c r="P104">
        <f>COUNTIFS(DATOS!G:G,CONFIG_METADATA!$B$4,DATOS!I:I,B104,DATOS!K:K,5)</f>
        <v>0</v>
      </c>
      <c r="Q104">
        <f>COUNTIFS(DATOS!G:G,CONFIG_METADATA!$B$4,DATOS!I:I,B104,DATOS!K:K,6)</f>
        <v>0</v>
      </c>
      <c r="R104">
        <f>COUNTIFS(DATOS!G:G,CONFIG_METADATA!$B$4,DATOS!I:I,B104,DATOS!K:K,7)</f>
        <v>0</v>
      </c>
      <c r="S104">
        <f>COUNTIFS(DATOS!G:G,CONFIG_METADATA!$B$4,DATOS!I:I,B104,DATOS!K:K,8)</f>
        <v>0</v>
      </c>
      <c r="T104">
        <f>COUNTIFS(DATOS!G:G,CONFIG_METADATA!$B$4,DATOS!I:I,B104,DATOS!K:K,9)</f>
        <v>0</v>
      </c>
      <c r="U104">
        <f>COUNTIFS(DATOS!G:G,CONFIG_METADATA!$B$4,DATOS!I:I,B104,DATOS!K:K,10)</f>
        <v>0</v>
      </c>
    </row>
    <row r="105" spans="1:22">
      <c r="A105" s="3" t="inlineStr">
        <is>
          <t xml:space="preserve">2EEM</t>
        </is>
      </c>
      <c r="B105" s="3">
        <f>IFERROR(INDEX(_xlfn._xlws.FILTER(CONFIG_ASIGNATURAS!$B$2:$B$27,CONFIG_ASIGNATURAS!$G$2:$G$27="Sí"),27),"")</f>
      </c>
      <c r="C105" s="3">
        <f>IF(B105="","",IFERROR(IF(VLOOKUP(B105,CONFIG_ASIGNATURAS!$B$2:$F$27,5,FALSE())="Sí","Especialidad","Asignatura"),"Asignatura"))</f>
      </c>
      <c r="D105">
        <f>COUNTIFS(DATOS!G:G,CONFIG_METADATA!$B$4,DATOS!I:I,B105)</f>
        <v>0</v>
      </c>
      <c r="E105" s="14" t="str">
        <f>IFERROR(AVERAGEIFS(DATOS!K:K,DATOS!G:G,CONFIG_METADATA!$B$4,DATOS!I:I,B105),"—")</f>
        <v>—</v>
      </c>
      <c r="F105" s="14" t="str" cm="1">
        <f t="array" ref="F105">IFERROR(_xlfn.STDEV.P(IF((DATOS!$G$2:$G$20000=CONFIG_METADATA!$B$4)*(DATOS!$I$2:$I$20000=B105),DATOS!$K$2:$K$20000)),"—")</f>
        <v>—</v>
      </c>
      <c r="G105" t="str" cm="1">
        <f t="array" ref="G105">IFERROR(_xlfn.MODE.SNGL(IF((DATOS!$G$2:$G$20000=CONFIG_METADATA!$B$4)*(DATOS!$I$2:$I$20000=B105),DATOS!$K$2:$K$20000)),"—")</f>
        <v>—</v>
      </c>
      <c r="H105" s="15" t="str">
        <f>IFERROR(COUNTIFS(DATOS!G:G,CONFIG_METADATA!$B$4,DATOS!I:I,B105,DATOS!L:L,"S")/COUNTIFS(DATOS!G:G,CONFIG_METADATA!$B$4,DATOS!I:I,B105),"—")</f>
        <v>—</v>
      </c>
      <c r="I105" s="15" t="str">
        <f>IFERROR(COUNTIFS(DATOS!G:G,CONFIG_METADATA!$B$4,DATOS!I:I,B105,DATOS!L:L,"N")/COUNTIFS(DATOS!G:G,CONFIG_METADATA!$B$4,DATOS!I:I,B105),"—")</f>
        <v>—</v>
      </c>
      <c r="J105" t="str" cm="1">
        <f t="array" ref="J105">IFERROR(_xlfn.MODE.SNGL(IF((DATOS!$G$2:$G$20000=CONFIG_METADATA!$B$4)*(DATOS!$I$2:$I$20000=B105)*(DATOS!$L$2:$L$20000="S"),DATOS!$K$2:$K$20000)),"—")</f>
        <v>—</v>
      </c>
      <c r="K105" t="str" cm="1">
        <f t="array" ref="K105">IFERROR(_xlfn.MODE.SNGL(IF((DATOS!$G$2:$G$20000=CONFIG_METADATA!$B$4)*(DATOS!$I$2:$I$20000=B105)*(DATOS!$L$2:$L$20000="N"),DATOS!$K$2:$K$20000)),"—")</f>
        <v>—</v>
      </c>
      <c r="L105">
        <f>COUNTIFS(DATOS!G:G,CONFIG_METADATA!$B$4,DATOS!I:I,B105,DATOS!K:K,1)</f>
        <v>0</v>
      </c>
      <c r="M105">
        <f>COUNTIFS(DATOS!G:G,CONFIG_METADATA!$B$4,DATOS!I:I,B105,DATOS!K:K,2)</f>
        <v>0</v>
      </c>
      <c r="N105">
        <f>COUNTIFS(DATOS!G:G,CONFIG_METADATA!$B$4,DATOS!I:I,B105,DATOS!K:K,3)</f>
        <v>0</v>
      </c>
      <c r="O105">
        <f>COUNTIFS(DATOS!G:G,CONFIG_METADATA!$B$4,DATOS!I:I,B105,DATOS!K:K,4)</f>
        <v>0</v>
      </c>
      <c r="P105">
        <f>COUNTIFS(DATOS!G:G,CONFIG_METADATA!$B$4,DATOS!I:I,B105,DATOS!K:K,5)</f>
        <v>0</v>
      </c>
      <c r="Q105">
        <f>COUNTIFS(DATOS!G:G,CONFIG_METADATA!$B$4,DATOS!I:I,B105,DATOS!K:K,6)</f>
        <v>0</v>
      </c>
      <c r="R105">
        <f>COUNTIFS(DATOS!G:G,CONFIG_METADATA!$B$4,DATOS!I:I,B105,DATOS!K:K,7)</f>
        <v>0</v>
      </c>
      <c r="S105">
        <f>COUNTIFS(DATOS!G:G,CONFIG_METADATA!$B$4,DATOS!I:I,B105,DATOS!K:K,8)</f>
        <v>0</v>
      </c>
      <c r="T105">
        <f>COUNTIFS(DATOS!G:G,CONFIG_METADATA!$B$4,DATOS!I:I,B105,DATOS!K:K,9)</f>
        <v>0</v>
      </c>
      <c r="U105">
        <f>COUNTIFS(DATOS!G:G,CONFIG_METADATA!$B$4,DATOS!I:I,B105,DATOS!K:K,10)</f>
        <v>0</v>
      </c>
    </row>
    <row r="106" spans="1:22">
      <c r="A106" s="3" t="inlineStr">
        <is>
          <t xml:space="preserve">2EEM</t>
        </is>
      </c>
      <c r="B106" s="3">
        <f>IFERROR(INDEX(_xlfn._xlws.FILTER(CONFIG_ASIGNATURAS!$B$2:$B$27,CONFIG_ASIGNATURAS!$G$2:$G$27="Sí"),28),"")</f>
      </c>
      <c r="C106" s="3">
        <f>IF(B106="","",IFERROR(IF(VLOOKUP(B106,CONFIG_ASIGNATURAS!$B$2:$F$27,5,FALSE())="Sí","Especialidad","Asignatura"),"Asignatura"))</f>
      </c>
      <c r="D106">
        <f>COUNTIFS(DATOS!G:G,CONFIG_METADATA!$B$4,DATOS!I:I,B106)</f>
        <v>0</v>
      </c>
      <c r="E106" s="14" t="str">
        <f>IFERROR(AVERAGEIFS(DATOS!K:K,DATOS!G:G,CONFIG_METADATA!$B$4,DATOS!I:I,B106),"—")</f>
        <v>—</v>
      </c>
      <c r="F106" s="14" t="str" cm="1">
        <f t="array" ref="F106">IFERROR(_xlfn.STDEV.P(IF((DATOS!$G$2:$G$20000=CONFIG_METADATA!$B$4)*(DATOS!$I$2:$I$20000=B106),DATOS!$K$2:$K$20000)),"—")</f>
        <v>—</v>
      </c>
      <c r="G106" t="str" cm="1">
        <f t="array" ref="G106">IFERROR(_xlfn.MODE.SNGL(IF((DATOS!$G$2:$G$20000=CONFIG_METADATA!$B$4)*(DATOS!$I$2:$I$20000=B106),DATOS!$K$2:$K$20000)),"—")</f>
        <v>—</v>
      </c>
      <c r="H106" s="15" t="str">
        <f>IFERROR(COUNTIFS(DATOS!G:G,CONFIG_METADATA!$B$4,DATOS!I:I,B106,DATOS!L:L,"S")/COUNTIFS(DATOS!G:G,CONFIG_METADATA!$B$4,DATOS!I:I,B106),"—")</f>
        <v>—</v>
      </c>
      <c r="I106" s="15" t="str">
        <f>IFERROR(COUNTIFS(DATOS!G:G,CONFIG_METADATA!$B$4,DATOS!I:I,B106,DATOS!L:L,"N")/COUNTIFS(DATOS!G:G,CONFIG_METADATA!$B$4,DATOS!I:I,B106),"—")</f>
        <v>—</v>
      </c>
      <c r="J106" t="str" cm="1">
        <f t="array" ref="J106">IFERROR(_xlfn.MODE.SNGL(IF((DATOS!$G$2:$G$20000=CONFIG_METADATA!$B$4)*(DATOS!$I$2:$I$20000=B106)*(DATOS!$L$2:$L$20000="S"),DATOS!$K$2:$K$20000)),"—")</f>
        <v>—</v>
      </c>
      <c r="K106" t="str" cm="1">
        <f t="array" ref="K106">IFERROR(_xlfn.MODE.SNGL(IF((DATOS!$G$2:$G$20000=CONFIG_METADATA!$B$4)*(DATOS!$I$2:$I$20000=B106)*(DATOS!$L$2:$L$20000="N"),DATOS!$K$2:$K$20000)),"—")</f>
        <v>—</v>
      </c>
      <c r="L106">
        <f>COUNTIFS(DATOS!G:G,CONFIG_METADATA!$B$4,DATOS!I:I,B106,DATOS!K:K,1)</f>
        <v>0</v>
      </c>
      <c r="M106">
        <f>COUNTIFS(DATOS!G:G,CONFIG_METADATA!$B$4,DATOS!I:I,B106,DATOS!K:K,2)</f>
        <v>0</v>
      </c>
      <c r="N106">
        <f>COUNTIFS(DATOS!G:G,CONFIG_METADATA!$B$4,DATOS!I:I,B106,DATOS!K:K,3)</f>
        <v>0</v>
      </c>
      <c r="O106">
        <f>COUNTIFS(DATOS!G:G,CONFIG_METADATA!$B$4,DATOS!I:I,B106,DATOS!K:K,4)</f>
        <v>0</v>
      </c>
      <c r="P106">
        <f>COUNTIFS(DATOS!G:G,CONFIG_METADATA!$B$4,DATOS!I:I,B106,DATOS!K:K,5)</f>
        <v>0</v>
      </c>
      <c r="Q106">
        <f>COUNTIFS(DATOS!G:G,CONFIG_METADATA!$B$4,DATOS!I:I,B106,DATOS!K:K,6)</f>
        <v>0</v>
      </c>
      <c r="R106">
        <f>COUNTIFS(DATOS!G:G,CONFIG_METADATA!$B$4,DATOS!I:I,B106,DATOS!K:K,7)</f>
        <v>0</v>
      </c>
      <c r="S106">
        <f>COUNTIFS(DATOS!G:G,CONFIG_METADATA!$B$4,DATOS!I:I,B106,DATOS!K:K,8)</f>
        <v>0</v>
      </c>
      <c r="T106">
        <f>COUNTIFS(DATOS!G:G,CONFIG_METADATA!$B$4,DATOS!I:I,B106,DATOS!K:K,9)</f>
        <v>0</v>
      </c>
      <c r="U106">
        <f>COUNTIFS(DATOS!G:G,CONFIG_METADATA!$B$4,DATOS!I:I,B106,DATOS!K:K,10)</f>
        <v>0</v>
      </c>
    </row>
    <row r="107" spans="1:22">
      <c r="A107" s="3" t="inlineStr">
        <is>
          <t xml:space="preserve">2EEM</t>
        </is>
      </c>
      <c r="B107" s="3">
        <f>IFERROR(INDEX(_xlfn._xlws.FILTER(CONFIG_ASIGNATURAS!$B$2:$B$27,CONFIG_ASIGNATURAS!$G$2:$G$27="Sí"),29),"")</f>
      </c>
      <c r="C107" s="3">
        <f>IF(B107="","",IFERROR(IF(VLOOKUP(B107,CONFIG_ASIGNATURAS!$B$2:$F$27,5,FALSE())="Sí","Especialidad","Asignatura"),"Asignatura"))</f>
      </c>
      <c r="D107">
        <f>COUNTIFS(DATOS!G:G,CONFIG_METADATA!$B$4,DATOS!I:I,B107)</f>
        <v>0</v>
      </c>
      <c r="E107" s="14" t="str">
        <f>IFERROR(AVERAGEIFS(DATOS!K:K,DATOS!G:G,CONFIG_METADATA!$B$4,DATOS!I:I,B107),"—")</f>
        <v>—</v>
      </c>
      <c r="F107" s="14" t="str" cm="1">
        <f t="array" ref="F107">IFERROR(_xlfn.STDEV.P(IF((DATOS!$G$2:$G$20000=CONFIG_METADATA!$B$4)*(DATOS!$I$2:$I$20000=B107),DATOS!$K$2:$K$20000)),"—")</f>
        <v>—</v>
      </c>
      <c r="G107" t="str" cm="1">
        <f t="array" ref="G107">IFERROR(_xlfn.MODE.SNGL(IF((DATOS!$G$2:$G$20000=CONFIG_METADATA!$B$4)*(DATOS!$I$2:$I$20000=B107),DATOS!$K$2:$K$20000)),"—")</f>
        <v>—</v>
      </c>
      <c r="H107" s="15" t="str">
        <f>IFERROR(COUNTIFS(DATOS!G:G,CONFIG_METADATA!$B$4,DATOS!I:I,B107,DATOS!L:L,"S")/COUNTIFS(DATOS!G:G,CONFIG_METADATA!$B$4,DATOS!I:I,B107),"—")</f>
        <v>—</v>
      </c>
      <c r="I107" s="15" t="str">
        <f>IFERROR(COUNTIFS(DATOS!G:G,CONFIG_METADATA!$B$4,DATOS!I:I,B107,DATOS!L:L,"N")/COUNTIFS(DATOS!G:G,CONFIG_METADATA!$B$4,DATOS!I:I,B107),"—")</f>
        <v>—</v>
      </c>
      <c r="J107" t="str" cm="1">
        <f t="array" ref="J107">IFERROR(_xlfn.MODE.SNGL(IF((DATOS!$G$2:$G$20000=CONFIG_METADATA!$B$4)*(DATOS!$I$2:$I$20000=B107)*(DATOS!$L$2:$L$20000="S"),DATOS!$K$2:$K$20000)),"—")</f>
        <v>—</v>
      </c>
      <c r="K107" t="str" cm="1">
        <f t="array" ref="K107">IFERROR(_xlfn.MODE.SNGL(IF((DATOS!$G$2:$G$20000=CONFIG_METADATA!$B$4)*(DATOS!$I$2:$I$20000=B107)*(DATOS!$L$2:$L$20000="N"),DATOS!$K$2:$K$20000)),"—")</f>
        <v>—</v>
      </c>
      <c r="L107">
        <f>COUNTIFS(DATOS!G:G,CONFIG_METADATA!$B$4,DATOS!I:I,B107,DATOS!K:K,1)</f>
        <v>0</v>
      </c>
      <c r="M107">
        <f>COUNTIFS(DATOS!G:G,CONFIG_METADATA!$B$4,DATOS!I:I,B107,DATOS!K:K,2)</f>
        <v>0</v>
      </c>
      <c r="N107">
        <f>COUNTIFS(DATOS!G:G,CONFIG_METADATA!$B$4,DATOS!I:I,B107,DATOS!K:K,3)</f>
        <v>0</v>
      </c>
      <c r="O107">
        <f>COUNTIFS(DATOS!G:G,CONFIG_METADATA!$B$4,DATOS!I:I,B107,DATOS!K:K,4)</f>
        <v>0</v>
      </c>
      <c r="P107">
        <f>COUNTIFS(DATOS!G:G,CONFIG_METADATA!$B$4,DATOS!I:I,B107,DATOS!K:K,5)</f>
        <v>0</v>
      </c>
      <c r="Q107">
        <f>COUNTIFS(DATOS!G:G,CONFIG_METADATA!$B$4,DATOS!I:I,B107,DATOS!K:K,6)</f>
        <v>0</v>
      </c>
      <c r="R107">
        <f>COUNTIFS(DATOS!G:G,CONFIG_METADATA!$B$4,DATOS!I:I,B107,DATOS!K:K,7)</f>
        <v>0</v>
      </c>
      <c r="S107">
        <f>COUNTIFS(DATOS!G:G,CONFIG_METADATA!$B$4,DATOS!I:I,B107,DATOS!K:K,8)</f>
        <v>0</v>
      </c>
      <c r="T107">
        <f>COUNTIFS(DATOS!G:G,CONFIG_METADATA!$B$4,DATOS!I:I,B107,DATOS!K:K,9)</f>
        <v>0</v>
      </c>
      <c r="U107">
        <f>COUNTIFS(DATOS!G:G,CONFIG_METADATA!$B$4,DATOS!I:I,B107,DATOS!K:K,10)</f>
        <v>0</v>
      </c>
    </row>
    <row r="108" spans="1:22">
      <c r="A108" s="3" t="inlineStr">
        <is>
          <t xml:space="preserve">2EEM</t>
        </is>
      </c>
      <c r="B108" s="3">
        <f>IFERROR(INDEX(_xlfn._xlws.FILTER(CONFIG_ASIGNATURAS!$B$2:$B$27,CONFIG_ASIGNATURAS!$G$2:$G$27="Sí"),30),"")</f>
      </c>
      <c r="C108" s="3">
        <f>IF(B108="","",IFERROR(IF(VLOOKUP(B108,CONFIG_ASIGNATURAS!$B$2:$F$27,5,FALSE())="Sí","Especialidad","Asignatura"),"Asignatura"))</f>
      </c>
      <c r="D108">
        <f>COUNTIFS(DATOS!G:G,CONFIG_METADATA!$B$4,DATOS!I:I,B108)</f>
        <v>0</v>
      </c>
      <c r="E108" s="14" t="str">
        <f>IFERROR(AVERAGEIFS(DATOS!K:K,DATOS!G:G,CONFIG_METADATA!$B$4,DATOS!I:I,B108),"—")</f>
        <v>—</v>
      </c>
      <c r="F108" s="14" t="str" cm="1">
        <f t="array" ref="F108">IFERROR(_xlfn.STDEV.P(IF((DATOS!$G$2:$G$20000=CONFIG_METADATA!$B$4)*(DATOS!$I$2:$I$20000=B108),DATOS!$K$2:$K$20000)),"—")</f>
        <v>—</v>
      </c>
      <c r="G108" t="str" cm="1">
        <f t="array" ref="G108">IFERROR(_xlfn.MODE.SNGL(IF((DATOS!$G$2:$G$20000=CONFIG_METADATA!$B$4)*(DATOS!$I$2:$I$20000=B108),DATOS!$K$2:$K$20000)),"—")</f>
        <v>—</v>
      </c>
      <c r="H108" s="15" t="str">
        <f>IFERROR(COUNTIFS(DATOS!G:G,CONFIG_METADATA!$B$4,DATOS!I:I,B108,DATOS!L:L,"S")/COUNTIFS(DATOS!G:G,CONFIG_METADATA!$B$4,DATOS!I:I,B108),"—")</f>
        <v>—</v>
      </c>
      <c r="I108" s="15" t="str">
        <f>IFERROR(COUNTIFS(DATOS!G:G,CONFIG_METADATA!$B$4,DATOS!I:I,B108,DATOS!L:L,"N")/COUNTIFS(DATOS!G:G,CONFIG_METADATA!$B$4,DATOS!I:I,B108),"—")</f>
        <v>—</v>
      </c>
      <c r="J108" t="str" cm="1">
        <f t="array" ref="J108">IFERROR(_xlfn.MODE.SNGL(IF((DATOS!$G$2:$G$20000=CONFIG_METADATA!$B$4)*(DATOS!$I$2:$I$20000=B108)*(DATOS!$L$2:$L$20000="S"),DATOS!$K$2:$K$20000)),"—")</f>
        <v>—</v>
      </c>
      <c r="K108" t="str" cm="1">
        <f t="array" ref="K108">IFERROR(_xlfn.MODE.SNGL(IF((DATOS!$G$2:$G$20000=CONFIG_METADATA!$B$4)*(DATOS!$I$2:$I$20000=B108)*(DATOS!$L$2:$L$20000="N"),DATOS!$K$2:$K$20000)),"—")</f>
        <v>—</v>
      </c>
      <c r="L108">
        <f>COUNTIFS(DATOS!G:G,CONFIG_METADATA!$B$4,DATOS!I:I,B108,DATOS!K:K,1)</f>
        <v>0</v>
      </c>
      <c r="M108">
        <f>COUNTIFS(DATOS!G:G,CONFIG_METADATA!$B$4,DATOS!I:I,B108,DATOS!K:K,2)</f>
        <v>0</v>
      </c>
      <c r="N108">
        <f>COUNTIFS(DATOS!G:G,CONFIG_METADATA!$B$4,DATOS!I:I,B108,DATOS!K:K,3)</f>
        <v>0</v>
      </c>
      <c r="O108">
        <f>COUNTIFS(DATOS!G:G,CONFIG_METADATA!$B$4,DATOS!I:I,B108,DATOS!K:K,4)</f>
        <v>0</v>
      </c>
      <c r="P108">
        <f>COUNTIFS(DATOS!G:G,CONFIG_METADATA!$B$4,DATOS!I:I,B108,DATOS!K:K,5)</f>
        <v>0</v>
      </c>
      <c r="Q108">
        <f>COUNTIFS(DATOS!G:G,CONFIG_METADATA!$B$4,DATOS!I:I,B108,DATOS!K:K,6)</f>
        <v>0</v>
      </c>
      <c r="R108">
        <f>COUNTIFS(DATOS!G:G,CONFIG_METADATA!$B$4,DATOS!I:I,B108,DATOS!K:K,7)</f>
        <v>0</v>
      </c>
      <c r="S108">
        <f>COUNTIFS(DATOS!G:G,CONFIG_METADATA!$B$4,DATOS!I:I,B108,DATOS!K:K,8)</f>
        <v>0</v>
      </c>
      <c r="T108">
        <f>COUNTIFS(DATOS!G:G,CONFIG_METADATA!$B$4,DATOS!I:I,B108,DATOS!K:K,9)</f>
        <v>0</v>
      </c>
      <c r="U108">
        <f>COUNTIFS(DATOS!G:G,CONFIG_METADATA!$B$4,DATOS!I:I,B108,DATOS!K:K,10)</f>
        <v>0</v>
      </c>
    </row>
    <row r="109" spans="1:22">
      <c r="A109" s="3" t="inlineStr">
        <is>
          <t xml:space="preserve">2EEM</t>
        </is>
      </c>
      <c r="B109" s="3">
        <f>IFERROR(INDEX(_xlfn._xlws.FILTER(CONFIG_ASIGNATURAS!$B$2:$B$27,CONFIG_ASIGNATURAS!$G$2:$G$27="Sí"),31),"")</f>
      </c>
      <c r="C109" s="3">
        <f>IF(B109="","",IFERROR(IF(VLOOKUP(B109,CONFIG_ASIGNATURAS!$B$2:$F$27,5,FALSE())="Sí","Especialidad","Asignatura"),"Asignatura"))</f>
      </c>
      <c r="D109">
        <f>COUNTIFS(DATOS!G:G,CONFIG_METADATA!$B$4,DATOS!I:I,B109)</f>
        <v>0</v>
      </c>
      <c r="E109" s="14" t="str">
        <f>IFERROR(AVERAGEIFS(DATOS!K:K,DATOS!G:G,CONFIG_METADATA!$B$4,DATOS!I:I,B109),"—")</f>
        <v>—</v>
      </c>
      <c r="F109" s="14" t="str" cm="1">
        <f t="array" ref="F109">IFERROR(_xlfn.STDEV.P(IF((DATOS!$G$2:$G$20000=CONFIG_METADATA!$B$4)*(DATOS!$I$2:$I$20000=B109),DATOS!$K$2:$K$20000)),"—")</f>
        <v>—</v>
      </c>
      <c r="G109" t="str" cm="1">
        <f t="array" ref="G109">IFERROR(_xlfn.MODE.SNGL(IF((DATOS!$G$2:$G$20000=CONFIG_METADATA!$B$4)*(DATOS!$I$2:$I$20000=B109),DATOS!$K$2:$K$20000)),"—")</f>
        <v>—</v>
      </c>
      <c r="H109" s="15" t="str">
        <f>IFERROR(COUNTIFS(DATOS!G:G,CONFIG_METADATA!$B$4,DATOS!I:I,B109,DATOS!L:L,"S")/COUNTIFS(DATOS!G:G,CONFIG_METADATA!$B$4,DATOS!I:I,B109),"—")</f>
        <v>—</v>
      </c>
      <c r="I109" s="15" t="str">
        <f>IFERROR(COUNTIFS(DATOS!G:G,CONFIG_METADATA!$B$4,DATOS!I:I,B109,DATOS!L:L,"N")/COUNTIFS(DATOS!G:G,CONFIG_METADATA!$B$4,DATOS!I:I,B109),"—")</f>
        <v>—</v>
      </c>
      <c r="J109" t="str" cm="1">
        <f t="array" ref="J109">IFERROR(_xlfn.MODE.SNGL(IF((DATOS!$G$2:$G$20000=CONFIG_METADATA!$B$4)*(DATOS!$I$2:$I$20000=B109)*(DATOS!$L$2:$L$20000="S"),DATOS!$K$2:$K$20000)),"—")</f>
        <v>—</v>
      </c>
      <c r="K109" t="str" cm="1">
        <f t="array" ref="K109">IFERROR(_xlfn.MODE.SNGL(IF((DATOS!$G$2:$G$20000=CONFIG_METADATA!$B$4)*(DATOS!$I$2:$I$20000=B109)*(DATOS!$L$2:$L$20000="N"),DATOS!$K$2:$K$20000)),"—")</f>
        <v>—</v>
      </c>
      <c r="L109">
        <f>COUNTIFS(DATOS!G:G,CONFIG_METADATA!$B$4,DATOS!I:I,B109,DATOS!K:K,1)</f>
        <v>0</v>
      </c>
      <c r="M109">
        <f>COUNTIFS(DATOS!G:G,CONFIG_METADATA!$B$4,DATOS!I:I,B109,DATOS!K:K,2)</f>
        <v>0</v>
      </c>
      <c r="N109">
        <f>COUNTIFS(DATOS!G:G,CONFIG_METADATA!$B$4,DATOS!I:I,B109,DATOS!K:K,3)</f>
        <v>0</v>
      </c>
      <c r="O109">
        <f>COUNTIFS(DATOS!G:G,CONFIG_METADATA!$B$4,DATOS!I:I,B109,DATOS!K:K,4)</f>
        <v>0</v>
      </c>
      <c r="P109">
        <f>COUNTIFS(DATOS!G:G,CONFIG_METADATA!$B$4,DATOS!I:I,B109,DATOS!K:K,5)</f>
        <v>0</v>
      </c>
      <c r="Q109">
        <f>COUNTIFS(DATOS!G:G,CONFIG_METADATA!$B$4,DATOS!I:I,B109,DATOS!K:K,6)</f>
        <v>0</v>
      </c>
      <c r="R109">
        <f>COUNTIFS(DATOS!G:G,CONFIG_METADATA!$B$4,DATOS!I:I,B109,DATOS!K:K,7)</f>
        <v>0</v>
      </c>
      <c r="S109">
        <f>COUNTIFS(DATOS!G:G,CONFIG_METADATA!$B$4,DATOS!I:I,B109,DATOS!K:K,8)</f>
        <v>0</v>
      </c>
      <c r="T109">
        <f>COUNTIFS(DATOS!G:G,CONFIG_METADATA!$B$4,DATOS!I:I,B109,DATOS!K:K,9)</f>
        <v>0</v>
      </c>
      <c r="U109">
        <f>COUNTIFS(DATOS!G:G,CONFIG_METADATA!$B$4,DATOS!I:I,B109,DATOS!K:K,10)</f>
        <v>0</v>
      </c>
    </row>
    <row r="110" spans="1:22">
      <c r="A110" s="3" t="inlineStr">
        <is>
          <t xml:space="preserve">2EEM</t>
        </is>
      </c>
      <c r="B110" s="3">
        <f>IFERROR(INDEX(_xlfn._xlws.FILTER(CONFIG_ASIGNATURAS!$B$2:$B$27,CONFIG_ASIGNATURAS!$G$2:$G$27="Sí"),32),"")</f>
      </c>
      <c r="C110" s="3">
        <f>IF(B110="","",IFERROR(IF(VLOOKUP(B110,CONFIG_ASIGNATURAS!$B$2:$F$27,5,FALSE())="Sí","Especialidad","Asignatura"),"Asignatura"))</f>
      </c>
      <c r="D110">
        <f>COUNTIFS(DATOS!G:G,CONFIG_METADATA!$B$4,DATOS!I:I,B110)</f>
        <v>0</v>
      </c>
      <c r="E110" s="14" t="str">
        <f>IFERROR(AVERAGEIFS(DATOS!K:K,DATOS!G:G,CONFIG_METADATA!$B$4,DATOS!I:I,B110),"—")</f>
        <v>—</v>
      </c>
      <c r="F110" s="14" t="str" cm="1">
        <f t="array" ref="F110">IFERROR(_xlfn.STDEV.P(IF((DATOS!$G$2:$G$20000=CONFIG_METADATA!$B$4)*(DATOS!$I$2:$I$20000=B110),DATOS!$K$2:$K$20000)),"—")</f>
        <v>—</v>
      </c>
      <c r="G110" t="str" cm="1">
        <f t="array" ref="G110">IFERROR(_xlfn.MODE.SNGL(IF((DATOS!$G$2:$G$20000=CONFIG_METADATA!$B$4)*(DATOS!$I$2:$I$20000=B110),DATOS!$K$2:$K$20000)),"—")</f>
        <v>—</v>
      </c>
      <c r="H110" s="15" t="str">
        <f>IFERROR(COUNTIFS(DATOS!G:G,CONFIG_METADATA!$B$4,DATOS!I:I,B110,DATOS!L:L,"S")/COUNTIFS(DATOS!G:G,CONFIG_METADATA!$B$4,DATOS!I:I,B110),"—")</f>
        <v>—</v>
      </c>
      <c r="I110" s="15" t="str">
        <f>IFERROR(COUNTIFS(DATOS!G:G,CONFIG_METADATA!$B$4,DATOS!I:I,B110,DATOS!L:L,"N")/COUNTIFS(DATOS!G:G,CONFIG_METADATA!$B$4,DATOS!I:I,B110),"—")</f>
        <v>—</v>
      </c>
      <c r="J110" t="str" cm="1">
        <f t="array" ref="J110">IFERROR(_xlfn.MODE.SNGL(IF((DATOS!$G$2:$G$20000=CONFIG_METADATA!$B$4)*(DATOS!$I$2:$I$20000=B110)*(DATOS!$L$2:$L$20000="S"),DATOS!$K$2:$K$20000)),"—")</f>
        <v>—</v>
      </c>
      <c r="K110" t="str" cm="1">
        <f t="array" ref="K110">IFERROR(_xlfn.MODE.SNGL(IF((DATOS!$G$2:$G$20000=CONFIG_METADATA!$B$4)*(DATOS!$I$2:$I$20000=B110)*(DATOS!$L$2:$L$20000="N"),DATOS!$K$2:$K$20000)),"—")</f>
        <v>—</v>
      </c>
      <c r="L110">
        <f>COUNTIFS(DATOS!G:G,CONFIG_METADATA!$B$4,DATOS!I:I,B110,DATOS!K:K,1)</f>
        <v>0</v>
      </c>
      <c r="M110">
        <f>COUNTIFS(DATOS!G:G,CONFIG_METADATA!$B$4,DATOS!I:I,B110,DATOS!K:K,2)</f>
        <v>0</v>
      </c>
      <c r="N110">
        <f>COUNTIFS(DATOS!G:G,CONFIG_METADATA!$B$4,DATOS!I:I,B110,DATOS!K:K,3)</f>
        <v>0</v>
      </c>
      <c r="O110">
        <f>COUNTIFS(DATOS!G:G,CONFIG_METADATA!$B$4,DATOS!I:I,B110,DATOS!K:K,4)</f>
        <v>0</v>
      </c>
      <c r="P110">
        <f>COUNTIFS(DATOS!G:G,CONFIG_METADATA!$B$4,DATOS!I:I,B110,DATOS!K:K,5)</f>
        <v>0</v>
      </c>
      <c r="Q110">
        <f>COUNTIFS(DATOS!G:G,CONFIG_METADATA!$B$4,DATOS!I:I,B110,DATOS!K:K,6)</f>
        <v>0</v>
      </c>
      <c r="R110">
        <f>COUNTIFS(DATOS!G:G,CONFIG_METADATA!$B$4,DATOS!I:I,B110,DATOS!K:K,7)</f>
        <v>0</v>
      </c>
      <c r="S110">
        <f>COUNTIFS(DATOS!G:G,CONFIG_METADATA!$B$4,DATOS!I:I,B110,DATOS!K:K,8)</f>
        <v>0</v>
      </c>
      <c r="T110">
        <f>COUNTIFS(DATOS!G:G,CONFIG_METADATA!$B$4,DATOS!I:I,B110,DATOS!K:K,9)</f>
        <v>0</v>
      </c>
      <c r="U110">
        <f>COUNTIFS(DATOS!G:G,CONFIG_METADATA!$B$4,DATOS!I:I,B110,DATOS!K:K,10)</f>
        <v>0</v>
      </c>
    </row>
    <row r="111" spans="1:22">
      <c r="A111" s="3" t="inlineStr">
        <is>
          <t xml:space="preserve">2EEM</t>
        </is>
      </c>
      <c r="B111" s="3">
        <f>IFERROR(INDEX(_xlfn._xlws.FILTER(CONFIG_ASIGNATURAS!$B$2:$B$27,CONFIG_ASIGNATURAS!$G$2:$G$27="Sí"),33),"")</f>
      </c>
      <c r="C111" s="3">
        <f>IF(B111="","",IFERROR(IF(VLOOKUP(B111,CONFIG_ASIGNATURAS!$B$2:$F$27,5,FALSE())="Sí","Especialidad","Asignatura"),"Asignatura"))</f>
      </c>
      <c r="D111">
        <f>COUNTIFS(DATOS!G:G,CONFIG_METADATA!$B$4,DATOS!I:I,B111)</f>
        <v>0</v>
      </c>
      <c r="E111" s="14" t="str">
        <f>IFERROR(AVERAGEIFS(DATOS!K:K,DATOS!G:G,CONFIG_METADATA!$B$4,DATOS!I:I,B111),"—")</f>
        <v>—</v>
      </c>
      <c r="F111" s="14" t="str" cm="1">
        <f t="array" ref="F111">IFERROR(_xlfn.STDEV.P(IF((DATOS!$G$2:$G$20000=CONFIG_METADATA!$B$4)*(DATOS!$I$2:$I$20000=B111),DATOS!$K$2:$K$20000)),"—")</f>
        <v>—</v>
      </c>
      <c r="G111" t="str" cm="1">
        <f t="array" ref="G111">IFERROR(_xlfn.MODE.SNGL(IF((DATOS!$G$2:$G$20000=CONFIG_METADATA!$B$4)*(DATOS!$I$2:$I$20000=B111),DATOS!$K$2:$K$20000)),"—")</f>
        <v>—</v>
      </c>
      <c r="H111" s="15" t="str">
        <f>IFERROR(COUNTIFS(DATOS!G:G,CONFIG_METADATA!$B$4,DATOS!I:I,B111,DATOS!L:L,"S")/COUNTIFS(DATOS!G:G,CONFIG_METADATA!$B$4,DATOS!I:I,B111),"—")</f>
        <v>—</v>
      </c>
      <c r="I111" s="15" t="str">
        <f>IFERROR(COUNTIFS(DATOS!G:G,CONFIG_METADATA!$B$4,DATOS!I:I,B111,DATOS!L:L,"N")/COUNTIFS(DATOS!G:G,CONFIG_METADATA!$B$4,DATOS!I:I,B111),"—")</f>
        <v>—</v>
      </c>
      <c r="J111" t="str" cm="1">
        <f t="array" ref="J111">IFERROR(_xlfn.MODE.SNGL(IF((DATOS!$G$2:$G$20000=CONFIG_METADATA!$B$4)*(DATOS!$I$2:$I$20000=B111)*(DATOS!$L$2:$L$20000="S"),DATOS!$K$2:$K$20000)),"—")</f>
        <v>—</v>
      </c>
      <c r="K111" t="str" cm="1">
        <f t="array" ref="K111">IFERROR(_xlfn.MODE.SNGL(IF((DATOS!$G$2:$G$20000=CONFIG_METADATA!$B$4)*(DATOS!$I$2:$I$20000=B111)*(DATOS!$L$2:$L$20000="N"),DATOS!$K$2:$K$20000)),"—")</f>
        <v>—</v>
      </c>
      <c r="L111">
        <f>COUNTIFS(DATOS!G:G,CONFIG_METADATA!$B$4,DATOS!I:I,B111,DATOS!K:K,1)</f>
        <v>0</v>
      </c>
      <c r="M111">
        <f>COUNTIFS(DATOS!G:G,CONFIG_METADATA!$B$4,DATOS!I:I,B111,DATOS!K:K,2)</f>
        <v>0</v>
      </c>
      <c r="N111">
        <f>COUNTIFS(DATOS!G:G,CONFIG_METADATA!$B$4,DATOS!I:I,B111,DATOS!K:K,3)</f>
        <v>0</v>
      </c>
      <c r="O111">
        <f>COUNTIFS(DATOS!G:G,CONFIG_METADATA!$B$4,DATOS!I:I,B111,DATOS!K:K,4)</f>
        <v>0</v>
      </c>
      <c r="P111">
        <f>COUNTIFS(DATOS!G:G,CONFIG_METADATA!$B$4,DATOS!I:I,B111,DATOS!K:K,5)</f>
        <v>0</v>
      </c>
      <c r="Q111">
        <f>COUNTIFS(DATOS!G:G,CONFIG_METADATA!$B$4,DATOS!I:I,B111,DATOS!K:K,6)</f>
        <v>0</v>
      </c>
      <c r="R111">
        <f>COUNTIFS(DATOS!G:G,CONFIG_METADATA!$B$4,DATOS!I:I,B111,DATOS!K:K,7)</f>
        <v>0</v>
      </c>
      <c r="S111">
        <f>COUNTIFS(DATOS!G:G,CONFIG_METADATA!$B$4,DATOS!I:I,B111,DATOS!K:K,8)</f>
        <v>0</v>
      </c>
      <c r="T111">
        <f>COUNTIFS(DATOS!G:G,CONFIG_METADATA!$B$4,DATOS!I:I,B111,DATOS!K:K,9)</f>
        <v>0</v>
      </c>
      <c r="U111">
        <f>COUNTIFS(DATOS!G:G,CONFIG_METADATA!$B$4,DATOS!I:I,B111,DATOS!K:K,10)</f>
        <v>0</v>
      </c>
    </row>
    <row r="112" spans="1:22">
      <c r="A112" s="3" t="inlineStr">
        <is>
          <t xml:space="preserve">2EEM</t>
        </is>
      </c>
      <c r="B112" s="3">
        <f>IFERROR(INDEX(_xlfn._xlws.FILTER(CONFIG_ASIGNATURAS!$B$2:$B$27,CONFIG_ASIGNATURAS!$G$2:$G$27="Sí"),34),"")</f>
      </c>
      <c r="C112" s="3">
        <f>IF(B112="","",IFERROR(IF(VLOOKUP(B112,CONFIG_ASIGNATURAS!$B$2:$F$27,5,FALSE())="Sí","Especialidad","Asignatura"),"Asignatura"))</f>
      </c>
      <c r="D112">
        <f>COUNTIFS(DATOS!G:G,CONFIG_METADATA!$B$4,DATOS!I:I,B112)</f>
        <v>0</v>
      </c>
      <c r="E112" s="14" t="str">
        <f>IFERROR(AVERAGEIFS(DATOS!K:K,DATOS!G:G,CONFIG_METADATA!$B$4,DATOS!I:I,B112),"—")</f>
        <v>—</v>
      </c>
      <c r="F112" s="14" t="str" cm="1">
        <f t="array" ref="F112">IFERROR(_xlfn.STDEV.P(IF((DATOS!$G$2:$G$20000=CONFIG_METADATA!$B$4)*(DATOS!$I$2:$I$20000=B112),DATOS!$K$2:$K$20000)),"—")</f>
        <v>—</v>
      </c>
      <c r="G112" t="str" cm="1">
        <f t="array" ref="G112">IFERROR(_xlfn.MODE.SNGL(IF((DATOS!$G$2:$G$20000=CONFIG_METADATA!$B$4)*(DATOS!$I$2:$I$20000=B112),DATOS!$K$2:$K$20000)),"—")</f>
        <v>—</v>
      </c>
      <c r="H112" s="15" t="str">
        <f>IFERROR(COUNTIFS(DATOS!G:G,CONFIG_METADATA!$B$4,DATOS!I:I,B112,DATOS!L:L,"S")/COUNTIFS(DATOS!G:G,CONFIG_METADATA!$B$4,DATOS!I:I,B112),"—")</f>
        <v>—</v>
      </c>
      <c r="I112" s="15" t="str">
        <f>IFERROR(COUNTIFS(DATOS!G:G,CONFIG_METADATA!$B$4,DATOS!I:I,B112,DATOS!L:L,"N")/COUNTIFS(DATOS!G:G,CONFIG_METADATA!$B$4,DATOS!I:I,B112),"—")</f>
        <v>—</v>
      </c>
      <c r="J112" t="str" cm="1">
        <f t="array" ref="J112">IFERROR(_xlfn.MODE.SNGL(IF((DATOS!$G$2:$G$20000=CONFIG_METADATA!$B$4)*(DATOS!$I$2:$I$20000=B112)*(DATOS!$L$2:$L$20000="S"),DATOS!$K$2:$K$20000)),"—")</f>
        <v>—</v>
      </c>
      <c r="K112" t="str" cm="1">
        <f t="array" ref="K112">IFERROR(_xlfn.MODE.SNGL(IF((DATOS!$G$2:$G$20000=CONFIG_METADATA!$B$4)*(DATOS!$I$2:$I$20000=B112)*(DATOS!$L$2:$L$20000="N"),DATOS!$K$2:$K$20000)),"—")</f>
        <v>—</v>
      </c>
      <c r="L112">
        <f>COUNTIFS(DATOS!G:G,CONFIG_METADATA!$B$4,DATOS!I:I,B112,DATOS!K:K,1)</f>
        <v>0</v>
      </c>
      <c r="M112">
        <f>COUNTIFS(DATOS!G:G,CONFIG_METADATA!$B$4,DATOS!I:I,B112,DATOS!K:K,2)</f>
        <v>0</v>
      </c>
      <c r="N112">
        <f>COUNTIFS(DATOS!G:G,CONFIG_METADATA!$B$4,DATOS!I:I,B112,DATOS!K:K,3)</f>
        <v>0</v>
      </c>
      <c r="O112">
        <f>COUNTIFS(DATOS!G:G,CONFIG_METADATA!$B$4,DATOS!I:I,B112,DATOS!K:K,4)</f>
        <v>0</v>
      </c>
      <c r="P112">
        <f>COUNTIFS(DATOS!G:G,CONFIG_METADATA!$B$4,DATOS!I:I,B112,DATOS!K:K,5)</f>
        <v>0</v>
      </c>
      <c r="Q112">
        <f>COUNTIFS(DATOS!G:G,CONFIG_METADATA!$B$4,DATOS!I:I,B112,DATOS!K:K,6)</f>
        <v>0</v>
      </c>
      <c r="R112">
        <f>COUNTIFS(DATOS!G:G,CONFIG_METADATA!$B$4,DATOS!I:I,B112,DATOS!K:K,7)</f>
        <v>0</v>
      </c>
      <c r="S112">
        <f>COUNTIFS(DATOS!G:G,CONFIG_METADATA!$B$4,DATOS!I:I,B112,DATOS!K:K,8)</f>
        <v>0</v>
      </c>
      <c r="T112">
        <f>COUNTIFS(DATOS!G:G,CONFIG_METADATA!$B$4,DATOS!I:I,B112,DATOS!K:K,9)</f>
        <v>0</v>
      </c>
      <c r="U112">
        <f>COUNTIFS(DATOS!G:G,CONFIG_METADATA!$B$4,DATOS!I:I,B112,DATOS!K:K,10)</f>
        <v>0</v>
      </c>
    </row>
    <row r="113" spans="1:22">
      <c r="A113" s="3" t="inlineStr">
        <is>
          <t xml:space="preserve">3EEM</t>
        </is>
      </c>
      <c r="B113" s="3" t="inlineStr">
        <is>
          <t xml:space="preserve">Total</t>
        </is>
      </c>
      <c r="C113" s="3" t="inlineStr">
        <is>
          <t xml:space="preserve">Total</t>
        </is>
      </c>
      <c r="D113">
        <f>COUNTIFS(DATOS!G:G,CONFIG_METADATA!$B$4,DATOS!I:I,B113)</f>
        <v>0</v>
      </c>
      <c r="E113" s="14" t="str">
        <f>IFERROR(AVERAGEIFS(DATOS!K:K,DATOS!G:G,CONFIG_METADATA!$B$4,DATOS!I:I,B113),"—")</f>
        <v>—</v>
      </c>
      <c r="F113" s="14" t="str" cm="1">
        <f t="array" ref="F113">IFERROR(_xlfn.STDEV.P(IF((DATOS!$G$2:$G$20000=CONFIG_METADATA!$B$4)*(DATOS!$I$2:$I$20000=B113),DATOS!$K$2:$K$20000)),"—")</f>
        <v>—</v>
      </c>
      <c r="G113" t="str" cm="1">
        <f t="array" ref="G113">IFERROR(_xlfn.MODE.SNGL(IF((DATOS!$G$2:$G$20000=CONFIG_METADATA!$B$4)*(DATOS!$I$2:$I$20000=B113),DATOS!$K$2:$K$20000)),"—")</f>
        <v>—</v>
      </c>
      <c r="H113" s="15" t="str">
        <f>IFERROR(COUNTIFS(DATOS!G:G,CONFIG_METADATA!$B$4,DATOS!I:I,B113,DATOS!L:L,"S")/COUNTIFS(DATOS!G:G,CONFIG_METADATA!$B$4,DATOS!I:I,B113),"—")</f>
        <v>—</v>
      </c>
      <c r="I113" s="15" t="str">
        <f>IFERROR(COUNTIFS(DATOS!G:G,CONFIG_METADATA!$B$4,DATOS!I:I,B113,DATOS!L:L,"N")/COUNTIFS(DATOS!G:G,CONFIG_METADATA!$B$4,DATOS!I:I,B113),"—")</f>
        <v>—</v>
      </c>
      <c r="J113" t="str" cm="1">
        <f t="array" ref="J113">IFERROR(_xlfn.MODE.SNGL(IF((DATOS!$G$2:$G$20000=CONFIG_METADATA!$B$4)*(DATOS!$I$2:$I$20000=B113)*(DATOS!$L$2:$L$20000="S"),DATOS!$K$2:$K$20000)),"—")</f>
        <v>—</v>
      </c>
      <c r="K113" t="str" cm="1">
        <f t="array" ref="K113">IFERROR(_xlfn.MODE.SNGL(IF((DATOS!$G$2:$G$20000=CONFIG_METADATA!$B$4)*(DATOS!$I$2:$I$20000=B113)*(DATOS!$L$2:$L$20000="N"),DATOS!$K$2:$K$20000)),"—")</f>
        <v>—</v>
      </c>
      <c r="L113">
        <f>COUNTIFS(DATOS!G:G,CONFIG_METADATA!$B$4,DATOS!I:I,B113,DATOS!K:K,1)</f>
        <v>0</v>
      </c>
      <c r="M113">
        <f>COUNTIFS(DATOS!G:G,CONFIG_METADATA!$B$4,DATOS!I:I,B113,DATOS!K:K,2)</f>
        <v>0</v>
      </c>
      <c r="N113">
        <f>COUNTIFS(DATOS!G:G,CONFIG_METADATA!$B$4,DATOS!I:I,B113,DATOS!K:K,3)</f>
        <v>0</v>
      </c>
      <c r="O113">
        <f>COUNTIFS(DATOS!G:G,CONFIG_METADATA!$B$4,DATOS!I:I,B113,DATOS!K:K,4)</f>
        <v>0</v>
      </c>
      <c r="P113">
        <f>COUNTIFS(DATOS!G:G,CONFIG_METADATA!$B$4,DATOS!I:I,B113,DATOS!K:K,5)</f>
        <v>0</v>
      </c>
      <c r="Q113">
        <f>COUNTIFS(DATOS!G:G,CONFIG_METADATA!$B$4,DATOS!I:I,B113,DATOS!K:K,6)</f>
        <v>0</v>
      </c>
      <c r="R113">
        <f>COUNTIFS(DATOS!G:G,CONFIG_METADATA!$B$4,DATOS!I:I,B113,DATOS!K:K,7)</f>
        <v>0</v>
      </c>
      <c r="S113">
        <f>COUNTIFS(DATOS!G:G,CONFIG_METADATA!$B$4,DATOS!I:I,B113,DATOS!K:K,8)</f>
        <v>0</v>
      </c>
      <c r="T113">
        <f>COUNTIFS(DATOS!G:G,CONFIG_METADATA!$B$4,DATOS!I:I,B113,DATOS!K:K,9)</f>
        <v>0</v>
      </c>
      <c r="U113">
        <f>COUNTIFS(DATOS!G:G,CONFIG_METADATA!$B$4,DATOS!I:I,B113,DATOS!K:K,10)</f>
        <v>0</v>
      </c>
    </row>
    <row r="114" spans="1:22">
      <c r="A114" s="3" t="inlineStr">
        <is>
          <t xml:space="preserve">3EEM</t>
        </is>
      </c>
      <c r="B114" s="3" t="inlineStr">
        <is>
          <t xml:space="preserve">Total Especialidad</t>
        </is>
      </c>
      <c r="C114" s="3" t="inlineStr">
        <is>
          <t xml:space="preserve">TotalEsp</t>
        </is>
      </c>
      <c r="D114">
        <f>SUMPRODUCT((DATOS!$G$2:$G$20000=CONFIG_METADATA!$B$4)*(DATOS!$D$2:$D$20000=A114)*(COUNTIF(CONFIG_ASIGNATURAS!$B$5:$B$27,DATOS!$I$2:$I$20000)&gt;0)*1)</f>
      </c>
      <c r="E114" s="14">
        <f>IFERROR(AVERAGE(IF((DATOS!$G$2:$G$20000=CONFIG_METADATA!$B$4)*(DATOS!$D$2:$D$20000=A114)*(COUNTIF(CONFIG_ASIGNATURAS!$B$5:$B$27,DATOS!$I$2:$I$20000)&gt;0),DATOS!$K$2:$K$20000)),"—")</f>
      </c>
      <c r="F114" s="14">
        <f>IFERROR(_xlfn.STDEV.P(IF((DATOS!$G$2:$G$20000=CONFIG_METADATA!$B$4)*(DATOS!$D$2:$D$20000=A114)*(COUNTIF(CONFIG_ASIGNATURAS!$B$5:$B$27,DATOS!$I$2:$I$20000)&gt;0),DATOS!$K$2:$K$20000)),"—")</f>
      </c>
      <c r="G114">
        <f>IFERROR(_xlfn.MODE.SNGL(IF((DATOS!$G$2:$G$20000=CONFIG_METADATA!$B$4)*(DATOS!$D$2:$D$20000=A114)*(COUNTIF(CONFIG_ASIGNATURAS!$B$5:$B$27,DATOS!$I$2:$I$20000)&gt;0),DATOS!$K$2:$K$20000)),"—")</f>
      </c>
      <c r="H114" s="15">
        <f>IFERROR(SUMPRODUCT((DATOS!$G$2:$G$20000=CONFIG_METADATA!$B$4)*(DATOS!$D$2:$D$20000=A114)*(COUNTIF(CONFIG_ASIGNATURAS!$B$5:$B$27,DATOS!$I$2:$I$20000)&gt;0)*(DATOS!$L$2:$L$20000="S"))/SUMPRODUCT((DATOS!$G$2:$G$20000=CONFIG_METADATA!$B$4)*(DATOS!$D$2:$D$20000=A114)*(COUNTIF(CONFIG_ASIGNATURAS!$B$5:$B$27,DATOS!$I$2:$I$20000)&gt;0)*1),"—")</f>
      </c>
      <c r="I114" s="15">
        <f>IFERROR(SUMPRODUCT((DATOS!$G$2:$G$20000=CONFIG_METADATA!$B$4)*(DATOS!$D$2:$D$20000=A114)*(COUNTIF(CONFIG_ASIGNATURAS!$B$5:$B$27,DATOS!$I$2:$I$20000)&gt;0)*(DATOS!$L$2:$L$20000="N"))/SUMPRODUCT((DATOS!$G$2:$G$20000=CONFIG_METADATA!$B$4)*(DATOS!$D$2:$D$20000=A114)*(COUNTIF(CONFIG_ASIGNATURAS!$B$5:$B$27,DATOS!$I$2:$I$20000)&gt;0)*1),"—")</f>
      </c>
      <c r="J114">
        <f>IFERROR(_xlfn.MODE.SNGL(IF((DATOS!$G$2:$G$20000=CONFIG_METADATA!$B$4)*(DATOS!$D$2:$D$20000=A114)*(COUNTIF(CONFIG_ASIGNATURAS!$B$5:$B$27,DATOS!$I$2:$I$20000)&gt;0)*(DATOS!$L$2:$L$20000="S"),DATOS!$K$2:$K$20000)),"—")</f>
      </c>
      <c r="K114">
        <f>IFERROR(_xlfn.MODE.SNGL(IF((DATOS!$G$2:$G$20000=CONFIG_METADATA!$B$4)*(DATOS!$D$2:$D$20000=A114)*(COUNTIF(CONFIG_ASIGNATURAS!$B$5:$B$27,DATOS!$I$2:$I$20000)&gt;0)*(DATOS!$L$2:$L$20000="N"),DATOS!$K$2:$K$20000)),"—")</f>
      </c>
      <c r="L114">
        <f>SUMPRODUCT((DATOS!$G$2:$G$20000=CONFIG_METADATA!$B$4)*(DATOS!$D$2:$D$20000=A114)*(COUNTIF(CONFIG_ASIGNATURAS!$B$5:$B$27,DATOS!$I$2:$I$20000)&gt;0)*(DATOS!$K$2:$K$20000=1))</f>
      </c>
      <c r="M114">
        <f>SUMPRODUCT((DATOS!$G$2:$G$20000=CONFIG_METADATA!$B$4)*(DATOS!$D$2:$D$20000=A114)*(COUNTIF(CONFIG_ASIGNATURAS!$B$5:$B$27,DATOS!$I$2:$I$20000)&gt;0)*(DATOS!$K$2:$K$20000=2))</f>
      </c>
      <c r="N114">
        <f>SUMPRODUCT((DATOS!$G$2:$G$20000=CONFIG_METADATA!$B$4)*(DATOS!$D$2:$D$20000=A114)*(COUNTIF(CONFIG_ASIGNATURAS!$B$5:$B$27,DATOS!$I$2:$I$20000)&gt;0)*(DATOS!$K$2:$K$20000=3))</f>
      </c>
      <c r="O114">
        <f>SUMPRODUCT((DATOS!$G$2:$G$20000=CONFIG_METADATA!$B$4)*(DATOS!$D$2:$D$20000=A114)*(COUNTIF(CONFIG_ASIGNATURAS!$B$5:$B$27,DATOS!$I$2:$I$20000)&gt;0)*(DATOS!$K$2:$K$20000=4))</f>
      </c>
      <c r="P114">
        <f>SUMPRODUCT((DATOS!$G$2:$G$20000=CONFIG_METADATA!$B$4)*(DATOS!$D$2:$D$20000=A114)*(COUNTIF(CONFIG_ASIGNATURAS!$B$5:$B$27,DATOS!$I$2:$I$20000)&gt;0)*(DATOS!$K$2:$K$20000=5))</f>
      </c>
      <c r="Q114">
        <f>SUMPRODUCT((DATOS!$G$2:$G$20000=CONFIG_METADATA!$B$4)*(DATOS!$D$2:$D$20000=A114)*(COUNTIF(CONFIG_ASIGNATURAS!$B$5:$B$27,DATOS!$I$2:$I$20000)&gt;0)*(DATOS!$K$2:$K$20000=6))</f>
      </c>
      <c r="R114">
        <f>SUMPRODUCT((DATOS!$G$2:$G$20000=CONFIG_METADATA!$B$4)*(DATOS!$D$2:$D$20000=A114)*(COUNTIF(CONFIG_ASIGNATURAS!$B$5:$B$27,DATOS!$I$2:$I$20000)&gt;0)*(DATOS!$K$2:$K$20000=7))</f>
      </c>
      <c r="S114">
        <f>SUMPRODUCT((DATOS!$G$2:$G$20000=CONFIG_METADATA!$B$4)*(DATOS!$D$2:$D$20000=A114)*(COUNTIF(CONFIG_ASIGNATURAS!$B$5:$B$27,DATOS!$I$2:$I$20000)&gt;0)*(DATOS!$K$2:$K$20000=8))</f>
      </c>
      <c r="T114">
        <f>SUMPRODUCT((DATOS!$G$2:$G$20000=CONFIG_METADATA!$B$4)*(DATOS!$D$2:$D$20000=A114)*(COUNTIF(CONFIG_ASIGNATURAS!$B$5:$B$27,DATOS!$I$2:$I$20000)&gt;0)*(DATOS!$K$2:$K$20000=9))</f>
      </c>
      <c r="U114">
        <f>SUMPRODUCT((DATOS!$G$2:$G$20000=CONFIG_METADATA!$B$4)*(DATOS!$D$2:$D$20000=A114)*(COUNTIF(CONFIG_ASIGNATURAS!$B$5:$B$27,DATOS!$I$2:$I$20000)&gt;0)*(DATOS!$K$2:$K$20000=10))</f>
      </c>
    </row>
    <row r="115" spans="1:22">
      <c r="A115" s="3" t="inlineStr">
        <is>
          <t xml:space="preserve">3EEM</t>
        </is>
      </c>
      <c r="B115" s="3" t="inlineStr">
        <is>
          <t xml:space="preserve">Total no Especialidad</t>
        </is>
      </c>
      <c r="C115" s="3" t="inlineStr">
        <is>
          <t xml:space="preserve">TotalNoEsp</t>
        </is>
      </c>
      <c r="D115">
        <f>SUMPRODUCT((DATOS!$G$2:$G$20000=CONFIG_METADATA!$B$4)*(DATOS!$D$2:$D$20000=A115)*(COUNTIF(CONFIG_ASIGNATURAS!$B$2:$B$4,DATOS!$I$2:$I$20000)&gt;0)*1)</f>
      </c>
      <c r="E115" s="14">
        <f>IFERROR(AVERAGE(IF((DATOS!$G$2:$G$20000=CONFIG_METADATA!$B$4)*(DATOS!$D$2:$D$20000=A115)*(COUNTIF(CONFIG_ASIGNATURAS!$B$2:$B$4,DATOS!$I$2:$I$20000)&gt;0),DATOS!$K$2:$K$20000)),"—")</f>
      </c>
      <c r="F115" s="14">
        <f>IFERROR(_xlfn.STDEV.P(IF((DATOS!$G$2:$G$20000=CONFIG_METADATA!$B$4)*(DATOS!$D$2:$D$20000=A115)*(COUNTIF(CONFIG_ASIGNATURAS!$B$2:$B$4,DATOS!$I$2:$I$20000)&gt;0),DATOS!$K$2:$K$20000)),"—")</f>
      </c>
      <c r="G115">
        <f>IFERROR(_xlfn.MODE.SNGL(IF((DATOS!$G$2:$G$20000=CONFIG_METADATA!$B$4)*(DATOS!$D$2:$D$20000=A115)*(COUNTIF(CONFIG_ASIGNATURAS!$B$2:$B$4,DATOS!$I$2:$I$20000)&gt;0),DATOS!$K$2:$K$20000)),"—")</f>
      </c>
      <c r="H115" s="15">
        <f>IFERROR(SUMPRODUCT((DATOS!$G$2:$G$20000=CONFIG_METADATA!$B$4)*(DATOS!$D$2:$D$20000=A115)*(COUNTIF(CONFIG_ASIGNATURAS!$B$2:$B$4,DATOS!$I$2:$I$20000)&gt;0)*(DATOS!$L$2:$L$20000="S"))/SUMPRODUCT((DATOS!$G$2:$G$20000=CONFIG_METADATA!$B$4)*(DATOS!$D$2:$D$20000=A115)*(COUNTIF(CONFIG_ASIGNATURAS!$B$2:$B$4,DATOS!$I$2:$I$20000)&gt;0)*1),"—")</f>
      </c>
      <c r="I115" s="15">
        <f>IFERROR(SUMPRODUCT((DATOS!$G$2:$G$20000=CONFIG_METADATA!$B$4)*(DATOS!$D$2:$D$20000=A115)*(COUNTIF(CONFIG_ASIGNATURAS!$B$2:$B$4,DATOS!$I$2:$I$20000)&gt;0)*(DATOS!$L$2:$L$20000="N"))/SUMPRODUCT((DATOS!$G$2:$G$20000=CONFIG_METADATA!$B$4)*(DATOS!$D$2:$D$20000=A115)*(COUNTIF(CONFIG_ASIGNATURAS!$B$2:$B$4,DATOS!$I$2:$I$20000)&gt;0)*1),"—")</f>
      </c>
      <c r="J115">
        <f>IFERROR(_xlfn.MODE.SNGL(IF((DATOS!$G$2:$G$20000=CONFIG_METADATA!$B$4)*(DATOS!$D$2:$D$20000=A115)*(COUNTIF(CONFIG_ASIGNATURAS!$B$2:$B$4,DATOS!$I$2:$I$20000)&gt;0)*(DATOS!$L$2:$L$20000="S"),DATOS!$K$2:$K$20000)),"—")</f>
      </c>
      <c r="K115">
        <f>IFERROR(_xlfn.MODE.SNGL(IF((DATOS!$G$2:$G$20000=CONFIG_METADATA!$B$4)*(DATOS!$D$2:$D$20000=A115)*(COUNTIF(CONFIG_ASIGNATURAS!$B$2:$B$4,DATOS!$I$2:$I$20000)&gt;0)*(DATOS!$L$2:$L$20000="N"),DATOS!$K$2:$K$20000)),"—")</f>
      </c>
      <c r="L115">
        <f>SUMPRODUCT((DATOS!$G$2:$G$20000=CONFIG_METADATA!$B$4)*(DATOS!$D$2:$D$20000=A115)*(COUNTIF(CONFIG_ASIGNATURAS!$B$2:$B$4,DATOS!$I$2:$I$20000)&gt;0)*(DATOS!$K$2:$K$20000=1))</f>
      </c>
      <c r="M115">
        <f>SUMPRODUCT((DATOS!$G$2:$G$20000=CONFIG_METADATA!$B$4)*(DATOS!$D$2:$D$20000=A115)*(COUNTIF(CONFIG_ASIGNATURAS!$B$2:$B$4,DATOS!$I$2:$I$20000)&gt;0)*(DATOS!$K$2:$K$20000=2))</f>
      </c>
      <c r="N115">
        <f>SUMPRODUCT((DATOS!$G$2:$G$20000=CONFIG_METADATA!$B$4)*(DATOS!$D$2:$D$20000=A115)*(COUNTIF(CONFIG_ASIGNATURAS!$B$2:$B$4,DATOS!$I$2:$I$20000)&gt;0)*(DATOS!$K$2:$K$20000=3))</f>
      </c>
      <c r="O115">
        <f>SUMPRODUCT((DATOS!$G$2:$G$20000=CONFIG_METADATA!$B$4)*(DATOS!$D$2:$D$20000=A115)*(COUNTIF(CONFIG_ASIGNATURAS!$B$2:$B$4,DATOS!$I$2:$I$20000)&gt;0)*(DATOS!$K$2:$K$20000=4))</f>
      </c>
      <c r="P115">
        <f>SUMPRODUCT((DATOS!$G$2:$G$20000=CONFIG_METADATA!$B$4)*(DATOS!$D$2:$D$20000=A115)*(COUNTIF(CONFIG_ASIGNATURAS!$B$2:$B$4,DATOS!$I$2:$I$20000)&gt;0)*(DATOS!$K$2:$K$20000=5))</f>
      </c>
      <c r="Q115">
        <f>SUMPRODUCT((DATOS!$G$2:$G$20000=CONFIG_METADATA!$B$4)*(DATOS!$D$2:$D$20000=A115)*(COUNTIF(CONFIG_ASIGNATURAS!$B$2:$B$4,DATOS!$I$2:$I$20000)&gt;0)*(DATOS!$K$2:$K$20000=6))</f>
      </c>
      <c r="R115">
        <f>SUMPRODUCT((DATOS!$G$2:$G$20000=CONFIG_METADATA!$B$4)*(DATOS!$D$2:$D$20000=A115)*(COUNTIF(CONFIG_ASIGNATURAS!$B$2:$B$4,DATOS!$I$2:$I$20000)&gt;0)*(DATOS!$K$2:$K$20000=7))</f>
      </c>
      <c r="S115">
        <f>SUMPRODUCT((DATOS!$G$2:$G$20000=CONFIG_METADATA!$B$4)*(DATOS!$D$2:$D$20000=A115)*(COUNTIF(CONFIG_ASIGNATURAS!$B$2:$B$4,DATOS!$I$2:$I$20000)&gt;0)*(DATOS!$K$2:$K$20000=8))</f>
      </c>
      <c r="T115">
        <f>SUMPRODUCT((DATOS!$G$2:$G$20000=CONFIG_METADATA!$B$4)*(DATOS!$D$2:$D$20000=A115)*(COUNTIF(CONFIG_ASIGNATURAS!$B$2:$B$4,DATOS!$I$2:$I$20000)&gt;0)*(DATOS!$K$2:$K$20000=9))</f>
      </c>
      <c r="U115">
        <f>SUMPRODUCT((DATOS!$G$2:$G$20000=CONFIG_METADATA!$B$4)*(DATOS!$D$2:$D$20000=A115)*(COUNTIF(CONFIG_ASIGNATURAS!$B$2:$B$4,DATOS!$I$2:$I$20000)&gt;0)*(DATOS!$K$2:$K$20000=10))</f>
      </c>
    </row>
    <row r="116" spans="1:22">
      <c r="A116" s="3" t="inlineStr">
        <is>
          <t xml:space="preserve">3EEM</t>
        </is>
      </c>
      <c r="B116" s="3">
        <f>IFERROR(INDEX(_xlfn._xlws.FILTER(CONFIG_ASIGNATURAS!$B$2:$B$27,CONFIG_ASIGNATURAS!$G$2:$G$27="Sí"),1),"")</f>
      </c>
      <c r="C116" s="3">
        <f>IF(B116="","",IFERROR(IF(VLOOKUP(B116,CONFIG_ASIGNATURAS!$B$2:$F$27,5,FALSE())="Sí","Especialidad","Asignatura"),"Asignatura"))</f>
      </c>
      <c r="D116">
        <f>COUNTIFS(DATOS!G:G,CONFIG_METADATA!$B$4,DATOS!I:I,B116)</f>
        <v>0</v>
      </c>
      <c r="E116" s="14" t="str">
        <f>IFERROR(AVERAGEIFS(DATOS!K:K,DATOS!G:G,CONFIG_METADATA!$B$4,DATOS!I:I,B116),"—")</f>
        <v>—</v>
      </c>
      <c r="F116" s="14" t="str" cm="1">
        <f t="array" ref="F116">IFERROR(_xlfn.STDEV.P(IF((DATOS!$G$2:$G$20000=CONFIG_METADATA!$B$4)*(DATOS!$I$2:$I$20000=B116),DATOS!$K$2:$K$20000)),"—")</f>
        <v>—</v>
      </c>
      <c r="G116" t="str" cm="1">
        <f t="array" ref="G116">IFERROR(_xlfn.MODE.SNGL(IF((DATOS!$G$2:$G$20000=CONFIG_METADATA!$B$4)*(DATOS!$I$2:$I$20000=B116),DATOS!$K$2:$K$20000)),"—")</f>
        <v>—</v>
      </c>
      <c r="H116" s="15" t="str">
        <f>IFERROR(COUNTIFS(DATOS!G:G,CONFIG_METADATA!$B$4,DATOS!I:I,B116,DATOS!L:L,"S")/COUNTIFS(DATOS!G:G,CONFIG_METADATA!$B$4,DATOS!I:I,B116),"—")</f>
        <v>—</v>
      </c>
      <c r="I116" s="15" t="str">
        <f>IFERROR(COUNTIFS(DATOS!G:G,CONFIG_METADATA!$B$4,DATOS!I:I,B116,DATOS!L:L,"N")/COUNTIFS(DATOS!G:G,CONFIG_METADATA!$B$4,DATOS!I:I,B116),"—")</f>
        <v>—</v>
      </c>
      <c r="J116" t="str" cm="1">
        <f t="array" ref="J116">IFERROR(_xlfn.MODE.SNGL(IF((DATOS!$G$2:$G$20000=CONFIG_METADATA!$B$4)*(DATOS!$I$2:$I$20000=B116)*(DATOS!$L$2:$L$20000="S"),DATOS!$K$2:$K$20000)),"—")</f>
        <v>—</v>
      </c>
      <c r="K116" t="str" cm="1">
        <f t="array" ref="K116">IFERROR(_xlfn.MODE.SNGL(IF((DATOS!$G$2:$G$20000=CONFIG_METADATA!$B$4)*(DATOS!$I$2:$I$20000=B116)*(DATOS!$L$2:$L$20000="N"),DATOS!$K$2:$K$20000)),"—")</f>
        <v>—</v>
      </c>
      <c r="L116">
        <f>COUNTIFS(DATOS!G:G,CONFIG_METADATA!$B$4,DATOS!I:I,B116,DATOS!K:K,1)</f>
        <v>0</v>
      </c>
      <c r="M116">
        <f>COUNTIFS(DATOS!G:G,CONFIG_METADATA!$B$4,DATOS!I:I,B116,DATOS!K:K,2)</f>
        <v>0</v>
      </c>
      <c r="N116">
        <f>COUNTIFS(DATOS!G:G,CONFIG_METADATA!$B$4,DATOS!I:I,B116,DATOS!K:K,3)</f>
        <v>0</v>
      </c>
      <c r="O116">
        <f>COUNTIFS(DATOS!G:G,CONFIG_METADATA!$B$4,DATOS!I:I,B116,DATOS!K:K,4)</f>
        <v>0</v>
      </c>
      <c r="P116">
        <f>COUNTIFS(DATOS!G:G,CONFIG_METADATA!$B$4,DATOS!I:I,B116,DATOS!K:K,5)</f>
        <v>0</v>
      </c>
      <c r="Q116">
        <f>COUNTIFS(DATOS!G:G,CONFIG_METADATA!$B$4,DATOS!I:I,B116,DATOS!K:K,6)</f>
        <v>0</v>
      </c>
      <c r="R116">
        <f>COUNTIFS(DATOS!G:G,CONFIG_METADATA!$B$4,DATOS!I:I,B116,DATOS!K:K,7)</f>
        <v>0</v>
      </c>
      <c r="S116">
        <f>COUNTIFS(DATOS!G:G,CONFIG_METADATA!$B$4,DATOS!I:I,B116,DATOS!K:K,8)</f>
        <v>0</v>
      </c>
      <c r="T116">
        <f>COUNTIFS(DATOS!G:G,CONFIG_METADATA!$B$4,DATOS!I:I,B116,DATOS!K:K,9)</f>
        <v>0</v>
      </c>
      <c r="U116">
        <f>COUNTIFS(DATOS!G:G,CONFIG_METADATA!$B$4,DATOS!I:I,B116,DATOS!K:K,10)</f>
        <v>0</v>
      </c>
    </row>
    <row r="117" spans="1:22">
      <c r="A117" s="3" t="inlineStr">
        <is>
          <t xml:space="preserve">3EEM</t>
        </is>
      </c>
      <c r="B117" s="3">
        <f>IFERROR(INDEX(_xlfn._xlws.FILTER(CONFIG_ASIGNATURAS!$B$2:$B$27,CONFIG_ASIGNATURAS!$G$2:$G$27="Sí"),2),"")</f>
      </c>
      <c r="C117" s="3">
        <f>IF(B117="","",IFERROR(IF(VLOOKUP(B117,CONFIG_ASIGNATURAS!$B$2:$F$27,5,FALSE())="Sí","Especialidad","Asignatura"),"Asignatura"))</f>
      </c>
      <c r="D117">
        <f>COUNTIFS(DATOS!G:G,CONFIG_METADATA!$B$4,DATOS!I:I,B117)</f>
        <v>0</v>
      </c>
      <c r="E117" s="14" t="str">
        <f>IFERROR(AVERAGEIFS(DATOS!K:K,DATOS!G:G,CONFIG_METADATA!$B$4,DATOS!I:I,B117),"—")</f>
        <v>—</v>
      </c>
      <c r="F117" s="14" t="str" cm="1">
        <f t="array" ref="F117">IFERROR(_xlfn.STDEV.P(IF((DATOS!$G$2:$G$20000=CONFIG_METADATA!$B$4)*(DATOS!$I$2:$I$20000=B117),DATOS!$K$2:$K$20000)),"—")</f>
        <v>—</v>
      </c>
      <c r="G117" t="str" cm="1">
        <f t="array" ref="G117">IFERROR(_xlfn.MODE.SNGL(IF((DATOS!$G$2:$G$20000=CONFIG_METADATA!$B$4)*(DATOS!$I$2:$I$20000=B117),DATOS!$K$2:$K$20000)),"—")</f>
        <v>—</v>
      </c>
      <c r="H117" s="15" t="str">
        <f>IFERROR(COUNTIFS(DATOS!G:G,CONFIG_METADATA!$B$4,DATOS!I:I,B117,DATOS!L:L,"S")/COUNTIFS(DATOS!G:G,CONFIG_METADATA!$B$4,DATOS!I:I,B117),"—")</f>
        <v>—</v>
      </c>
      <c r="I117" s="15" t="str">
        <f>IFERROR(COUNTIFS(DATOS!G:G,CONFIG_METADATA!$B$4,DATOS!I:I,B117,DATOS!L:L,"N")/COUNTIFS(DATOS!G:G,CONFIG_METADATA!$B$4,DATOS!I:I,B117),"—")</f>
        <v>—</v>
      </c>
      <c r="J117" t="str" cm="1">
        <f t="array" ref="J117">IFERROR(_xlfn.MODE.SNGL(IF((DATOS!$G$2:$G$20000=CONFIG_METADATA!$B$4)*(DATOS!$I$2:$I$20000=B117)*(DATOS!$L$2:$L$20000="S"),DATOS!$K$2:$K$20000)),"—")</f>
        <v>—</v>
      </c>
      <c r="K117" t="str" cm="1">
        <f t="array" ref="K117">IFERROR(_xlfn.MODE.SNGL(IF((DATOS!$G$2:$G$20000=CONFIG_METADATA!$B$4)*(DATOS!$I$2:$I$20000=B117)*(DATOS!$L$2:$L$20000="N"),DATOS!$K$2:$K$20000)),"—")</f>
        <v>—</v>
      </c>
      <c r="L117">
        <f>COUNTIFS(DATOS!G:G,CONFIG_METADATA!$B$4,DATOS!I:I,B117,DATOS!K:K,1)</f>
        <v>0</v>
      </c>
      <c r="M117">
        <f>COUNTIFS(DATOS!G:G,CONFIG_METADATA!$B$4,DATOS!I:I,B117,DATOS!K:K,2)</f>
        <v>0</v>
      </c>
      <c r="N117">
        <f>COUNTIFS(DATOS!G:G,CONFIG_METADATA!$B$4,DATOS!I:I,B117,DATOS!K:K,3)</f>
        <v>0</v>
      </c>
      <c r="O117">
        <f>COUNTIFS(DATOS!G:G,CONFIG_METADATA!$B$4,DATOS!I:I,B117,DATOS!K:K,4)</f>
        <v>0</v>
      </c>
      <c r="P117">
        <f>COUNTIFS(DATOS!G:G,CONFIG_METADATA!$B$4,DATOS!I:I,B117,DATOS!K:K,5)</f>
        <v>0</v>
      </c>
      <c r="Q117">
        <f>COUNTIFS(DATOS!G:G,CONFIG_METADATA!$B$4,DATOS!I:I,B117,DATOS!K:K,6)</f>
        <v>0</v>
      </c>
      <c r="R117">
        <f>COUNTIFS(DATOS!G:G,CONFIG_METADATA!$B$4,DATOS!I:I,B117,DATOS!K:K,7)</f>
        <v>0</v>
      </c>
      <c r="S117">
        <f>COUNTIFS(DATOS!G:G,CONFIG_METADATA!$B$4,DATOS!I:I,B117,DATOS!K:K,8)</f>
        <v>0</v>
      </c>
      <c r="T117">
        <f>COUNTIFS(DATOS!G:G,CONFIG_METADATA!$B$4,DATOS!I:I,B117,DATOS!K:K,9)</f>
        <v>0</v>
      </c>
      <c r="U117">
        <f>COUNTIFS(DATOS!G:G,CONFIG_METADATA!$B$4,DATOS!I:I,B117,DATOS!K:K,10)</f>
        <v>0</v>
      </c>
    </row>
    <row r="118" spans="1:22">
      <c r="A118" s="3" t="inlineStr">
        <is>
          <t xml:space="preserve">3EEM</t>
        </is>
      </c>
      <c r="B118" s="3">
        <f>IFERROR(INDEX(_xlfn._xlws.FILTER(CONFIG_ASIGNATURAS!$B$2:$B$27,CONFIG_ASIGNATURAS!$G$2:$G$27="Sí"),3),"")</f>
      </c>
      <c r="C118" s="3">
        <f>IF(B118="","",IFERROR(IF(VLOOKUP(B118,CONFIG_ASIGNATURAS!$B$2:$F$27,5,FALSE())="Sí","Especialidad","Asignatura"),"Asignatura"))</f>
      </c>
      <c r="D118">
        <f>COUNTIFS(DATOS!G:G,CONFIG_METADATA!$B$4,DATOS!I:I,B118)</f>
        <v>0</v>
      </c>
      <c r="E118" s="14" t="str">
        <f>IFERROR(AVERAGEIFS(DATOS!K:K,DATOS!G:G,CONFIG_METADATA!$B$4,DATOS!I:I,B118),"—")</f>
        <v>—</v>
      </c>
      <c r="F118" s="14" t="str" cm="1">
        <f t="array" ref="F118">IFERROR(_xlfn.STDEV.P(IF((DATOS!$G$2:$G$20000=CONFIG_METADATA!$B$4)*(DATOS!$I$2:$I$20000=B118),DATOS!$K$2:$K$20000)),"—")</f>
        <v>—</v>
      </c>
      <c r="G118" t="str" cm="1">
        <f t="array" ref="G118">IFERROR(_xlfn.MODE.SNGL(IF((DATOS!$G$2:$G$20000=CONFIG_METADATA!$B$4)*(DATOS!$I$2:$I$20000=B118),DATOS!$K$2:$K$20000)),"—")</f>
        <v>—</v>
      </c>
      <c r="H118" s="15" t="str">
        <f>IFERROR(COUNTIFS(DATOS!G:G,CONFIG_METADATA!$B$4,DATOS!I:I,B118,DATOS!L:L,"S")/COUNTIFS(DATOS!G:G,CONFIG_METADATA!$B$4,DATOS!I:I,B118),"—")</f>
        <v>—</v>
      </c>
      <c r="I118" s="15" t="str">
        <f>IFERROR(COUNTIFS(DATOS!G:G,CONFIG_METADATA!$B$4,DATOS!I:I,B118,DATOS!L:L,"N")/COUNTIFS(DATOS!G:G,CONFIG_METADATA!$B$4,DATOS!I:I,B118),"—")</f>
        <v>—</v>
      </c>
      <c r="J118" t="str" cm="1">
        <f t="array" ref="J118">IFERROR(_xlfn.MODE.SNGL(IF((DATOS!$G$2:$G$20000=CONFIG_METADATA!$B$4)*(DATOS!$I$2:$I$20000=B118)*(DATOS!$L$2:$L$20000="S"),DATOS!$K$2:$K$20000)),"—")</f>
        <v>—</v>
      </c>
      <c r="K118" t="str" cm="1">
        <f t="array" ref="K118">IFERROR(_xlfn.MODE.SNGL(IF((DATOS!$G$2:$G$20000=CONFIG_METADATA!$B$4)*(DATOS!$I$2:$I$20000=B118)*(DATOS!$L$2:$L$20000="N"),DATOS!$K$2:$K$20000)),"—")</f>
        <v>—</v>
      </c>
      <c r="L118">
        <f>COUNTIFS(DATOS!G:G,CONFIG_METADATA!$B$4,DATOS!I:I,B118,DATOS!K:K,1)</f>
        <v>0</v>
      </c>
      <c r="M118">
        <f>COUNTIFS(DATOS!G:G,CONFIG_METADATA!$B$4,DATOS!I:I,B118,DATOS!K:K,2)</f>
        <v>0</v>
      </c>
      <c r="N118">
        <f>COUNTIFS(DATOS!G:G,CONFIG_METADATA!$B$4,DATOS!I:I,B118,DATOS!K:K,3)</f>
        <v>0</v>
      </c>
      <c r="O118">
        <f>COUNTIFS(DATOS!G:G,CONFIG_METADATA!$B$4,DATOS!I:I,B118,DATOS!K:K,4)</f>
        <v>0</v>
      </c>
      <c r="P118">
        <f>COUNTIFS(DATOS!G:G,CONFIG_METADATA!$B$4,DATOS!I:I,B118,DATOS!K:K,5)</f>
        <v>0</v>
      </c>
      <c r="Q118">
        <f>COUNTIFS(DATOS!G:G,CONFIG_METADATA!$B$4,DATOS!I:I,B118,DATOS!K:K,6)</f>
        <v>0</v>
      </c>
      <c r="R118">
        <f>COUNTIFS(DATOS!G:G,CONFIG_METADATA!$B$4,DATOS!I:I,B118,DATOS!K:K,7)</f>
        <v>0</v>
      </c>
      <c r="S118">
        <f>COUNTIFS(DATOS!G:G,CONFIG_METADATA!$B$4,DATOS!I:I,B118,DATOS!K:K,8)</f>
        <v>0</v>
      </c>
      <c r="T118">
        <f>COUNTIFS(DATOS!G:G,CONFIG_METADATA!$B$4,DATOS!I:I,B118,DATOS!K:K,9)</f>
        <v>0</v>
      </c>
      <c r="U118">
        <f>COUNTIFS(DATOS!G:G,CONFIG_METADATA!$B$4,DATOS!I:I,B118,DATOS!K:K,10)</f>
        <v>0</v>
      </c>
    </row>
    <row r="119" spans="1:22">
      <c r="A119" s="3" t="inlineStr">
        <is>
          <t xml:space="preserve">3EEM</t>
        </is>
      </c>
      <c r="B119" s="3">
        <f>IFERROR(INDEX(_xlfn._xlws.FILTER(CONFIG_ASIGNATURAS!$B$2:$B$27,CONFIG_ASIGNATURAS!$G$2:$G$27="Sí"),4),"")</f>
      </c>
      <c r="C119" s="3">
        <f>IF(B119="","",IFERROR(IF(VLOOKUP(B119,CONFIG_ASIGNATURAS!$B$2:$F$27,5,FALSE())="Sí","Especialidad","Asignatura"),"Asignatura"))</f>
      </c>
      <c r="D119">
        <f>COUNTIFS(DATOS!G:G,CONFIG_METADATA!$B$4,DATOS!I:I,B119)</f>
        <v>0</v>
      </c>
      <c r="E119" s="14" t="str">
        <f>IFERROR(AVERAGEIFS(DATOS!K:K,DATOS!G:G,CONFIG_METADATA!$B$4,DATOS!I:I,B119),"—")</f>
        <v>—</v>
      </c>
      <c r="F119" s="14" t="str" cm="1">
        <f t="array" ref="F119">IFERROR(_xlfn.STDEV.P(IF((DATOS!$G$2:$G$20000=CONFIG_METADATA!$B$4)*(DATOS!$I$2:$I$20000=B119),DATOS!$K$2:$K$20000)),"—")</f>
        <v>—</v>
      </c>
      <c r="G119" t="str" cm="1">
        <f t="array" ref="G119">IFERROR(_xlfn.MODE.SNGL(IF((DATOS!$G$2:$G$20000=CONFIG_METADATA!$B$4)*(DATOS!$I$2:$I$20000=B119),DATOS!$K$2:$K$20000)),"—")</f>
        <v>—</v>
      </c>
      <c r="H119" s="15" t="str">
        <f>IFERROR(COUNTIFS(DATOS!G:G,CONFIG_METADATA!$B$4,DATOS!I:I,B119,DATOS!L:L,"S")/COUNTIFS(DATOS!G:G,CONFIG_METADATA!$B$4,DATOS!I:I,B119),"—")</f>
        <v>—</v>
      </c>
      <c r="I119" s="15" t="str">
        <f>IFERROR(COUNTIFS(DATOS!G:G,CONFIG_METADATA!$B$4,DATOS!I:I,B119,DATOS!L:L,"N")/COUNTIFS(DATOS!G:G,CONFIG_METADATA!$B$4,DATOS!I:I,B119),"—")</f>
        <v>—</v>
      </c>
      <c r="J119" t="str" cm="1">
        <f t="array" ref="J119">IFERROR(_xlfn.MODE.SNGL(IF((DATOS!$G$2:$G$20000=CONFIG_METADATA!$B$4)*(DATOS!$I$2:$I$20000=B119)*(DATOS!$L$2:$L$20000="S"),DATOS!$K$2:$K$20000)),"—")</f>
        <v>—</v>
      </c>
      <c r="K119" t="str" cm="1">
        <f t="array" ref="K119">IFERROR(_xlfn.MODE.SNGL(IF((DATOS!$G$2:$G$20000=CONFIG_METADATA!$B$4)*(DATOS!$I$2:$I$20000=B119)*(DATOS!$L$2:$L$20000="N"),DATOS!$K$2:$K$20000)),"—")</f>
        <v>—</v>
      </c>
      <c r="L119">
        <f>COUNTIFS(DATOS!G:G,CONFIG_METADATA!$B$4,DATOS!I:I,B119,DATOS!K:K,1)</f>
        <v>0</v>
      </c>
      <c r="M119">
        <f>COUNTIFS(DATOS!G:G,CONFIG_METADATA!$B$4,DATOS!I:I,B119,DATOS!K:K,2)</f>
        <v>0</v>
      </c>
      <c r="N119">
        <f>COUNTIFS(DATOS!G:G,CONFIG_METADATA!$B$4,DATOS!I:I,B119,DATOS!K:K,3)</f>
        <v>0</v>
      </c>
      <c r="O119">
        <f>COUNTIFS(DATOS!G:G,CONFIG_METADATA!$B$4,DATOS!I:I,B119,DATOS!K:K,4)</f>
        <v>0</v>
      </c>
      <c r="P119">
        <f>COUNTIFS(DATOS!G:G,CONFIG_METADATA!$B$4,DATOS!I:I,B119,DATOS!K:K,5)</f>
        <v>0</v>
      </c>
      <c r="Q119">
        <f>COUNTIFS(DATOS!G:G,CONFIG_METADATA!$B$4,DATOS!I:I,B119,DATOS!K:K,6)</f>
        <v>0</v>
      </c>
      <c r="R119">
        <f>COUNTIFS(DATOS!G:G,CONFIG_METADATA!$B$4,DATOS!I:I,B119,DATOS!K:K,7)</f>
        <v>0</v>
      </c>
      <c r="S119">
        <f>COUNTIFS(DATOS!G:G,CONFIG_METADATA!$B$4,DATOS!I:I,B119,DATOS!K:K,8)</f>
        <v>0</v>
      </c>
      <c r="T119">
        <f>COUNTIFS(DATOS!G:G,CONFIG_METADATA!$B$4,DATOS!I:I,B119,DATOS!K:K,9)</f>
        <v>0</v>
      </c>
      <c r="U119">
        <f>COUNTIFS(DATOS!G:G,CONFIG_METADATA!$B$4,DATOS!I:I,B119,DATOS!K:K,10)</f>
        <v>0</v>
      </c>
    </row>
    <row r="120" spans="1:22">
      <c r="A120" s="3" t="inlineStr">
        <is>
          <t xml:space="preserve">3EEM</t>
        </is>
      </c>
      <c r="B120" s="3">
        <f>IFERROR(INDEX(_xlfn._xlws.FILTER(CONFIG_ASIGNATURAS!$B$2:$B$27,CONFIG_ASIGNATURAS!$G$2:$G$27="Sí"),5),"")</f>
      </c>
      <c r="C120" s="3">
        <f>IF(B120="","",IFERROR(IF(VLOOKUP(B120,CONFIG_ASIGNATURAS!$B$2:$F$27,5,FALSE())="Sí","Especialidad","Asignatura"),"Asignatura"))</f>
      </c>
      <c r="D120">
        <f>COUNTIFS(DATOS!G:G,CONFIG_METADATA!$B$4,DATOS!I:I,B120)</f>
        <v>0</v>
      </c>
      <c r="E120" s="14" t="str">
        <f>IFERROR(AVERAGEIFS(DATOS!K:K,DATOS!G:G,CONFIG_METADATA!$B$4,DATOS!I:I,B120),"—")</f>
        <v>—</v>
      </c>
      <c r="F120" s="14" t="str" cm="1">
        <f t="array" ref="F120">IFERROR(_xlfn.STDEV.P(IF((DATOS!$G$2:$G$20000=CONFIG_METADATA!$B$4)*(DATOS!$I$2:$I$20000=B120),DATOS!$K$2:$K$20000)),"—")</f>
        <v>—</v>
      </c>
      <c r="G120" t="str" cm="1">
        <f t="array" ref="G120">IFERROR(_xlfn.MODE.SNGL(IF((DATOS!$G$2:$G$20000=CONFIG_METADATA!$B$4)*(DATOS!$I$2:$I$20000=B120),DATOS!$K$2:$K$20000)),"—")</f>
        <v>—</v>
      </c>
      <c r="H120" s="15" t="str">
        <f>IFERROR(COUNTIFS(DATOS!G:G,CONFIG_METADATA!$B$4,DATOS!I:I,B120,DATOS!L:L,"S")/COUNTIFS(DATOS!G:G,CONFIG_METADATA!$B$4,DATOS!I:I,B120),"—")</f>
        <v>—</v>
      </c>
      <c r="I120" s="15" t="str">
        <f>IFERROR(COUNTIFS(DATOS!G:G,CONFIG_METADATA!$B$4,DATOS!I:I,B120,DATOS!L:L,"N")/COUNTIFS(DATOS!G:G,CONFIG_METADATA!$B$4,DATOS!I:I,B120),"—")</f>
        <v>—</v>
      </c>
      <c r="J120" t="str" cm="1">
        <f t="array" ref="J120">IFERROR(_xlfn.MODE.SNGL(IF((DATOS!$G$2:$G$20000=CONFIG_METADATA!$B$4)*(DATOS!$I$2:$I$20000=B120)*(DATOS!$L$2:$L$20000="S"),DATOS!$K$2:$K$20000)),"—")</f>
        <v>—</v>
      </c>
      <c r="K120" t="str" cm="1">
        <f t="array" ref="K120">IFERROR(_xlfn.MODE.SNGL(IF((DATOS!$G$2:$G$20000=CONFIG_METADATA!$B$4)*(DATOS!$I$2:$I$20000=B120)*(DATOS!$L$2:$L$20000="N"),DATOS!$K$2:$K$20000)),"—")</f>
        <v>—</v>
      </c>
      <c r="L120">
        <f>COUNTIFS(DATOS!G:G,CONFIG_METADATA!$B$4,DATOS!I:I,B120,DATOS!K:K,1)</f>
        <v>0</v>
      </c>
      <c r="M120">
        <f>COUNTIFS(DATOS!G:G,CONFIG_METADATA!$B$4,DATOS!I:I,B120,DATOS!K:K,2)</f>
        <v>0</v>
      </c>
      <c r="N120">
        <f>COUNTIFS(DATOS!G:G,CONFIG_METADATA!$B$4,DATOS!I:I,B120,DATOS!K:K,3)</f>
        <v>0</v>
      </c>
      <c r="O120">
        <f>COUNTIFS(DATOS!G:G,CONFIG_METADATA!$B$4,DATOS!I:I,B120,DATOS!K:K,4)</f>
        <v>0</v>
      </c>
      <c r="P120">
        <f>COUNTIFS(DATOS!G:G,CONFIG_METADATA!$B$4,DATOS!I:I,B120,DATOS!K:K,5)</f>
        <v>0</v>
      </c>
      <c r="Q120">
        <f>COUNTIFS(DATOS!G:G,CONFIG_METADATA!$B$4,DATOS!I:I,B120,DATOS!K:K,6)</f>
        <v>0</v>
      </c>
      <c r="R120">
        <f>COUNTIFS(DATOS!G:G,CONFIG_METADATA!$B$4,DATOS!I:I,B120,DATOS!K:K,7)</f>
        <v>0</v>
      </c>
      <c r="S120">
        <f>COUNTIFS(DATOS!G:G,CONFIG_METADATA!$B$4,DATOS!I:I,B120,DATOS!K:K,8)</f>
        <v>0</v>
      </c>
      <c r="T120">
        <f>COUNTIFS(DATOS!G:G,CONFIG_METADATA!$B$4,DATOS!I:I,B120,DATOS!K:K,9)</f>
        <v>0</v>
      </c>
      <c r="U120">
        <f>COUNTIFS(DATOS!G:G,CONFIG_METADATA!$B$4,DATOS!I:I,B120,DATOS!K:K,10)</f>
        <v>0</v>
      </c>
    </row>
    <row r="121" spans="1:22">
      <c r="A121" s="3" t="inlineStr">
        <is>
          <t xml:space="preserve">3EEM</t>
        </is>
      </c>
      <c r="B121" s="3">
        <f>IFERROR(INDEX(_xlfn._xlws.FILTER(CONFIG_ASIGNATURAS!$B$2:$B$27,CONFIG_ASIGNATURAS!$G$2:$G$27="Sí"),6),"")</f>
      </c>
      <c r="C121" s="3">
        <f>IF(B121="","",IFERROR(IF(VLOOKUP(B121,CONFIG_ASIGNATURAS!$B$2:$F$27,5,FALSE())="Sí","Especialidad","Asignatura"),"Asignatura"))</f>
      </c>
      <c r="D121">
        <f>COUNTIFS(DATOS!G:G,CONFIG_METADATA!$B$4,DATOS!I:I,B121)</f>
        <v>0</v>
      </c>
      <c r="E121" s="14" t="str">
        <f>IFERROR(AVERAGEIFS(DATOS!K:K,DATOS!G:G,CONFIG_METADATA!$B$4,DATOS!I:I,B121),"—")</f>
        <v>—</v>
      </c>
      <c r="F121" s="14" t="str" cm="1">
        <f t="array" ref="F121">IFERROR(_xlfn.STDEV.P(IF((DATOS!$G$2:$G$20000=CONFIG_METADATA!$B$4)*(DATOS!$I$2:$I$20000=B121),DATOS!$K$2:$K$20000)),"—")</f>
        <v>—</v>
      </c>
      <c r="G121" t="str" cm="1">
        <f t="array" ref="G121">IFERROR(_xlfn.MODE.SNGL(IF((DATOS!$G$2:$G$20000=CONFIG_METADATA!$B$4)*(DATOS!$I$2:$I$20000=B121),DATOS!$K$2:$K$20000)),"—")</f>
        <v>—</v>
      </c>
      <c r="H121" s="15" t="str">
        <f>IFERROR(COUNTIFS(DATOS!G:G,CONFIG_METADATA!$B$4,DATOS!I:I,B121,DATOS!L:L,"S")/COUNTIFS(DATOS!G:G,CONFIG_METADATA!$B$4,DATOS!I:I,B121),"—")</f>
        <v>—</v>
      </c>
      <c r="I121" s="15" t="str">
        <f>IFERROR(COUNTIFS(DATOS!G:G,CONFIG_METADATA!$B$4,DATOS!I:I,B121,DATOS!L:L,"N")/COUNTIFS(DATOS!G:G,CONFIG_METADATA!$B$4,DATOS!I:I,B121),"—")</f>
        <v>—</v>
      </c>
      <c r="J121" t="str" cm="1">
        <f t="array" ref="J121">IFERROR(_xlfn.MODE.SNGL(IF((DATOS!$G$2:$G$20000=CONFIG_METADATA!$B$4)*(DATOS!$I$2:$I$20000=B121)*(DATOS!$L$2:$L$20000="S"),DATOS!$K$2:$K$20000)),"—")</f>
        <v>—</v>
      </c>
      <c r="K121" t="str" cm="1">
        <f t="array" ref="K121">IFERROR(_xlfn.MODE.SNGL(IF((DATOS!$G$2:$G$20000=CONFIG_METADATA!$B$4)*(DATOS!$I$2:$I$20000=B121)*(DATOS!$L$2:$L$20000="N"),DATOS!$K$2:$K$20000)),"—")</f>
        <v>—</v>
      </c>
      <c r="L121">
        <f>COUNTIFS(DATOS!G:G,CONFIG_METADATA!$B$4,DATOS!I:I,B121,DATOS!K:K,1)</f>
        <v>0</v>
      </c>
      <c r="M121">
        <f>COUNTIFS(DATOS!G:G,CONFIG_METADATA!$B$4,DATOS!I:I,B121,DATOS!K:K,2)</f>
        <v>0</v>
      </c>
      <c r="N121">
        <f>COUNTIFS(DATOS!G:G,CONFIG_METADATA!$B$4,DATOS!I:I,B121,DATOS!K:K,3)</f>
        <v>0</v>
      </c>
      <c r="O121">
        <f>COUNTIFS(DATOS!G:G,CONFIG_METADATA!$B$4,DATOS!I:I,B121,DATOS!K:K,4)</f>
        <v>0</v>
      </c>
      <c r="P121">
        <f>COUNTIFS(DATOS!G:G,CONFIG_METADATA!$B$4,DATOS!I:I,B121,DATOS!K:K,5)</f>
        <v>0</v>
      </c>
      <c r="Q121">
        <f>COUNTIFS(DATOS!G:G,CONFIG_METADATA!$B$4,DATOS!I:I,B121,DATOS!K:K,6)</f>
        <v>0</v>
      </c>
      <c r="R121">
        <f>COUNTIFS(DATOS!G:G,CONFIG_METADATA!$B$4,DATOS!I:I,B121,DATOS!K:K,7)</f>
        <v>0</v>
      </c>
      <c r="S121">
        <f>COUNTIFS(DATOS!G:G,CONFIG_METADATA!$B$4,DATOS!I:I,B121,DATOS!K:K,8)</f>
        <v>0</v>
      </c>
      <c r="T121">
        <f>COUNTIFS(DATOS!G:G,CONFIG_METADATA!$B$4,DATOS!I:I,B121,DATOS!K:K,9)</f>
        <v>0</v>
      </c>
      <c r="U121">
        <f>COUNTIFS(DATOS!G:G,CONFIG_METADATA!$B$4,DATOS!I:I,B121,DATOS!K:K,10)</f>
        <v>0</v>
      </c>
    </row>
    <row r="122" spans="1:22">
      <c r="A122" s="3" t="inlineStr">
        <is>
          <t xml:space="preserve">3EEM</t>
        </is>
      </c>
      <c r="B122" s="3">
        <f>IFERROR(INDEX(_xlfn._xlws.FILTER(CONFIG_ASIGNATURAS!$B$2:$B$27,CONFIG_ASIGNATURAS!$G$2:$G$27="Sí"),7),"")</f>
      </c>
      <c r="C122" s="3">
        <f>IF(B122="","",IFERROR(IF(VLOOKUP(B122,CONFIG_ASIGNATURAS!$B$2:$F$27,5,FALSE())="Sí","Especialidad","Asignatura"),"Asignatura"))</f>
      </c>
      <c r="D122">
        <f>COUNTIFS(DATOS!G:G,CONFIG_METADATA!$B$4,DATOS!I:I,B122)</f>
        <v>0</v>
      </c>
      <c r="E122" s="14" t="str">
        <f>IFERROR(AVERAGEIFS(DATOS!K:K,DATOS!G:G,CONFIG_METADATA!$B$4,DATOS!I:I,B122),"—")</f>
        <v>—</v>
      </c>
      <c r="F122" s="14" t="str" cm="1">
        <f t="array" ref="F122">IFERROR(_xlfn.STDEV.P(IF((DATOS!$G$2:$G$20000=CONFIG_METADATA!$B$4)*(DATOS!$I$2:$I$20000=B122),DATOS!$K$2:$K$20000)),"—")</f>
        <v>—</v>
      </c>
      <c r="G122" t="str" cm="1">
        <f t="array" ref="G122">IFERROR(_xlfn.MODE.SNGL(IF((DATOS!$G$2:$G$20000=CONFIG_METADATA!$B$4)*(DATOS!$I$2:$I$20000=B122),DATOS!$K$2:$K$20000)),"—")</f>
        <v>—</v>
      </c>
      <c r="H122" s="15" t="str">
        <f>IFERROR(COUNTIFS(DATOS!G:G,CONFIG_METADATA!$B$4,DATOS!I:I,B122,DATOS!L:L,"S")/COUNTIFS(DATOS!G:G,CONFIG_METADATA!$B$4,DATOS!I:I,B122),"—")</f>
        <v>—</v>
      </c>
      <c r="I122" s="15" t="str">
        <f>IFERROR(COUNTIFS(DATOS!G:G,CONFIG_METADATA!$B$4,DATOS!I:I,B122,DATOS!L:L,"N")/COUNTIFS(DATOS!G:G,CONFIG_METADATA!$B$4,DATOS!I:I,B122),"—")</f>
        <v>—</v>
      </c>
      <c r="J122" t="str" cm="1">
        <f t="array" ref="J122">IFERROR(_xlfn.MODE.SNGL(IF((DATOS!$G$2:$G$20000=CONFIG_METADATA!$B$4)*(DATOS!$I$2:$I$20000=B122)*(DATOS!$L$2:$L$20000="S"),DATOS!$K$2:$K$20000)),"—")</f>
        <v>—</v>
      </c>
      <c r="K122" t="str" cm="1">
        <f t="array" ref="K122">IFERROR(_xlfn.MODE.SNGL(IF((DATOS!$G$2:$G$20000=CONFIG_METADATA!$B$4)*(DATOS!$I$2:$I$20000=B122)*(DATOS!$L$2:$L$20000="N"),DATOS!$K$2:$K$20000)),"—")</f>
        <v>—</v>
      </c>
      <c r="L122">
        <f>COUNTIFS(DATOS!G:G,CONFIG_METADATA!$B$4,DATOS!I:I,B122,DATOS!K:K,1)</f>
        <v>0</v>
      </c>
      <c r="M122">
        <f>COUNTIFS(DATOS!G:G,CONFIG_METADATA!$B$4,DATOS!I:I,B122,DATOS!K:K,2)</f>
        <v>0</v>
      </c>
      <c r="N122">
        <f>COUNTIFS(DATOS!G:G,CONFIG_METADATA!$B$4,DATOS!I:I,B122,DATOS!K:K,3)</f>
        <v>0</v>
      </c>
      <c r="O122">
        <f>COUNTIFS(DATOS!G:G,CONFIG_METADATA!$B$4,DATOS!I:I,B122,DATOS!K:K,4)</f>
        <v>0</v>
      </c>
      <c r="P122">
        <f>COUNTIFS(DATOS!G:G,CONFIG_METADATA!$B$4,DATOS!I:I,B122,DATOS!K:K,5)</f>
        <v>0</v>
      </c>
      <c r="Q122">
        <f>COUNTIFS(DATOS!G:G,CONFIG_METADATA!$B$4,DATOS!I:I,B122,DATOS!K:K,6)</f>
        <v>0</v>
      </c>
      <c r="R122">
        <f>COUNTIFS(DATOS!G:G,CONFIG_METADATA!$B$4,DATOS!I:I,B122,DATOS!K:K,7)</f>
        <v>0</v>
      </c>
      <c r="S122">
        <f>COUNTIFS(DATOS!G:G,CONFIG_METADATA!$B$4,DATOS!I:I,B122,DATOS!K:K,8)</f>
        <v>0</v>
      </c>
      <c r="T122">
        <f>COUNTIFS(DATOS!G:G,CONFIG_METADATA!$B$4,DATOS!I:I,B122,DATOS!K:K,9)</f>
        <v>0</v>
      </c>
      <c r="U122">
        <f>COUNTIFS(DATOS!G:G,CONFIG_METADATA!$B$4,DATOS!I:I,B122,DATOS!K:K,10)</f>
        <v>0</v>
      </c>
    </row>
    <row r="123" spans="1:22">
      <c r="A123" s="3" t="inlineStr">
        <is>
          <t xml:space="preserve">3EEM</t>
        </is>
      </c>
      <c r="B123" s="3">
        <f>IFERROR(INDEX(_xlfn._xlws.FILTER(CONFIG_ASIGNATURAS!$B$2:$B$27,CONFIG_ASIGNATURAS!$G$2:$G$27="Sí"),8),"")</f>
      </c>
      <c r="C123" s="3">
        <f>IF(B123="","",IFERROR(IF(VLOOKUP(B123,CONFIG_ASIGNATURAS!$B$2:$F$27,5,FALSE())="Sí","Especialidad","Asignatura"),"Asignatura"))</f>
      </c>
      <c r="D123">
        <f>COUNTIFS(DATOS!G:G,CONFIG_METADATA!$B$4,DATOS!I:I,B123)</f>
        <v>0</v>
      </c>
      <c r="E123" s="14" t="str">
        <f>IFERROR(AVERAGEIFS(DATOS!K:K,DATOS!G:G,CONFIG_METADATA!$B$4,DATOS!I:I,B123),"—")</f>
        <v>—</v>
      </c>
      <c r="F123" s="14" t="str" cm="1">
        <f t="array" ref="F123">IFERROR(_xlfn.STDEV.P(IF((DATOS!$G$2:$G$20000=CONFIG_METADATA!$B$4)*(DATOS!$I$2:$I$20000=B123),DATOS!$K$2:$K$20000)),"—")</f>
        <v>—</v>
      </c>
      <c r="G123" t="str" cm="1">
        <f t="array" ref="G123">IFERROR(_xlfn.MODE.SNGL(IF((DATOS!$G$2:$G$20000=CONFIG_METADATA!$B$4)*(DATOS!$I$2:$I$20000=B123),DATOS!$K$2:$K$20000)),"—")</f>
        <v>—</v>
      </c>
      <c r="H123" s="15" t="str">
        <f>IFERROR(COUNTIFS(DATOS!G:G,CONFIG_METADATA!$B$4,DATOS!I:I,B123,DATOS!L:L,"S")/COUNTIFS(DATOS!G:G,CONFIG_METADATA!$B$4,DATOS!I:I,B123),"—")</f>
        <v>—</v>
      </c>
      <c r="I123" s="15" t="str">
        <f>IFERROR(COUNTIFS(DATOS!G:G,CONFIG_METADATA!$B$4,DATOS!I:I,B123,DATOS!L:L,"N")/COUNTIFS(DATOS!G:G,CONFIG_METADATA!$B$4,DATOS!I:I,B123),"—")</f>
        <v>—</v>
      </c>
      <c r="J123" t="str" cm="1">
        <f t="array" ref="J123">IFERROR(_xlfn.MODE.SNGL(IF((DATOS!$G$2:$G$20000=CONFIG_METADATA!$B$4)*(DATOS!$I$2:$I$20000=B123)*(DATOS!$L$2:$L$20000="S"),DATOS!$K$2:$K$20000)),"—")</f>
        <v>—</v>
      </c>
      <c r="K123" t="str" cm="1">
        <f t="array" ref="K123">IFERROR(_xlfn.MODE.SNGL(IF((DATOS!$G$2:$G$20000=CONFIG_METADATA!$B$4)*(DATOS!$I$2:$I$20000=B123)*(DATOS!$L$2:$L$20000="N"),DATOS!$K$2:$K$20000)),"—")</f>
        <v>—</v>
      </c>
      <c r="L123">
        <f>COUNTIFS(DATOS!G:G,CONFIG_METADATA!$B$4,DATOS!I:I,B123,DATOS!K:K,1)</f>
        <v>0</v>
      </c>
      <c r="M123">
        <f>COUNTIFS(DATOS!G:G,CONFIG_METADATA!$B$4,DATOS!I:I,B123,DATOS!K:K,2)</f>
        <v>0</v>
      </c>
      <c r="N123">
        <f>COUNTIFS(DATOS!G:G,CONFIG_METADATA!$B$4,DATOS!I:I,B123,DATOS!K:K,3)</f>
        <v>0</v>
      </c>
      <c r="O123">
        <f>COUNTIFS(DATOS!G:G,CONFIG_METADATA!$B$4,DATOS!I:I,B123,DATOS!K:K,4)</f>
        <v>0</v>
      </c>
      <c r="P123">
        <f>COUNTIFS(DATOS!G:G,CONFIG_METADATA!$B$4,DATOS!I:I,B123,DATOS!K:K,5)</f>
        <v>0</v>
      </c>
      <c r="Q123">
        <f>COUNTIFS(DATOS!G:G,CONFIG_METADATA!$B$4,DATOS!I:I,B123,DATOS!K:K,6)</f>
        <v>0</v>
      </c>
      <c r="R123">
        <f>COUNTIFS(DATOS!G:G,CONFIG_METADATA!$B$4,DATOS!I:I,B123,DATOS!K:K,7)</f>
        <v>0</v>
      </c>
      <c r="S123">
        <f>COUNTIFS(DATOS!G:G,CONFIG_METADATA!$B$4,DATOS!I:I,B123,DATOS!K:K,8)</f>
        <v>0</v>
      </c>
      <c r="T123">
        <f>COUNTIFS(DATOS!G:G,CONFIG_METADATA!$B$4,DATOS!I:I,B123,DATOS!K:K,9)</f>
        <v>0</v>
      </c>
      <c r="U123">
        <f>COUNTIFS(DATOS!G:G,CONFIG_METADATA!$B$4,DATOS!I:I,B123,DATOS!K:K,10)</f>
        <v>0</v>
      </c>
    </row>
    <row r="124" spans="1:22">
      <c r="A124" s="3" t="inlineStr">
        <is>
          <t xml:space="preserve">3EEM</t>
        </is>
      </c>
      <c r="B124" s="3">
        <f>IFERROR(INDEX(_xlfn._xlws.FILTER(CONFIG_ASIGNATURAS!$B$2:$B$27,CONFIG_ASIGNATURAS!$G$2:$G$27="Sí"),9),"")</f>
      </c>
      <c r="C124" s="3">
        <f>IF(B124="","",IFERROR(IF(VLOOKUP(B124,CONFIG_ASIGNATURAS!$B$2:$F$27,5,FALSE())="Sí","Especialidad","Asignatura"),"Asignatura"))</f>
      </c>
      <c r="D124">
        <f>COUNTIFS(DATOS!G:G,CONFIG_METADATA!$B$4,DATOS!I:I,B124)</f>
        <v>0</v>
      </c>
      <c r="E124" s="14" t="str">
        <f>IFERROR(AVERAGEIFS(DATOS!K:K,DATOS!G:G,CONFIG_METADATA!$B$4,DATOS!I:I,B124),"—")</f>
        <v>—</v>
      </c>
      <c r="F124" s="14" t="str" cm="1">
        <f t="array" ref="F124">IFERROR(_xlfn.STDEV.P(IF((DATOS!$G$2:$G$20000=CONFIG_METADATA!$B$4)*(DATOS!$I$2:$I$20000=B124),DATOS!$K$2:$K$20000)),"—")</f>
        <v>—</v>
      </c>
      <c r="G124" t="str" cm="1">
        <f t="array" ref="G124">IFERROR(_xlfn.MODE.SNGL(IF((DATOS!$G$2:$G$20000=CONFIG_METADATA!$B$4)*(DATOS!$I$2:$I$20000=B124),DATOS!$K$2:$K$20000)),"—")</f>
        <v>—</v>
      </c>
      <c r="H124" s="15" t="str">
        <f>IFERROR(COUNTIFS(DATOS!G:G,CONFIG_METADATA!$B$4,DATOS!I:I,B124,DATOS!L:L,"S")/COUNTIFS(DATOS!G:G,CONFIG_METADATA!$B$4,DATOS!I:I,B124),"—")</f>
        <v>—</v>
      </c>
      <c r="I124" s="15" t="str">
        <f>IFERROR(COUNTIFS(DATOS!G:G,CONFIG_METADATA!$B$4,DATOS!I:I,B124,DATOS!L:L,"N")/COUNTIFS(DATOS!G:G,CONFIG_METADATA!$B$4,DATOS!I:I,B124),"—")</f>
        <v>—</v>
      </c>
      <c r="J124" t="str" cm="1">
        <f t="array" ref="J124">IFERROR(_xlfn.MODE.SNGL(IF((DATOS!$G$2:$G$20000=CONFIG_METADATA!$B$4)*(DATOS!$I$2:$I$20000=B124)*(DATOS!$L$2:$L$20000="S"),DATOS!$K$2:$K$20000)),"—")</f>
        <v>—</v>
      </c>
      <c r="K124" t="str" cm="1">
        <f t="array" ref="K124">IFERROR(_xlfn.MODE.SNGL(IF((DATOS!$G$2:$G$20000=CONFIG_METADATA!$B$4)*(DATOS!$I$2:$I$20000=B124)*(DATOS!$L$2:$L$20000="N"),DATOS!$K$2:$K$20000)),"—")</f>
        <v>—</v>
      </c>
      <c r="L124">
        <f>COUNTIFS(DATOS!G:G,CONFIG_METADATA!$B$4,DATOS!I:I,B124,DATOS!K:K,1)</f>
        <v>0</v>
      </c>
      <c r="M124">
        <f>COUNTIFS(DATOS!G:G,CONFIG_METADATA!$B$4,DATOS!I:I,B124,DATOS!K:K,2)</f>
        <v>0</v>
      </c>
      <c r="N124">
        <f>COUNTIFS(DATOS!G:G,CONFIG_METADATA!$B$4,DATOS!I:I,B124,DATOS!K:K,3)</f>
        <v>0</v>
      </c>
      <c r="O124">
        <f>COUNTIFS(DATOS!G:G,CONFIG_METADATA!$B$4,DATOS!I:I,B124,DATOS!K:K,4)</f>
        <v>0</v>
      </c>
      <c r="P124">
        <f>COUNTIFS(DATOS!G:G,CONFIG_METADATA!$B$4,DATOS!I:I,B124,DATOS!K:K,5)</f>
        <v>0</v>
      </c>
      <c r="Q124">
        <f>COUNTIFS(DATOS!G:G,CONFIG_METADATA!$B$4,DATOS!I:I,B124,DATOS!K:K,6)</f>
        <v>0</v>
      </c>
      <c r="R124">
        <f>COUNTIFS(DATOS!G:G,CONFIG_METADATA!$B$4,DATOS!I:I,B124,DATOS!K:K,7)</f>
        <v>0</v>
      </c>
      <c r="S124">
        <f>COUNTIFS(DATOS!G:G,CONFIG_METADATA!$B$4,DATOS!I:I,B124,DATOS!K:K,8)</f>
        <v>0</v>
      </c>
      <c r="T124">
        <f>COUNTIFS(DATOS!G:G,CONFIG_METADATA!$B$4,DATOS!I:I,B124,DATOS!K:K,9)</f>
        <v>0</v>
      </c>
      <c r="U124">
        <f>COUNTIFS(DATOS!G:G,CONFIG_METADATA!$B$4,DATOS!I:I,B124,DATOS!K:K,10)</f>
        <v>0</v>
      </c>
    </row>
    <row r="125" spans="1:22">
      <c r="A125" s="3" t="inlineStr">
        <is>
          <t xml:space="preserve">3EEM</t>
        </is>
      </c>
      <c r="B125" s="3">
        <f>IFERROR(INDEX(_xlfn._xlws.FILTER(CONFIG_ASIGNATURAS!$B$2:$B$27,CONFIG_ASIGNATURAS!$G$2:$G$27="Sí"),10),"")</f>
      </c>
      <c r="C125" s="3">
        <f>IF(B125="","",IFERROR(IF(VLOOKUP(B125,CONFIG_ASIGNATURAS!$B$2:$F$27,5,FALSE())="Sí","Especialidad","Asignatura"),"Asignatura"))</f>
      </c>
      <c r="D125">
        <f>COUNTIFS(DATOS!G:G,CONFIG_METADATA!$B$4,DATOS!I:I,B125)</f>
        <v>0</v>
      </c>
      <c r="E125" s="14" t="str">
        <f>IFERROR(AVERAGEIFS(DATOS!K:K,DATOS!G:G,CONFIG_METADATA!$B$4,DATOS!I:I,B125),"—")</f>
        <v>—</v>
      </c>
      <c r="F125" s="14" t="str" cm="1">
        <f t="array" ref="F125">IFERROR(_xlfn.STDEV.P(IF((DATOS!$G$2:$G$20000=CONFIG_METADATA!$B$4)*(DATOS!$I$2:$I$20000=B125),DATOS!$K$2:$K$20000)),"—")</f>
        <v>—</v>
      </c>
      <c r="G125" t="str" cm="1">
        <f t="array" ref="G125">IFERROR(_xlfn.MODE.SNGL(IF((DATOS!$G$2:$G$20000=CONFIG_METADATA!$B$4)*(DATOS!$I$2:$I$20000=B125),DATOS!$K$2:$K$20000)),"—")</f>
        <v>—</v>
      </c>
      <c r="H125" s="15" t="str">
        <f>IFERROR(COUNTIFS(DATOS!G:G,CONFIG_METADATA!$B$4,DATOS!I:I,B125,DATOS!L:L,"S")/COUNTIFS(DATOS!G:G,CONFIG_METADATA!$B$4,DATOS!I:I,B125),"—")</f>
        <v>—</v>
      </c>
      <c r="I125" s="15" t="str">
        <f>IFERROR(COUNTIFS(DATOS!G:G,CONFIG_METADATA!$B$4,DATOS!I:I,B125,DATOS!L:L,"N")/COUNTIFS(DATOS!G:G,CONFIG_METADATA!$B$4,DATOS!I:I,B125),"—")</f>
        <v>—</v>
      </c>
      <c r="J125" t="str" cm="1">
        <f t="array" ref="J125">IFERROR(_xlfn.MODE.SNGL(IF((DATOS!$G$2:$G$20000=CONFIG_METADATA!$B$4)*(DATOS!$I$2:$I$20000=B125)*(DATOS!$L$2:$L$20000="S"),DATOS!$K$2:$K$20000)),"—")</f>
        <v>—</v>
      </c>
      <c r="K125" t="str" cm="1">
        <f t="array" ref="K125">IFERROR(_xlfn.MODE.SNGL(IF((DATOS!$G$2:$G$20000=CONFIG_METADATA!$B$4)*(DATOS!$I$2:$I$20000=B125)*(DATOS!$L$2:$L$20000="N"),DATOS!$K$2:$K$20000)),"—")</f>
        <v>—</v>
      </c>
      <c r="L125">
        <f>COUNTIFS(DATOS!G:G,CONFIG_METADATA!$B$4,DATOS!I:I,B125,DATOS!K:K,1)</f>
        <v>0</v>
      </c>
      <c r="M125">
        <f>COUNTIFS(DATOS!G:G,CONFIG_METADATA!$B$4,DATOS!I:I,B125,DATOS!K:K,2)</f>
        <v>0</v>
      </c>
      <c r="N125">
        <f>COUNTIFS(DATOS!G:G,CONFIG_METADATA!$B$4,DATOS!I:I,B125,DATOS!K:K,3)</f>
        <v>0</v>
      </c>
      <c r="O125">
        <f>COUNTIFS(DATOS!G:G,CONFIG_METADATA!$B$4,DATOS!I:I,B125,DATOS!K:K,4)</f>
        <v>0</v>
      </c>
      <c r="P125">
        <f>COUNTIFS(DATOS!G:G,CONFIG_METADATA!$B$4,DATOS!I:I,B125,DATOS!K:K,5)</f>
        <v>0</v>
      </c>
      <c r="Q125">
        <f>COUNTIFS(DATOS!G:G,CONFIG_METADATA!$B$4,DATOS!I:I,B125,DATOS!K:K,6)</f>
        <v>0</v>
      </c>
      <c r="R125">
        <f>COUNTIFS(DATOS!G:G,CONFIG_METADATA!$B$4,DATOS!I:I,B125,DATOS!K:K,7)</f>
        <v>0</v>
      </c>
      <c r="S125">
        <f>COUNTIFS(DATOS!G:G,CONFIG_METADATA!$B$4,DATOS!I:I,B125,DATOS!K:K,8)</f>
        <v>0</v>
      </c>
      <c r="T125">
        <f>COUNTIFS(DATOS!G:G,CONFIG_METADATA!$B$4,DATOS!I:I,B125,DATOS!K:K,9)</f>
        <v>0</v>
      </c>
      <c r="U125">
        <f>COUNTIFS(DATOS!G:G,CONFIG_METADATA!$B$4,DATOS!I:I,B125,DATOS!K:K,10)</f>
        <v>0</v>
      </c>
    </row>
    <row r="126" spans="1:22">
      <c r="A126" s="3" t="inlineStr">
        <is>
          <t xml:space="preserve">3EEM</t>
        </is>
      </c>
      <c r="B126" s="3">
        <f>IFERROR(INDEX(_xlfn._xlws.FILTER(CONFIG_ASIGNATURAS!$B$2:$B$27,CONFIG_ASIGNATURAS!$G$2:$G$27="Sí"),11),"")</f>
      </c>
      <c r="C126" s="3">
        <f>IF(B126="","",IFERROR(IF(VLOOKUP(B126,CONFIG_ASIGNATURAS!$B$2:$F$27,5,FALSE())="Sí","Especialidad","Asignatura"),"Asignatura"))</f>
      </c>
      <c r="D126">
        <f>COUNTIFS(DATOS!G:G,CONFIG_METADATA!$B$4,DATOS!I:I,B126)</f>
        <v>0</v>
      </c>
      <c r="E126" s="14" t="str">
        <f>IFERROR(AVERAGEIFS(DATOS!K:K,DATOS!G:G,CONFIG_METADATA!$B$4,DATOS!I:I,B126),"—")</f>
        <v>—</v>
      </c>
      <c r="F126" s="14" t="str" cm="1">
        <f t="array" ref="F126">IFERROR(_xlfn.STDEV.P(IF((DATOS!$G$2:$G$20000=CONFIG_METADATA!$B$4)*(DATOS!$I$2:$I$20000=B126),DATOS!$K$2:$K$20000)),"—")</f>
        <v>—</v>
      </c>
      <c r="G126" t="str" cm="1">
        <f t="array" ref="G126">IFERROR(_xlfn.MODE.SNGL(IF((DATOS!$G$2:$G$20000=CONFIG_METADATA!$B$4)*(DATOS!$I$2:$I$20000=B126),DATOS!$K$2:$K$20000)),"—")</f>
        <v>—</v>
      </c>
      <c r="H126" s="15" t="str">
        <f>IFERROR(COUNTIFS(DATOS!G:G,CONFIG_METADATA!$B$4,DATOS!I:I,B126,DATOS!L:L,"S")/COUNTIFS(DATOS!G:G,CONFIG_METADATA!$B$4,DATOS!I:I,B126),"—")</f>
        <v>—</v>
      </c>
      <c r="I126" s="15" t="str">
        <f>IFERROR(COUNTIFS(DATOS!G:G,CONFIG_METADATA!$B$4,DATOS!I:I,B126,DATOS!L:L,"N")/COUNTIFS(DATOS!G:G,CONFIG_METADATA!$B$4,DATOS!I:I,B126),"—")</f>
        <v>—</v>
      </c>
      <c r="J126" t="str" cm="1">
        <f t="array" ref="J126">IFERROR(_xlfn.MODE.SNGL(IF((DATOS!$G$2:$G$20000=CONFIG_METADATA!$B$4)*(DATOS!$I$2:$I$20000=B126)*(DATOS!$L$2:$L$20000="S"),DATOS!$K$2:$K$20000)),"—")</f>
        <v>—</v>
      </c>
      <c r="K126" t="str" cm="1">
        <f t="array" ref="K126">IFERROR(_xlfn.MODE.SNGL(IF((DATOS!$G$2:$G$20000=CONFIG_METADATA!$B$4)*(DATOS!$I$2:$I$20000=B126)*(DATOS!$L$2:$L$20000="N"),DATOS!$K$2:$K$20000)),"—")</f>
        <v>—</v>
      </c>
      <c r="L126">
        <f>COUNTIFS(DATOS!G:G,CONFIG_METADATA!$B$4,DATOS!I:I,B126,DATOS!K:K,1)</f>
        <v>0</v>
      </c>
      <c r="M126">
        <f>COUNTIFS(DATOS!G:G,CONFIG_METADATA!$B$4,DATOS!I:I,B126,DATOS!K:K,2)</f>
        <v>0</v>
      </c>
      <c r="N126">
        <f>COUNTIFS(DATOS!G:G,CONFIG_METADATA!$B$4,DATOS!I:I,B126,DATOS!K:K,3)</f>
        <v>0</v>
      </c>
      <c r="O126">
        <f>COUNTIFS(DATOS!G:G,CONFIG_METADATA!$B$4,DATOS!I:I,B126,DATOS!K:K,4)</f>
        <v>0</v>
      </c>
      <c r="P126">
        <f>COUNTIFS(DATOS!G:G,CONFIG_METADATA!$B$4,DATOS!I:I,B126,DATOS!K:K,5)</f>
        <v>0</v>
      </c>
      <c r="Q126">
        <f>COUNTIFS(DATOS!G:G,CONFIG_METADATA!$B$4,DATOS!I:I,B126,DATOS!K:K,6)</f>
        <v>0</v>
      </c>
      <c r="R126">
        <f>COUNTIFS(DATOS!G:G,CONFIG_METADATA!$B$4,DATOS!I:I,B126,DATOS!K:K,7)</f>
        <v>0</v>
      </c>
      <c r="S126">
        <f>COUNTIFS(DATOS!G:G,CONFIG_METADATA!$B$4,DATOS!I:I,B126,DATOS!K:K,8)</f>
        <v>0</v>
      </c>
      <c r="T126">
        <f>COUNTIFS(DATOS!G:G,CONFIG_METADATA!$B$4,DATOS!I:I,B126,DATOS!K:K,9)</f>
        <v>0</v>
      </c>
      <c r="U126">
        <f>COUNTIFS(DATOS!G:G,CONFIG_METADATA!$B$4,DATOS!I:I,B126,DATOS!K:K,10)</f>
        <v>0</v>
      </c>
    </row>
    <row r="127" spans="1:22">
      <c r="A127" s="3" t="inlineStr">
        <is>
          <t xml:space="preserve">3EEM</t>
        </is>
      </c>
      <c r="B127" s="3">
        <f>IFERROR(INDEX(_xlfn._xlws.FILTER(CONFIG_ASIGNATURAS!$B$2:$B$27,CONFIG_ASIGNATURAS!$G$2:$G$27="Sí"),12),"")</f>
      </c>
      <c r="C127" s="3">
        <f>IF(B127="","",IFERROR(IF(VLOOKUP(B127,CONFIG_ASIGNATURAS!$B$2:$F$27,5,FALSE())="Sí","Especialidad","Asignatura"),"Asignatura"))</f>
      </c>
      <c r="D127">
        <f>COUNTIFS(DATOS!G:G,CONFIG_METADATA!$B$4,DATOS!I:I,B127)</f>
        <v>0</v>
      </c>
      <c r="E127" s="14" t="str">
        <f>IFERROR(AVERAGEIFS(DATOS!K:K,DATOS!G:G,CONFIG_METADATA!$B$4,DATOS!I:I,B127),"—")</f>
        <v>—</v>
      </c>
      <c r="F127" s="14" t="str" cm="1">
        <f t="array" ref="F127">IFERROR(_xlfn.STDEV.P(IF((DATOS!$G$2:$G$20000=CONFIG_METADATA!$B$4)*(DATOS!$I$2:$I$20000=B127),DATOS!$K$2:$K$20000)),"—")</f>
        <v>—</v>
      </c>
      <c r="G127" t="str" cm="1">
        <f t="array" ref="G127">IFERROR(_xlfn.MODE.SNGL(IF((DATOS!$G$2:$G$20000=CONFIG_METADATA!$B$4)*(DATOS!$I$2:$I$20000=B127),DATOS!$K$2:$K$20000)),"—")</f>
        <v>—</v>
      </c>
      <c r="H127" s="15" t="str">
        <f>IFERROR(COUNTIFS(DATOS!G:G,CONFIG_METADATA!$B$4,DATOS!I:I,B127,DATOS!L:L,"S")/COUNTIFS(DATOS!G:G,CONFIG_METADATA!$B$4,DATOS!I:I,B127),"—")</f>
        <v>—</v>
      </c>
      <c r="I127" s="15" t="str">
        <f>IFERROR(COUNTIFS(DATOS!G:G,CONFIG_METADATA!$B$4,DATOS!I:I,B127,DATOS!L:L,"N")/COUNTIFS(DATOS!G:G,CONFIG_METADATA!$B$4,DATOS!I:I,B127),"—")</f>
        <v>—</v>
      </c>
      <c r="J127" t="str" cm="1">
        <f t="array" ref="J127">IFERROR(_xlfn.MODE.SNGL(IF((DATOS!$G$2:$G$20000=CONFIG_METADATA!$B$4)*(DATOS!$I$2:$I$20000=B127)*(DATOS!$L$2:$L$20000="S"),DATOS!$K$2:$K$20000)),"—")</f>
        <v>—</v>
      </c>
      <c r="K127" t="str" cm="1">
        <f t="array" ref="K127">IFERROR(_xlfn.MODE.SNGL(IF((DATOS!$G$2:$G$20000=CONFIG_METADATA!$B$4)*(DATOS!$I$2:$I$20000=B127)*(DATOS!$L$2:$L$20000="N"),DATOS!$K$2:$K$20000)),"—")</f>
        <v>—</v>
      </c>
      <c r="L127">
        <f>COUNTIFS(DATOS!G:G,CONFIG_METADATA!$B$4,DATOS!I:I,B127,DATOS!K:K,1)</f>
        <v>0</v>
      </c>
      <c r="M127">
        <f>COUNTIFS(DATOS!G:G,CONFIG_METADATA!$B$4,DATOS!I:I,B127,DATOS!K:K,2)</f>
        <v>0</v>
      </c>
      <c r="N127">
        <f>COUNTIFS(DATOS!G:G,CONFIG_METADATA!$B$4,DATOS!I:I,B127,DATOS!K:K,3)</f>
        <v>0</v>
      </c>
      <c r="O127">
        <f>COUNTIFS(DATOS!G:G,CONFIG_METADATA!$B$4,DATOS!I:I,B127,DATOS!K:K,4)</f>
        <v>0</v>
      </c>
      <c r="P127">
        <f>COUNTIFS(DATOS!G:G,CONFIG_METADATA!$B$4,DATOS!I:I,B127,DATOS!K:K,5)</f>
        <v>0</v>
      </c>
      <c r="Q127">
        <f>COUNTIFS(DATOS!G:G,CONFIG_METADATA!$B$4,DATOS!I:I,B127,DATOS!K:K,6)</f>
        <v>0</v>
      </c>
      <c r="R127">
        <f>COUNTIFS(DATOS!G:G,CONFIG_METADATA!$B$4,DATOS!I:I,B127,DATOS!K:K,7)</f>
        <v>0</v>
      </c>
      <c r="S127">
        <f>COUNTIFS(DATOS!G:G,CONFIG_METADATA!$B$4,DATOS!I:I,B127,DATOS!K:K,8)</f>
        <v>0</v>
      </c>
      <c r="T127">
        <f>COUNTIFS(DATOS!G:G,CONFIG_METADATA!$B$4,DATOS!I:I,B127,DATOS!K:K,9)</f>
        <v>0</v>
      </c>
      <c r="U127">
        <f>COUNTIFS(DATOS!G:G,CONFIG_METADATA!$B$4,DATOS!I:I,B127,DATOS!K:K,10)</f>
        <v>0</v>
      </c>
    </row>
    <row r="128" spans="1:22">
      <c r="A128" s="3" t="inlineStr">
        <is>
          <t xml:space="preserve">3EEM</t>
        </is>
      </c>
      <c r="B128" s="3">
        <f>IFERROR(INDEX(_xlfn._xlws.FILTER(CONFIG_ASIGNATURAS!$B$2:$B$27,CONFIG_ASIGNATURAS!$G$2:$G$27="Sí"),13),"")</f>
      </c>
      <c r="C128" s="3">
        <f>IF(B128="","",IFERROR(IF(VLOOKUP(B128,CONFIG_ASIGNATURAS!$B$2:$F$27,5,FALSE())="Sí","Especialidad","Asignatura"),"Asignatura"))</f>
      </c>
      <c r="D128">
        <f>COUNTIFS(DATOS!G:G,CONFIG_METADATA!$B$4,DATOS!I:I,B128)</f>
        <v>0</v>
      </c>
      <c r="E128" s="14" t="str">
        <f>IFERROR(AVERAGEIFS(DATOS!K:K,DATOS!G:G,CONFIG_METADATA!$B$4,DATOS!I:I,B128),"—")</f>
        <v>—</v>
      </c>
      <c r="F128" s="14" t="str" cm="1">
        <f t="array" ref="F128">IFERROR(_xlfn.STDEV.P(IF((DATOS!$G$2:$G$20000=CONFIG_METADATA!$B$4)*(DATOS!$I$2:$I$20000=B128),DATOS!$K$2:$K$20000)),"—")</f>
        <v>—</v>
      </c>
      <c r="G128" t="str" cm="1">
        <f t="array" ref="G128">IFERROR(_xlfn.MODE.SNGL(IF((DATOS!$G$2:$G$20000=CONFIG_METADATA!$B$4)*(DATOS!$I$2:$I$20000=B128),DATOS!$K$2:$K$20000)),"—")</f>
        <v>—</v>
      </c>
      <c r="H128" s="15" t="str">
        <f>IFERROR(COUNTIFS(DATOS!G:G,CONFIG_METADATA!$B$4,DATOS!I:I,B128,DATOS!L:L,"S")/COUNTIFS(DATOS!G:G,CONFIG_METADATA!$B$4,DATOS!I:I,B128),"—")</f>
        <v>—</v>
      </c>
      <c r="I128" s="15" t="str">
        <f>IFERROR(COUNTIFS(DATOS!G:G,CONFIG_METADATA!$B$4,DATOS!I:I,B128,DATOS!L:L,"N")/COUNTIFS(DATOS!G:G,CONFIG_METADATA!$B$4,DATOS!I:I,B128),"—")</f>
        <v>—</v>
      </c>
      <c r="J128" t="str" cm="1">
        <f t="array" ref="J128">IFERROR(_xlfn.MODE.SNGL(IF((DATOS!$G$2:$G$20000=CONFIG_METADATA!$B$4)*(DATOS!$I$2:$I$20000=B128)*(DATOS!$L$2:$L$20000="S"),DATOS!$K$2:$K$20000)),"—")</f>
        <v>—</v>
      </c>
      <c r="K128" t="str" cm="1">
        <f t="array" ref="K128">IFERROR(_xlfn.MODE.SNGL(IF((DATOS!$G$2:$G$20000=CONFIG_METADATA!$B$4)*(DATOS!$I$2:$I$20000=B128)*(DATOS!$L$2:$L$20000="N"),DATOS!$K$2:$K$20000)),"—")</f>
        <v>—</v>
      </c>
      <c r="L128">
        <f>COUNTIFS(DATOS!G:G,CONFIG_METADATA!$B$4,DATOS!I:I,B128,DATOS!K:K,1)</f>
        <v>0</v>
      </c>
      <c r="M128">
        <f>COUNTIFS(DATOS!G:G,CONFIG_METADATA!$B$4,DATOS!I:I,B128,DATOS!K:K,2)</f>
        <v>0</v>
      </c>
      <c r="N128">
        <f>COUNTIFS(DATOS!G:G,CONFIG_METADATA!$B$4,DATOS!I:I,B128,DATOS!K:K,3)</f>
        <v>0</v>
      </c>
      <c r="O128">
        <f>COUNTIFS(DATOS!G:G,CONFIG_METADATA!$B$4,DATOS!I:I,B128,DATOS!K:K,4)</f>
        <v>0</v>
      </c>
      <c r="P128">
        <f>COUNTIFS(DATOS!G:G,CONFIG_METADATA!$B$4,DATOS!I:I,B128,DATOS!K:K,5)</f>
        <v>0</v>
      </c>
      <c r="Q128">
        <f>COUNTIFS(DATOS!G:G,CONFIG_METADATA!$B$4,DATOS!I:I,B128,DATOS!K:K,6)</f>
        <v>0</v>
      </c>
      <c r="R128">
        <f>COUNTIFS(DATOS!G:G,CONFIG_METADATA!$B$4,DATOS!I:I,B128,DATOS!K:K,7)</f>
        <v>0</v>
      </c>
      <c r="S128">
        <f>COUNTIFS(DATOS!G:G,CONFIG_METADATA!$B$4,DATOS!I:I,B128,DATOS!K:K,8)</f>
        <v>0</v>
      </c>
      <c r="T128">
        <f>COUNTIFS(DATOS!G:G,CONFIG_METADATA!$B$4,DATOS!I:I,B128,DATOS!K:K,9)</f>
        <v>0</v>
      </c>
      <c r="U128">
        <f>COUNTIFS(DATOS!G:G,CONFIG_METADATA!$B$4,DATOS!I:I,B128,DATOS!K:K,10)</f>
        <v>0</v>
      </c>
    </row>
    <row r="129" spans="1:22">
      <c r="A129" s="3" t="inlineStr">
        <is>
          <t xml:space="preserve">3EEM</t>
        </is>
      </c>
      <c r="B129" s="3">
        <f>IFERROR(INDEX(_xlfn._xlws.FILTER(CONFIG_ASIGNATURAS!$B$2:$B$27,CONFIG_ASIGNATURAS!$G$2:$G$27="Sí"),14),"")</f>
      </c>
      <c r="C129" s="3">
        <f>IF(B129="","",IFERROR(IF(VLOOKUP(B129,CONFIG_ASIGNATURAS!$B$2:$F$27,5,FALSE())="Sí","Especialidad","Asignatura"),"Asignatura"))</f>
      </c>
      <c r="D129">
        <f>COUNTIFS(DATOS!G:G,CONFIG_METADATA!$B$4,DATOS!I:I,B129)</f>
        <v>0</v>
      </c>
      <c r="E129" s="14" t="str">
        <f>IFERROR(AVERAGEIFS(DATOS!K:K,DATOS!G:G,CONFIG_METADATA!$B$4,DATOS!I:I,B129),"—")</f>
        <v>—</v>
      </c>
      <c r="F129" s="14" t="str" cm="1">
        <f t="array" ref="F129">IFERROR(_xlfn.STDEV.P(IF((DATOS!$G$2:$G$20000=CONFIG_METADATA!$B$4)*(DATOS!$I$2:$I$20000=B129),DATOS!$K$2:$K$20000)),"—")</f>
        <v>—</v>
      </c>
      <c r="G129" t="str" cm="1">
        <f t="array" ref="G129">IFERROR(_xlfn.MODE.SNGL(IF((DATOS!$G$2:$G$20000=CONFIG_METADATA!$B$4)*(DATOS!$I$2:$I$20000=B129),DATOS!$K$2:$K$20000)),"—")</f>
        <v>—</v>
      </c>
      <c r="H129" s="15" t="str">
        <f>IFERROR(COUNTIFS(DATOS!G:G,CONFIG_METADATA!$B$4,DATOS!I:I,B129,DATOS!L:L,"S")/COUNTIFS(DATOS!G:G,CONFIG_METADATA!$B$4,DATOS!I:I,B129),"—")</f>
        <v>—</v>
      </c>
      <c r="I129" s="15" t="str">
        <f>IFERROR(COUNTIFS(DATOS!G:G,CONFIG_METADATA!$B$4,DATOS!I:I,B129,DATOS!L:L,"N")/COUNTIFS(DATOS!G:G,CONFIG_METADATA!$B$4,DATOS!I:I,B129),"—")</f>
        <v>—</v>
      </c>
      <c r="J129" t="str" cm="1">
        <f t="array" ref="J129">IFERROR(_xlfn.MODE.SNGL(IF((DATOS!$G$2:$G$20000=CONFIG_METADATA!$B$4)*(DATOS!$I$2:$I$20000=B129)*(DATOS!$L$2:$L$20000="S"),DATOS!$K$2:$K$20000)),"—")</f>
        <v>—</v>
      </c>
      <c r="K129" t="str" cm="1">
        <f t="array" ref="K129">IFERROR(_xlfn.MODE.SNGL(IF((DATOS!$G$2:$G$20000=CONFIG_METADATA!$B$4)*(DATOS!$I$2:$I$20000=B129)*(DATOS!$L$2:$L$20000="N"),DATOS!$K$2:$K$20000)),"—")</f>
        <v>—</v>
      </c>
      <c r="L129">
        <f>COUNTIFS(DATOS!G:G,CONFIG_METADATA!$B$4,DATOS!I:I,B129,DATOS!K:K,1)</f>
        <v>0</v>
      </c>
      <c r="M129">
        <f>COUNTIFS(DATOS!G:G,CONFIG_METADATA!$B$4,DATOS!I:I,B129,DATOS!K:K,2)</f>
        <v>0</v>
      </c>
      <c r="N129">
        <f>COUNTIFS(DATOS!G:G,CONFIG_METADATA!$B$4,DATOS!I:I,B129,DATOS!K:K,3)</f>
        <v>0</v>
      </c>
      <c r="O129">
        <f>COUNTIFS(DATOS!G:G,CONFIG_METADATA!$B$4,DATOS!I:I,B129,DATOS!K:K,4)</f>
        <v>0</v>
      </c>
      <c r="P129">
        <f>COUNTIFS(DATOS!G:G,CONFIG_METADATA!$B$4,DATOS!I:I,B129,DATOS!K:K,5)</f>
        <v>0</v>
      </c>
      <c r="Q129">
        <f>COUNTIFS(DATOS!G:G,CONFIG_METADATA!$B$4,DATOS!I:I,B129,DATOS!K:K,6)</f>
        <v>0</v>
      </c>
      <c r="R129">
        <f>COUNTIFS(DATOS!G:G,CONFIG_METADATA!$B$4,DATOS!I:I,B129,DATOS!K:K,7)</f>
        <v>0</v>
      </c>
      <c r="S129">
        <f>COUNTIFS(DATOS!G:G,CONFIG_METADATA!$B$4,DATOS!I:I,B129,DATOS!K:K,8)</f>
        <v>0</v>
      </c>
      <c r="T129">
        <f>COUNTIFS(DATOS!G:G,CONFIG_METADATA!$B$4,DATOS!I:I,B129,DATOS!K:K,9)</f>
        <v>0</v>
      </c>
      <c r="U129">
        <f>COUNTIFS(DATOS!G:G,CONFIG_METADATA!$B$4,DATOS!I:I,B129,DATOS!K:K,10)</f>
        <v>0</v>
      </c>
    </row>
    <row r="130" spans="1:22">
      <c r="A130" s="3" t="inlineStr">
        <is>
          <t xml:space="preserve">3EEM</t>
        </is>
      </c>
      <c r="B130" s="3">
        <f>IFERROR(INDEX(_xlfn._xlws.FILTER(CONFIG_ASIGNATURAS!$B$2:$B$27,CONFIG_ASIGNATURAS!$G$2:$G$27="Sí"),15),"")</f>
      </c>
      <c r="C130" s="3">
        <f>IF(B130="","",IFERROR(IF(VLOOKUP(B130,CONFIG_ASIGNATURAS!$B$2:$F$27,5,FALSE())="Sí","Especialidad","Asignatura"),"Asignatura"))</f>
      </c>
      <c r="D130">
        <f>COUNTIFS(DATOS!G:G,CONFIG_METADATA!$B$4,DATOS!I:I,B130)</f>
        <v>0</v>
      </c>
      <c r="E130" s="14" t="str">
        <f>IFERROR(AVERAGEIFS(DATOS!K:K,DATOS!G:G,CONFIG_METADATA!$B$4,DATOS!I:I,B130),"—")</f>
        <v>—</v>
      </c>
      <c r="F130" s="14" t="str" cm="1">
        <f t="array" ref="F130">IFERROR(_xlfn.STDEV.P(IF((DATOS!$G$2:$G$20000=CONFIG_METADATA!$B$4)*(DATOS!$I$2:$I$20000=B130),DATOS!$K$2:$K$20000)),"—")</f>
        <v>—</v>
      </c>
      <c r="G130" t="str" cm="1">
        <f t="array" ref="G130">IFERROR(_xlfn.MODE.SNGL(IF((DATOS!$G$2:$G$20000=CONFIG_METADATA!$B$4)*(DATOS!$I$2:$I$20000=B130),DATOS!$K$2:$K$20000)),"—")</f>
        <v>—</v>
      </c>
      <c r="H130" s="15" t="str">
        <f>IFERROR(COUNTIFS(DATOS!G:G,CONFIG_METADATA!$B$4,DATOS!I:I,B130,DATOS!L:L,"S")/COUNTIFS(DATOS!G:G,CONFIG_METADATA!$B$4,DATOS!I:I,B130),"—")</f>
        <v>—</v>
      </c>
      <c r="I130" s="15" t="str">
        <f>IFERROR(COUNTIFS(DATOS!G:G,CONFIG_METADATA!$B$4,DATOS!I:I,B130,DATOS!L:L,"N")/COUNTIFS(DATOS!G:G,CONFIG_METADATA!$B$4,DATOS!I:I,B130),"—")</f>
        <v>—</v>
      </c>
      <c r="J130" t="str" cm="1">
        <f t="array" ref="J130">IFERROR(_xlfn.MODE.SNGL(IF((DATOS!$G$2:$G$20000=CONFIG_METADATA!$B$4)*(DATOS!$I$2:$I$20000=B130)*(DATOS!$L$2:$L$20000="S"),DATOS!$K$2:$K$20000)),"—")</f>
        <v>—</v>
      </c>
      <c r="K130" t="str" cm="1">
        <f t="array" ref="K130">IFERROR(_xlfn.MODE.SNGL(IF((DATOS!$G$2:$G$20000=CONFIG_METADATA!$B$4)*(DATOS!$I$2:$I$20000=B130)*(DATOS!$L$2:$L$20000="N"),DATOS!$K$2:$K$20000)),"—")</f>
        <v>—</v>
      </c>
      <c r="L130">
        <f>COUNTIFS(DATOS!G:G,CONFIG_METADATA!$B$4,DATOS!I:I,B130,DATOS!K:K,1)</f>
        <v>0</v>
      </c>
      <c r="M130">
        <f>COUNTIFS(DATOS!G:G,CONFIG_METADATA!$B$4,DATOS!I:I,B130,DATOS!K:K,2)</f>
        <v>0</v>
      </c>
      <c r="N130">
        <f>COUNTIFS(DATOS!G:G,CONFIG_METADATA!$B$4,DATOS!I:I,B130,DATOS!K:K,3)</f>
        <v>0</v>
      </c>
      <c r="O130">
        <f>COUNTIFS(DATOS!G:G,CONFIG_METADATA!$B$4,DATOS!I:I,B130,DATOS!K:K,4)</f>
        <v>0</v>
      </c>
      <c r="P130">
        <f>COUNTIFS(DATOS!G:G,CONFIG_METADATA!$B$4,DATOS!I:I,B130,DATOS!K:K,5)</f>
        <v>0</v>
      </c>
      <c r="Q130">
        <f>COUNTIFS(DATOS!G:G,CONFIG_METADATA!$B$4,DATOS!I:I,B130,DATOS!K:K,6)</f>
        <v>0</v>
      </c>
      <c r="R130">
        <f>COUNTIFS(DATOS!G:G,CONFIG_METADATA!$B$4,DATOS!I:I,B130,DATOS!K:K,7)</f>
        <v>0</v>
      </c>
      <c r="S130">
        <f>COUNTIFS(DATOS!G:G,CONFIG_METADATA!$B$4,DATOS!I:I,B130,DATOS!K:K,8)</f>
        <v>0</v>
      </c>
      <c r="T130">
        <f>COUNTIFS(DATOS!G:G,CONFIG_METADATA!$B$4,DATOS!I:I,B130,DATOS!K:K,9)</f>
        <v>0</v>
      </c>
      <c r="U130">
        <f>COUNTIFS(DATOS!G:G,CONFIG_METADATA!$B$4,DATOS!I:I,B130,DATOS!K:K,10)</f>
        <v>0</v>
      </c>
    </row>
    <row r="131" spans="1:22">
      <c r="A131" s="3" t="inlineStr">
        <is>
          <t xml:space="preserve">3EEM</t>
        </is>
      </c>
      <c r="B131" s="3">
        <f>IFERROR(INDEX(_xlfn._xlws.FILTER(CONFIG_ASIGNATURAS!$B$2:$B$27,CONFIG_ASIGNATURAS!$G$2:$G$27="Sí"),16),"")</f>
      </c>
      <c r="C131" s="3">
        <f>IF(B131="","",IFERROR(IF(VLOOKUP(B131,CONFIG_ASIGNATURAS!$B$2:$F$27,5,FALSE())="Sí","Especialidad","Asignatura"),"Asignatura"))</f>
      </c>
      <c r="D131">
        <f>COUNTIFS(DATOS!G:G,CONFIG_METADATA!$B$4,DATOS!I:I,B131)</f>
        <v>0</v>
      </c>
      <c r="E131" s="14" t="str">
        <f>IFERROR(AVERAGEIFS(DATOS!K:K,DATOS!G:G,CONFIG_METADATA!$B$4,DATOS!I:I,B131),"—")</f>
        <v>—</v>
      </c>
      <c r="F131" s="14" t="str" cm="1">
        <f t="array" ref="F131">IFERROR(_xlfn.STDEV.P(IF((DATOS!$G$2:$G$20000=CONFIG_METADATA!$B$4)*(DATOS!$I$2:$I$20000=B131),DATOS!$K$2:$K$20000)),"—")</f>
        <v>—</v>
      </c>
      <c r="G131" t="str" cm="1">
        <f t="array" ref="G131">IFERROR(_xlfn.MODE.SNGL(IF((DATOS!$G$2:$G$20000=CONFIG_METADATA!$B$4)*(DATOS!$I$2:$I$20000=B131),DATOS!$K$2:$K$20000)),"—")</f>
        <v>—</v>
      </c>
      <c r="H131" s="15" t="str">
        <f>IFERROR(COUNTIFS(DATOS!G:G,CONFIG_METADATA!$B$4,DATOS!I:I,B131,DATOS!L:L,"S")/COUNTIFS(DATOS!G:G,CONFIG_METADATA!$B$4,DATOS!I:I,B131),"—")</f>
        <v>—</v>
      </c>
      <c r="I131" s="15" t="str">
        <f>IFERROR(COUNTIFS(DATOS!G:G,CONFIG_METADATA!$B$4,DATOS!I:I,B131,DATOS!L:L,"N")/COUNTIFS(DATOS!G:G,CONFIG_METADATA!$B$4,DATOS!I:I,B131),"—")</f>
        <v>—</v>
      </c>
      <c r="J131" t="str" cm="1">
        <f t="array" ref="J131">IFERROR(_xlfn.MODE.SNGL(IF((DATOS!$G$2:$G$20000=CONFIG_METADATA!$B$4)*(DATOS!$I$2:$I$20000=B131)*(DATOS!$L$2:$L$20000="S"),DATOS!$K$2:$K$20000)),"—")</f>
        <v>—</v>
      </c>
      <c r="K131" t="str" cm="1">
        <f t="array" ref="K131">IFERROR(_xlfn.MODE.SNGL(IF((DATOS!$G$2:$G$20000=CONFIG_METADATA!$B$4)*(DATOS!$I$2:$I$20000=B131)*(DATOS!$L$2:$L$20000="N"),DATOS!$K$2:$K$20000)),"—")</f>
        <v>—</v>
      </c>
      <c r="L131">
        <f>COUNTIFS(DATOS!G:G,CONFIG_METADATA!$B$4,DATOS!I:I,B131,DATOS!K:K,1)</f>
        <v>0</v>
      </c>
      <c r="M131">
        <f>COUNTIFS(DATOS!G:G,CONFIG_METADATA!$B$4,DATOS!I:I,B131,DATOS!K:K,2)</f>
        <v>0</v>
      </c>
      <c r="N131">
        <f>COUNTIFS(DATOS!G:G,CONFIG_METADATA!$B$4,DATOS!I:I,B131,DATOS!K:K,3)</f>
        <v>0</v>
      </c>
      <c r="O131">
        <f>COUNTIFS(DATOS!G:G,CONFIG_METADATA!$B$4,DATOS!I:I,B131,DATOS!K:K,4)</f>
        <v>0</v>
      </c>
      <c r="P131">
        <f>COUNTIFS(DATOS!G:G,CONFIG_METADATA!$B$4,DATOS!I:I,B131,DATOS!K:K,5)</f>
        <v>0</v>
      </c>
      <c r="Q131">
        <f>COUNTIFS(DATOS!G:G,CONFIG_METADATA!$B$4,DATOS!I:I,B131,DATOS!K:K,6)</f>
        <v>0</v>
      </c>
      <c r="R131">
        <f>COUNTIFS(DATOS!G:G,CONFIG_METADATA!$B$4,DATOS!I:I,B131,DATOS!K:K,7)</f>
        <v>0</v>
      </c>
      <c r="S131">
        <f>COUNTIFS(DATOS!G:G,CONFIG_METADATA!$B$4,DATOS!I:I,B131,DATOS!K:K,8)</f>
        <v>0</v>
      </c>
      <c r="T131">
        <f>COUNTIFS(DATOS!G:G,CONFIG_METADATA!$B$4,DATOS!I:I,B131,DATOS!K:K,9)</f>
        <v>0</v>
      </c>
      <c r="U131">
        <f>COUNTIFS(DATOS!G:G,CONFIG_METADATA!$B$4,DATOS!I:I,B131,DATOS!K:K,10)</f>
        <v>0</v>
      </c>
    </row>
    <row r="132" spans="1:22">
      <c r="A132" s="3" t="inlineStr">
        <is>
          <t xml:space="preserve">3EEM</t>
        </is>
      </c>
      <c r="B132" s="3">
        <f>IFERROR(INDEX(_xlfn._xlws.FILTER(CONFIG_ASIGNATURAS!$B$2:$B$27,CONFIG_ASIGNATURAS!$G$2:$G$27="Sí"),17),"")</f>
      </c>
      <c r="C132" s="3">
        <f>IF(B132="","",IFERROR(IF(VLOOKUP(B132,CONFIG_ASIGNATURAS!$B$2:$F$27,5,FALSE())="Sí","Especialidad","Asignatura"),"Asignatura"))</f>
      </c>
      <c r="D132">
        <f>COUNTIFS(DATOS!G:G,CONFIG_METADATA!$B$4,DATOS!I:I,B132)</f>
        <v>0</v>
      </c>
      <c r="E132" s="14" t="str">
        <f>IFERROR(AVERAGEIFS(DATOS!K:K,DATOS!G:G,CONFIG_METADATA!$B$4,DATOS!I:I,B132),"—")</f>
        <v>—</v>
      </c>
      <c r="F132" s="14" t="str" cm="1">
        <f t="array" ref="F132">IFERROR(_xlfn.STDEV.P(IF((DATOS!$G$2:$G$20000=CONFIG_METADATA!$B$4)*(DATOS!$I$2:$I$20000=B132),DATOS!$K$2:$K$20000)),"—")</f>
        <v>—</v>
      </c>
      <c r="G132" t="str" cm="1">
        <f t="array" ref="G132">IFERROR(_xlfn.MODE.SNGL(IF((DATOS!$G$2:$G$20000=CONFIG_METADATA!$B$4)*(DATOS!$I$2:$I$20000=B132),DATOS!$K$2:$K$20000)),"—")</f>
        <v>—</v>
      </c>
      <c r="H132" s="15" t="str">
        <f>IFERROR(COUNTIFS(DATOS!G:G,CONFIG_METADATA!$B$4,DATOS!I:I,B132,DATOS!L:L,"S")/COUNTIFS(DATOS!G:G,CONFIG_METADATA!$B$4,DATOS!I:I,B132),"—")</f>
        <v>—</v>
      </c>
      <c r="I132" s="15" t="str">
        <f>IFERROR(COUNTIFS(DATOS!G:G,CONFIG_METADATA!$B$4,DATOS!I:I,B132,DATOS!L:L,"N")/COUNTIFS(DATOS!G:G,CONFIG_METADATA!$B$4,DATOS!I:I,B132),"—")</f>
        <v>—</v>
      </c>
      <c r="J132" t="str" cm="1">
        <f t="array" ref="J132">IFERROR(_xlfn.MODE.SNGL(IF((DATOS!$G$2:$G$20000=CONFIG_METADATA!$B$4)*(DATOS!$I$2:$I$20000=B132)*(DATOS!$L$2:$L$20000="S"),DATOS!$K$2:$K$20000)),"—")</f>
        <v>—</v>
      </c>
      <c r="K132" t="str" cm="1">
        <f t="array" ref="K132">IFERROR(_xlfn.MODE.SNGL(IF((DATOS!$G$2:$G$20000=CONFIG_METADATA!$B$4)*(DATOS!$I$2:$I$20000=B132)*(DATOS!$L$2:$L$20000="N"),DATOS!$K$2:$K$20000)),"—")</f>
        <v>—</v>
      </c>
      <c r="L132">
        <f>COUNTIFS(DATOS!G:G,CONFIG_METADATA!$B$4,DATOS!I:I,B132,DATOS!K:K,1)</f>
        <v>0</v>
      </c>
      <c r="M132">
        <f>COUNTIFS(DATOS!G:G,CONFIG_METADATA!$B$4,DATOS!I:I,B132,DATOS!K:K,2)</f>
        <v>0</v>
      </c>
      <c r="N132">
        <f>COUNTIFS(DATOS!G:G,CONFIG_METADATA!$B$4,DATOS!I:I,B132,DATOS!K:K,3)</f>
        <v>0</v>
      </c>
      <c r="O132">
        <f>COUNTIFS(DATOS!G:G,CONFIG_METADATA!$B$4,DATOS!I:I,B132,DATOS!K:K,4)</f>
        <v>0</v>
      </c>
      <c r="P132">
        <f>COUNTIFS(DATOS!G:G,CONFIG_METADATA!$B$4,DATOS!I:I,B132,DATOS!K:K,5)</f>
        <v>0</v>
      </c>
      <c r="Q132">
        <f>COUNTIFS(DATOS!G:G,CONFIG_METADATA!$B$4,DATOS!I:I,B132,DATOS!K:K,6)</f>
        <v>0</v>
      </c>
      <c r="R132">
        <f>COUNTIFS(DATOS!G:G,CONFIG_METADATA!$B$4,DATOS!I:I,B132,DATOS!K:K,7)</f>
        <v>0</v>
      </c>
      <c r="S132">
        <f>COUNTIFS(DATOS!G:G,CONFIG_METADATA!$B$4,DATOS!I:I,B132,DATOS!K:K,8)</f>
        <v>0</v>
      </c>
      <c r="T132">
        <f>COUNTIFS(DATOS!G:G,CONFIG_METADATA!$B$4,DATOS!I:I,B132,DATOS!K:K,9)</f>
        <v>0</v>
      </c>
      <c r="U132">
        <f>COUNTIFS(DATOS!G:G,CONFIG_METADATA!$B$4,DATOS!I:I,B132,DATOS!K:K,10)</f>
        <v>0</v>
      </c>
    </row>
    <row r="133" spans="1:22">
      <c r="A133" s="3" t="inlineStr">
        <is>
          <t xml:space="preserve">3EEM</t>
        </is>
      </c>
      <c r="B133" s="3">
        <f>IFERROR(INDEX(_xlfn._xlws.FILTER(CONFIG_ASIGNATURAS!$B$2:$B$27,CONFIG_ASIGNATURAS!$G$2:$G$27="Sí"),18),"")</f>
      </c>
      <c r="C133" s="3">
        <f>IF(B133="","",IFERROR(IF(VLOOKUP(B133,CONFIG_ASIGNATURAS!$B$2:$F$27,5,FALSE())="Sí","Especialidad","Asignatura"),"Asignatura"))</f>
      </c>
      <c r="D133">
        <f>COUNTIFS(DATOS!G:G,CONFIG_METADATA!$B$4,DATOS!I:I,B133)</f>
        <v>0</v>
      </c>
      <c r="E133" s="14" t="str">
        <f>IFERROR(AVERAGEIFS(DATOS!K:K,DATOS!G:G,CONFIG_METADATA!$B$4,DATOS!I:I,B133),"—")</f>
        <v>—</v>
      </c>
      <c r="F133" s="14" t="str" cm="1">
        <f t="array" ref="F133">IFERROR(_xlfn.STDEV.P(IF((DATOS!$G$2:$G$20000=CONFIG_METADATA!$B$4)*(DATOS!$I$2:$I$20000=B133),DATOS!$K$2:$K$20000)),"—")</f>
        <v>—</v>
      </c>
      <c r="G133" t="str" cm="1">
        <f t="array" ref="G133">IFERROR(_xlfn.MODE.SNGL(IF((DATOS!$G$2:$G$20000=CONFIG_METADATA!$B$4)*(DATOS!$I$2:$I$20000=B133),DATOS!$K$2:$K$20000)),"—")</f>
        <v>—</v>
      </c>
      <c r="H133" s="15" t="str">
        <f>IFERROR(COUNTIFS(DATOS!G:G,CONFIG_METADATA!$B$4,DATOS!I:I,B133,DATOS!L:L,"S")/COUNTIFS(DATOS!G:G,CONFIG_METADATA!$B$4,DATOS!I:I,B133),"—")</f>
        <v>—</v>
      </c>
      <c r="I133" s="15" t="str">
        <f>IFERROR(COUNTIFS(DATOS!G:G,CONFIG_METADATA!$B$4,DATOS!I:I,B133,DATOS!L:L,"N")/COUNTIFS(DATOS!G:G,CONFIG_METADATA!$B$4,DATOS!I:I,B133),"—")</f>
        <v>—</v>
      </c>
      <c r="J133" t="str" cm="1">
        <f t="array" ref="J133">IFERROR(_xlfn.MODE.SNGL(IF((DATOS!$G$2:$G$20000=CONFIG_METADATA!$B$4)*(DATOS!$I$2:$I$20000=B133)*(DATOS!$L$2:$L$20000="S"),DATOS!$K$2:$K$20000)),"—")</f>
        <v>—</v>
      </c>
      <c r="K133" t="str" cm="1">
        <f t="array" ref="K133">IFERROR(_xlfn.MODE.SNGL(IF((DATOS!$G$2:$G$20000=CONFIG_METADATA!$B$4)*(DATOS!$I$2:$I$20000=B133)*(DATOS!$L$2:$L$20000="N"),DATOS!$K$2:$K$20000)),"—")</f>
        <v>—</v>
      </c>
      <c r="L133">
        <f>COUNTIFS(DATOS!G:G,CONFIG_METADATA!$B$4,DATOS!I:I,B133,DATOS!K:K,1)</f>
        <v>0</v>
      </c>
      <c r="M133">
        <f>COUNTIFS(DATOS!G:G,CONFIG_METADATA!$B$4,DATOS!I:I,B133,DATOS!K:K,2)</f>
        <v>0</v>
      </c>
      <c r="N133">
        <f>COUNTIFS(DATOS!G:G,CONFIG_METADATA!$B$4,DATOS!I:I,B133,DATOS!K:K,3)</f>
        <v>0</v>
      </c>
      <c r="O133">
        <f>COUNTIFS(DATOS!G:G,CONFIG_METADATA!$B$4,DATOS!I:I,B133,DATOS!K:K,4)</f>
        <v>0</v>
      </c>
      <c r="P133">
        <f>COUNTIFS(DATOS!G:G,CONFIG_METADATA!$B$4,DATOS!I:I,B133,DATOS!K:K,5)</f>
        <v>0</v>
      </c>
      <c r="Q133">
        <f>COUNTIFS(DATOS!G:G,CONFIG_METADATA!$B$4,DATOS!I:I,B133,DATOS!K:K,6)</f>
        <v>0</v>
      </c>
      <c r="R133">
        <f>COUNTIFS(DATOS!G:G,CONFIG_METADATA!$B$4,DATOS!I:I,B133,DATOS!K:K,7)</f>
        <v>0</v>
      </c>
      <c r="S133">
        <f>COUNTIFS(DATOS!G:G,CONFIG_METADATA!$B$4,DATOS!I:I,B133,DATOS!K:K,8)</f>
        <v>0</v>
      </c>
      <c r="T133">
        <f>COUNTIFS(DATOS!G:G,CONFIG_METADATA!$B$4,DATOS!I:I,B133,DATOS!K:K,9)</f>
        <v>0</v>
      </c>
      <c r="U133">
        <f>COUNTIFS(DATOS!G:G,CONFIG_METADATA!$B$4,DATOS!I:I,B133,DATOS!K:K,10)</f>
        <v>0</v>
      </c>
    </row>
    <row r="134" spans="1:22">
      <c r="A134" s="3" t="inlineStr">
        <is>
          <t xml:space="preserve">3EEM</t>
        </is>
      </c>
      <c r="B134" s="3">
        <f>IFERROR(INDEX(_xlfn._xlws.FILTER(CONFIG_ASIGNATURAS!$B$2:$B$27,CONFIG_ASIGNATURAS!$G$2:$G$27="Sí"),19),"")</f>
      </c>
      <c r="C134" s="3">
        <f>IF(B134="","",IFERROR(IF(VLOOKUP(B134,CONFIG_ASIGNATURAS!$B$2:$F$27,5,FALSE())="Sí","Especialidad","Asignatura"),"Asignatura"))</f>
      </c>
      <c r="D134">
        <f>COUNTIFS(DATOS!G:G,CONFIG_METADATA!$B$4,DATOS!I:I,B134)</f>
        <v>0</v>
      </c>
      <c r="E134" s="14" t="str">
        <f>IFERROR(AVERAGEIFS(DATOS!K:K,DATOS!G:G,CONFIG_METADATA!$B$4,DATOS!I:I,B134),"—")</f>
        <v>—</v>
      </c>
      <c r="F134" s="14" t="str" cm="1">
        <f t="array" ref="F134">IFERROR(_xlfn.STDEV.P(IF((DATOS!$G$2:$G$20000=CONFIG_METADATA!$B$4)*(DATOS!$I$2:$I$20000=B134),DATOS!$K$2:$K$20000)),"—")</f>
        <v>—</v>
      </c>
      <c r="G134" t="str" cm="1">
        <f t="array" ref="G134">IFERROR(_xlfn.MODE.SNGL(IF((DATOS!$G$2:$G$20000=CONFIG_METADATA!$B$4)*(DATOS!$I$2:$I$20000=B134),DATOS!$K$2:$K$20000)),"—")</f>
        <v>—</v>
      </c>
      <c r="H134" s="15" t="str">
        <f>IFERROR(COUNTIFS(DATOS!G:G,CONFIG_METADATA!$B$4,DATOS!I:I,B134,DATOS!L:L,"S")/COUNTIFS(DATOS!G:G,CONFIG_METADATA!$B$4,DATOS!I:I,B134),"—")</f>
        <v>—</v>
      </c>
      <c r="I134" s="15" t="str">
        <f>IFERROR(COUNTIFS(DATOS!G:G,CONFIG_METADATA!$B$4,DATOS!I:I,B134,DATOS!L:L,"N")/COUNTIFS(DATOS!G:G,CONFIG_METADATA!$B$4,DATOS!I:I,B134),"—")</f>
        <v>—</v>
      </c>
      <c r="J134" t="str" cm="1">
        <f t="array" ref="J134">IFERROR(_xlfn.MODE.SNGL(IF((DATOS!$G$2:$G$20000=CONFIG_METADATA!$B$4)*(DATOS!$I$2:$I$20000=B134)*(DATOS!$L$2:$L$20000="S"),DATOS!$K$2:$K$20000)),"—")</f>
        <v>—</v>
      </c>
      <c r="K134" t="str" cm="1">
        <f t="array" ref="K134">IFERROR(_xlfn.MODE.SNGL(IF((DATOS!$G$2:$G$20000=CONFIG_METADATA!$B$4)*(DATOS!$I$2:$I$20000=B134)*(DATOS!$L$2:$L$20000="N"),DATOS!$K$2:$K$20000)),"—")</f>
        <v>—</v>
      </c>
      <c r="L134">
        <f>COUNTIFS(DATOS!G:G,CONFIG_METADATA!$B$4,DATOS!I:I,B134,DATOS!K:K,1)</f>
        <v>0</v>
      </c>
      <c r="M134">
        <f>COUNTIFS(DATOS!G:G,CONFIG_METADATA!$B$4,DATOS!I:I,B134,DATOS!K:K,2)</f>
        <v>0</v>
      </c>
      <c r="N134">
        <f>COUNTIFS(DATOS!G:G,CONFIG_METADATA!$B$4,DATOS!I:I,B134,DATOS!K:K,3)</f>
        <v>0</v>
      </c>
      <c r="O134">
        <f>COUNTIFS(DATOS!G:G,CONFIG_METADATA!$B$4,DATOS!I:I,B134,DATOS!K:K,4)</f>
        <v>0</v>
      </c>
      <c r="P134">
        <f>COUNTIFS(DATOS!G:G,CONFIG_METADATA!$B$4,DATOS!I:I,B134,DATOS!K:K,5)</f>
        <v>0</v>
      </c>
      <c r="Q134">
        <f>COUNTIFS(DATOS!G:G,CONFIG_METADATA!$B$4,DATOS!I:I,B134,DATOS!K:K,6)</f>
        <v>0</v>
      </c>
      <c r="R134">
        <f>COUNTIFS(DATOS!G:G,CONFIG_METADATA!$B$4,DATOS!I:I,B134,DATOS!K:K,7)</f>
        <v>0</v>
      </c>
      <c r="S134">
        <f>COUNTIFS(DATOS!G:G,CONFIG_METADATA!$B$4,DATOS!I:I,B134,DATOS!K:K,8)</f>
        <v>0</v>
      </c>
      <c r="T134">
        <f>COUNTIFS(DATOS!G:G,CONFIG_METADATA!$B$4,DATOS!I:I,B134,DATOS!K:K,9)</f>
        <v>0</v>
      </c>
      <c r="U134">
        <f>COUNTIFS(DATOS!G:G,CONFIG_METADATA!$B$4,DATOS!I:I,B134,DATOS!K:K,10)</f>
        <v>0</v>
      </c>
    </row>
    <row r="135" spans="1:22">
      <c r="A135" s="3" t="inlineStr">
        <is>
          <t xml:space="preserve">3EEM</t>
        </is>
      </c>
      <c r="B135" s="3">
        <f>IFERROR(INDEX(_xlfn._xlws.FILTER(CONFIG_ASIGNATURAS!$B$2:$B$27,CONFIG_ASIGNATURAS!$G$2:$G$27="Sí"),20),"")</f>
      </c>
      <c r="C135" s="3">
        <f>IF(B135="","",IFERROR(IF(VLOOKUP(B135,CONFIG_ASIGNATURAS!$B$2:$F$27,5,FALSE())="Sí","Especialidad","Asignatura"),"Asignatura"))</f>
      </c>
      <c r="D135">
        <f>COUNTIFS(DATOS!G:G,CONFIG_METADATA!$B$4,DATOS!I:I,B135)</f>
        <v>0</v>
      </c>
      <c r="E135" s="14" t="str">
        <f>IFERROR(AVERAGEIFS(DATOS!K:K,DATOS!G:G,CONFIG_METADATA!$B$4,DATOS!I:I,B135),"—")</f>
        <v>—</v>
      </c>
      <c r="F135" s="14" t="str" cm="1">
        <f t="array" ref="F135">IFERROR(_xlfn.STDEV.P(IF((DATOS!$G$2:$G$20000=CONFIG_METADATA!$B$4)*(DATOS!$I$2:$I$20000=B135),DATOS!$K$2:$K$20000)),"—")</f>
        <v>—</v>
      </c>
      <c r="G135" t="str" cm="1">
        <f t="array" ref="G135">IFERROR(_xlfn.MODE.SNGL(IF((DATOS!$G$2:$G$20000=CONFIG_METADATA!$B$4)*(DATOS!$I$2:$I$20000=B135),DATOS!$K$2:$K$20000)),"—")</f>
        <v>—</v>
      </c>
      <c r="H135" s="15" t="str">
        <f>IFERROR(COUNTIFS(DATOS!G:G,CONFIG_METADATA!$B$4,DATOS!I:I,B135,DATOS!L:L,"S")/COUNTIFS(DATOS!G:G,CONFIG_METADATA!$B$4,DATOS!I:I,B135),"—")</f>
        <v>—</v>
      </c>
      <c r="I135" s="15" t="str">
        <f>IFERROR(COUNTIFS(DATOS!G:G,CONFIG_METADATA!$B$4,DATOS!I:I,B135,DATOS!L:L,"N")/COUNTIFS(DATOS!G:G,CONFIG_METADATA!$B$4,DATOS!I:I,B135),"—")</f>
        <v>—</v>
      </c>
      <c r="J135" t="str" cm="1">
        <f t="array" ref="J135">IFERROR(_xlfn.MODE.SNGL(IF((DATOS!$G$2:$G$20000=CONFIG_METADATA!$B$4)*(DATOS!$I$2:$I$20000=B135)*(DATOS!$L$2:$L$20000="S"),DATOS!$K$2:$K$20000)),"—")</f>
        <v>—</v>
      </c>
      <c r="K135" t="str" cm="1">
        <f t="array" ref="K135">IFERROR(_xlfn.MODE.SNGL(IF((DATOS!$G$2:$G$20000=CONFIG_METADATA!$B$4)*(DATOS!$I$2:$I$20000=B135)*(DATOS!$L$2:$L$20000="N"),DATOS!$K$2:$K$20000)),"—")</f>
        <v>—</v>
      </c>
      <c r="L135">
        <f>COUNTIFS(DATOS!G:G,CONFIG_METADATA!$B$4,DATOS!I:I,B135,DATOS!K:K,1)</f>
        <v>0</v>
      </c>
      <c r="M135">
        <f>COUNTIFS(DATOS!G:G,CONFIG_METADATA!$B$4,DATOS!I:I,B135,DATOS!K:K,2)</f>
        <v>0</v>
      </c>
      <c r="N135">
        <f>COUNTIFS(DATOS!G:G,CONFIG_METADATA!$B$4,DATOS!I:I,B135,DATOS!K:K,3)</f>
        <v>0</v>
      </c>
      <c r="O135">
        <f>COUNTIFS(DATOS!G:G,CONFIG_METADATA!$B$4,DATOS!I:I,B135,DATOS!K:K,4)</f>
        <v>0</v>
      </c>
      <c r="P135">
        <f>COUNTIFS(DATOS!G:G,CONFIG_METADATA!$B$4,DATOS!I:I,B135,DATOS!K:K,5)</f>
        <v>0</v>
      </c>
      <c r="Q135">
        <f>COUNTIFS(DATOS!G:G,CONFIG_METADATA!$B$4,DATOS!I:I,B135,DATOS!K:K,6)</f>
        <v>0</v>
      </c>
      <c r="R135">
        <f>COUNTIFS(DATOS!G:G,CONFIG_METADATA!$B$4,DATOS!I:I,B135,DATOS!K:K,7)</f>
        <v>0</v>
      </c>
      <c r="S135">
        <f>COUNTIFS(DATOS!G:G,CONFIG_METADATA!$B$4,DATOS!I:I,B135,DATOS!K:K,8)</f>
        <v>0</v>
      </c>
      <c r="T135">
        <f>COUNTIFS(DATOS!G:G,CONFIG_METADATA!$B$4,DATOS!I:I,B135,DATOS!K:K,9)</f>
        <v>0</v>
      </c>
      <c r="U135">
        <f>COUNTIFS(DATOS!G:G,CONFIG_METADATA!$B$4,DATOS!I:I,B135,DATOS!K:K,10)</f>
        <v>0</v>
      </c>
    </row>
    <row r="136" spans="1:22">
      <c r="A136" s="3" t="inlineStr">
        <is>
          <t xml:space="preserve">3EEM</t>
        </is>
      </c>
      <c r="B136" s="3">
        <f>IFERROR(INDEX(_xlfn._xlws.FILTER(CONFIG_ASIGNATURAS!$B$2:$B$27,CONFIG_ASIGNATURAS!$G$2:$G$27="Sí"),21),"")</f>
      </c>
      <c r="C136" s="3">
        <f>IF(B136="","",IFERROR(IF(VLOOKUP(B136,CONFIG_ASIGNATURAS!$B$2:$F$27,5,FALSE())="Sí","Especialidad","Asignatura"),"Asignatura"))</f>
      </c>
      <c r="D136">
        <f>COUNTIFS(DATOS!G:G,CONFIG_METADATA!$B$4,DATOS!I:I,B136)</f>
        <v>0</v>
      </c>
      <c r="E136" s="14" t="str">
        <f>IFERROR(AVERAGEIFS(DATOS!K:K,DATOS!G:G,CONFIG_METADATA!$B$4,DATOS!I:I,B136),"—")</f>
        <v>—</v>
      </c>
      <c r="F136" s="14" t="str" cm="1">
        <f t="array" ref="F136">IFERROR(_xlfn.STDEV.P(IF((DATOS!$G$2:$G$20000=CONFIG_METADATA!$B$4)*(DATOS!$I$2:$I$20000=B136),DATOS!$K$2:$K$20000)),"—")</f>
        <v>—</v>
      </c>
      <c r="G136" t="str" cm="1">
        <f t="array" ref="G136">IFERROR(_xlfn.MODE.SNGL(IF((DATOS!$G$2:$G$20000=CONFIG_METADATA!$B$4)*(DATOS!$I$2:$I$20000=B136),DATOS!$K$2:$K$20000)),"—")</f>
        <v>—</v>
      </c>
      <c r="H136" s="15" t="str">
        <f>IFERROR(COUNTIFS(DATOS!G:G,CONFIG_METADATA!$B$4,DATOS!I:I,B136,DATOS!L:L,"S")/COUNTIFS(DATOS!G:G,CONFIG_METADATA!$B$4,DATOS!I:I,B136),"—")</f>
        <v>—</v>
      </c>
      <c r="I136" s="15" t="str">
        <f>IFERROR(COUNTIFS(DATOS!G:G,CONFIG_METADATA!$B$4,DATOS!I:I,B136,DATOS!L:L,"N")/COUNTIFS(DATOS!G:G,CONFIG_METADATA!$B$4,DATOS!I:I,B136),"—")</f>
        <v>—</v>
      </c>
      <c r="J136" t="str" cm="1">
        <f t="array" ref="J136">IFERROR(_xlfn.MODE.SNGL(IF((DATOS!$G$2:$G$20000=CONFIG_METADATA!$B$4)*(DATOS!$I$2:$I$20000=B136)*(DATOS!$L$2:$L$20000="S"),DATOS!$K$2:$K$20000)),"—")</f>
        <v>—</v>
      </c>
      <c r="K136" t="str" cm="1">
        <f t="array" ref="K136">IFERROR(_xlfn.MODE.SNGL(IF((DATOS!$G$2:$G$20000=CONFIG_METADATA!$B$4)*(DATOS!$I$2:$I$20000=B136)*(DATOS!$L$2:$L$20000="N"),DATOS!$K$2:$K$20000)),"—")</f>
        <v>—</v>
      </c>
      <c r="L136">
        <f>COUNTIFS(DATOS!G:G,CONFIG_METADATA!$B$4,DATOS!I:I,B136,DATOS!K:K,1)</f>
        <v>0</v>
      </c>
      <c r="M136">
        <f>COUNTIFS(DATOS!G:G,CONFIG_METADATA!$B$4,DATOS!I:I,B136,DATOS!K:K,2)</f>
        <v>0</v>
      </c>
      <c r="N136">
        <f>COUNTIFS(DATOS!G:G,CONFIG_METADATA!$B$4,DATOS!I:I,B136,DATOS!K:K,3)</f>
        <v>0</v>
      </c>
      <c r="O136">
        <f>COUNTIFS(DATOS!G:G,CONFIG_METADATA!$B$4,DATOS!I:I,B136,DATOS!K:K,4)</f>
        <v>0</v>
      </c>
      <c r="P136">
        <f>COUNTIFS(DATOS!G:G,CONFIG_METADATA!$B$4,DATOS!I:I,B136,DATOS!K:K,5)</f>
        <v>0</v>
      </c>
      <c r="Q136">
        <f>COUNTIFS(DATOS!G:G,CONFIG_METADATA!$B$4,DATOS!I:I,B136,DATOS!K:K,6)</f>
        <v>0</v>
      </c>
      <c r="R136">
        <f>COUNTIFS(DATOS!G:G,CONFIG_METADATA!$B$4,DATOS!I:I,B136,DATOS!K:K,7)</f>
        <v>0</v>
      </c>
      <c r="S136">
        <f>COUNTIFS(DATOS!G:G,CONFIG_METADATA!$B$4,DATOS!I:I,B136,DATOS!K:K,8)</f>
        <v>0</v>
      </c>
      <c r="T136">
        <f>COUNTIFS(DATOS!G:G,CONFIG_METADATA!$B$4,DATOS!I:I,B136,DATOS!K:K,9)</f>
        <v>0</v>
      </c>
      <c r="U136">
        <f>COUNTIFS(DATOS!G:G,CONFIG_METADATA!$B$4,DATOS!I:I,B136,DATOS!K:K,10)</f>
        <v>0</v>
      </c>
    </row>
    <row r="137" spans="1:22">
      <c r="A137" s="3" t="inlineStr">
        <is>
          <t xml:space="preserve">3EEM</t>
        </is>
      </c>
      <c r="B137" s="3">
        <f>IFERROR(INDEX(_xlfn._xlws.FILTER(CONFIG_ASIGNATURAS!$B$2:$B$27,CONFIG_ASIGNATURAS!$G$2:$G$27="Sí"),22),"")</f>
      </c>
      <c r="C137" s="3">
        <f>IF(B137="","",IFERROR(IF(VLOOKUP(B137,CONFIG_ASIGNATURAS!$B$2:$F$27,5,FALSE())="Sí","Especialidad","Asignatura"),"Asignatura"))</f>
      </c>
      <c r="D137">
        <f>COUNTIFS(DATOS!G:G,CONFIG_METADATA!$B$4,DATOS!I:I,B137)</f>
        <v>0</v>
      </c>
      <c r="E137" s="14" t="str">
        <f>IFERROR(AVERAGEIFS(DATOS!K:K,DATOS!G:G,CONFIG_METADATA!$B$4,DATOS!I:I,B137),"—")</f>
        <v>—</v>
      </c>
      <c r="F137" s="14" t="str" cm="1">
        <f t="array" ref="F137">IFERROR(_xlfn.STDEV.P(IF((DATOS!$G$2:$G$20000=CONFIG_METADATA!$B$4)*(DATOS!$I$2:$I$20000=B137),DATOS!$K$2:$K$20000)),"—")</f>
        <v>—</v>
      </c>
      <c r="G137" t="str" cm="1">
        <f t="array" ref="G137">IFERROR(_xlfn.MODE.SNGL(IF((DATOS!$G$2:$G$20000=CONFIG_METADATA!$B$4)*(DATOS!$I$2:$I$20000=B137),DATOS!$K$2:$K$20000)),"—")</f>
        <v>—</v>
      </c>
      <c r="H137" s="15" t="str">
        <f>IFERROR(COUNTIFS(DATOS!G:G,CONFIG_METADATA!$B$4,DATOS!I:I,B137,DATOS!L:L,"S")/COUNTIFS(DATOS!G:G,CONFIG_METADATA!$B$4,DATOS!I:I,B137),"—")</f>
        <v>—</v>
      </c>
      <c r="I137" s="15" t="str">
        <f>IFERROR(COUNTIFS(DATOS!G:G,CONFIG_METADATA!$B$4,DATOS!I:I,B137,DATOS!L:L,"N")/COUNTIFS(DATOS!G:G,CONFIG_METADATA!$B$4,DATOS!I:I,B137),"—")</f>
        <v>—</v>
      </c>
      <c r="J137" t="str" cm="1">
        <f t="array" ref="J137">IFERROR(_xlfn.MODE.SNGL(IF((DATOS!$G$2:$G$20000=CONFIG_METADATA!$B$4)*(DATOS!$I$2:$I$20000=B137)*(DATOS!$L$2:$L$20000="S"),DATOS!$K$2:$K$20000)),"—")</f>
        <v>—</v>
      </c>
      <c r="K137" t="str" cm="1">
        <f t="array" ref="K137">IFERROR(_xlfn.MODE.SNGL(IF((DATOS!$G$2:$G$20000=CONFIG_METADATA!$B$4)*(DATOS!$I$2:$I$20000=B137)*(DATOS!$L$2:$L$20000="N"),DATOS!$K$2:$K$20000)),"—")</f>
        <v>—</v>
      </c>
      <c r="L137">
        <f>COUNTIFS(DATOS!G:G,CONFIG_METADATA!$B$4,DATOS!I:I,B137,DATOS!K:K,1)</f>
        <v>0</v>
      </c>
      <c r="M137">
        <f>COUNTIFS(DATOS!G:G,CONFIG_METADATA!$B$4,DATOS!I:I,B137,DATOS!K:K,2)</f>
        <v>0</v>
      </c>
      <c r="N137">
        <f>COUNTIFS(DATOS!G:G,CONFIG_METADATA!$B$4,DATOS!I:I,B137,DATOS!K:K,3)</f>
        <v>0</v>
      </c>
      <c r="O137">
        <f>COUNTIFS(DATOS!G:G,CONFIG_METADATA!$B$4,DATOS!I:I,B137,DATOS!K:K,4)</f>
        <v>0</v>
      </c>
      <c r="P137">
        <f>COUNTIFS(DATOS!G:G,CONFIG_METADATA!$B$4,DATOS!I:I,B137,DATOS!K:K,5)</f>
        <v>0</v>
      </c>
      <c r="Q137">
        <f>COUNTIFS(DATOS!G:G,CONFIG_METADATA!$B$4,DATOS!I:I,B137,DATOS!K:K,6)</f>
        <v>0</v>
      </c>
      <c r="R137">
        <f>COUNTIFS(DATOS!G:G,CONFIG_METADATA!$B$4,DATOS!I:I,B137,DATOS!K:K,7)</f>
        <v>0</v>
      </c>
      <c r="S137">
        <f>COUNTIFS(DATOS!G:G,CONFIG_METADATA!$B$4,DATOS!I:I,B137,DATOS!K:K,8)</f>
        <v>0</v>
      </c>
      <c r="T137">
        <f>COUNTIFS(DATOS!G:G,CONFIG_METADATA!$B$4,DATOS!I:I,B137,DATOS!K:K,9)</f>
        <v>0</v>
      </c>
      <c r="U137">
        <f>COUNTIFS(DATOS!G:G,CONFIG_METADATA!$B$4,DATOS!I:I,B137,DATOS!K:K,10)</f>
        <v>0</v>
      </c>
    </row>
    <row r="138" spans="1:22">
      <c r="A138" s="3" t="inlineStr">
        <is>
          <t xml:space="preserve">3EEM</t>
        </is>
      </c>
      <c r="B138" s="3">
        <f>IFERROR(INDEX(_xlfn._xlws.FILTER(CONFIG_ASIGNATURAS!$B$2:$B$27,CONFIG_ASIGNATURAS!$G$2:$G$27="Sí"),23),"")</f>
      </c>
      <c r="C138" s="3">
        <f>IF(B138="","",IFERROR(IF(VLOOKUP(B138,CONFIG_ASIGNATURAS!$B$2:$F$27,5,FALSE())="Sí","Especialidad","Asignatura"),"Asignatura"))</f>
      </c>
      <c r="D138">
        <f>COUNTIFS(DATOS!G:G,CONFIG_METADATA!$B$4,DATOS!I:I,B138)</f>
        <v>0</v>
      </c>
      <c r="E138" s="14" t="str">
        <f>IFERROR(AVERAGEIFS(DATOS!K:K,DATOS!G:G,CONFIG_METADATA!$B$4,DATOS!I:I,B138),"—")</f>
        <v>—</v>
      </c>
      <c r="F138" s="14" t="str" cm="1">
        <f t="array" ref="F138">IFERROR(_xlfn.STDEV.P(IF((DATOS!$G$2:$G$20000=CONFIG_METADATA!$B$4)*(DATOS!$I$2:$I$20000=B138),DATOS!$K$2:$K$20000)),"—")</f>
        <v>—</v>
      </c>
      <c r="G138" t="str" cm="1">
        <f t="array" ref="G138">IFERROR(_xlfn.MODE.SNGL(IF((DATOS!$G$2:$G$20000=CONFIG_METADATA!$B$4)*(DATOS!$I$2:$I$20000=B138),DATOS!$K$2:$K$20000)),"—")</f>
        <v>—</v>
      </c>
      <c r="H138" s="15" t="str">
        <f>IFERROR(COUNTIFS(DATOS!G:G,CONFIG_METADATA!$B$4,DATOS!I:I,B138,DATOS!L:L,"S")/COUNTIFS(DATOS!G:G,CONFIG_METADATA!$B$4,DATOS!I:I,B138),"—")</f>
        <v>—</v>
      </c>
      <c r="I138" s="15" t="str">
        <f>IFERROR(COUNTIFS(DATOS!G:G,CONFIG_METADATA!$B$4,DATOS!I:I,B138,DATOS!L:L,"N")/COUNTIFS(DATOS!G:G,CONFIG_METADATA!$B$4,DATOS!I:I,B138),"—")</f>
        <v>—</v>
      </c>
      <c r="J138" t="str" cm="1">
        <f t="array" ref="J138">IFERROR(_xlfn.MODE.SNGL(IF((DATOS!$G$2:$G$20000=CONFIG_METADATA!$B$4)*(DATOS!$I$2:$I$20000=B138)*(DATOS!$L$2:$L$20000="S"),DATOS!$K$2:$K$20000)),"—")</f>
        <v>—</v>
      </c>
      <c r="K138" t="str" cm="1">
        <f t="array" ref="K138">IFERROR(_xlfn.MODE.SNGL(IF((DATOS!$G$2:$G$20000=CONFIG_METADATA!$B$4)*(DATOS!$I$2:$I$20000=B138)*(DATOS!$L$2:$L$20000="N"),DATOS!$K$2:$K$20000)),"—")</f>
        <v>—</v>
      </c>
      <c r="L138">
        <f>COUNTIFS(DATOS!G:G,CONFIG_METADATA!$B$4,DATOS!I:I,B138,DATOS!K:K,1)</f>
        <v>0</v>
      </c>
      <c r="M138">
        <f>COUNTIFS(DATOS!G:G,CONFIG_METADATA!$B$4,DATOS!I:I,B138,DATOS!K:K,2)</f>
        <v>0</v>
      </c>
      <c r="N138">
        <f>COUNTIFS(DATOS!G:G,CONFIG_METADATA!$B$4,DATOS!I:I,B138,DATOS!K:K,3)</f>
        <v>0</v>
      </c>
      <c r="O138">
        <f>COUNTIFS(DATOS!G:G,CONFIG_METADATA!$B$4,DATOS!I:I,B138,DATOS!K:K,4)</f>
        <v>0</v>
      </c>
      <c r="P138">
        <f>COUNTIFS(DATOS!G:G,CONFIG_METADATA!$B$4,DATOS!I:I,B138,DATOS!K:K,5)</f>
        <v>0</v>
      </c>
      <c r="Q138">
        <f>COUNTIFS(DATOS!G:G,CONFIG_METADATA!$B$4,DATOS!I:I,B138,DATOS!K:K,6)</f>
        <v>0</v>
      </c>
      <c r="R138">
        <f>COUNTIFS(DATOS!G:G,CONFIG_METADATA!$B$4,DATOS!I:I,B138,DATOS!K:K,7)</f>
        <v>0</v>
      </c>
      <c r="S138">
        <f>COUNTIFS(DATOS!G:G,CONFIG_METADATA!$B$4,DATOS!I:I,B138,DATOS!K:K,8)</f>
        <v>0</v>
      </c>
      <c r="T138">
        <f>COUNTIFS(DATOS!G:G,CONFIG_METADATA!$B$4,DATOS!I:I,B138,DATOS!K:K,9)</f>
        <v>0</v>
      </c>
      <c r="U138">
        <f>COUNTIFS(DATOS!G:G,CONFIG_METADATA!$B$4,DATOS!I:I,B138,DATOS!K:K,10)</f>
        <v>0</v>
      </c>
    </row>
    <row r="139" spans="1:22">
      <c r="A139" s="3" t="inlineStr">
        <is>
          <t xml:space="preserve">3EEM</t>
        </is>
      </c>
      <c r="B139" s="3">
        <f>IFERROR(INDEX(_xlfn._xlws.FILTER(CONFIG_ASIGNATURAS!$B$2:$B$27,CONFIG_ASIGNATURAS!$G$2:$G$27="Sí"),24),"")</f>
      </c>
      <c r="C139" s="3">
        <f>IF(B139="","",IFERROR(IF(VLOOKUP(B139,CONFIG_ASIGNATURAS!$B$2:$F$27,5,FALSE())="Sí","Especialidad","Asignatura"),"Asignatura"))</f>
      </c>
      <c r="D139">
        <f>COUNTIFS(DATOS!G:G,CONFIG_METADATA!$B$4,DATOS!I:I,B139)</f>
        <v>0</v>
      </c>
      <c r="E139" s="14" t="str">
        <f>IFERROR(AVERAGEIFS(DATOS!K:K,DATOS!G:G,CONFIG_METADATA!$B$4,DATOS!I:I,B139),"—")</f>
        <v>—</v>
      </c>
      <c r="F139" s="14" t="str" cm="1">
        <f t="array" ref="F139">IFERROR(_xlfn.STDEV.P(IF((DATOS!$G$2:$G$20000=CONFIG_METADATA!$B$4)*(DATOS!$I$2:$I$20000=B139),DATOS!$K$2:$K$20000)),"—")</f>
        <v>—</v>
      </c>
      <c r="G139" t="str" cm="1">
        <f t="array" ref="G139">IFERROR(_xlfn.MODE.SNGL(IF((DATOS!$G$2:$G$20000=CONFIG_METADATA!$B$4)*(DATOS!$I$2:$I$20000=B139),DATOS!$K$2:$K$20000)),"—")</f>
        <v>—</v>
      </c>
      <c r="H139" s="15" t="str">
        <f>IFERROR(COUNTIFS(DATOS!G:G,CONFIG_METADATA!$B$4,DATOS!I:I,B139,DATOS!L:L,"S")/COUNTIFS(DATOS!G:G,CONFIG_METADATA!$B$4,DATOS!I:I,B139),"—")</f>
        <v>—</v>
      </c>
      <c r="I139" s="15" t="str">
        <f>IFERROR(COUNTIFS(DATOS!G:G,CONFIG_METADATA!$B$4,DATOS!I:I,B139,DATOS!L:L,"N")/COUNTIFS(DATOS!G:G,CONFIG_METADATA!$B$4,DATOS!I:I,B139),"—")</f>
        <v>—</v>
      </c>
      <c r="J139" t="str" cm="1">
        <f t="array" ref="J139">IFERROR(_xlfn.MODE.SNGL(IF((DATOS!$G$2:$G$20000=CONFIG_METADATA!$B$4)*(DATOS!$I$2:$I$20000=B139)*(DATOS!$L$2:$L$20000="S"),DATOS!$K$2:$K$20000)),"—")</f>
        <v>—</v>
      </c>
      <c r="K139" t="str" cm="1">
        <f t="array" ref="K139">IFERROR(_xlfn.MODE.SNGL(IF((DATOS!$G$2:$G$20000=CONFIG_METADATA!$B$4)*(DATOS!$I$2:$I$20000=B139)*(DATOS!$L$2:$L$20000="N"),DATOS!$K$2:$K$20000)),"—")</f>
        <v>—</v>
      </c>
      <c r="L139">
        <f>COUNTIFS(DATOS!G:G,CONFIG_METADATA!$B$4,DATOS!I:I,B139,DATOS!K:K,1)</f>
        <v>0</v>
      </c>
      <c r="M139">
        <f>COUNTIFS(DATOS!G:G,CONFIG_METADATA!$B$4,DATOS!I:I,B139,DATOS!K:K,2)</f>
        <v>0</v>
      </c>
      <c r="N139">
        <f>COUNTIFS(DATOS!G:G,CONFIG_METADATA!$B$4,DATOS!I:I,B139,DATOS!K:K,3)</f>
        <v>0</v>
      </c>
      <c r="O139">
        <f>COUNTIFS(DATOS!G:G,CONFIG_METADATA!$B$4,DATOS!I:I,B139,DATOS!K:K,4)</f>
        <v>0</v>
      </c>
      <c r="P139">
        <f>COUNTIFS(DATOS!G:G,CONFIG_METADATA!$B$4,DATOS!I:I,B139,DATOS!K:K,5)</f>
        <v>0</v>
      </c>
      <c r="Q139">
        <f>COUNTIFS(DATOS!G:G,CONFIG_METADATA!$B$4,DATOS!I:I,B139,DATOS!K:K,6)</f>
        <v>0</v>
      </c>
      <c r="R139">
        <f>COUNTIFS(DATOS!G:G,CONFIG_METADATA!$B$4,DATOS!I:I,B139,DATOS!K:K,7)</f>
        <v>0</v>
      </c>
      <c r="S139">
        <f>COUNTIFS(DATOS!G:G,CONFIG_METADATA!$B$4,DATOS!I:I,B139,DATOS!K:K,8)</f>
        <v>0</v>
      </c>
      <c r="T139">
        <f>COUNTIFS(DATOS!G:G,CONFIG_METADATA!$B$4,DATOS!I:I,B139,DATOS!K:K,9)</f>
        <v>0</v>
      </c>
      <c r="U139">
        <f>COUNTIFS(DATOS!G:G,CONFIG_METADATA!$B$4,DATOS!I:I,B139,DATOS!K:K,10)</f>
        <v>0</v>
      </c>
    </row>
    <row r="140" spans="1:22">
      <c r="A140" s="3" t="inlineStr">
        <is>
          <t xml:space="preserve">3EEM</t>
        </is>
      </c>
      <c r="B140" s="3">
        <f>IFERROR(INDEX(_xlfn._xlws.FILTER(CONFIG_ASIGNATURAS!$B$2:$B$27,CONFIG_ASIGNATURAS!$G$2:$G$27="Sí"),25),"")</f>
      </c>
      <c r="C140" s="3">
        <f>IF(B140="","",IFERROR(IF(VLOOKUP(B140,CONFIG_ASIGNATURAS!$B$2:$F$27,5,FALSE())="Sí","Especialidad","Asignatura"),"Asignatura"))</f>
      </c>
      <c r="D140">
        <f>COUNTIFS(DATOS!G:G,CONFIG_METADATA!$B$4,DATOS!I:I,B140)</f>
        <v>0</v>
      </c>
      <c r="E140" s="14" t="str">
        <f>IFERROR(AVERAGEIFS(DATOS!K:K,DATOS!G:G,CONFIG_METADATA!$B$4,DATOS!I:I,B140),"—")</f>
        <v>—</v>
      </c>
      <c r="F140" s="14" t="str" cm="1">
        <f t="array" ref="F140">IFERROR(_xlfn.STDEV.P(IF((DATOS!$G$2:$G$20000=CONFIG_METADATA!$B$4)*(DATOS!$I$2:$I$20000=B140),DATOS!$K$2:$K$20000)),"—")</f>
        <v>—</v>
      </c>
      <c r="G140" t="str" cm="1">
        <f t="array" ref="G140">IFERROR(_xlfn.MODE.SNGL(IF((DATOS!$G$2:$G$20000=CONFIG_METADATA!$B$4)*(DATOS!$I$2:$I$20000=B140),DATOS!$K$2:$K$20000)),"—")</f>
        <v>—</v>
      </c>
      <c r="H140" s="15" t="str">
        <f>IFERROR(COUNTIFS(DATOS!G:G,CONFIG_METADATA!$B$4,DATOS!I:I,B140,DATOS!L:L,"S")/COUNTIFS(DATOS!G:G,CONFIG_METADATA!$B$4,DATOS!I:I,B140),"—")</f>
        <v>—</v>
      </c>
      <c r="I140" s="15" t="str">
        <f>IFERROR(COUNTIFS(DATOS!G:G,CONFIG_METADATA!$B$4,DATOS!I:I,B140,DATOS!L:L,"N")/COUNTIFS(DATOS!G:G,CONFIG_METADATA!$B$4,DATOS!I:I,B140),"—")</f>
        <v>—</v>
      </c>
      <c r="J140" t="str" cm="1">
        <f t="array" ref="J140">IFERROR(_xlfn.MODE.SNGL(IF((DATOS!$G$2:$G$20000=CONFIG_METADATA!$B$4)*(DATOS!$I$2:$I$20000=B140)*(DATOS!$L$2:$L$20000="S"),DATOS!$K$2:$K$20000)),"—")</f>
        <v>—</v>
      </c>
      <c r="K140" t="str" cm="1">
        <f t="array" ref="K140">IFERROR(_xlfn.MODE.SNGL(IF((DATOS!$G$2:$G$20000=CONFIG_METADATA!$B$4)*(DATOS!$I$2:$I$20000=B140)*(DATOS!$L$2:$L$20000="N"),DATOS!$K$2:$K$20000)),"—")</f>
        <v>—</v>
      </c>
      <c r="L140">
        <f>COUNTIFS(DATOS!G:G,CONFIG_METADATA!$B$4,DATOS!I:I,B140,DATOS!K:K,1)</f>
        <v>0</v>
      </c>
      <c r="M140">
        <f>COUNTIFS(DATOS!G:G,CONFIG_METADATA!$B$4,DATOS!I:I,B140,DATOS!K:K,2)</f>
        <v>0</v>
      </c>
      <c r="N140">
        <f>COUNTIFS(DATOS!G:G,CONFIG_METADATA!$B$4,DATOS!I:I,B140,DATOS!K:K,3)</f>
        <v>0</v>
      </c>
      <c r="O140">
        <f>COUNTIFS(DATOS!G:G,CONFIG_METADATA!$B$4,DATOS!I:I,B140,DATOS!K:K,4)</f>
        <v>0</v>
      </c>
      <c r="P140">
        <f>COUNTIFS(DATOS!G:G,CONFIG_METADATA!$B$4,DATOS!I:I,B140,DATOS!K:K,5)</f>
        <v>0</v>
      </c>
      <c r="Q140">
        <f>COUNTIFS(DATOS!G:G,CONFIG_METADATA!$B$4,DATOS!I:I,B140,DATOS!K:K,6)</f>
        <v>0</v>
      </c>
      <c r="R140">
        <f>COUNTIFS(DATOS!G:G,CONFIG_METADATA!$B$4,DATOS!I:I,B140,DATOS!K:K,7)</f>
        <v>0</v>
      </c>
      <c r="S140">
        <f>COUNTIFS(DATOS!G:G,CONFIG_METADATA!$B$4,DATOS!I:I,B140,DATOS!K:K,8)</f>
        <v>0</v>
      </c>
      <c r="T140">
        <f>COUNTIFS(DATOS!G:G,CONFIG_METADATA!$B$4,DATOS!I:I,B140,DATOS!K:K,9)</f>
        <v>0</v>
      </c>
      <c r="U140">
        <f>COUNTIFS(DATOS!G:G,CONFIG_METADATA!$B$4,DATOS!I:I,B140,DATOS!K:K,10)</f>
        <v>0</v>
      </c>
    </row>
    <row r="141" spans="1:22">
      <c r="A141" s="3" t="inlineStr">
        <is>
          <t xml:space="preserve">3EEM</t>
        </is>
      </c>
      <c r="B141" s="3">
        <f>IFERROR(INDEX(_xlfn._xlws.FILTER(CONFIG_ASIGNATURAS!$B$2:$B$27,CONFIG_ASIGNATURAS!$G$2:$G$27="Sí"),26),"")</f>
      </c>
      <c r="C141" s="3">
        <f>IF(B141="","",IFERROR(IF(VLOOKUP(B141,CONFIG_ASIGNATURAS!$B$2:$F$27,5,FALSE())="Sí","Especialidad","Asignatura"),"Asignatura"))</f>
      </c>
      <c r="D141">
        <f>COUNTIFS(DATOS!G:G,CONFIG_METADATA!$B$4,DATOS!I:I,B141)</f>
        <v>0</v>
      </c>
      <c r="E141" s="14" t="str">
        <f>IFERROR(AVERAGEIFS(DATOS!K:K,DATOS!G:G,CONFIG_METADATA!$B$4,DATOS!I:I,B141),"—")</f>
        <v>—</v>
      </c>
      <c r="F141" s="14" t="str" cm="1">
        <f t="array" ref="F141">IFERROR(_xlfn.STDEV.P(IF((DATOS!$G$2:$G$20000=CONFIG_METADATA!$B$4)*(DATOS!$I$2:$I$20000=B141),DATOS!$K$2:$K$20000)),"—")</f>
        <v>—</v>
      </c>
      <c r="G141" t="str" cm="1">
        <f t="array" ref="G141">IFERROR(_xlfn.MODE.SNGL(IF((DATOS!$G$2:$G$20000=CONFIG_METADATA!$B$4)*(DATOS!$I$2:$I$20000=B141),DATOS!$K$2:$K$20000)),"—")</f>
        <v>—</v>
      </c>
      <c r="H141" s="15" t="str">
        <f>IFERROR(COUNTIFS(DATOS!G:G,CONFIG_METADATA!$B$4,DATOS!I:I,B141,DATOS!L:L,"S")/COUNTIFS(DATOS!G:G,CONFIG_METADATA!$B$4,DATOS!I:I,B141),"—")</f>
        <v>—</v>
      </c>
      <c r="I141" s="15" t="str">
        <f>IFERROR(COUNTIFS(DATOS!G:G,CONFIG_METADATA!$B$4,DATOS!I:I,B141,DATOS!L:L,"N")/COUNTIFS(DATOS!G:G,CONFIG_METADATA!$B$4,DATOS!I:I,B141),"—")</f>
        <v>—</v>
      </c>
      <c r="J141" t="str" cm="1">
        <f t="array" ref="J141">IFERROR(_xlfn.MODE.SNGL(IF((DATOS!$G$2:$G$20000=CONFIG_METADATA!$B$4)*(DATOS!$I$2:$I$20000=B141)*(DATOS!$L$2:$L$20000="S"),DATOS!$K$2:$K$20000)),"—")</f>
        <v>—</v>
      </c>
      <c r="K141" t="str" cm="1">
        <f t="array" ref="K141">IFERROR(_xlfn.MODE.SNGL(IF((DATOS!$G$2:$G$20000=CONFIG_METADATA!$B$4)*(DATOS!$I$2:$I$20000=B141)*(DATOS!$L$2:$L$20000="N"),DATOS!$K$2:$K$20000)),"—")</f>
        <v>—</v>
      </c>
      <c r="L141">
        <f>COUNTIFS(DATOS!G:G,CONFIG_METADATA!$B$4,DATOS!I:I,B141,DATOS!K:K,1)</f>
        <v>0</v>
      </c>
      <c r="M141">
        <f>COUNTIFS(DATOS!G:G,CONFIG_METADATA!$B$4,DATOS!I:I,B141,DATOS!K:K,2)</f>
        <v>0</v>
      </c>
      <c r="N141">
        <f>COUNTIFS(DATOS!G:G,CONFIG_METADATA!$B$4,DATOS!I:I,B141,DATOS!K:K,3)</f>
        <v>0</v>
      </c>
      <c r="O141">
        <f>COUNTIFS(DATOS!G:G,CONFIG_METADATA!$B$4,DATOS!I:I,B141,DATOS!K:K,4)</f>
        <v>0</v>
      </c>
      <c r="P141">
        <f>COUNTIFS(DATOS!G:G,CONFIG_METADATA!$B$4,DATOS!I:I,B141,DATOS!K:K,5)</f>
        <v>0</v>
      </c>
      <c r="Q141">
        <f>COUNTIFS(DATOS!G:G,CONFIG_METADATA!$B$4,DATOS!I:I,B141,DATOS!K:K,6)</f>
        <v>0</v>
      </c>
      <c r="R141">
        <f>COUNTIFS(DATOS!G:G,CONFIG_METADATA!$B$4,DATOS!I:I,B141,DATOS!K:K,7)</f>
        <v>0</v>
      </c>
      <c r="S141">
        <f>COUNTIFS(DATOS!G:G,CONFIG_METADATA!$B$4,DATOS!I:I,B141,DATOS!K:K,8)</f>
        <v>0</v>
      </c>
      <c r="T141">
        <f>COUNTIFS(DATOS!G:G,CONFIG_METADATA!$B$4,DATOS!I:I,B141,DATOS!K:K,9)</f>
        <v>0</v>
      </c>
      <c r="U141">
        <f>COUNTIFS(DATOS!G:G,CONFIG_METADATA!$B$4,DATOS!I:I,B141,DATOS!K:K,10)</f>
        <v>0</v>
      </c>
    </row>
    <row r="142" spans="1:22">
      <c r="A142" s="3" t="inlineStr">
        <is>
          <t xml:space="preserve">3EEM</t>
        </is>
      </c>
      <c r="B142" s="3">
        <f>IFERROR(INDEX(_xlfn._xlws.FILTER(CONFIG_ASIGNATURAS!$B$2:$B$27,CONFIG_ASIGNATURAS!$G$2:$G$27="Sí"),27),"")</f>
      </c>
      <c r="C142" s="3">
        <f>IF(B142="","",IFERROR(IF(VLOOKUP(B142,CONFIG_ASIGNATURAS!$B$2:$F$27,5,FALSE())="Sí","Especialidad","Asignatura"),"Asignatura"))</f>
      </c>
      <c r="D142">
        <f>COUNTIFS(DATOS!G:G,CONFIG_METADATA!$B$4,DATOS!I:I,B142)</f>
        <v>0</v>
      </c>
      <c r="E142" s="14" t="str">
        <f>IFERROR(AVERAGEIFS(DATOS!K:K,DATOS!G:G,CONFIG_METADATA!$B$4,DATOS!I:I,B142),"—")</f>
        <v>—</v>
      </c>
      <c r="F142" s="14" t="str" cm="1">
        <f t="array" ref="F142">IFERROR(_xlfn.STDEV.P(IF((DATOS!$G$2:$G$20000=CONFIG_METADATA!$B$4)*(DATOS!$I$2:$I$20000=B142),DATOS!$K$2:$K$20000)),"—")</f>
        <v>—</v>
      </c>
      <c r="G142" t="str" cm="1">
        <f t="array" ref="G142">IFERROR(_xlfn.MODE.SNGL(IF((DATOS!$G$2:$G$20000=CONFIG_METADATA!$B$4)*(DATOS!$I$2:$I$20000=B142),DATOS!$K$2:$K$20000)),"—")</f>
        <v>—</v>
      </c>
      <c r="H142" s="15" t="str">
        <f>IFERROR(COUNTIFS(DATOS!G:G,CONFIG_METADATA!$B$4,DATOS!I:I,B142,DATOS!L:L,"S")/COUNTIFS(DATOS!G:G,CONFIG_METADATA!$B$4,DATOS!I:I,B142),"—")</f>
        <v>—</v>
      </c>
      <c r="I142" s="15" t="str">
        <f>IFERROR(COUNTIFS(DATOS!G:G,CONFIG_METADATA!$B$4,DATOS!I:I,B142,DATOS!L:L,"N")/COUNTIFS(DATOS!G:G,CONFIG_METADATA!$B$4,DATOS!I:I,B142),"—")</f>
        <v>—</v>
      </c>
      <c r="J142" t="str" cm="1">
        <f t="array" ref="J142">IFERROR(_xlfn.MODE.SNGL(IF((DATOS!$G$2:$G$20000=CONFIG_METADATA!$B$4)*(DATOS!$I$2:$I$20000=B142)*(DATOS!$L$2:$L$20000="S"),DATOS!$K$2:$K$20000)),"—")</f>
        <v>—</v>
      </c>
      <c r="K142" t="str" cm="1">
        <f t="array" ref="K142">IFERROR(_xlfn.MODE.SNGL(IF((DATOS!$G$2:$G$20000=CONFIG_METADATA!$B$4)*(DATOS!$I$2:$I$20000=B142)*(DATOS!$L$2:$L$20000="N"),DATOS!$K$2:$K$20000)),"—")</f>
        <v>—</v>
      </c>
      <c r="L142">
        <f>COUNTIFS(DATOS!G:G,CONFIG_METADATA!$B$4,DATOS!I:I,B142,DATOS!K:K,1)</f>
        <v>0</v>
      </c>
      <c r="M142">
        <f>COUNTIFS(DATOS!G:G,CONFIG_METADATA!$B$4,DATOS!I:I,B142,DATOS!K:K,2)</f>
        <v>0</v>
      </c>
      <c r="N142">
        <f>COUNTIFS(DATOS!G:G,CONFIG_METADATA!$B$4,DATOS!I:I,B142,DATOS!K:K,3)</f>
        <v>0</v>
      </c>
      <c r="O142">
        <f>COUNTIFS(DATOS!G:G,CONFIG_METADATA!$B$4,DATOS!I:I,B142,DATOS!K:K,4)</f>
        <v>0</v>
      </c>
      <c r="P142">
        <f>COUNTIFS(DATOS!G:G,CONFIG_METADATA!$B$4,DATOS!I:I,B142,DATOS!K:K,5)</f>
        <v>0</v>
      </c>
      <c r="Q142">
        <f>COUNTIFS(DATOS!G:G,CONFIG_METADATA!$B$4,DATOS!I:I,B142,DATOS!K:K,6)</f>
        <v>0</v>
      </c>
      <c r="R142">
        <f>COUNTIFS(DATOS!G:G,CONFIG_METADATA!$B$4,DATOS!I:I,B142,DATOS!K:K,7)</f>
        <v>0</v>
      </c>
      <c r="S142">
        <f>COUNTIFS(DATOS!G:G,CONFIG_METADATA!$B$4,DATOS!I:I,B142,DATOS!K:K,8)</f>
        <v>0</v>
      </c>
      <c r="T142">
        <f>COUNTIFS(DATOS!G:G,CONFIG_METADATA!$B$4,DATOS!I:I,B142,DATOS!K:K,9)</f>
        <v>0</v>
      </c>
      <c r="U142">
        <f>COUNTIFS(DATOS!G:G,CONFIG_METADATA!$B$4,DATOS!I:I,B142,DATOS!K:K,10)</f>
        <v>0</v>
      </c>
    </row>
    <row r="143" spans="1:22">
      <c r="A143" s="3" t="inlineStr">
        <is>
          <t xml:space="preserve">3EEM</t>
        </is>
      </c>
      <c r="B143" s="3">
        <f>IFERROR(INDEX(_xlfn._xlws.FILTER(CONFIG_ASIGNATURAS!$B$2:$B$27,CONFIG_ASIGNATURAS!$G$2:$G$27="Sí"),28),"")</f>
      </c>
      <c r="C143" s="3">
        <f>IF(B143="","",IFERROR(IF(VLOOKUP(B143,CONFIG_ASIGNATURAS!$B$2:$F$27,5,FALSE())="Sí","Especialidad","Asignatura"),"Asignatura"))</f>
      </c>
      <c r="D143">
        <f>COUNTIFS(DATOS!G:G,CONFIG_METADATA!$B$4,DATOS!I:I,B143)</f>
        <v>0</v>
      </c>
      <c r="E143" s="14" t="str">
        <f>IFERROR(AVERAGEIFS(DATOS!K:K,DATOS!G:G,CONFIG_METADATA!$B$4,DATOS!I:I,B143),"—")</f>
        <v>—</v>
      </c>
      <c r="F143" s="14" t="str" cm="1">
        <f t="array" ref="F143">IFERROR(_xlfn.STDEV.P(IF((DATOS!$G$2:$G$20000=CONFIG_METADATA!$B$4)*(DATOS!$I$2:$I$20000=B143),DATOS!$K$2:$K$20000)),"—")</f>
        <v>—</v>
      </c>
      <c r="G143" t="str" cm="1">
        <f t="array" ref="G143">IFERROR(_xlfn.MODE.SNGL(IF((DATOS!$G$2:$G$20000=CONFIG_METADATA!$B$4)*(DATOS!$I$2:$I$20000=B143),DATOS!$K$2:$K$20000)),"—")</f>
        <v>—</v>
      </c>
      <c r="H143" s="15" t="str">
        <f>IFERROR(COUNTIFS(DATOS!G:G,CONFIG_METADATA!$B$4,DATOS!I:I,B143,DATOS!L:L,"S")/COUNTIFS(DATOS!G:G,CONFIG_METADATA!$B$4,DATOS!I:I,B143),"—")</f>
        <v>—</v>
      </c>
      <c r="I143" s="15" t="str">
        <f>IFERROR(COUNTIFS(DATOS!G:G,CONFIG_METADATA!$B$4,DATOS!I:I,B143,DATOS!L:L,"N")/COUNTIFS(DATOS!G:G,CONFIG_METADATA!$B$4,DATOS!I:I,B143),"—")</f>
        <v>—</v>
      </c>
      <c r="J143" t="str" cm="1">
        <f t="array" ref="J143">IFERROR(_xlfn.MODE.SNGL(IF((DATOS!$G$2:$G$20000=CONFIG_METADATA!$B$4)*(DATOS!$I$2:$I$20000=B143)*(DATOS!$L$2:$L$20000="S"),DATOS!$K$2:$K$20000)),"—")</f>
        <v>—</v>
      </c>
      <c r="K143" t="str" cm="1">
        <f t="array" ref="K143">IFERROR(_xlfn.MODE.SNGL(IF((DATOS!$G$2:$G$20000=CONFIG_METADATA!$B$4)*(DATOS!$I$2:$I$20000=B143)*(DATOS!$L$2:$L$20000="N"),DATOS!$K$2:$K$20000)),"—")</f>
        <v>—</v>
      </c>
      <c r="L143">
        <f>COUNTIFS(DATOS!G:G,CONFIG_METADATA!$B$4,DATOS!I:I,B143,DATOS!K:K,1)</f>
        <v>0</v>
      </c>
      <c r="M143">
        <f>COUNTIFS(DATOS!G:G,CONFIG_METADATA!$B$4,DATOS!I:I,B143,DATOS!K:K,2)</f>
        <v>0</v>
      </c>
      <c r="N143">
        <f>COUNTIFS(DATOS!G:G,CONFIG_METADATA!$B$4,DATOS!I:I,B143,DATOS!K:K,3)</f>
        <v>0</v>
      </c>
      <c r="O143">
        <f>COUNTIFS(DATOS!G:G,CONFIG_METADATA!$B$4,DATOS!I:I,B143,DATOS!K:K,4)</f>
        <v>0</v>
      </c>
      <c r="P143">
        <f>COUNTIFS(DATOS!G:G,CONFIG_METADATA!$B$4,DATOS!I:I,B143,DATOS!K:K,5)</f>
        <v>0</v>
      </c>
      <c r="Q143">
        <f>COUNTIFS(DATOS!G:G,CONFIG_METADATA!$B$4,DATOS!I:I,B143,DATOS!K:K,6)</f>
        <v>0</v>
      </c>
      <c r="R143">
        <f>COUNTIFS(DATOS!G:G,CONFIG_METADATA!$B$4,DATOS!I:I,B143,DATOS!K:K,7)</f>
        <v>0</v>
      </c>
      <c r="S143">
        <f>COUNTIFS(DATOS!G:G,CONFIG_METADATA!$B$4,DATOS!I:I,B143,DATOS!K:K,8)</f>
        <v>0</v>
      </c>
      <c r="T143">
        <f>COUNTIFS(DATOS!G:G,CONFIG_METADATA!$B$4,DATOS!I:I,B143,DATOS!K:K,9)</f>
        <v>0</v>
      </c>
      <c r="U143">
        <f>COUNTIFS(DATOS!G:G,CONFIG_METADATA!$B$4,DATOS!I:I,B143,DATOS!K:K,10)</f>
        <v>0</v>
      </c>
    </row>
    <row r="144" spans="1:22">
      <c r="A144" s="3" t="inlineStr">
        <is>
          <t xml:space="preserve">3EEM</t>
        </is>
      </c>
      <c r="B144" s="3">
        <f>IFERROR(INDEX(_xlfn._xlws.FILTER(CONFIG_ASIGNATURAS!$B$2:$B$27,CONFIG_ASIGNATURAS!$G$2:$G$27="Sí"),29),"")</f>
      </c>
      <c r="C144" s="3">
        <f>IF(B144="","",IFERROR(IF(VLOOKUP(B144,CONFIG_ASIGNATURAS!$B$2:$F$27,5,FALSE())="Sí","Especialidad","Asignatura"),"Asignatura"))</f>
      </c>
      <c r="D144">
        <f>COUNTIFS(DATOS!G:G,CONFIG_METADATA!$B$4,DATOS!I:I,B144)</f>
        <v>0</v>
      </c>
      <c r="E144" s="14" t="str">
        <f>IFERROR(AVERAGEIFS(DATOS!K:K,DATOS!G:G,CONFIG_METADATA!$B$4,DATOS!I:I,B144),"—")</f>
        <v>—</v>
      </c>
      <c r="F144" s="14" t="str" cm="1">
        <f t="array" ref="F144">IFERROR(_xlfn.STDEV.P(IF((DATOS!$G$2:$G$20000=CONFIG_METADATA!$B$4)*(DATOS!$I$2:$I$20000=B144),DATOS!$K$2:$K$20000)),"—")</f>
        <v>—</v>
      </c>
      <c r="G144" t="str" cm="1">
        <f t="array" ref="G144">IFERROR(_xlfn.MODE.SNGL(IF((DATOS!$G$2:$G$20000=CONFIG_METADATA!$B$4)*(DATOS!$I$2:$I$20000=B144),DATOS!$K$2:$K$20000)),"—")</f>
        <v>—</v>
      </c>
      <c r="H144" s="15" t="str">
        <f>IFERROR(COUNTIFS(DATOS!G:G,CONFIG_METADATA!$B$4,DATOS!I:I,B144,DATOS!L:L,"S")/COUNTIFS(DATOS!G:G,CONFIG_METADATA!$B$4,DATOS!I:I,B144),"—")</f>
        <v>—</v>
      </c>
      <c r="I144" s="15" t="str">
        <f>IFERROR(COUNTIFS(DATOS!G:G,CONFIG_METADATA!$B$4,DATOS!I:I,B144,DATOS!L:L,"N")/COUNTIFS(DATOS!G:G,CONFIG_METADATA!$B$4,DATOS!I:I,B144),"—")</f>
        <v>—</v>
      </c>
      <c r="J144" t="str" cm="1">
        <f t="array" ref="J144">IFERROR(_xlfn.MODE.SNGL(IF((DATOS!$G$2:$G$20000=CONFIG_METADATA!$B$4)*(DATOS!$I$2:$I$20000=B144)*(DATOS!$L$2:$L$20000="S"),DATOS!$K$2:$K$20000)),"—")</f>
        <v>—</v>
      </c>
      <c r="K144" t="str" cm="1">
        <f t="array" ref="K144">IFERROR(_xlfn.MODE.SNGL(IF((DATOS!$G$2:$G$20000=CONFIG_METADATA!$B$4)*(DATOS!$I$2:$I$20000=B144)*(DATOS!$L$2:$L$20000="N"),DATOS!$K$2:$K$20000)),"—")</f>
        <v>—</v>
      </c>
      <c r="L144">
        <f>COUNTIFS(DATOS!G:G,CONFIG_METADATA!$B$4,DATOS!I:I,B144,DATOS!K:K,1)</f>
        <v>0</v>
      </c>
      <c r="M144">
        <f>COUNTIFS(DATOS!G:G,CONFIG_METADATA!$B$4,DATOS!I:I,B144,DATOS!K:K,2)</f>
        <v>0</v>
      </c>
      <c r="N144">
        <f>COUNTIFS(DATOS!G:G,CONFIG_METADATA!$B$4,DATOS!I:I,B144,DATOS!K:K,3)</f>
        <v>0</v>
      </c>
      <c r="O144">
        <f>COUNTIFS(DATOS!G:G,CONFIG_METADATA!$B$4,DATOS!I:I,B144,DATOS!K:K,4)</f>
        <v>0</v>
      </c>
      <c r="P144">
        <f>COUNTIFS(DATOS!G:G,CONFIG_METADATA!$B$4,DATOS!I:I,B144,DATOS!K:K,5)</f>
        <v>0</v>
      </c>
      <c r="Q144">
        <f>COUNTIFS(DATOS!G:G,CONFIG_METADATA!$B$4,DATOS!I:I,B144,DATOS!K:K,6)</f>
        <v>0</v>
      </c>
      <c r="R144">
        <f>COUNTIFS(DATOS!G:G,CONFIG_METADATA!$B$4,DATOS!I:I,B144,DATOS!K:K,7)</f>
        <v>0</v>
      </c>
      <c r="S144">
        <f>COUNTIFS(DATOS!G:G,CONFIG_METADATA!$B$4,DATOS!I:I,B144,DATOS!K:K,8)</f>
        <v>0</v>
      </c>
      <c r="T144">
        <f>COUNTIFS(DATOS!G:G,CONFIG_METADATA!$B$4,DATOS!I:I,B144,DATOS!K:K,9)</f>
        <v>0</v>
      </c>
      <c r="U144">
        <f>COUNTIFS(DATOS!G:G,CONFIG_METADATA!$B$4,DATOS!I:I,B144,DATOS!K:K,10)</f>
        <v>0</v>
      </c>
    </row>
    <row r="145" spans="1:22">
      <c r="A145" s="3" t="inlineStr">
        <is>
          <t xml:space="preserve">3EEM</t>
        </is>
      </c>
      <c r="B145" s="3">
        <f>IFERROR(INDEX(_xlfn._xlws.FILTER(CONFIG_ASIGNATURAS!$B$2:$B$27,CONFIG_ASIGNATURAS!$G$2:$G$27="Sí"),30),"")</f>
      </c>
      <c r="C145" s="3">
        <f>IF(B145="","",IFERROR(IF(VLOOKUP(B145,CONFIG_ASIGNATURAS!$B$2:$F$27,5,FALSE())="Sí","Especialidad","Asignatura"),"Asignatura"))</f>
      </c>
      <c r="D145">
        <f>COUNTIFS(DATOS!G:G,CONFIG_METADATA!$B$4,DATOS!I:I,B145)</f>
        <v>0</v>
      </c>
      <c r="E145" s="14" t="str">
        <f>IFERROR(AVERAGEIFS(DATOS!K:K,DATOS!G:G,CONFIG_METADATA!$B$4,DATOS!I:I,B145),"—")</f>
        <v>—</v>
      </c>
      <c r="F145" s="14" t="str" cm="1">
        <f t="array" ref="F145">IFERROR(_xlfn.STDEV.P(IF((DATOS!$G$2:$G$20000=CONFIG_METADATA!$B$4)*(DATOS!$I$2:$I$20000=B145),DATOS!$K$2:$K$20000)),"—")</f>
        <v>—</v>
      </c>
      <c r="G145" t="str" cm="1">
        <f t="array" ref="G145">IFERROR(_xlfn.MODE.SNGL(IF((DATOS!$G$2:$G$20000=CONFIG_METADATA!$B$4)*(DATOS!$I$2:$I$20000=B145),DATOS!$K$2:$K$20000)),"—")</f>
        <v>—</v>
      </c>
      <c r="H145" s="15" t="str">
        <f>IFERROR(COUNTIFS(DATOS!G:G,CONFIG_METADATA!$B$4,DATOS!I:I,B145,DATOS!L:L,"S")/COUNTIFS(DATOS!G:G,CONFIG_METADATA!$B$4,DATOS!I:I,B145),"—")</f>
        <v>—</v>
      </c>
      <c r="I145" s="15" t="str">
        <f>IFERROR(COUNTIFS(DATOS!G:G,CONFIG_METADATA!$B$4,DATOS!I:I,B145,DATOS!L:L,"N")/COUNTIFS(DATOS!G:G,CONFIG_METADATA!$B$4,DATOS!I:I,B145),"—")</f>
        <v>—</v>
      </c>
      <c r="J145" t="str" cm="1">
        <f t="array" ref="J145">IFERROR(_xlfn.MODE.SNGL(IF((DATOS!$G$2:$G$20000=CONFIG_METADATA!$B$4)*(DATOS!$I$2:$I$20000=B145)*(DATOS!$L$2:$L$20000="S"),DATOS!$K$2:$K$20000)),"—")</f>
        <v>—</v>
      </c>
      <c r="K145" t="str" cm="1">
        <f t="array" ref="K145">IFERROR(_xlfn.MODE.SNGL(IF((DATOS!$G$2:$G$20000=CONFIG_METADATA!$B$4)*(DATOS!$I$2:$I$20000=B145)*(DATOS!$L$2:$L$20000="N"),DATOS!$K$2:$K$20000)),"—")</f>
        <v>—</v>
      </c>
      <c r="L145">
        <f>COUNTIFS(DATOS!G:G,CONFIG_METADATA!$B$4,DATOS!I:I,B145,DATOS!K:K,1)</f>
        <v>0</v>
      </c>
      <c r="M145">
        <f>COUNTIFS(DATOS!G:G,CONFIG_METADATA!$B$4,DATOS!I:I,B145,DATOS!K:K,2)</f>
        <v>0</v>
      </c>
      <c r="N145">
        <f>COUNTIFS(DATOS!G:G,CONFIG_METADATA!$B$4,DATOS!I:I,B145,DATOS!K:K,3)</f>
        <v>0</v>
      </c>
      <c r="O145">
        <f>COUNTIFS(DATOS!G:G,CONFIG_METADATA!$B$4,DATOS!I:I,B145,DATOS!K:K,4)</f>
        <v>0</v>
      </c>
      <c r="P145">
        <f>COUNTIFS(DATOS!G:G,CONFIG_METADATA!$B$4,DATOS!I:I,B145,DATOS!K:K,5)</f>
        <v>0</v>
      </c>
      <c r="Q145">
        <f>COUNTIFS(DATOS!G:G,CONFIG_METADATA!$B$4,DATOS!I:I,B145,DATOS!K:K,6)</f>
        <v>0</v>
      </c>
      <c r="R145">
        <f>COUNTIFS(DATOS!G:G,CONFIG_METADATA!$B$4,DATOS!I:I,B145,DATOS!K:K,7)</f>
        <v>0</v>
      </c>
      <c r="S145">
        <f>COUNTIFS(DATOS!G:G,CONFIG_METADATA!$B$4,DATOS!I:I,B145,DATOS!K:K,8)</f>
        <v>0</v>
      </c>
      <c r="T145">
        <f>COUNTIFS(DATOS!G:G,CONFIG_METADATA!$B$4,DATOS!I:I,B145,DATOS!K:K,9)</f>
        <v>0</v>
      </c>
      <c r="U145">
        <f>COUNTIFS(DATOS!G:G,CONFIG_METADATA!$B$4,DATOS!I:I,B145,DATOS!K:K,10)</f>
        <v>0</v>
      </c>
    </row>
    <row r="146" spans="1:22">
      <c r="A146" s="3" t="inlineStr">
        <is>
          <t xml:space="preserve">3EEM</t>
        </is>
      </c>
      <c r="B146" s="3">
        <f>IFERROR(INDEX(_xlfn._xlws.FILTER(CONFIG_ASIGNATURAS!$B$2:$B$27,CONFIG_ASIGNATURAS!$G$2:$G$27="Sí"),31),"")</f>
      </c>
      <c r="C146" s="3">
        <f>IF(B146="","",IFERROR(IF(VLOOKUP(B146,CONFIG_ASIGNATURAS!$B$2:$F$27,5,FALSE())="Sí","Especialidad","Asignatura"),"Asignatura"))</f>
      </c>
      <c r="D146">
        <f>COUNTIFS(DATOS!G:G,CONFIG_METADATA!$B$4,DATOS!I:I,B146)</f>
        <v>0</v>
      </c>
      <c r="E146" s="14" t="str">
        <f>IFERROR(AVERAGEIFS(DATOS!K:K,DATOS!G:G,CONFIG_METADATA!$B$4,DATOS!I:I,B146),"—")</f>
        <v>—</v>
      </c>
      <c r="F146" s="14" t="str" cm="1">
        <f t="array" ref="F146">IFERROR(_xlfn.STDEV.P(IF((DATOS!$G$2:$G$20000=CONFIG_METADATA!$B$4)*(DATOS!$I$2:$I$20000=B146),DATOS!$K$2:$K$20000)),"—")</f>
        <v>—</v>
      </c>
      <c r="G146" t="str" cm="1">
        <f t="array" ref="G146">IFERROR(_xlfn.MODE.SNGL(IF((DATOS!$G$2:$G$20000=CONFIG_METADATA!$B$4)*(DATOS!$I$2:$I$20000=B146),DATOS!$K$2:$K$20000)),"—")</f>
        <v>—</v>
      </c>
      <c r="H146" s="15" t="str">
        <f>IFERROR(COUNTIFS(DATOS!G:G,CONFIG_METADATA!$B$4,DATOS!I:I,B146,DATOS!L:L,"S")/COUNTIFS(DATOS!G:G,CONFIG_METADATA!$B$4,DATOS!I:I,B146),"—")</f>
        <v>—</v>
      </c>
      <c r="I146" s="15" t="str">
        <f>IFERROR(COUNTIFS(DATOS!G:G,CONFIG_METADATA!$B$4,DATOS!I:I,B146,DATOS!L:L,"N")/COUNTIFS(DATOS!G:G,CONFIG_METADATA!$B$4,DATOS!I:I,B146),"—")</f>
        <v>—</v>
      </c>
      <c r="J146" t="str" cm="1">
        <f t="array" ref="J146">IFERROR(_xlfn.MODE.SNGL(IF((DATOS!$G$2:$G$20000=CONFIG_METADATA!$B$4)*(DATOS!$I$2:$I$20000=B146)*(DATOS!$L$2:$L$20000="S"),DATOS!$K$2:$K$20000)),"—")</f>
        <v>—</v>
      </c>
      <c r="K146" t="str" cm="1">
        <f t="array" ref="K146">IFERROR(_xlfn.MODE.SNGL(IF((DATOS!$G$2:$G$20000=CONFIG_METADATA!$B$4)*(DATOS!$I$2:$I$20000=B146)*(DATOS!$L$2:$L$20000="N"),DATOS!$K$2:$K$20000)),"—")</f>
        <v>—</v>
      </c>
      <c r="L146">
        <f>COUNTIFS(DATOS!G:G,CONFIG_METADATA!$B$4,DATOS!I:I,B146,DATOS!K:K,1)</f>
        <v>0</v>
      </c>
      <c r="M146">
        <f>COUNTIFS(DATOS!G:G,CONFIG_METADATA!$B$4,DATOS!I:I,B146,DATOS!K:K,2)</f>
        <v>0</v>
      </c>
      <c r="N146">
        <f>COUNTIFS(DATOS!G:G,CONFIG_METADATA!$B$4,DATOS!I:I,B146,DATOS!K:K,3)</f>
        <v>0</v>
      </c>
      <c r="O146">
        <f>COUNTIFS(DATOS!G:G,CONFIG_METADATA!$B$4,DATOS!I:I,B146,DATOS!K:K,4)</f>
        <v>0</v>
      </c>
      <c r="P146">
        <f>COUNTIFS(DATOS!G:G,CONFIG_METADATA!$B$4,DATOS!I:I,B146,DATOS!K:K,5)</f>
        <v>0</v>
      </c>
      <c r="Q146">
        <f>COUNTIFS(DATOS!G:G,CONFIG_METADATA!$B$4,DATOS!I:I,B146,DATOS!K:K,6)</f>
        <v>0</v>
      </c>
      <c r="R146">
        <f>COUNTIFS(DATOS!G:G,CONFIG_METADATA!$B$4,DATOS!I:I,B146,DATOS!K:K,7)</f>
        <v>0</v>
      </c>
      <c r="S146">
        <f>COUNTIFS(DATOS!G:G,CONFIG_METADATA!$B$4,DATOS!I:I,B146,DATOS!K:K,8)</f>
        <v>0</v>
      </c>
      <c r="T146">
        <f>COUNTIFS(DATOS!G:G,CONFIG_METADATA!$B$4,DATOS!I:I,B146,DATOS!K:K,9)</f>
        <v>0</v>
      </c>
      <c r="U146">
        <f>COUNTIFS(DATOS!G:G,CONFIG_METADATA!$B$4,DATOS!I:I,B146,DATOS!K:K,10)</f>
        <v>0</v>
      </c>
    </row>
    <row r="147" spans="1:22">
      <c r="A147" s="3" t="inlineStr">
        <is>
          <t xml:space="preserve">3EEM</t>
        </is>
      </c>
      <c r="B147" s="3">
        <f>IFERROR(INDEX(_xlfn._xlws.FILTER(CONFIG_ASIGNATURAS!$B$2:$B$27,CONFIG_ASIGNATURAS!$G$2:$G$27="Sí"),32),"")</f>
      </c>
      <c r="C147" s="3">
        <f>IF(B147="","",IFERROR(IF(VLOOKUP(B147,CONFIG_ASIGNATURAS!$B$2:$F$27,5,FALSE())="Sí","Especialidad","Asignatura"),"Asignatura"))</f>
      </c>
      <c r="D147">
        <f>COUNTIFS(DATOS!G:G,CONFIG_METADATA!$B$4,DATOS!I:I,B147)</f>
        <v>0</v>
      </c>
      <c r="E147" s="14" t="str">
        <f>IFERROR(AVERAGEIFS(DATOS!K:K,DATOS!G:G,CONFIG_METADATA!$B$4,DATOS!I:I,B147),"—")</f>
        <v>—</v>
      </c>
      <c r="F147" s="14" t="str" cm="1">
        <f t="array" ref="F147">IFERROR(_xlfn.STDEV.P(IF((DATOS!$G$2:$G$20000=CONFIG_METADATA!$B$4)*(DATOS!$I$2:$I$20000=B147),DATOS!$K$2:$K$20000)),"—")</f>
        <v>—</v>
      </c>
      <c r="G147" t="str" cm="1">
        <f t="array" ref="G147">IFERROR(_xlfn.MODE.SNGL(IF((DATOS!$G$2:$G$20000=CONFIG_METADATA!$B$4)*(DATOS!$I$2:$I$20000=B147),DATOS!$K$2:$K$20000)),"—")</f>
        <v>—</v>
      </c>
      <c r="H147" s="15" t="str">
        <f>IFERROR(COUNTIFS(DATOS!G:G,CONFIG_METADATA!$B$4,DATOS!I:I,B147,DATOS!L:L,"S")/COUNTIFS(DATOS!G:G,CONFIG_METADATA!$B$4,DATOS!I:I,B147),"—")</f>
        <v>—</v>
      </c>
      <c r="I147" s="15" t="str">
        <f>IFERROR(COUNTIFS(DATOS!G:G,CONFIG_METADATA!$B$4,DATOS!I:I,B147,DATOS!L:L,"N")/COUNTIFS(DATOS!G:G,CONFIG_METADATA!$B$4,DATOS!I:I,B147),"—")</f>
        <v>—</v>
      </c>
      <c r="J147" t="str" cm="1">
        <f t="array" ref="J147">IFERROR(_xlfn.MODE.SNGL(IF((DATOS!$G$2:$G$20000=CONFIG_METADATA!$B$4)*(DATOS!$I$2:$I$20000=B147)*(DATOS!$L$2:$L$20000="S"),DATOS!$K$2:$K$20000)),"—")</f>
        <v>—</v>
      </c>
      <c r="K147" t="str" cm="1">
        <f t="array" ref="K147">IFERROR(_xlfn.MODE.SNGL(IF((DATOS!$G$2:$G$20000=CONFIG_METADATA!$B$4)*(DATOS!$I$2:$I$20000=B147)*(DATOS!$L$2:$L$20000="N"),DATOS!$K$2:$K$20000)),"—")</f>
        <v>—</v>
      </c>
      <c r="L147">
        <f>COUNTIFS(DATOS!G:G,CONFIG_METADATA!$B$4,DATOS!I:I,B147,DATOS!K:K,1)</f>
        <v>0</v>
      </c>
      <c r="M147">
        <f>COUNTIFS(DATOS!G:G,CONFIG_METADATA!$B$4,DATOS!I:I,B147,DATOS!K:K,2)</f>
        <v>0</v>
      </c>
      <c r="N147">
        <f>COUNTIFS(DATOS!G:G,CONFIG_METADATA!$B$4,DATOS!I:I,B147,DATOS!K:K,3)</f>
        <v>0</v>
      </c>
      <c r="O147">
        <f>COUNTIFS(DATOS!G:G,CONFIG_METADATA!$B$4,DATOS!I:I,B147,DATOS!K:K,4)</f>
        <v>0</v>
      </c>
      <c r="P147">
        <f>COUNTIFS(DATOS!G:G,CONFIG_METADATA!$B$4,DATOS!I:I,B147,DATOS!K:K,5)</f>
        <v>0</v>
      </c>
      <c r="Q147">
        <f>COUNTIFS(DATOS!G:G,CONFIG_METADATA!$B$4,DATOS!I:I,B147,DATOS!K:K,6)</f>
        <v>0</v>
      </c>
      <c r="R147">
        <f>COUNTIFS(DATOS!G:G,CONFIG_METADATA!$B$4,DATOS!I:I,B147,DATOS!K:K,7)</f>
        <v>0</v>
      </c>
      <c r="S147">
        <f>COUNTIFS(DATOS!G:G,CONFIG_METADATA!$B$4,DATOS!I:I,B147,DATOS!K:K,8)</f>
        <v>0</v>
      </c>
      <c r="T147">
        <f>COUNTIFS(DATOS!G:G,CONFIG_METADATA!$B$4,DATOS!I:I,B147,DATOS!K:K,9)</f>
        <v>0</v>
      </c>
      <c r="U147">
        <f>COUNTIFS(DATOS!G:G,CONFIG_METADATA!$B$4,DATOS!I:I,B147,DATOS!K:K,10)</f>
        <v>0</v>
      </c>
    </row>
    <row r="148" spans="1:22">
      <c r="A148" s="3" t="inlineStr">
        <is>
          <t xml:space="preserve">3EEM</t>
        </is>
      </c>
      <c r="B148" s="3">
        <f>IFERROR(INDEX(_xlfn._xlws.FILTER(CONFIG_ASIGNATURAS!$B$2:$B$27,CONFIG_ASIGNATURAS!$G$2:$G$27="Sí"),33),"")</f>
      </c>
      <c r="C148" s="3">
        <f>IF(B148="","",IFERROR(IF(VLOOKUP(B148,CONFIG_ASIGNATURAS!$B$2:$F$27,5,FALSE())="Sí","Especialidad","Asignatura"),"Asignatura"))</f>
      </c>
      <c r="D148">
        <f>COUNTIFS(DATOS!G:G,CONFIG_METADATA!$B$4,DATOS!I:I,B148)</f>
        <v>0</v>
      </c>
      <c r="E148" s="14" t="str">
        <f>IFERROR(AVERAGEIFS(DATOS!K:K,DATOS!G:G,CONFIG_METADATA!$B$4,DATOS!I:I,B148),"—")</f>
        <v>—</v>
      </c>
      <c r="F148" s="14" t="str" cm="1">
        <f t="array" ref="F148">IFERROR(_xlfn.STDEV.P(IF((DATOS!$G$2:$G$20000=CONFIG_METADATA!$B$4)*(DATOS!$I$2:$I$20000=B148),DATOS!$K$2:$K$20000)),"—")</f>
        <v>—</v>
      </c>
      <c r="G148" t="str" cm="1">
        <f t="array" ref="G148">IFERROR(_xlfn.MODE.SNGL(IF((DATOS!$G$2:$G$20000=CONFIG_METADATA!$B$4)*(DATOS!$I$2:$I$20000=B148),DATOS!$K$2:$K$20000)),"—")</f>
        <v>—</v>
      </c>
      <c r="H148" s="15" t="str">
        <f>IFERROR(COUNTIFS(DATOS!G:G,CONFIG_METADATA!$B$4,DATOS!I:I,B148,DATOS!L:L,"S")/COUNTIFS(DATOS!G:G,CONFIG_METADATA!$B$4,DATOS!I:I,B148),"—")</f>
        <v>—</v>
      </c>
      <c r="I148" s="15" t="str">
        <f>IFERROR(COUNTIFS(DATOS!G:G,CONFIG_METADATA!$B$4,DATOS!I:I,B148,DATOS!L:L,"N")/COUNTIFS(DATOS!G:G,CONFIG_METADATA!$B$4,DATOS!I:I,B148),"—")</f>
        <v>—</v>
      </c>
      <c r="J148" t="str" cm="1">
        <f t="array" ref="J148">IFERROR(_xlfn.MODE.SNGL(IF((DATOS!$G$2:$G$20000=CONFIG_METADATA!$B$4)*(DATOS!$I$2:$I$20000=B148)*(DATOS!$L$2:$L$20000="S"),DATOS!$K$2:$K$20000)),"—")</f>
        <v>—</v>
      </c>
      <c r="K148" t="str" cm="1">
        <f t="array" ref="K148">IFERROR(_xlfn.MODE.SNGL(IF((DATOS!$G$2:$G$20000=CONFIG_METADATA!$B$4)*(DATOS!$I$2:$I$20000=B148)*(DATOS!$L$2:$L$20000="N"),DATOS!$K$2:$K$20000)),"—")</f>
        <v>—</v>
      </c>
      <c r="L148">
        <f>COUNTIFS(DATOS!G:G,CONFIG_METADATA!$B$4,DATOS!I:I,B148,DATOS!K:K,1)</f>
        <v>0</v>
      </c>
      <c r="M148">
        <f>COUNTIFS(DATOS!G:G,CONFIG_METADATA!$B$4,DATOS!I:I,B148,DATOS!K:K,2)</f>
        <v>0</v>
      </c>
      <c r="N148">
        <f>COUNTIFS(DATOS!G:G,CONFIG_METADATA!$B$4,DATOS!I:I,B148,DATOS!K:K,3)</f>
        <v>0</v>
      </c>
      <c r="O148">
        <f>COUNTIFS(DATOS!G:G,CONFIG_METADATA!$B$4,DATOS!I:I,B148,DATOS!K:K,4)</f>
        <v>0</v>
      </c>
      <c r="P148">
        <f>COUNTIFS(DATOS!G:G,CONFIG_METADATA!$B$4,DATOS!I:I,B148,DATOS!K:K,5)</f>
        <v>0</v>
      </c>
      <c r="Q148">
        <f>COUNTIFS(DATOS!G:G,CONFIG_METADATA!$B$4,DATOS!I:I,B148,DATOS!K:K,6)</f>
        <v>0</v>
      </c>
      <c r="R148">
        <f>COUNTIFS(DATOS!G:G,CONFIG_METADATA!$B$4,DATOS!I:I,B148,DATOS!K:K,7)</f>
        <v>0</v>
      </c>
      <c r="S148">
        <f>COUNTIFS(DATOS!G:G,CONFIG_METADATA!$B$4,DATOS!I:I,B148,DATOS!K:K,8)</f>
        <v>0</v>
      </c>
      <c r="T148">
        <f>COUNTIFS(DATOS!G:G,CONFIG_METADATA!$B$4,DATOS!I:I,B148,DATOS!K:K,9)</f>
        <v>0</v>
      </c>
      <c r="U148">
        <f>COUNTIFS(DATOS!G:G,CONFIG_METADATA!$B$4,DATOS!I:I,B148,DATOS!K:K,10)</f>
        <v>0</v>
      </c>
    </row>
    <row r="149" spans="1:22">
      <c r="A149" s="3" t="inlineStr">
        <is>
          <t xml:space="preserve">3EEM</t>
        </is>
      </c>
      <c r="B149" s="3">
        <f>IFERROR(INDEX(_xlfn._xlws.FILTER(CONFIG_ASIGNATURAS!$B$2:$B$27,CONFIG_ASIGNATURAS!$G$2:$G$27="Sí"),34),"")</f>
      </c>
      <c r="C149" s="3">
        <f>IF(B149="","",IFERROR(IF(VLOOKUP(B149,CONFIG_ASIGNATURAS!$B$2:$F$27,5,FALSE())="Sí","Especialidad","Asignatura"),"Asignatura"))</f>
      </c>
      <c r="D149">
        <f>COUNTIFS(DATOS!G:G,CONFIG_METADATA!$B$4,DATOS!I:I,B149)</f>
        <v>0</v>
      </c>
      <c r="E149" s="14" t="str">
        <f>IFERROR(AVERAGEIFS(DATOS!K:K,DATOS!G:G,CONFIG_METADATA!$B$4,DATOS!I:I,B149),"—")</f>
        <v>—</v>
      </c>
      <c r="F149" s="14" t="str" cm="1">
        <f t="array" ref="F149">IFERROR(_xlfn.STDEV.P(IF((DATOS!$G$2:$G$20000=CONFIG_METADATA!$B$4)*(DATOS!$I$2:$I$20000=B149),DATOS!$K$2:$K$20000)),"—")</f>
        <v>—</v>
      </c>
      <c r="G149" t="str" cm="1">
        <f t="array" ref="G149">IFERROR(_xlfn.MODE.SNGL(IF((DATOS!$G$2:$G$20000=CONFIG_METADATA!$B$4)*(DATOS!$I$2:$I$20000=B149),DATOS!$K$2:$K$20000)),"—")</f>
        <v>—</v>
      </c>
      <c r="H149" s="15" t="str">
        <f>IFERROR(COUNTIFS(DATOS!G:G,CONFIG_METADATA!$B$4,DATOS!I:I,B149,DATOS!L:L,"S")/COUNTIFS(DATOS!G:G,CONFIG_METADATA!$B$4,DATOS!I:I,B149),"—")</f>
        <v>—</v>
      </c>
      <c r="I149" s="15" t="str">
        <f>IFERROR(COUNTIFS(DATOS!G:G,CONFIG_METADATA!$B$4,DATOS!I:I,B149,DATOS!L:L,"N")/COUNTIFS(DATOS!G:G,CONFIG_METADATA!$B$4,DATOS!I:I,B149),"—")</f>
        <v>—</v>
      </c>
      <c r="J149" t="str" cm="1">
        <f t="array" ref="J149">IFERROR(_xlfn.MODE.SNGL(IF((DATOS!$G$2:$G$20000=CONFIG_METADATA!$B$4)*(DATOS!$I$2:$I$20000=B149)*(DATOS!$L$2:$L$20000="S"),DATOS!$K$2:$K$20000)),"—")</f>
        <v>—</v>
      </c>
      <c r="K149" t="str" cm="1">
        <f t="array" ref="K149">IFERROR(_xlfn.MODE.SNGL(IF((DATOS!$G$2:$G$20000=CONFIG_METADATA!$B$4)*(DATOS!$I$2:$I$20000=B149)*(DATOS!$L$2:$L$20000="N"),DATOS!$K$2:$K$20000)),"—")</f>
        <v>—</v>
      </c>
      <c r="L149">
        <f>COUNTIFS(DATOS!G:G,CONFIG_METADATA!$B$4,DATOS!I:I,B149,DATOS!K:K,1)</f>
        <v>0</v>
      </c>
      <c r="M149">
        <f>COUNTIFS(DATOS!G:G,CONFIG_METADATA!$B$4,DATOS!I:I,B149,DATOS!K:K,2)</f>
        <v>0</v>
      </c>
      <c r="N149">
        <f>COUNTIFS(DATOS!G:G,CONFIG_METADATA!$B$4,DATOS!I:I,B149,DATOS!K:K,3)</f>
        <v>0</v>
      </c>
      <c r="O149">
        <f>COUNTIFS(DATOS!G:G,CONFIG_METADATA!$B$4,DATOS!I:I,B149,DATOS!K:K,4)</f>
        <v>0</v>
      </c>
      <c r="P149">
        <f>COUNTIFS(DATOS!G:G,CONFIG_METADATA!$B$4,DATOS!I:I,B149,DATOS!K:K,5)</f>
        <v>0</v>
      </c>
      <c r="Q149">
        <f>COUNTIFS(DATOS!G:G,CONFIG_METADATA!$B$4,DATOS!I:I,B149,DATOS!K:K,6)</f>
        <v>0</v>
      </c>
      <c r="R149">
        <f>COUNTIFS(DATOS!G:G,CONFIG_METADATA!$B$4,DATOS!I:I,B149,DATOS!K:K,7)</f>
        <v>0</v>
      </c>
      <c r="S149">
        <f>COUNTIFS(DATOS!G:G,CONFIG_METADATA!$B$4,DATOS!I:I,B149,DATOS!K:K,8)</f>
        <v>0</v>
      </c>
      <c r="T149">
        <f>COUNTIFS(DATOS!G:G,CONFIG_METADATA!$B$4,DATOS!I:I,B149,DATOS!K:K,9)</f>
        <v>0</v>
      </c>
      <c r="U149">
        <f>COUNTIFS(DATOS!G:G,CONFIG_METADATA!$B$4,DATOS!I:I,B149,DATOS!K:K,10)</f>
        <v>0</v>
      </c>
    </row>
    <row r="150" spans="1:22">
      <c r="A150" s="3" t="inlineStr">
        <is>
          <t xml:space="preserve">4EEM</t>
        </is>
      </c>
      <c r="B150" s="3" t="inlineStr">
        <is>
          <t xml:space="preserve">Total</t>
        </is>
      </c>
      <c r="C150" s="3" t="inlineStr">
        <is>
          <t xml:space="preserve">Total</t>
        </is>
      </c>
      <c r="D150">
        <f>COUNTIFS(DATOS!G:G,CONFIG_METADATA!$B$4,DATOS!I:I,B150)</f>
        <v>0</v>
      </c>
      <c r="E150" s="14" t="str">
        <f>IFERROR(AVERAGEIFS(DATOS!K:K,DATOS!G:G,CONFIG_METADATA!$B$4,DATOS!I:I,B150),"—")</f>
        <v>—</v>
      </c>
      <c r="F150" s="14" t="str" cm="1">
        <f t="array" ref="F150">IFERROR(_xlfn.STDEV.P(IF((DATOS!$G$2:$G$20000=CONFIG_METADATA!$B$4)*(DATOS!$I$2:$I$20000=B150),DATOS!$K$2:$K$20000)),"—")</f>
        <v>—</v>
      </c>
      <c r="G150" t="str" cm="1">
        <f t="array" ref="G150">IFERROR(_xlfn.MODE.SNGL(IF((DATOS!$G$2:$G$20000=CONFIG_METADATA!$B$4)*(DATOS!$I$2:$I$20000=B150),DATOS!$K$2:$K$20000)),"—")</f>
        <v>—</v>
      </c>
      <c r="H150" s="15" t="str">
        <f>IFERROR(COUNTIFS(DATOS!G:G,CONFIG_METADATA!$B$4,DATOS!I:I,B150,DATOS!L:L,"S")/COUNTIFS(DATOS!G:G,CONFIG_METADATA!$B$4,DATOS!I:I,B150),"—")</f>
        <v>—</v>
      </c>
      <c r="I150" s="15" t="str">
        <f>IFERROR(COUNTIFS(DATOS!G:G,CONFIG_METADATA!$B$4,DATOS!I:I,B150,DATOS!L:L,"N")/COUNTIFS(DATOS!G:G,CONFIG_METADATA!$B$4,DATOS!I:I,B150),"—")</f>
        <v>—</v>
      </c>
      <c r="J150" t="str" cm="1">
        <f t="array" ref="J150">IFERROR(_xlfn.MODE.SNGL(IF((DATOS!$G$2:$G$20000=CONFIG_METADATA!$B$4)*(DATOS!$I$2:$I$20000=B150)*(DATOS!$L$2:$L$20000="S"),DATOS!$K$2:$K$20000)),"—")</f>
        <v>—</v>
      </c>
      <c r="K150" t="str" cm="1">
        <f t="array" ref="K150">IFERROR(_xlfn.MODE.SNGL(IF((DATOS!$G$2:$G$20000=CONFIG_METADATA!$B$4)*(DATOS!$I$2:$I$20000=B150)*(DATOS!$L$2:$L$20000="N"),DATOS!$K$2:$K$20000)),"—")</f>
        <v>—</v>
      </c>
      <c r="L150">
        <f>COUNTIFS(DATOS!G:G,CONFIG_METADATA!$B$4,DATOS!I:I,B150,DATOS!K:K,1)</f>
        <v>0</v>
      </c>
      <c r="M150">
        <f>COUNTIFS(DATOS!G:G,CONFIG_METADATA!$B$4,DATOS!I:I,B150,DATOS!K:K,2)</f>
        <v>0</v>
      </c>
      <c r="N150">
        <f>COUNTIFS(DATOS!G:G,CONFIG_METADATA!$B$4,DATOS!I:I,B150,DATOS!K:K,3)</f>
        <v>0</v>
      </c>
      <c r="O150">
        <f>COUNTIFS(DATOS!G:G,CONFIG_METADATA!$B$4,DATOS!I:I,B150,DATOS!K:K,4)</f>
        <v>0</v>
      </c>
      <c r="P150">
        <f>COUNTIFS(DATOS!G:G,CONFIG_METADATA!$B$4,DATOS!I:I,B150,DATOS!K:K,5)</f>
        <v>0</v>
      </c>
      <c r="Q150">
        <f>COUNTIFS(DATOS!G:G,CONFIG_METADATA!$B$4,DATOS!I:I,B150,DATOS!K:K,6)</f>
        <v>0</v>
      </c>
      <c r="R150">
        <f>COUNTIFS(DATOS!G:G,CONFIG_METADATA!$B$4,DATOS!I:I,B150,DATOS!K:K,7)</f>
        <v>0</v>
      </c>
      <c r="S150">
        <f>COUNTIFS(DATOS!G:G,CONFIG_METADATA!$B$4,DATOS!I:I,B150,DATOS!K:K,8)</f>
        <v>0</v>
      </c>
      <c r="T150">
        <f>COUNTIFS(DATOS!G:G,CONFIG_METADATA!$B$4,DATOS!I:I,B150,DATOS!K:K,9)</f>
        <v>0</v>
      </c>
      <c r="U150">
        <f>COUNTIFS(DATOS!G:G,CONFIG_METADATA!$B$4,DATOS!I:I,B150,DATOS!K:K,10)</f>
        <v>0</v>
      </c>
    </row>
    <row r="151" spans="1:22">
      <c r="A151" s="3" t="inlineStr">
        <is>
          <t xml:space="preserve">4EEM</t>
        </is>
      </c>
      <c r="B151" s="3" t="inlineStr">
        <is>
          <t xml:space="preserve">Total Especialidad</t>
        </is>
      </c>
      <c r="C151" s="3" t="inlineStr">
        <is>
          <t xml:space="preserve">TotalEsp</t>
        </is>
      </c>
      <c r="D151">
        <f>SUMPRODUCT((DATOS!$G$2:$G$20000=CONFIG_METADATA!$B$4)*(DATOS!$D$2:$D$20000=A151)*(COUNTIF(CONFIG_ASIGNATURAS!$B$5:$B$27,DATOS!$I$2:$I$20000)&gt;0)*1)</f>
      </c>
      <c r="E151" s="14">
        <f>IFERROR(AVERAGE(IF((DATOS!$G$2:$G$20000=CONFIG_METADATA!$B$4)*(DATOS!$D$2:$D$20000=A151)*(COUNTIF(CONFIG_ASIGNATURAS!$B$5:$B$27,DATOS!$I$2:$I$20000)&gt;0),DATOS!$K$2:$K$20000)),"—")</f>
      </c>
      <c r="F151" s="14">
        <f>IFERROR(_xlfn.STDEV.P(IF((DATOS!$G$2:$G$20000=CONFIG_METADATA!$B$4)*(DATOS!$D$2:$D$20000=A151)*(COUNTIF(CONFIG_ASIGNATURAS!$B$5:$B$27,DATOS!$I$2:$I$20000)&gt;0),DATOS!$K$2:$K$20000)),"—")</f>
      </c>
      <c r="G151">
        <f>IFERROR(_xlfn.MODE.SNGL(IF((DATOS!$G$2:$G$20000=CONFIG_METADATA!$B$4)*(DATOS!$D$2:$D$20000=A151)*(COUNTIF(CONFIG_ASIGNATURAS!$B$5:$B$27,DATOS!$I$2:$I$20000)&gt;0),DATOS!$K$2:$K$20000)),"—")</f>
      </c>
      <c r="H151" s="15">
        <f>IFERROR(SUMPRODUCT((DATOS!$G$2:$G$20000=CONFIG_METADATA!$B$4)*(DATOS!$D$2:$D$20000=A151)*(COUNTIF(CONFIG_ASIGNATURAS!$B$5:$B$27,DATOS!$I$2:$I$20000)&gt;0)*(DATOS!$L$2:$L$20000="S"))/SUMPRODUCT((DATOS!$G$2:$G$20000=CONFIG_METADATA!$B$4)*(DATOS!$D$2:$D$20000=A151)*(COUNTIF(CONFIG_ASIGNATURAS!$B$5:$B$27,DATOS!$I$2:$I$20000)&gt;0)*1),"—")</f>
      </c>
      <c r="I151" s="15">
        <f>IFERROR(SUMPRODUCT((DATOS!$G$2:$G$20000=CONFIG_METADATA!$B$4)*(DATOS!$D$2:$D$20000=A151)*(COUNTIF(CONFIG_ASIGNATURAS!$B$5:$B$27,DATOS!$I$2:$I$20000)&gt;0)*(DATOS!$L$2:$L$20000="N"))/SUMPRODUCT((DATOS!$G$2:$G$20000=CONFIG_METADATA!$B$4)*(DATOS!$D$2:$D$20000=A151)*(COUNTIF(CONFIG_ASIGNATURAS!$B$5:$B$27,DATOS!$I$2:$I$20000)&gt;0)*1),"—")</f>
      </c>
      <c r="J151">
        <f>IFERROR(_xlfn.MODE.SNGL(IF((DATOS!$G$2:$G$20000=CONFIG_METADATA!$B$4)*(DATOS!$D$2:$D$20000=A151)*(COUNTIF(CONFIG_ASIGNATURAS!$B$5:$B$27,DATOS!$I$2:$I$20000)&gt;0)*(DATOS!$L$2:$L$20000="S"),DATOS!$K$2:$K$20000)),"—")</f>
      </c>
      <c r="K151">
        <f>IFERROR(_xlfn.MODE.SNGL(IF((DATOS!$G$2:$G$20000=CONFIG_METADATA!$B$4)*(DATOS!$D$2:$D$20000=A151)*(COUNTIF(CONFIG_ASIGNATURAS!$B$5:$B$27,DATOS!$I$2:$I$20000)&gt;0)*(DATOS!$L$2:$L$20000="N"),DATOS!$K$2:$K$20000)),"—")</f>
      </c>
      <c r="L151">
        <f>SUMPRODUCT((DATOS!$G$2:$G$20000=CONFIG_METADATA!$B$4)*(DATOS!$D$2:$D$20000=A151)*(COUNTIF(CONFIG_ASIGNATURAS!$B$5:$B$27,DATOS!$I$2:$I$20000)&gt;0)*(DATOS!$K$2:$K$20000=1))</f>
      </c>
      <c r="M151">
        <f>SUMPRODUCT((DATOS!$G$2:$G$20000=CONFIG_METADATA!$B$4)*(DATOS!$D$2:$D$20000=A151)*(COUNTIF(CONFIG_ASIGNATURAS!$B$5:$B$27,DATOS!$I$2:$I$20000)&gt;0)*(DATOS!$K$2:$K$20000=2))</f>
      </c>
      <c r="N151">
        <f>SUMPRODUCT((DATOS!$G$2:$G$20000=CONFIG_METADATA!$B$4)*(DATOS!$D$2:$D$20000=A151)*(COUNTIF(CONFIG_ASIGNATURAS!$B$5:$B$27,DATOS!$I$2:$I$20000)&gt;0)*(DATOS!$K$2:$K$20000=3))</f>
      </c>
      <c r="O151">
        <f>SUMPRODUCT((DATOS!$G$2:$G$20000=CONFIG_METADATA!$B$4)*(DATOS!$D$2:$D$20000=A151)*(COUNTIF(CONFIG_ASIGNATURAS!$B$5:$B$27,DATOS!$I$2:$I$20000)&gt;0)*(DATOS!$K$2:$K$20000=4))</f>
      </c>
      <c r="P151">
        <f>SUMPRODUCT((DATOS!$G$2:$G$20000=CONFIG_METADATA!$B$4)*(DATOS!$D$2:$D$20000=A151)*(COUNTIF(CONFIG_ASIGNATURAS!$B$5:$B$27,DATOS!$I$2:$I$20000)&gt;0)*(DATOS!$K$2:$K$20000=5))</f>
      </c>
      <c r="Q151">
        <f>SUMPRODUCT((DATOS!$G$2:$G$20000=CONFIG_METADATA!$B$4)*(DATOS!$D$2:$D$20000=A151)*(COUNTIF(CONFIG_ASIGNATURAS!$B$5:$B$27,DATOS!$I$2:$I$20000)&gt;0)*(DATOS!$K$2:$K$20000=6))</f>
      </c>
      <c r="R151">
        <f>SUMPRODUCT((DATOS!$G$2:$G$20000=CONFIG_METADATA!$B$4)*(DATOS!$D$2:$D$20000=A151)*(COUNTIF(CONFIG_ASIGNATURAS!$B$5:$B$27,DATOS!$I$2:$I$20000)&gt;0)*(DATOS!$K$2:$K$20000=7))</f>
      </c>
      <c r="S151">
        <f>SUMPRODUCT((DATOS!$G$2:$G$20000=CONFIG_METADATA!$B$4)*(DATOS!$D$2:$D$20000=A151)*(COUNTIF(CONFIG_ASIGNATURAS!$B$5:$B$27,DATOS!$I$2:$I$20000)&gt;0)*(DATOS!$K$2:$K$20000=8))</f>
      </c>
      <c r="T151">
        <f>SUMPRODUCT((DATOS!$G$2:$G$20000=CONFIG_METADATA!$B$4)*(DATOS!$D$2:$D$20000=A151)*(COUNTIF(CONFIG_ASIGNATURAS!$B$5:$B$27,DATOS!$I$2:$I$20000)&gt;0)*(DATOS!$K$2:$K$20000=9))</f>
      </c>
      <c r="U151">
        <f>SUMPRODUCT((DATOS!$G$2:$G$20000=CONFIG_METADATA!$B$4)*(DATOS!$D$2:$D$20000=A151)*(COUNTIF(CONFIG_ASIGNATURAS!$B$5:$B$27,DATOS!$I$2:$I$20000)&gt;0)*(DATOS!$K$2:$K$20000=10))</f>
      </c>
    </row>
    <row r="152" spans="1:22">
      <c r="A152" s="3" t="inlineStr">
        <is>
          <t xml:space="preserve">4EEM</t>
        </is>
      </c>
      <c r="B152" s="3" t="inlineStr">
        <is>
          <t xml:space="preserve">Total no Especialidad</t>
        </is>
      </c>
      <c r="C152" s="3" t="inlineStr">
        <is>
          <t xml:space="preserve">TotalNoEsp</t>
        </is>
      </c>
      <c r="D152">
        <f>SUMPRODUCT((DATOS!$G$2:$G$20000=CONFIG_METADATA!$B$4)*(DATOS!$D$2:$D$20000=A152)*(COUNTIF(CONFIG_ASIGNATURAS!$B$2:$B$4,DATOS!$I$2:$I$20000)&gt;0)*1)</f>
      </c>
      <c r="E152" s="14">
        <f>IFERROR(AVERAGE(IF((DATOS!$G$2:$G$20000=CONFIG_METADATA!$B$4)*(DATOS!$D$2:$D$20000=A152)*(COUNTIF(CONFIG_ASIGNATURAS!$B$2:$B$4,DATOS!$I$2:$I$20000)&gt;0),DATOS!$K$2:$K$20000)),"—")</f>
      </c>
      <c r="F152" s="14">
        <f>IFERROR(_xlfn.STDEV.P(IF((DATOS!$G$2:$G$20000=CONFIG_METADATA!$B$4)*(DATOS!$D$2:$D$20000=A152)*(COUNTIF(CONFIG_ASIGNATURAS!$B$2:$B$4,DATOS!$I$2:$I$20000)&gt;0),DATOS!$K$2:$K$20000)),"—")</f>
      </c>
      <c r="G152">
        <f>IFERROR(_xlfn.MODE.SNGL(IF((DATOS!$G$2:$G$20000=CONFIG_METADATA!$B$4)*(DATOS!$D$2:$D$20000=A152)*(COUNTIF(CONFIG_ASIGNATURAS!$B$2:$B$4,DATOS!$I$2:$I$20000)&gt;0),DATOS!$K$2:$K$20000)),"—")</f>
      </c>
      <c r="H152" s="15">
        <f>IFERROR(SUMPRODUCT((DATOS!$G$2:$G$20000=CONFIG_METADATA!$B$4)*(DATOS!$D$2:$D$20000=A152)*(COUNTIF(CONFIG_ASIGNATURAS!$B$2:$B$4,DATOS!$I$2:$I$20000)&gt;0)*(DATOS!$L$2:$L$20000="S"))/SUMPRODUCT((DATOS!$G$2:$G$20000=CONFIG_METADATA!$B$4)*(DATOS!$D$2:$D$20000=A152)*(COUNTIF(CONFIG_ASIGNATURAS!$B$2:$B$4,DATOS!$I$2:$I$20000)&gt;0)*1),"—")</f>
      </c>
      <c r="I152" s="15">
        <f>IFERROR(SUMPRODUCT((DATOS!$G$2:$G$20000=CONFIG_METADATA!$B$4)*(DATOS!$D$2:$D$20000=A152)*(COUNTIF(CONFIG_ASIGNATURAS!$B$2:$B$4,DATOS!$I$2:$I$20000)&gt;0)*(DATOS!$L$2:$L$20000="N"))/SUMPRODUCT((DATOS!$G$2:$G$20000=CONFIG_METADATA!$B$4)*(DATOS!$D$2:$D$20000=A152)*(COUNTIF(CONFIG_ASIGNATURAS!$B$2:$B$4,DATOS!$I$2:$I$20000)&gt;0)*1),"—")</f>
      </c>
      <c r="J152">
        <f>IFERROR(_xlfn.MODE.SNGL(IF((DATOS!$G$2:$G$20000=CONFIG_METADATA!$B$4)*(DATOS!$D$2:$D$20000=A152)*(COUNTIF(CONFIG_ASIGNATURAS!$B$2:$B$4,DATOS!$I$2:$I$20000)&gt;0)*(DATOS!$L$2:$L$20000="S"),DATOS!$K$2:$K$20000)),"—")</f>
      </c>
      <c r="K152">
        <f>IFERROR(_xlfn.MODE.SNGL(IF((DATOS!$G$2:$G$20000=CONFIG_METADATA!$B$4)*(DATOS!$D$2:$D$20000=A152)*(COUNTIF(CONFIG_ASIGNATURAS!$B$2:$B$4,DATOS!$I$2:$I$20000)&gt;0)*(DATOS!$L$2:$L$20000="N"),DATOS!$K$2:$K$20000)),"—")</f>
      </c>
      <c r="L152">
        <f>SUMPRODUCT((DATOS!$G$2:$G$20000=CONFIG_METADATA!$B$4)*(DATOS!$D$2:$D$20000=A152)*(COUNTIF(CONFIG_ASIGNATURAS!$B$2:$B$4,DATOS!$I$2:$I$20000)&gt;0)*(DATOS!$K$2:$K$20000=1))</f>
      </c>
      <c r="M152">
        <f>SUMPRODUCT((DATOS!$G$2:$G$20000=CONFIG_METADATA!$B$4)*(DATOS!$D$2:$D$20000=A152)*(COUNTIF(CONFIG_ASIGNATURAS!$B$2:$B$4,DATOS!$I$2:$I$20000)&gt;0)*(DATOS!$K$2:$K$20000=2))</f>
      </c>
      <c r="N152">
        <f>SUMPRODUCT((DATOS!$G$2:$G$20000=CONFIG_METADATA!$B$4)*(DATOS!$D$2:$D$20000=A152)*(COUNTIF(CONFIG_ASIGNATURAS!$B$2:$B$4,DATOS!$I$2:$I$20000)&gt;0)*(DATOS!$K$2:$K$20000=3))</f>
      </c>
      <c r="O152">
        <f>SUMPRODUCT((DATOS!$G$2:$G$20000=CONFIG_METADATA!$B$4)*(DATOS!$D$2:$D$20000=A152)*(COUNTIF(CONFIG_ASIGNATURAS!$B$2:$B$4,DATOS!$I$2:$I$20000)&gt;0)*(DATOS!$K$2:$K$20000=4))</f>
      </c>
      <c r="P152">
        <f>SUMPRODUCT((DATOS!$G$2:$G$20000=CONFIG_METADATA!$B$4)*(DATOS!$D$2:$D$20000=A152)*(COUNTIF(CONFIG_ASIGNATURAS!$B$2:$B$4,DATOS!$I$2:$I$20000)&gt;0)*(DATOS!$K$2:$K$20000=5))</f>
      </c>
      <c r="Q152">
        <f>SUMPRODUCT((DATOS!$G$2:$G$20000=CONFIG_METADATA!$B$4)*(DATOS!$D$2:$D$20000=A152)*(COUNTIF(CONFIG_ASIGNATURAS!$B$2:$B$4,DATOS!$I$2:$I$20000)&gt;0)*(DATOS!$K$2:$K$20000=6))</f>
      </c>
      <c r="R152">
        <f>SUMPRODUCT((DATOS!$G$2:$G$20000=CONFIG_METADATA!$B$4)*(DATOS!$D$2:$D$20000=A152)*(COUNTIF(CONFIG_ASIGNATURAS!$B$2:$B$4,DATOS!$I$2:$I$20000)&gt;0)*(DATOS!$K$2:$K$20000=7))</f>
      </c>
      <c r="S152">
        <f>SUMPRODUCT((DATOS!$G$2:$G$20000=CONFIG_METADATA!$B$4)*(DATOS!$D$2:$D$20000=A152)*(COUNTIF(CONFIG_ASIGNATURAS!$B$2:$B$4,DATOS!$I$2:$I$20000)&gt;0)*(DATOS!$K$2:$K$20000=8))</f>
      </c>
      <c r="T152">
        <f>SUMPRODUCT((DATOS!$G$2:$G$20000=CONFIG_METADATA!$B$4)*(DATOS!$D$2:$D$20000=A152)*(COUNTIF(CONFIG_ASIGNATURAS!$B$2:$B$4,DATOS!$I$2:$I$20000)&gt;0)*(DATOS!$K$2:$K$20000=9))</f>
      </c>
      <c r="U152">
        <f>SUMPRODUCT((DATOS!$G$2:$G$20000=CONFIG_METADATA!$B$4)*(DATOS!$D$2:$D$20000=A152)*(COUNTIF(CONFIG_ASIGNATURAS!$B$2:$B$4,DATOS!$I$2:$I$20000)&gt;0)*(DATOS!$K$2:$K$20000=10))</f>
      </c>
    </row>
    <row r="153" spans="1:22">
      <c r="A153" s="3" t="inlineStr">
        <is>
          <t xml:space="preserve">4EEM</t>
        </is>
      </c>
      <c r="B153" s="3">
        <f>IFERROR(INDEX(_xlfn._xlws.FILTER(CONFIG_ASIGNATURAS!$B$2:$B$27,CONFIG_ASIGNATURAS!$G$2:$G$27="Sí"),1),"")</f>
      </c>
      <c r="C153" s="3">
        <f>IF(B153="","",IFERROR(IF(VLOOKUP(B153,CONFIG_ASIGNATURAS!$B$2:$F$27,5,FALSE())="Sí","Especialidad","Asignatura"),"Asignatura"))</f>
      </c>
      <c r="D153">
        <f>COUNTIFS(DATOS!G:G,CONFIG_METADATA!$B$4,DATOS!I:I,B153)</f>
        <v>0</v>
      </c>
      <c r="E153" s="14" t="str">
        <f>IFERROR(AVERAGEIFS(DATOS!K:K,DATOS!G:G,CONFIG_METADATA!$B$4,DATOS!I:I,B153),"—")</f>
        <v>—</v>
      </c>
      <c r="F153" s="14" t="str" cm="1">
        <f t="array" ref="F153">IFERROR(_xlfn.STDEV.P(IF((DATOS!$G$2:$G$20000=CONFIG_METADATA!$B$4)*(DATOS!$I$2:$I$20000=B153),DATOS!$K$2:$K$20000)),"—")</f>
        <v>—</v>
      </c>
      <c r="G153" t="str" cm="1">
        <f t="array" ref="G153">IFERROR(_xlfn.MODE.SNGL(IF((DATOS!$G$2:$G$20000=CONFIG_METADATA!$B$4)*(DATOS!$I$2:$I$20000=B153),DATOS!$K$2:$K$20000)),"—")</f>
        <v>—</v>
      </c>
      <c r="H153" s="15" t="str">
        <f>IFERROR(COUNTIFS(DATOS!G:G,CONFIG_METADATA!$B$4,DATOS!I:I,B153,DATOS!L:L,"S")/COUNTIFS(DATOS!G:G,CONFIG_METADATA!$B$4,DATOS!I:I,B153),"—")</f>
        <v>—</v>
      </c>
      <c r="I153" s="15" t="str">
        <f>IFERROR(COUNTIFS(DATOS!G:G,CONFIG_METADATA!$B$4,DATOS!I:I,B153,DATOS!L:L,"N")/COUNTIFS(DATOS!G:G,CONFIG_METADATA!$B$4,DATOS!I:I,B153),"—")</f>
        <v>—</v>
      </c>
      <c r="J153" t="str" cm="1">
        <f t="array" ref="J153">IFERROR(_xlfn.MODE.SNGL(IF((DATOS!$G$2:$G$20000=CONFIG_METADATA!$B$4)*(DATOS!$I$2:$I$20000=B153)*(DATOS!$L$2:$L$20000="S"),DATOS!$K$2:$K$20000)),"—")</f>
        <v>—</v>
      </c>
      <c r="K153" t="str" cm="1">
        <f t="array" ref="K153">IFERROR(_xlfn.MODE.SNGL(IF((DATOS!$G$2:$G$20000=CONFIG_METADATA!$B$4)*(DATOS!$I$2:$I$20000=B153)*(DATOS!$L$2:$L$20000="N"),DATOS!$K$2:$K$20000)),"—")</f>
        <v>—</v>
      </c>
      <c r="L153">
        <f>COUNTIFS(DATOS!G:G,CONFIG_METADATA!$B$4,DATOS!I:I,B153,DATOS!K:K,1)</f>
        <v>0</v>
      </c>
      <c r="M153">
        <f>COUNTIFS(DATOS!G:G,CONFIG_METADATA!$B$4,DATOS!I:I,B153,DATOS!K:K,2)</f>
        <v>0</v>
      </c>
      <c r="N153">
        <f>COUNTIFS(DATOS!G:G,CONFIG_METADATA!$B$4,DATOS!I:I,B153,DATOS!K:K,3)</f>
        <v>0</v>
      </c>
      <c r="O153">
        <f>COUNTIFS(DATOS!G:G,CONFIG_METADATA!$B$4,DATOS!I:I,B153,DATOS!K:K,4)</f>
        <v>0</v>
      </c>
      <c r="P153">
        <f>COUNTIFS(DATOS!G:G,CONFIG_METADATA!$B$4,DATOS!I:I,B153,DATOS!K:K,5)</f>
        <v>0</v>
      </c>
      <c r="Q153">
        <f>COUNTIFS(DATOS!G:G,CONFIG_METADATA!$B$4,DATOS!I:I,B153,DATOS!K:K,6)</f>
        <v>0</v>
      </c>
      <c r="R153">
        <f>COUNTIFS(DATOS!G:G,CONFIG_METADATA!$B$4,DATOS!I:I,B153,DATOS!K:K,7)</f>
        <v>0</v>
      </c>
      <c r="S153">
        <f>COUNTIFS(DATOS!G:G,CONFIG_METADATA!$B$4,DATOS!I:I,B153,DATOS!K:K,8)</f>
        <v>0</v>
      </c>
      <c r="T153">
        <f>COUNTIFS(DATOS!G:G,CONFIG_METADATA!$B$4,DATOS!I:I,B153,DATOS!K:K,9)</f>
        <v>0</v>
      </c>
      <c r="U153">
        <f>COUNTIFS(DATOS!G:G,CONFIG_METADATA!$B$4,DATOS!I:I,B153,DATOS!K:K,10)</f>
        <v>0</v>
      </c>
    </row>
    <row r="154" spans="1:22">
      <c r="A154" s="3" t="inlineStr">
        <is>
          <t xml:space="preserve">4EEM</t>
        </is>
      </c>
      <c r="B154" s="3">
        <f>IFERROR(INDEX(_xlfn._xlws.FILTER(CONFIG_ASIGNATURAS!$B$2:$B$27,CONFIG_ASIGNATURAS!$G$2:$G$27="Sí"),2),"")</f>
      </c>
      <c r="C154" s="3">
        <f>IF(B154="","",IFERROR(IF(VLOOKUP(B154,CONFIG_ASIGNATURAS!$B$2:$F$27,5,FALSE())="Sí","Especialidad","Asignatura"),"Asignatura"))</f>
      </c>
      <c r="D154">
        <f>COUNTIFS(DATOS!G:G,CONFIG_METADATA!$B$4,DATOS!I:I,B154)</f>
        <v>0</v>
      </c>
      <c r="E154" s="14" t="str">
        <f>IFERROR(AVERAGEIFS(DATOS!K:K,DATOS!G:G,CONFIG_METADATA!$B$4,DATOS!I:I,B154),"—")</f>
        <v>—</v>
      </c>
      <c r="F154" s="14" t="str" cm="1">
        <f t="array" ref="F154">IFERROR(_xlfn.STDEV.P(IF((DATOS!$G$2:$G$20000=CONFIG_METADATA!$B$4)*(DATOS!$I$2:$I$20000=B154),DATOS!$K$2:$K$20000)),"—")</f>
        <v>—</v>
      </c>
      <c r="G154" t="str" cm="1">
        <f t="array" ref="G154">IFERROR(_xlfn.MODE.SNGL(IF((DATOS!$G$2:$G$20000=CONFIG_METADATA!$B$4)*(DATOS!$I$2:$I$20000=B154),DATOS!$K$2:$K$20000)),"—")</f>
        <v>—</v>
      </c>
      <c r="H154" s="15" t="str">
        <f>IFERROR(COUNTIFS(DATOS!G:G,CONFIG_METADATA!$B$4,DATOS!I:I,B154,DATOS!L:L,"S")/COUNTIFS(DATOS!G:G,CONFIG_METADATA!$B$4,DATOS!I:I,B154),"—")</f>
        <v>—</v>
      </c>
      <c r="I154" s="15" t="str">
        <f>IFERROR(COUNTIFS(DATOS!G:G,CONFIG_METADATA!$B$4,DATOS!I:I,B154,DATOS!L:L,"N")/COUNTIFS(DATOS!G:G,CONFIG_METADATA!$B$4,DATOS!I:I,B154),"—")</f>
        <v>—</v>
      </c>
      <c r="J154" t="str" cm="1">
        <f t="array" ref="J154">IFERROR(_xlfn.MODE.SNGL(IF((DATOS!$G$2:$G$20000=CONFIG_METADATA!$B$4)*(DATOS!$I$2:$I$20000=B154)*(DATOS!$L$2:$L$20000="S"),DATOS!$K$2:$K$20000)),"—")</f>
        <v>—</v>
      </c>
      <c r="K154" t="str" cm="1">
        <f t="array" ref="K154">IFERROR(_xlfn.MODE.SNGL(IF((DATOS!$G$2:$G$20000=CONFIG_METADATA!$B$4)*(DATOS!$I$2:$I$20000=B154)*(DATOS!$L$2:$L$20000="N"),DATOS!$K$2:$K$20000)),"—")</f>
        <v>—</v>
      </c>
      <c r="L154">
        <f>COUNTIFS(DATOS!G:G,CONFIG_METADATA!$B$4,DATOS!I:I,B154,DATOS!K:K,1)</f>
        <v>0</v>
      </c>
      <c r="M154">
        <f>COUNTIFS(DATOS!G:G,CONFIG_METADATA!$B$4,DATOS!I:I,B154,DATOS!K:K,2)</f>
        <v>0</v>
      </c>
      <c r="N154">
        <f>COUNTIFS(DATOS!G:G,CONFIG_METADATA!$B$4,DATOS!I:I,B154,DATOS!K:K,3)</f>
        <v>0</v>
      </c>
      <c r="O154">
        <f>COUNTIFS(DATOS!G:G,CONFIG_METADATA!$B$4,DATOS!I:I,B154,DATOS!K:K,4)</f>
        <v>0</v>
      </c>
      <c r="P154">
        <f>COUNTIFS(DATOS!G:G,CONFIG_METADATA!$B$4,DATOS!I:I,B154,DATOS!K:K,5)</f>
        <v>0</v>
      </c>
      <c r="Q154">
        <f>COUNTIFS(DATOS!G:G,CONFIG_METADATA!$B$4,DATOS!I:I,B154,DATOS!K:K,6)</f>
        <v>0</v>
      </c>
      <c r="R154">
        <f>COUNTIFS(DATOS!G:G,CONFIG_METADATA!$B$4,DATOS!I:I,B154,DATOS!K:K,7)</f>
        <v>0</v>
      </c>
      <c r="S154">
        <f>COUNTIFS(DATOS!G:G,CONFIG_METADATA!$B$4,DATOS!I:I,B154,DATOS!K:K,8)</f>
        <v>0</v>
      </c>
      <c r="T154">
        <f>COUNTIFS(DATOS!G:G,CONFIG_METADATA!$B$4,DATOS!I:I,B154,DATOS!K:K,9)</f>
        <v>0</v>
      </c>
      <c r="U154">
        <f>COUNTIFS(DATOS!G:G,CONFIG_METADATA!$B$4,DATOS!I:I,B154,DATOS!K:K,10)</f>
        <v>0</v>
      </c>
    </row>
    <row r="155" spans="1:22">
      <c r="A155" s="3" t="inlineStr">
        <is>
          <t xml:space="preserve">4EEM</t>
        </is>
      </c>
      <c r="B155" s="3">
        <f>IFERROR(INDEX(_xlfn._xlws.FILTER(CONFIG_ASIGNATURAS!$B$2:$B$27,CONFIG_ASIGNATURAS!$G$2:$G$27="Sí"),3),"")</f>
      </c>
      <c r="C155" s="3">
        <f>IF(B155="","",IFERROR(IF(VLOOKUP(B155,CONFIG_ASIGNATURAS!$B$2:$F$27,5,FALSE())="Sí","Especialidad","Asignatura"),"Asignatura"))</f>
      </c>
      <c r="D155">
        <f>COUNTIFS(DATOS!G:G,CONFIG_METADATA!$B$4,DATOS!I:I,B155)</f>
        <v>0</v>
      </c>
      <c r="E155" s="14" t="str">
        <f>IFERROR(AVERAGEIFS(DATOS!K:K,DATOS!G:G,CONFIG_METADATA!$B$4,DATOS!I:I,B155),"—")</f>
        <v>—</v>
      </c>
      <c r="F155" s="14" t="str" cm="1">
        <f t="array" ref="F155">IFERROR(_xlfn.STDEV.P(IF((DATOS!$G$2:$G$20000=CONFIG_METADATA!$B$4)*(DATOS!$I$2:$I$20000=B155),DATOS!$K$2:$K$20000)),"—")</f>
        <v>—</v>
      </c>
      <c r="G155" t="str" cm="1">
        <f t="array" ref="G155">IFERROR(_xlfn.MODE.SNGL(IF((DATOS!$G$2:$G$20000=CONFIG_METADATA!$B$4)*(DATOS!$I$2:$I$20000=B155),DATOS!$K$2:$K$20000)),"—")</f>
        <v>—</v>
      </c>
      <c r="H155" s="15" t="str">
        <f>IFERROR(COUNTIFS(DATOS!G:G,CONFIG_METADATA!$B$4,DATOS!I:I,B155,DATOS!L:L,"S")/COUNTIFS(DATOS!G:G,CONFIG_METADATA!$B$4,DATOS!I:I,B155),"—")</f>
        <v>—</v>
      </c>
      <c r="I155" s="15" t="str">
        <f>IFERROR(COUNTIFS(DATOS!G:G,CONFIG_METADATA!$B$4,DATOS!I:I,B155,DATOS!L:L,"N")/COUNTIFS(DATOS!G:G,CONFIG_METADATA!$B$4,DATOS!I:I,B155),"—")</f>
        <v>—</v>
      </c>
      <c r="J155" t="str" cm="1">
        <f t="array" ref="J155">IFERROR(_xlfn.MODE.SNGL(IF((DATOS!$G$2:$G$20000=CONFIG_METADATA!$B$4)*(DATOS!$I$2:$I$20000=B155)*(DATOS!$L$2:$L$20000="S"),DATOS!$K$2:$K$20000)),"—")</f>
        <v>—</v>
      </c>
      <c r="K155" t="str" cm="1">
        <f t="array" ref="K155">IFERROR(_xlfn.MODE.SNGL(IF((DATOS!$G$2:$G$20000=CONFIG_METADATA!$B$4)*(DATOS!$I$2:$I$20000=B155)*(DATOS!$L$2:$L$20000="N"),DATOS!$K$2:$K$20000)),"—")</f>
        <v>—</v>
      </c>
      <c r="L155">
        <f>COUNTIFS(DATOS!G:G,CONFIG_METADATA!$B$4,DATOS!I:I,B155,DATOS!K:K,1)</f>
        <v>0</v>
      </c>
      <c r="M155">
        <f>COUNTIFS(DATOS!G:G,CONFIG_METADATA!$B$4,DATOS!I:I,B155,DATOS!K:K,2)</f>
        <v>0</v>
      </c>
      <c r="N155">
        <f>COUNTIFS(DATOS!G:G,CONFIG_METADATA!$B$4,DATOS!I:I,B155,DATOS!K:K,3)</f>
        <v>0</v>
      </c>
      <c r="O155">
        <f>COUNTIFS(DATOS!G:G,CONFIG_METADATA!$B$4,DATOS!I:I,B155,DATOS!K:K,4)</f>
        <v>0</v>
      </c>
      <c r="P155">
        <f>COUNTIFS(DATOS!G:G,CONFIG_METADATA!$B$4,DATOS!I:I,B155,DATOS!K:K,5)</f>
        <v>0</v>
      </c>
      <c r="Q155">
        <f>COUNTIFS(DATOS!G:G,CONFIG_METADATA!$B$4,DATOS!I:I,B155,DATOS!K:K,6)</f>
        <v>0</v>
      </c>
      <c r="R155">
        <f>COUNTIFS(DATOS!G:G,CONFIG_METADATA!$B$4,DATOS!I:I,B155,DATOS!K:K,7)</f>
        <v>0</v>
      </c>
      <c r="S155">
        <f>COUNTIFS(DATOS!G:G,CONFIG_METADATA!$B$4,DATOS!I:I,B155,DATOS!K:K,8)</f>
        <v>0</v>
      </c>
      <c r="T155">
        <f>COUNTIFS(DATOS!G:G,CONFIG_METADATA!$B$4,DATOS!I:I,B155,DATOS!K:K,9)</f>
        <v>0</v>
      </c>
      <c r="U155">
        <f>COUNTIFS(DATOS!G:G,CONFIG_METADATA!$B$4,DATOS!I:I,B155,DATOS!K:K,10)</f>
        <v>0</v>
      </c>
    </row>
    <row r="156" spans="1:22">
      <c r="A156" s="3" t="inlineStr">
        <is>
          <t xml:space="preserve">4EEM</t>
        </is>
      </c>
      <c r="B156" s="3">
        <f>IFERROR(INDEX(_xlfn._xlws.FILTER(CONFIG_ASIGNATURAS!$B$2:$B$27,CONFIG_ASIGNATURAS!$G$2:$G$27="Sí"),4),"")</f>
      </c>
      <c r="C156" s="3">
        <f>IF(B156="","",IFERROR(IF(VLOOKUP(B156,CONFIG_ASIGNATURAS!$B$2:$F$27,5,FALSE())="Sí","Especialidad","Asignatura"),"Asignatura"))</f>
      </c>
      <c r="D156">
        <f>COUNTIFS(DATOS!G:G,CONFIG_METADATA!$B$4,DATOS!I:I,B156)</f>
        <v>0</v>
      </c>
      <c r="E156" s="14" t="str">
        <f>IFERROR(AVERAGEIFS(DATOS!K:K,DATOS!G:G,CONFIG_METADATA!$B$4,DATOS!I:I,B156),"—")</f>
        <v>—</v>
      </c>
      <c r="F156" s="14" t="str" cm="1">
        <f t="array" ref="F156">IFERROR(_xlfn.STDEV.P(IF((DATOS!$G$2:$G$20000=CONFIG_METADATA!$B$4)*(DATOS!$I$2:$I$20000=B156),DATOS!$K$2:$K$20000)),"—")</f>
        <v>—</v>
      </c>
      <c r="G156" t="str" cm="1">
        <f t="array" ref="G156">IFERROR(_xlfn.MODE.SNGL(IF((DATOS!$G$2:$G$20000=CONFIG_METADATA!$B$4)*(DATOS!$I$2:$I$20000=B156),DATOS!$K$2:$K$20000)),"—")</f>
        <v>—</v>
      </c>
      <c r="H156" s="15" t="str">
        <f>IFERROR(COUNTIFS(DATOS!G:G,CONFIG_METADATA!$B$4,DATOS!I:I,B156,DATOS!L:L,"S")/COUNTIFS(DATOS!G:G,CONFIG_METADATA!$B$4,DATOS!I:I,B156),"—")</f>
        <v>—</v>
      </c>
      <c r="I156" s="15" t="str">
        <f>IFERROR(COUNTIFS(DATOS!G:G,CONFIG_METADATA!$B$4,DATOS!I:I,B156,DATOS!L:L,"N")/COUNTIFS(DATOS!G:G,CONFIG_METADATA!$B$4,DATOS!I:I,B156),"—")</f>
        <v>—</v>
      </c>
      <c r="J156" t="str" cm="1">
        <f t="array" ref="J156">IFERROR(_xlfn.MODE.SNGL(IF((DATOS!$G$2:$G$20000=CONFIG_METADATA!$B$4)*(DATOS!$I$2:$I$20000=B156)*(DATOS!$L$2:$L$20000="S"),DATOS!$K$2:$K$20000)),"—")</f>
        <v>—</v>
      </c>
      <c r="K156" t="str" cm="1">
        <f t="array" ref="K156">IFERROR(_xlfn.MODE.SNGL(IF((DATOS!$G$2:$G$20000=CONFIG_METADATA!$B$4)*(DATOS!$I$2:$I$20000=B156)*(DATOS!$L$2:$L$20000="N"),DATOS!$K$2:$K$20000)),"—")</f>
        <v>—</v>
      </c>
      <c r="L156">
        <f>COUNTIFS(DATOS!G:G,CONFIG_METADATA!$B$4,DATOS!I:I,B156,DATOS!K:K,1)</f>
        <v>0</v>
      </c>
      <c r="M156">
        <f>COUNTIFS(DATOS!G:G,CONFIG_METADATA!$B$4,DATOS!I:I,B156,DATOS!K:K,2)</f>
        <v>0</v>
      </c>
      <c r="N156">
        <f>COUNTIFS(DATOS!G:G,CONFIG_METADATA!$B$4,DATOS!I:I,B156,DATOS!K:K,3)</f>
        <v>0</v>
      </c>
      <c r="O156">
        <f>COUNTIFS(DATOS!G:G,CONFIG_METADATA!$B$4,DATOS!I:I,B156,DATOS!K:K,4)</f>
        <v>0</v>
      </c>
      <c r="P156">
        <f>COUNTIFS(DATOS!G:G,CONFIG_METADATA!$B$4,DATOS!I:I,B156,DATOS!K:K,5)</f>
        <v>0</v>
      </c>
      <c r="Q156">
        <f>COUNTIFS(DATOS!G:G,CONFIG_METADATA!$B$4,DATOS!I:I,B156,DATOS!K:K,6)</f>
        <v>0</v>
      </c>
      <c r="R156">
        <f>COUNTIFS(DATOS!G:G,CONFIG_METADATA!$B$4,DATOS!I:I,B156,DATOS!K:K,7)</f>
        <v>0</v>
      </c>
      <c r="S156">
        <f>COUNTIFS(DATOS!G:G,CONFIG_METADATA!$B$4,DATOS!I:I,B156,DATOS!K:K,8)</f>
        <v>0</v>
      </c>
      <c r="T156">
        <f>COUNTIFS(DATOS!G:G,CONFIG_METADATA!$B$4,DATOS!I:I,B156,DATOS!K:K,9)</f>
        <v>0</v>
      </c>
      <c r="U156">
        <f>COUNTIFS(DATOS!G:G,CONFIG_METADATA!$B$4,DATOS!I:I,B156,DATOS!K:K,10)</f>
        <v>0</v>
      </c>
    </row>
    <row r="157" spans="1:22">
      <c r="A157" s="3" t="inlineStr">
        <is>
          <t xml:space="preserve">4EEM</t>
        </is>
      </c>
      <c r="B157" s="3">
        <f>IFERROR(INDEX(_xlfn._xlws.FILTER(CONFIG_ASIGNATURAS!$B$2:$B$27,CONFIG_ASIGNATURAS!$G$2:$G$27="Sí"),5),"")</f>
      </c>
      <c r="C157" s="3">
        <f>IF(B157="","",IFERROR(IF(VLOOKUP(B157,CONFIG_ASIGNATURAS!$B$2:$F$27,5,FALSE())="Sí","Especialidad","Asignatura"),"Asignatura"))</f>
      </c>
      <c r="D157">
        <f>COUNTIFS(DATOS!G:G,CONFIG_METADATA!$B$4,DATOS!I:I,B157)</f>
        <v>0</v>
      </c>
      <c r="E157" s="14" t="str">
        <f>IFERROR(AVERAGEIFS(DATOS!K:K,DATOS!G:G,CONFIG_METADATA!$B$4,DATOS!I:I,B157),"—")</f>
        <v>—</v>
      </c>
      <c r="F157" s="14" t="str" cm="1">
        <f t="array" ref="F157">IFERROR(_xlfn.STDEV.P(IF((DATOS!$G$2:$G$20000=CONFIG_METADATA!$B$4)*(DATOS!$I$2:$I$20000=B157),DATOS!$K$2:$K$20000)),"—")</f>
        <v>—</v>
      </c>
      <c r="G157" t="str" cm="1">
        <f t="array" ref="G157">IFERROR(_xlfn.MODE.SNGL(IF((DATOS!$G$2:$G$20000=CONFIG_METADATA!$B$4)*(DATOS!$I$2:$I$20000=B157),DATOS!$K$2:$K$20000)),"—")</f>
        <v>—</v>
      </c>
      <c r="H157" s="15" t="str">
        <f>IFERROR(COUNTIFS(DATOS!G:G,CONFIG_METADATA!$B$4,DATOS!I:I,B157,DATOS!L:L,"S")/COUNTIFS(DATOS!G:G,CONFIG_METADATA!$B$4,DATOS!I:I,B157),"—")</f>
        <v>—</v>
      </c>
      <c r="I157" s="15" t="str">
        <f>IFERROR(COUNTIFS(DATOS!G:G,CONFIG_METADATA!$B$4,DATOS!I:I,B157,DATOS!L:L,"N")/COUNTIFS(DATOS!G:G,CONFIG_METADATA!$B$4,DATOS!I:I,B157),"—")</f>
        <v>—</v>
      </c>
      <c r="J157" t="str" cm="1">
        <f t="array" ref="J157">IFERROR(_xlfn.MODE.SNGL(IF((DATOS!$G$2:$G$20000=CONFIG_METADATA!$B$4)*(DATOS!$I$2:$I$20000=B157)*(DATOS!$L$2:$L$20000="S"),DATOS!$K$2:$K$20000)),"—")</f>
        <v>—</v>
      </c>
      <c r="K157" t="str" cm="1">
        <f t="array" ref="K157">IFERROR(_xlfn.MODE.SNGL(IF((DATOS!$G$2:$G$20000=CONFIG_METADATA!$B$4)*(DATOS!$I$2:$I$20000=B157)*(DATOS!$L$2:$L$20000="N"),DATOS!$K$2:$K$20000)),"—")</f>
        <v>—</v>
      </c>
      <c r="L157">
        <f>COUNTIFS(DATOS!G:G,CONFIG_METADATA!$B$4,DATOS!I:I,B157,DATOS!K:K,1)</f>
        <v>0</v>
      </c>
      <c r="M157">
        <f>COUNTIFS(DATOS!G:G,CONFIG_METADATA!$B$4,DATOS!I:I,B157,DATOS!K:K,2)</f>
        <v>0</v>
      </c>
      <c r="N157">
        <f>COUNTIFS(DATOS!G:G,CONFIG_METADATA!$B$4,DATOS!I:I,B157,DATOS!K:K,3)</f>
        <v>0</v>
      </c>
      <c r="O157">
        <f>COUNTIFS(DATOS!G:G,CONFIG_METADATA!$B$4,DATOS!I:I,B157,DATOS!K:K,4)</f>
        <v>0</v>
      </c>
      <c r="P157">
        <f>COUNTIFS(DATOS!G:G,CONFIG_METADATA!$B$4,DATOS!I:I,B157,DATOS!K:K,5)</f>
        <v>0</v>
      </c>
      <c r="Q157">
        <f>COUNTIFS(DATOS!G:G,CONFIG_METADATA!$B$4,DATOS!I:I,B157,DATOS!K:K,6)</f>
        <v>0</v>
      </c>
      <c r="R157">
        <f>COUNTIFS(DATOS!G:G,CONFIG_METADATA!$B$4,DATOS!I:I,B157,DATOS!K:K,7)</f>
        <v>0</v>
      </c>
      <c r="S157">
        <f>COUNTIFS(DATOS!G:G,CONFIG_METADATA!$B$4,DATOS!I:I,B157,DATOS!K:K,8)</f>
        <v>0</v>
      </c>
      <c r="T157">
        <f>COUNTIFS(DATOS!G:G,CONFIG_METADATA!$B$4,DATOS!I:I,B157,DATOS!K:K,9)</f>
        <v>0</v>
      </c>
      <c r="U157">
        <f>COUNTIFS(DATOS!G:G,CONFIG_METADATA!$B$4,DATOS!I:I,B157,DATOS!K:K,10)</f>
        <v>0</v>
      </c>
    </row>
    <row r="158" spans="1:22">
      <c r="A158" s="3" t="inlineStr">
        <is>
          <t xml:space="preserve">4EEM</t>
        </is>
      </c>
      <c r="B158" s="3">
        <f>IFERROR(INDEX(_xlfn._xlws.FILTER(CONFIG_ASIGNATURAS!$B$2:$B$27,CONFIG_ASIGNATURAS!$G$2:$G$27="Sí"),6),"")</f>
      </c>
      <c r="C158" s="3">
        <f>IF(B158="","",IFERROR(IF(VLOOKUP(B158,CONFIG_ASIGNATURAS!$B$2:$F$27,5,FALSE())="Sí","Especialidad","Asignatura"),"Asignatura"))</f>
      </c>
      <c r="D158">
        <f>COUNTIFS(DATOS!G:G,CONFIG_METADATA!$B$4,DATOS!I:I,B158)</f>
        <v>0</v>
      </c>
      <c r="E158" s="14" t="str">
        <f>IFERROR(AVERAGEIFS(DATOS!K:K,DATOS!G:G,CONFIG_METADATA!$B$4,DATOS!I:I,B158),"—")</f>
        <v>—</v>
      </c>
      <c r="F158" s="14" t="str" cm="1">
        <f t="array" ref="F158">IFERROR(_xlfn.STDEV.P(IF((DATOS!$G$2:$G$20000=CONFIG_METADATA!$B$4)*(DATOS!$I$2:$I$20000=B158),DATOS!$K$2:$K$20000)),"—")</f>
        <v>—</v>
      </c>
      <c r="G158" t="str" cm="1">
        <f t="array" ref="G158">IFERROR(_xlfn.MODE.SNGL(IF((DATOS!$G$2:$G$20000=CONFIG_METADATA!$B$4)*(DATOS!$I$2:$I$20000=B158),DATOS!$K$2:$K$20000)),"—")</f>
        <v>—</v>
      </c>
      <c r="H158" s="15" t="str">
        <f>IFERROR(COUNTIFS(DATOS!G:G,CONFIG_METADATA!$B$4,DATOS!I:I,B158,DATOS!L:L,"S")/COUNTIFS(DATOS!G:G,CONFIG_METADATA!$B$4,DATOS!I:I,B158),"—")</f>
        <v>—</v>
      </c>
      <c r="I158" s="15" t="str">
        <f>IFERROR(COUNTIFS(DATOS!G:G,CONFIG_METADATA!$B$4,DATOS!I:I,B158,DATOS!L:L,"N")/COUNTIFS(DATOS!G:G,CONFIG_METADATA!$B$4,DATOS!I:I,B158),"—")</f>
        <v>—</v>
      </c>
      <c r="J158" t="str" cm="1">
        <f t="array" ref="J158">IFERROR(_xlfn.MODE.SNGL(IF((DATOS!$G$2:$G$20000=CONFIG_METADATA!$B$4)*(DATOS!$I$2:$I$20000=B158)*(DATOS!$L$2:$L$20000="S"),DATOS!$K$2:$K$20000)),"—")</f>
        <v>—</v>
      </c>
      <c r="K158" t="str" cm="1">
        <f t="array" ref="K158">IFERROR(_xlfn.MODE.SNGL(IF((DATOS!$G$2:$G$20000=CONFIG_METADATA!$B$4)*(DATOS!$I$2:$I$20000=B158)*(DATOS!$L$2:$L$20000="N"),DATOS!$K$2:$K$20000)),"—")</f>
        <v>—</v>
      </c>
      <c r="L158">
        <f>COUNTIFS(DATOS!G:G,CONFIG_METADATA!$B$4,DATOS!I:I,B158,DATOS!K:K,1)</f>
        <v>0</v>
      </c>
      <c r="M158">
        <f>COUNTIFS(DATOS!G:G,CONFIG_METADATA!$B$4,DATOS!I:I,B158,DATOS!K:K,2)</f>
        <v>0</v>
      </c>
      <c r="N158">
        <f>COUNTIFS(DATOS!G:G,CONFIG_METADATA!$B$4,DATOS!I:I,B158,DATOS!K:K,3)</f>
        <v>0</v>
      </c>
      <c r="O158">
        <f>COUNTIFS(DATOS!G:G,CONFIG_METADATA!$B$4,DATOS!I:I,B158,DATOS!K:K,4)</f>
        <v>0</v>
      </c>
      <c r="P158">
        <f>COUNTIFS(DATOS!G:G,CONFIG_METADATA!$B$4,DATOS!I:I,B158,DATOS!K:K,5)</f>
        <v>0</v>
      </c>
      <c r="Q158">
        <f>COUNTIFS(DATOS!G:G,CONFIG_METADATA!$B$4,DATOS!I:I,B158,DATOS!K:K,6)</f>
        <v>0</v>
      </c>
      <c r="R158">
        <f>COUNTIFS(DATOS!G:G,CONFIG_METADATA!$B$4,DATOS!I:I,B158,DATOS!K:K,7)</f>
        <v>0</v>
      </c>
      <c r="S158">
        <f>COUNTIFS(DATOS!G:G,CONFIG_METADATA!$B$4,DATOS!I:I,B158,DATOS!K:K,8)</f>
        <v>0</v>
      </c>
      <c r="T158">
        <f>COUNTIFS(DATOS!G:G,CONFIG_METADATA!$B$4,DATOS!I:I,B158,DATOS!K:K,9)</f>
        <v>0</v>
      </c>
      <c r="U158">
        <f>COUNTIFS(DATOS!G:G,CONFIG_METADATA!$B$4,DATOS!I:I,B158,DATOS!K:K,10)</f>
        <v>0</v>
      </c>
    </row>
    <row r="159" spans="1:22">
      <c r="A159" s="3" t="inlineStr">
        <is>
          <t xml:space="preserve">4EEM</t>
        </is>
      </c>
      <c r="B159" s="3">
        <f>IFERROR(INDEX(_xlfn._xlws.FILTER(CONFIG_ASIGNATURAS!$B$2:$B$27,CONFIG_ASIGNATURAS!$G$2:$G$27="Sí"),7),"")</f>
      </c>
      <c r="C159" s="3">
        <f>IF(B159="","",IFERROR(IF(VLOOKUP(B159,CONFIG_ASIGNATURAS!$B$2:$F$27,5,FALSE())="Sí","Especialidad","Asignatura"),"Asignatura"))</f>
      </c>
      <c r="D159">
        <f>COUNTIFS(DATOS!G:G,CONFIG_METADATA!$B$4,DATOS!I:I,B159)</f>
        <v>0</v>
      </c>
      <c r="E159" s="14" t="str">
        <f>IFERROR(AVERAGEIFS(DATOS!K:K,DATOS!G:G,CONFIG_METADATA!$B$4,DATOS!I:I,B159),"—")</f>
        <v>—</v>
      </c>
      <c r="F159" s="14" t="str" cm="1">
        <f t="array" ref="F159">IFERROR(_xlfn.STDEV.P(IF((DATOS!$G$2:$G$20000=CONFIG_METADATA!$B$4)*(DATOS!$I$2:$I$20000=B159),DATOS!$K$2:$K$20000)),"—")</f>
        <v>—</v>
      </c>
      <c r="G159" t="str" cm="1">
        <f t="array" ref="G159">IFERROR(_xlfn.MODE.SNGL(IF((DATOS!$G$2:$G$20000=CONFIG_METADATA!$B$4)*(DATOS!$I$2:$I$20000=B159),DATOS!$K$2:$K$20000)),"—")</f>
        <v>—</v>
      </c>
      <c r="H159" s="15" t="str">
        <f>IFERROR(COUNTIFS(DATOS!G:G,CONFIG_METADATA!$B$4,DATOS!I:I,B159,DATOS!L:L,"S")/COUNTIFS(DATOS!G:G,CONFIG_METADATA!$B$4,DATOS!I:I,B159),"—")</f>
        <v>—</v>
      </c>
      <c r="I159" s="15" t="str">
        <f>IFERROR(COUNTIFS(DATOS!G:G,CONFIG_METADATA!$B$4,DATOS!I:I,B159,DATOS!L:L,"N")/COUNTIFS(DATOS!G:G,CONFIG_METADATA!$B$4,DATOS!I:I,B159),"—")</f>
        <v>—</v>
      </c>
      <c r="J159" t="str" cm="1">
        <f t="array" ref="J159">IFERROR(_xlfn.MODE.SNGL(IF((DATOS!$G$2:$G$20000=CONFIG_METADATA!$B$4)*(DATOS!$I$2:$I$20000=B159)*(DATOS!$L$2:$L$20000="S"),DATOS!$K$2:$K$20000)),"—")</f>
        <v>—</v>
      </c>
      <c r="K159" t="str" cm="1">
        <f t="array" ref="K159">IFERROR(_xlfn.MODE.SNGL(IF((DATOS!$G$2:$G$20000=CONFIG_METADATA!$B$4)*(DATOS!$I$2:$I$20000=B159)*(DATOS!$L$2:$L$20000="N"),DATOS!$K$2:$K$20000)),"—")</f>
        <v>—</v>
      </c>
      <c r="L159">
        <f>COUNTIFS(DATOS!G:G,CONFIG_METADATA!$B$4,DATOS!I:I,B159,DATOS!K:K,1)</f>
        <v>0</v>
      </c>
      <c r="M159">
        <f>COUNTIFS(DATOS!G:G,CONFIG_METADATA!$B$4,DATOS!I:I,B159,DATOS!K:K,2)</f>
        <v>0</v>
      </c>
      <c r="N159">
        <f>COUNTIFS(DATOS!G:G,CONFIG_METADATA!$B$4,DATOS!I:I,B159,DATOS!K:K,3)</f>
        <v>0</v>
      </c>
      <c r="O159">
        <f>COUNTIFS(DATOS!G:G,CONFIG_METADATA!$B$4,DATOS!I:I,B159,DATOS!K:K,4)</f>
        <v>0</v>
      </c>
      <c r="P159">
        <f>COUNTIFS(DATOS!G:G,CONFIG_METADATA!$B$4,DATOS!I:I,B159,DATOS!K:K,5)</f>
        <v>0</v>
      </c>
      <c r="Q159">
        <f>COUNTIFS(DATOS!G:G,CONFIG_METADATA!$B$4,DATOS!I:I,B159,DATOS!K:K,6)</f>
        <v>0</v>
      </c>
      <c r="R159">
        <f>COUNTIFS(DATOS!G:G,CONFIG_METADATA!$B$4,DATOS!I:I,B159,DATOS!K:K,7)</f>
        <v>0</v>
      </c>
      <c r="S159">
        <f>COUNTIFS(DATOS!G:G,CONFIG_METADATA!$B$4,DATOS!I:I,B159,DATOS!K:K,8)</f>
        <v>0</v>
      </c>
      <c r="T159">
        <f>COUNTIFS(DATOS!G:G,CONFIG_METADATA!$B$4,DATOS!I:I,B159,DATOS!K:K,9)</f>
        <v>0</v>
      </c>
      <c r="U159">
        <f>COUNTIFS(DATOS!G:G,CONFIG_METADATA!$B$4,DATOS!I:I,B159,DATOS!K:K,10)</f>
        <v>0</v>
      </c>
    </row>
    <row r="160" spans="1:22">
      <c r="A160" s="3" t="inlineStr">
        <is>
          <t xml:space="preserve">4EEM</t>
        </is>
      </c>
      <c r="B160" s="3">
        <f>IFERROR(INDEX(_xlfn._xlws.FILTER(CONFIG_ASIGNATURAS!$B$2:$B$27,CONFIG_ASIGNATURAS!$G$2:$G$27="Sí"),8),"")</f>
      </c>
      <c r="C160" s="3">
        <f>IF(B160="","",IFERROR(IF(VLOOKUP(B160,CONFIG_ASIGNATURAS!$B$2:$F$27,5,FALSE())="Sí","Especialidad","Asignatura"),"Asignatura"))</f>
      </c>
      <c r="D160">
        <f>COUNTIFS(DATOS!G:G,CONFIG_METADATA!$B$4,DATOS!I:I,B160)</f>
        <v>0</v>
      </c>
      <c r="E160" s="14" t="str">
        <f>IFERROR(AVERAGEIFS(DATOS!K:K,DATOS!G:G,CONFIG_METADATA!$B$4,DATOS!I:I,B160),"—")</f>
        <v>—</v>
      </c>
      <c r="F160" s="14" t="str" cm="1">
        <f t="array" ref="F160">IFERROR(_xlfn.STDEV.P(IF((DATOS!$G$2:$G$20000=CONFIG_METADATA!$B$4)*(DATOS!$I$2:$I$20000=B160),DATOS!$K$2:$K$20000)),"—")</f>
        <v>—</v>
      </c>
      <c r="G160" t="str" cm="1">
        <f t="array" ref="G160">IFERROR(_xlfn.MODE.SNGL(IF((DATOS!$G$2:$G$20000=CONFIG_METADATA!$B$4)*(DATOS!$I$2:$I$20000=B160),DATOS!$K$2:$K$20000)),"—")</f>
        <v>—</v>
      </c>
      <c r="H160" s="15" t="str">
        <f>IFERROR(COUNTIFS(DATOS!G:G,CONFIG_METADATA!$B$4,DATOS!I:I,B160,DATOS!L:L,"S")/COUNTIFS(DATOS!G:G,CONFIG_METADATA!$B$4,DATOS!I:I,B160),"—")</f>
        <v>—</v>
      </c>
      <c r="I160" s="15" t="str">
        <f>IFERROR(COUNTIFS(DATOS!G:G,CONFIG_METADATA!$B$4,DATOS!I:I,B160,DATOS!L:L,"N")/COUNTIFS(DATOS!G:G,CONFIG_METADATA!$B$4,DATOS!I:I,B160),"—")</f>
        <v>—</v>
      </c>
      <c r="J160" t="str" cm="1">
        <f t="array" ref="J160">IFERROR(_xlfn.MODE.SNGL(IF((DATOS!$G$2:$G$20000=CONFIG_METADATA!$B$4)*(DATOS!$I$2:$I$20000=B160)*(DATOS!$L$2:$L$20000="S"),DATOS!$K$2:$K$20000)),"—")</f>
        <v>—</v>
      </c>
      <c r="K160" t="str" cm="1">
        <f t="array" ref="K160">IFERROR(_xlfn.MODE.SNGL(IF((DATOS!$G$2:$G$20000=CONFIG_METADATA!$B$4)*(DATOS!$I$2:$I$20000=B160)*(DATOS!$L$2:$L$20000="N"),DATOS!$K$2:$K$20000)),"—")</f>
        <v>—</v>
      </c>
      <c r="L160">
        <f>COUNTIFS(DATOS!G:G,CONFIG_METADATA!$B$4,DATOS!I:I,B160,DATOS!K:K,1)</f>
        <v>0</v>
      </c>
      <c r="M160">
        <f>COUNTIFS(DATOS!G:G,CONFIG_METADATA!$B$4,DATOS!I:I,B160,DATOS!K:K,2)</f>
        <v>0</v>
      </c>
      <c r="N160">
        <f>COUNTIFS(DATOS!G:G,CONFIG_METADATA!$B$4,DATOS!I:I,B160,DATOS!K:K,3)</f>
        <v>0</v>
      </c>
      <c r="O160">
        <f>COUNTIFS(DATOS!G:G,CONFIG_METADATA!$B$4,DATOS!I:I,B160,DATOS!K:K,4)</f>
        <v>0</v>
      </c>
      <c r="P160">
        <f>COUNTIFS(DATOS!G:G,CONFIG_METADATA!$B$4,DATOS!I:I,B160,DATOS!K:K,5)</f>
        <v>0</v>
      </c>
      <c r="Q160">
        <f>COUNTIFS(DATOS!G:G,CONFIG_METADATA!$B$4,DATOS!I:I,B160,DATOS!K:K,6)</f>
        <v>0</v>
      </c>
      <c r="R160">
        <f>COUNTIFS(DATOS!G:G,CONFIG_METADATA!$B$4,DATOS!I:I,B160,DATOS!K:K,7)</f>
        <v>0</v>
      </c>
      <c r="S160">
        <f>COUNTIFS(DATOS!G:G,CONFIG_METADATA!$B$4,DATOS!I:I,B160,DATOS!K:K,8)</f>
        <v>0</v>
      </c>
      <c r="T160">
        <f>COUNTIFS(DATOS!G:G,CONFIG_METADATA!$B$4,DATOS!I:I,B160,DATOS!K:K,9)</f>
        <v>0</v>
      </c>
      <c r="U160">
        <f>COUNTIFS(DATOS!G:G,CONFIG_METADATA!$B$4,DATOS!I:I,B160,DATOS!K:K,10)</f>
        <v>0</v>
      </c>
    </row>
    <row r="161" spans="1:22">
      <c r="A161" s="3" t="inlineStr">
        <is>
          <t xml:space="preserve">4EEM</t>
        </is>
      </c>
      <c r="B161" s="3">
        <f>IFERROR(INDEX(_xlfn._xlws.FILTER(CONFIG_ASIGNATURAS!$B$2:$B$27,CONFIG_ASIGNATURAS!$G$2:$G$27="Sí"),9),"")</f>
      </c>
      <c r="C161" s="3">
        <f>IF(B161="","",IFERROR(IF(VLOOKUP(B161,CONFIG_ASIGNATURAS!$B$2:$F$27,5,FALSE())="Sí","Especialidad","Asignatura"),"Asignatura"))</f>
      </c>
      <c r="D161">
        <f>COUNTIFS(DATOS!G:G,CONFIG_METADATA!$B$4,DATOS!I:I,B161)</f>
        <v>0</v>
      </c>
      <c r="E161" s="14" t="str">
        <f>IFERROR(AVERAGEIFS(DATOS!K:K,DATOS!G:G,CONFIG_METADATA!$B$4,DATOS!I:I,B161),"—")</f>
        <v>—</v>
      </c>
      <c r="F161" s="14" t="str" cm="1">
        <f t="array" ref="F161">IFERROR(_xlfn.STDEV.P(IF((DATOS!$G$2:$G$20000=CONFIG_METADATA!$B$4)*(DATOS!$I$2:$I$20000=B161),DATOS!$K$2:$K$20000)),"—")</f>
        <v>—</v>
      </c>
      <c r="G161" t="str" cm="1">
        <f t="array" ref="G161">IFERROR(_xlfn.MODE.SNGL(IF((DATOS!$G$2:$G$20000=CONFIG_METADATA!$B$4)*(DATOS!$I$2:$I$20000=B161),DATOS!$K$2:$K$20000)),"—")</f>
        <v>—</v>
      </c>
      <c r="H161" s="15" t="str">
        <f>IFERROR(COUNTIFS(DATOS!G:G,CONFIG_METADATA!$B$4,DATOS!I:I,B161,DATOS!L:L,"S")/COUNTIFS(DATOS!G:G,CONFIG_METADATA!$B$4,DATOS!I:I,B161),"—")</f>
        <v>—</v>
      </c>
      <c r="I161" s="15" t="str">
        <f>IFERROR(COUNTIFS(DATOS!G:G,CONFIG_METADATA!$B$4,DATOS!I:I,B161,DATOS!L:L,"N")/COUNTIFS(DATOS!G:G,CONFIG_METADATA!$B$4,DATOS!I:I,B161),"—")</f>
        <v>—</v>
      </c>
      <c r="J161" t="str" cm="1">
        <f t="array" ref="J161">IFERROR(_xlfn.MODE.SNGL(IF((DATOS!$G$2:$G$20000=CONFIG_METADATA!$B$4)*(DATOS!$I$2:$I$20000=B161)*(DATOS!$L$2:$L$20000="S"),DATOS!$K$2:$K$20000)),"—")</f>
        <v>—</v>
      </c>
      <c r="K161" t="str" cm="1">
        <f t="array" ref="K161">IFERROR(_xlfn.MODE.SNGL(IF((DATOS!$G$2:$G$20000=CONFIG_METADATA!$B$4)*(DATOS!$I$2:$I$20000=B161)*(DATOS!$L$2:$L$20000="N"),DATOS!$K$2:$K$20000)),"—")</f>
        <v>—</v>
      </c>
      <c r="L161">
        <f>COUNTIFS(DATOS!G:G,CONFIG_METADATA!$B$4,DATOS!I:I,B161,DATOS!K:K,1)</f>
        <v>0</v>
      </c>
      <c r="M161">
        <f>COUNTIFS(DATOS!G:G,CONFIG_METADATA!$B$4,DATOS!I:I,B161,DATOS!K:K,2)</f>
        <v>0</v>
      </c>
      <c r="N161">
        <f>COUNTIFS(DATOS!G:G,CONFIG_METADATA!$B$4,DATOS!I:I,B161,DATOS!K:K,3)</f>
        <v>0</v>
      </c>
      <c r="O161">
        <f>COUNTIFS(DATOS!G:G,CONFIG_METADATA!$B$4,DATOS!I:I,B161,DATOS!K:K,4)</f>
        <v>0</v>
      </c>
      <c r="P161">
        <f>COUNTIFS(DATOS!G:G,CONFIG_METADATA!$B$4,DATOS!I:I,B161,DATOS!K:K,5)</f>
        <v>0</v>
      </c>
      <c r="Q161">
        <f>COUNTIFS(DATOS!G:G,CONFIG_METADATA!$B$4,DATOS!I:I,B161,DATOS!K:K,6)</f>
        <v>0</v>
      </c>
      <c r="R161">
        <f>COUNTIFS(DATOS!G:G,CONFIG_METADATA!$B$4,DATOS!I:I,B161,DATOS!K:K,7)</f>
        <v>0</v>
      </c>
      <c r="S161">
        <f>COUNTIFS(DATOS!G:G,CONFIG_METADATA!$B$4,DATOS!I:I,B161,DATOS!K:K,8)</f>
        <v>0</v>
      </c>
      <c r="T161">
        <f>COUNTIFS(DATOS!G:G,CONFIG_METADATA!$B$4,DATOS!I:I,B161,DATOS!K:K,9)</f>
        <v>0</v>
      </c>
      <c r="U161">
        <f>COUNTIFS(DATOS!G:G,CONFIG_METADATA!$B$4,DATOS!I:I,B161,DATOS!K:K,10)</f>
        <v>0</v>
      </c>
    </row>
    <row r="162" spans="1:22">
      <c r="A162" s="3" t="inlineStr">
        <is>
          <t xml:space="preserve">4EEM</t>
        </is>
      </c>
      <c r="B162" s="3">
        <f>IFERROR(INDEX(_xlfn._xlws.FILTER(CONFIG_ASIGNATURAS!$B$2:$B$27,CONFIG_ASIGNATURAS!$G$2:$G$27="Sí"),10),"")</f>
      </c>
      <c r="C162" s="3">
        <f>IF(B162="","",IFERROR(IF(VLOOKUP(B162,CONFIG_ASIGNATURAS!$B$2:$F$27,5,FALSE())="Sí","Especialidad","Asignatura"),"Asignatura"))</f>
      </c>
      <c r="D162">
        <f>COUNTIFS(DATOS!G:G,CONFIG_METADATA!$B$4,DATOS!I:I,B162)</f>
        <v>0</v>
      </c>
      <c r="E162" s="14" t="str">
        <f>IFERROR(AVERAGEIFS(DATOS!K:K,DATOS!G:G,CONFIG_METADATA!$B$4,DATOS!I:I,B162),"—")</f>
        <v>—</v>
      </c>
      <c r="F162" s="14" t="str" cm="1">
        <f t="array" ref="F162">IFERROR(_xlfn.STDEV.P(IF((DATOS!$G$2:$G$20000=CONFIG_METADATA!$B$4)*(DATOS!$I$2:$I$20000=B162),DATOS!$K$2:$K$20000)),"—")</f>
        <v>—</v>
      </c>
      <c r="G162" t="str" cm="1">
        <f t="array" ref="G162">IFERROR(_xlfn.MODE.SNGL(IF((DATOS!$G$2:$G$20000=CONFIG_METADATA!$B$4)*(DATOS!$I$2:$I$20000=B162),DATOS!$K$2:$K$20000)),"—")</f>
        <v>—</v>
      </c>
      <c r="H162" s="15" t="str">
        <f>IFERROR(COUNTIFS(DATOS!G:G,CONFIG_METADATA!$B$4,DATOS!I:I,B162,DATOS!L:L,"S")/COUNTIFS(DATOS!G:G,CONFIG_METADATA!$B$4,DATOS!I:I,B162),"—")</f>
        <v>—</v>
      </c>
      <c r="I162" s="15" t="str">
        <f>IFERROR(COUNTIFS(DATOS!G:G,CONFIG_METADATA!$B$4,DATOS!I:I,B162,DATOS!L:L,"N")/COUNTIFS(DATOS!G:G,CONFIG_METADATA!$B$4,DATOS!I:I,B162),"—")</f>
        <v>—</v>
      </c>
      <c r="J162" t="str" cm="1">
        <f t="array" ref="J162">IFERROR(_xlfn.MODE.SNGL(IF((DATOS!$G$2:$G$20000=CONFIG_METADATA!$B$4)*(DATOS!$I$2:$I$20000=B162)*(DATOS!$L$2:$L$20000="S"),DATOS!$K$2:$K$20000)),"—")</f>
        <v>—</v>
      </c>
      <c r="K162" t="str" cm="1">
        <f t="array" ref="K162">IFERROR(_xlfn.MODE.SNGL(IF((DATOS!$G$2:$G$20000=CONFIG_METADATA!$B$4)*(DATOS!$I$2:$I$20000=B162)*(DATOS!$L$2:$L$20000="N"),DATOS!$K$2:$K$20000)),"—")</f>
        <v>—</v>
      </c>
      <c r="L162">
        <f>COUNTIFS(DATOS!G:G,CONFIG_METADATA!$B$4,DATOS!I:I,B162,DATOS!K:K,1)</f>
        <v>0</v>
      </c>
      <c r="M162">
        <f>COUNTIFS(DATOS!G:G,CONFIG_METADATA!$B$4,DATOS!I:I,B162,DATOS!K:K,2)</f>
        <v>0</v>
      </c>
      <c r="N162">
        <f>COUNTIFS(DATOS!G:G,CONFIG_METADATA!$B$4,DATOS!I:I,B162,DATOS!K:K,3)</f>
        <v>0</v>
      </c>
      <c r="O162">
        <f>COUNTIFS(DATOS!G:G,CONFIG_METADATA!$B$4,DATOS!I:I,B162,DATOS!K:K,4)</f>
        <v>0</v>
      </c>
      <c r="P162">
        <f>COUNTIFS(DATOS!G:G,CONFIG_METADATA!$B$4,DATOS!I:I,B162,DATOS!K:K,5)</f>
        <v>0</v>
      </c>
      <c r="Q162">
        <f>COUNTIFS(DATOS!G:G,CONFIG_METADATA!$B$4,DATOS!I:I,B162,DATOS!K:K,6)</f>
        <v>0</v>
      </c>
      <c r="R162">
        <f>COUNTIFS(DATOS!G:G,CONFIG_METADATA!$B$4,DATOS!I:I,B162,DATOS!K:K,7)</f>
        <v>0</v>
      </c>
      <c r="S162">
        <f>COUNTIFS(DATOS!G:G,CONFIG_METADATA!$B$4,DATOS!I:I,B162,DATOS!K:K,8)</f>
        <v>0</v>
      </c>
      <c r="T162">
        <f>COUNTIFS(DATOS!G:G,CONFIG_METADATA!$B$4,DATOS!I:I,B162,DATOS!K:K,9)</f>
        <v>0</v>
      </c>
      <c r="U162">
        <f>COUNTIFS(DATOS!G:G,CONFIG_METADATA!$B$4,DATOS!I:I,B162,DATOS!K:K,10)</f>
        <v>0</v>
      </c>
    </row>
    <row r="163" spans="1:22">
      <c r="A163" s="3" t="inlineStr">
        <is>
          <t xml:space="preserve">4EEM</t>
        </is>
      </c>
      <c r="B163" s="3">
        <f>IFERROR(INDEX(_xlfn._xlws.FILTER(CONFIG_ASIGNATURAS!$B$2:$B$27,CONFIG_ASIGNATURAS!$G$2:$G$27="Sí"),11),"")</f>
      </c>
      <c r="C163" s="3">
        <f>IF(B163="","",IFERROR(IF(VLOOKUP(B163,CONFIG_ASIGNATURAS!$B$2:$F$27,5,FALSE())="Sí","Especialidad","Asignatura"),"Asignatura"))</f>
      </c>
      <c r="D163">
        <f>COUNTIFS(DATOS!G:G,CONFIG_METADATA!$B$4,DATOS!I:I,B163)</f>
        <v>0</v>
      </c>
      <c r="E163" s="14" t="str">
        <f>IFERROR(AVERAGEIFS(DATOS!K:K,DATOS!G:G,CONFIG_METADATA!$B$4,DATOS!I:I,B163),"—")</f>
        <v>—</v>
      </c>
      <c r="F163" s="14" t="str" cm="1">
        <f t="array" ref="F163">IFERROR(_xlfn.STDEV.P(IF((DATOS!$G$2:$G$20000=CONFIG_METADATA!$B$4)*(DATOS!$I$2:$I$20000=B163),DATOS!$K$2:$K$20000)),"—")</f>
        <v>—</v>
      </c>
      <c r="G163" t="str" cm="1">
        <f t="array" ref="G163">IFERROR(_xlfn.MODE.SNGL(IF((DATOS!$G$2:$G$20000=CONFIG_METADATA!$B$4)*(DATOS!$I$2:$I$20000=B163),DATOS!$K$2:$K$20000)),"—")</f>
        <v>—</v>
      </c>
      <c r="H163" s="15" t="str">
        <f>IFERROR(COUNTIFS(DATOS!G:G,CONFIG_METADATA!$B$4,DATOS!I:I,B163,DATOS!L:L,"S")/COUNTIFS(DATOS!G:G,CONFIG_METADATA!$B$4,DATOS!I:I,B163),"—")</f>
        <v>—</v>
      </c>
      <c r="I163" s="15" t="str">
        <f>IFERROR(COUNTIFS(DATOS!G:G,CONFIG_METADATA!$B$4,DATOS!I:I,B163,DATOS!L:L,"N")/COUNTIFS(DATOS!G:G,CONFIG_METADATA!$B$4,DATOS!I:I,B163),"—")</f>
        <v>—</v>
      </c>
      <c r="J163" t="str" cm="1">
        <f t="array" ref="J163">IFERROR(_xlfn.MODE.SNGL(IF((DATOS!$G$2:$G$20000=CONFIG_METADATA!$B$4)*(DATOS!$I$2:$I$20000=B163)*(DATOS!$L$2:$L$20000="S"),DATOS!$K$2:$K$20000)),"—")</f>
        <v>—</v>
      </c>
      <c r="K163" t="str" cm="1">
        <f t="array" ref="K163">IFERROR(_xlfn.MODE.SNGL(IF((DATOS!$G$2:$G$20000=CONFIG_METADATA!$B$4)*(DATOS!$I$2:$I$20000=B163)*(DATOS!$L$2:$L$20000="N"),DATOS!$K$2:$K$20000)),"—")</f>
        <v>—</v>
      </c>
      <c r="L163">
        <f>COUNTIFS(DATOS!G:G,CONFIG_METADATA!$B$4,DATOS!I:I,B163,DATOS!K:K,1)</f>
        <v>0</v>
      </c>
      <c r="M163">
        <f>COUNTIFS(DATOS!G:G,CONFIG_METADATA!$B$4,DATOS!I:I,B163,DATOS!K:K,2)</f>
        <v>0</v>
      </c>
      <c r="N163">
        <f>COUNTIFS(DATOS!G:G,CONFIG_METADATA!$B$4,DATOS!I:I,B163,DATOS!K:K,3)</f>
        <v>0</v>
      </c>
      <c r="O163">
        <f>COUNTIFS(DATOS!G:G,CONFIG_METADATA!$B$4,DATOS!I:I,B163,DATOS!K:K,4)</f>
        <v>0</v>
      </c>
      <c r="P163">
        <f>COUNTIFS(DATOS!G:G,CONFIG_METADATA!$B$4,DATOS!I:I,B163,DATOS!K:K,5)</f>
        <v>0</v>
      </c>
      <c r="Q163">
        <f>COUNTIFS(DATOS!G:G,CONFIG_METADATA!$B$4,DATOS!I:I,B163,DATOS!K:K,6)</f>
        <v>0</v>
      </c>
      <c r="R163">
        <f>COUNTIFS(DATOS!G:G,CONFIG_METADATA!$B$4,DATOS!I:I,B163,DATOS!K:K,7)</f>
        <v>0</v>
      </c>
      <c r="S163">
        <f>COUNTIFS(DATOS!G:G,CONFIG_METADATA!$B$4,DATOS!I:I,B163,DATOS!K:K,8)</f>
        <v>0</v>
      </c>
      <c r="T163">
        <f>COUNTIFS(DATOS!G:G,CONFIG_METADATA!$B$4,DATOS!I:I,B163,DATOS!K:K,9)</f>
        <v>0</v>
      </c>
      <c r="U163">
        <f>COUNTIFS(DATOS!G:G,CONFIG_METADATA!$B$4,DATOS!I:I,B163,DATOS!K:K,10)</f>
        <v>0</v>
      </c>
    </row>
    <row r="164" spans="1:22">
      <c r="A164" s="3" t="inlineStr">
        <is>
          <t xml:space="preserve">4EEM</t>
        </is>
      </c>
      <c r="B164" s="3">
        <f>IFERROR(INDEX(_xlfn._xlws.FILTER(CONFIG_ASIGNATURAS!$B$2:$B$27,CONFIG_ASIGNATURAS!$G$2:$G$27="Sí"),12),"")</f>
      </c>
      <c r="C164" s="3">
        <f>IF(B164="","",IFERROR(IF(VLOOKUP(B164,CONFIG_ASIGNATURAS!$B$2:$F$27,5,FALSE())="Sí","Especialidad","Asignatura"),"Asignatura"))</f>
      </c>
      <c r="D164">
        <f>COUNTIFS(DATOS!G:G,CONFIG_METADATA!$B$4,DATOS!I:I,B164)</f>
        <v>0</v>
      </c>
      <c r="E164" s="14" t="str">
        <f>IFERROR(AVERAGEIFS(DATOS!K:K,DATOS!G:G,CONFIG_METADATA!$B$4,DATOS!I:I,B164),"—")</f>
        <v>—</v>
      </c>
      <c r="F164" s="14" t="str" cm="1">
        <f t="array" ref="F164">IFERROR(_xlfn.STDEV.P(IF((DATOS!$G$2:$G$20000=CONFIG_METADATA!$B$4)*(DATOS!$I$2:$I$20000=B164),DATOS!$K$2:$K$20000)),"—")</f>
        <v>—</v>
      </c>
      <c r="G164" t="str" cm="1">
        <f t="array" ref="G164">IFERROR(_xlfn.MODE.SNGL(IF((DATOS!$G$2:$G$20000=CONFIG_METADATA!$B$4)*(DATOS!$I$2:$I$20000=B164),DATOS!$K$2:$K$20000)),"—")</f>
        <v>—</v>
      </c>
      <c r="H164" s="15" t="str">
        <f>IFERROR(COUNTIFS(DATOS!G:G,CONFIG_METADATA!$B$4,DATOS!I:I,B164,DATOS!L:L,"S")/COUNTIFS(DATOS!G:G,CONFIG_METADATA!$B$4,DATOS!I:I,B164),"—")</f>
        <v>—</v>
      </c>
      <c r="I164" s="15" t="str">
        <f>IFERROR(COUNTIFS(DATOS!G:G,CONFIG_METADATA!$B$4,DATOS!I:I,B164,DATOS!L:L,"N")/COUNTIFS(DATOS!G:G,CONFIG_METADATA!$B$4,DATOS!I:I,B164),"—")</f>
        <v>—</v>
      </c>
      <c r="J164" t="str" cm="1">
        <f t="array" ref="J164">IFERROR(_xlfn.MODE.SNGL(IF((DATOS!$G$2:$G$20000=CONFIG_METADATA!$B$4)*(DATOS!$I$2:$I$20000=B164)*(DATOS!$L$2:$L$20000="S"),DATOS!$K$2:$K$20000)),"—")</f>
        <v>—</v>
      </c>
      <c r="K164" t="str" cm="1">
        <f t="array" ref="K164">IFERROR(_xlfn.MODE.SNGL(IF((DATOS!$G$2:$G$20000=CONFIG_METADATA!$B$4)*(DATOS!$I$2:$I$20000=B164)*(DATOS!$L$2:$L$20000="N"),DATOS!$K$2:$K$20000)),"—")</f>
        <v>—</v>
      </c>
      <c r="L164">
        <f>COUNTIFS(DATOS!G:G,CONFIG_METADATA!$B$4,DATOS!I:I,B164,DATOS!K:K,1)</f>
        <v>0</v>
      </c>
      <c r="M164">
        <f>COUNTIFS(DATOS!G:G,CONFIG_METADATA!$B$4,DATOS!I:I,B164,DATOS!K:K,2)</f>
        <v>0</v>
      </c>
      <c r="N164">
        <f>COUNTIFS(DATOS!G:G,CONFIG_METADATA!$B$4,DATOS!I:I,B164,DATOS!K:K,3)</f>
        <v>0</v>
      </c>
      <c r="O164">
        <f>COUNTIFS(DATOS!G:G,CONFIG_METADATA!$B$4,DATOS!I:I,B164,DATOS!K:K,4)</f>
        <v>0</v>
      </c>
      <c r="P164">
        <f>COUNTIFS(DATOS!G:G,CONFIG_METADATA!$B$4,DATOS!I:I,B164,DATOS!K:K,5)</f>
        <v>0</v>
      </c>
      <c r="Q164">
        <f>COUNTIFS(DATOS!G:G,CONFIG_METADATA!$B$4,DATOS!I:I,B164,DATOS!K:K,6)</f>
        <v>0</v>
      </c>
      <c r="R164">
        <f>COUNTIFS(DATOS!G:G,CONFIG_METADATA!$B$4,DATOS!I:I,B164,DATOS!K:K,7)</f>
        <v>0</v>
      </c>
      <c r="S164">
        <f>COUNTIFS(DATOS!G:G,CONFIG_METADATA!$B$4,DATOS!I:I,B164,DATOS!K:K,8)</f>
        <v>0</v>
      </c>
      <c r="T164">
        <f>COUNTIFS(DATOS!G:G,CONFIG_METADATA!$B$4,DATOS!I:I,B164,DATOS!K:K,9)</f>
        <v>0</v>
      </c>
      <c r="U164">
        <f>COUNTIFS(DATOS!G:G,CONFIG_METADATA!$B$4,DATOS!I:I,B164,DATOS!K:K,10)</f>
        <v>0</v>
      </c>
    </row>
    <row r="165" spans="1:22">
      <c r="A165" s="3" t="inlineStr">
        <is>
          <t xml:space="preserve">4EEM</t>
        </is>
      </c>
      <c r="B165" s="3">
        <f>IFERROR(INDEX(_xlfn._xlws.FILTER(CONFIG_ASIGNATURAS!$B$2:$B$27,CONFIG_ASIGNATURAS!$G$2:$G$27="Sí"),13),"")</f>
      </c>
      <c r="C165" s="3">
        <f>IF(B165="","",IFERROR(IF(VLOOKUP(B165,CONFIG_ASIGNATURAS!$B$2:$F$27,5,FALSE())="Sí","Especialidad","Asignatura"),"Asignatura"))</f>
      </c>
      <c r="D165">
        <f>COUNTIFS(DATOS!G:G,CONFIG_METADATA!$B$4,DATOS!I:I,B165)</f>
        <v>0</v>
      </c>
      <c r="E165" s="14" t="str">
        <f>IFERROR(AVERAGEIFS(DATOS!K:K,DATOS!G:G,CONFIG_METADATA!$B$4,DATOS!I:I,B165),"—")</f>
        <v>—</v>
      </c>
      <c r="F165" s="14" t="str" cm="1">
        <f t="array" ref="F165">IFERROR(_xlfn.STDEV.P(IF((DATOS!$G$2:$G$20000=CONFIG_METADATA!$B$4)*(DATOS!$I$2:$I$20000=B165),DATOS!$K$2:$K$20000)),"—")</f>
        <v>—</v>
      </c>
      <c r="G165" t="str" cm="1">
        <f t="array" ref="G165">IFERROR(_xlfn.MODE.SNGL(IF((DATOS!$G$2:$G$20000=CONFIG_METADATA!$B$4)*(DATOS!$I$2:$I$20000=B165),DATOS!$K$2:$K$20000)),"—")</f>
        <v>—</v>
      </c>
      <c r="H165" s="15" t="str">
        <f>IFERROR(COUNTIFS(DATOS!G:G,CONFIG_METADATA!$B$4,DATOS!I:I,B165,DATOS!L:L,"S")/COUNTIFS(DATOS!G:G,CONFIG_METADATA!$B$4,DATOS!I:I,B165),"—")</f>
        <v>—</v>
      </c>
      <c r="I165" s="15" t="str">
        <f>IFERROR(COUNTIFS(DATOS!G:G,CONFIG_METADATA!$B$4,DATOS!I:I,B165,DATOS!L:L,"N")/COUNTIFS(DATOS!G:G,CONFIG_METADATA!$B$4,DATOS!I:I,B165),"—")</f>
        <v>—</v>
      </c>
      <c r="J165" t="str" cm="1">
        <f t="array" ref="J165">IFERROR(_xlfn.MODE.SNGL(IF((DATOS!$G$2:$G$20000=CONFIG_METADATA!$B$4)*(DATOS!$I$2:$I$20000=B165)*(DATOS!$L$2:$L$20000="S"),DATOS!$K$2:$K$20000)),"—")</f>
        <v>—</v>
      </c>
      <c r="K165" t="str" cm="1">
        <f t="array" ref="K165">IFERROR(_xlfn.MODE.SNGL(IF((DATOS!$G$2:$G$20000=CONFIG_METADATA!$B$4)*(DATOS!$I$2:$I$20000=B165)*(DATOS!$L$2:$L$20000="N"),DATOS!$K$2:$K$20000)),"—")</f>
        <v>—</v>
      </c>
      <c r="L165">
        <f>COUNTIFS(DATOS!G:G,CONFIG_METADATA!$B$4,DATOS!I:I,B165,DATOS!K:K,1)</f>
        <v>0</v>
      </c>
      <c r="M165">
        <f>COUNTIFS(DATOS!G:G,CONFIG_METADATA!$B$4,DATOS!I:I,B165,DATOS!K:K,2)</f>
        <v>0</v>
      </c>
      <c r="N165">
        <f>COUNTIFS(DATOS!G:G,CONFIG_METADATA!$B$4,DATOS!I:I,B165,DATOS!K:K,3)</f>
        <v>0</v>
      </c>
      <c r="O165">
        <f>COUNTIFS(DATOS!G:G,CONFIG_METADATA!$B$4,DATOS!I:I,B165,DATOS!K:K,4)</f>
        <v>0</v>
      </c>
      <c r="P165">
        <f>COUNTIFS(DATOS!G:G,CONFIG_METADATA!$B$4,DATOS!I:I,B165,DATOS!K:K,5)</f>
        <v>0</v>
      </c>
      <c r="Q165">
        <f>COUNTIFS(DATOS!G:G,CONFIG_METADATA!$B$4,DATOS!I:I,B165,DATOS!K:K,6)</f>
        <v>0</v>
      </c>
      <c r="R165">
        <f>COUNTIFS(DATOS!G:G,CONFIG_METADATA!$B$4,DATOS!I:I,B165,DATOS!K:K,7)</f>
        <v>0</v>
      </c>
      <c r="S165">
        <f>COUNTIFS(DATOS!G:G,CONFIG_METADATA!$B$4,DATOS!I:I,B165,DATOS!K:K,8)</f>
        <v>0</v>
      </c>
      <c r="T165">
        <f>COUNTIFS(DATOS!G:G,CONFIG_METADATA!$B$4,DATOS!I:I,B165,DATOS!K:K,9)</f>
        <v>0</v>
      </c>
      <c r="U165">
        <f>COUNTIFS(DATOS!G:G,CONFIG_METADATA!$B$4,DATOS!I:I,B165,DATOS!K:K,10)</f>
        <v>0</v>
      </c>
    </row>
    <row r="166" spans="1:22">
      <c r="A166" s="3" t="inlineStr">
        <is>
          <t xml:space="preserve">4EEM</t>
        </is>
      </c>
      <c r="B166" s="3">
        <f>IFERROR(INDEX(_xlfn._xlws.FILTER(CONFIG_ASIGNATURAS!$B$2:$B$27,CONFIG_ASIGNATURAS!$G$2:$G$27="Sí"),14),"")</f>
      </c>
      <c r="C166" s="3">
        <f>IF(B166="","",IFERROR(IF(VLOOKUP(B166,CONFIG_ASIGNATURAS!$B$2:$F$27,5,FALSE())="Sí","Especialidad","Asignatura"),"Asignatura"))</f>
      </c>
      <c r="D166">
        <f>COUNTIFS(DATOS!G:G,CONFIG_METADATA!$B$4,DATOS!I:I,B166)</f>
        <v>0</v>
      </c>
      <c r="E166" s="14" t="str">
        <f>IFERROR(AVERAGEIFS(DATOS!K:K,DATOS!G:G,CONFIG_METADATA!$B$4,DATOS!I:I,B166),"—")</f>
        <v>—</v>
      </c>
      <c r="F166" s="14" t="str" cm="1">
        <f t="array" ref="F166">IFERROR(_xlfn.STDEV.P(IF((DATOS!$G$2:$G$20000=CONFIG_METADATA!$B$4)*(DATOS!$I$2:$I$20000=B166),DATOS!$K$2:$K$20000)),"—")</f>
        <v>—</v>
      </c>
      <c r="G166" t="str" cm="1">
        <f t="array" ref="G166">IFERROR(_xlfn.MODE.SNGL(IF((DATOS!$G$2:$G$20000=CONFIG_METADATA!$B$4)*(DATOS!$I$2:$I$20000=B166),DATOS!$K$2:$K$20000)),"—")</f>
        <v>—</v>
      </c>
      <c r="H166" s="15" t="str">
        <f>IFERROR(COUNTIFS(DATOS!G:G,CONFIG_METADATA!$B$4,DATOS!I:I,B166,DATOS!L:L,"S")/COUNTIFS(DATOS!G:G,CONFIG_METADATA!$B$4,DATOS!I:I,B166),"—")</f>
        <v>—</v>
      </c>
      <c r="I166" s="15" t="str">
        <f>IFERROR(COUNTIFS(DATOS!G:G,CONFIG_METADATA!$B$4,DATOS!I:I,B166,DATOS!L:L,"N")/COUNTIFS(DATOS!G:G,CONFIG_METADATA!$B$4,DATOS!I:I,B166),"—")</f>
        <v>—</v>
      </c>
      <c r="J166" t="str" cm="1">
        <f t="array" ref="J166">IFERROR(_xlfn.MODE.SNGL(IF((DATOS!$G$2:$G$20000=CONFIG_METADATA!$B$4)*(DATOS!$I$2:$I$20000=B166)*(DATOS!$L$2:$L$20000="S"),DATOS!$K$2:$K$20000)),"—")</f>
        <v>—</v>
      </c>
      <c r="K166" t="str" cm="1">
        <f t="array" ref="K166">IFERROR(_xlfn.MODE.SNGL(IF((DATOS!$G$2:$G$20000=CONFIG_METADATA!$B$4)*(DATOS!$I$2:$I$20000=B166)*(DATOS!$L$2:$L$20000="N"),DATOS!$K$2:$K$20000)),"—")</f>
        <v>—</v>
      </c>
      <c r="L166">
        <f>COUNTIFS(DATOS!G:G,CONFIG_METADATA!$B$4,DATOS!I:I,B166,DATOS!K:K,1)</f>
        <v>0</v>
      </c>
      <c r="M166">
        <f>COUNTIFS(DATOS!G:G,CONFIG_METADATA!$B$4,DATOS!I:I,B166,DATOS!K:K,2)</f>
        <v>0</v>
      </c>
      <c r="N166">
        <f>COUNTIFS(DATOS!G:G,CONFIG_METADATA!$B$4,DATOS!I:I,B166,DATOS!K:K,3)</f>
        <v>0</v>
      </c>
      <c r="O166">
        <f>COUNTIFS(DATOS!G:G,CONFIG_METADATA!$B$4,DATOS!I:I,B166,DATOS!K:K,4)</f>
        <v>0</v>
      </c>
      <c r="P166">
        <f>COUNTIFS(DATOS!G:G,CONFIG_METADATA!$B$4,DATOS!I:I,B166,DATOS!K:K,5)</f>
        <v>0</v>
      </c>
      <c r="Q166">
        <f>COUNTIFS(DATOS!G:G,CONFIG_METADATA!$B$4,DATOS!I:I,B166,DATOS!K:K,6)</f>
        <v>0</v>
      </c>
      <c r="R166">
        <f>COUNTIFS(DATOS!G:G,CONFIG_METADATA!$B$4,DATOS!I:I,B166,DATOS!K:K,7)</f>
        <v>0</v>
      </c>
      <c r="S166">
        <f>COUNTIFS(DATOS!G:G,CONFIG_METADATA!$B$4,DATOS!I:I,B166,DATOS!K:K,8)</f>
        <v>0</v>
      </c>
      <c r="T166">
        <f>COUNTIFS(DATOS!G:G,CONFIG_METADATA!$B$4,DATOS!I:I,B166,DATOS!K:K,9)</f>
        <v>0</v>
      </c>
      <c r="U166">
        <f>COUNTIFS(DATOS!G:G,CONFIG_METADATA!$B$4,DATOS!I:I,B166,DATOS!K:K,10)</f>
        <v>0</v>
      </c>
    </row>
    <row r="167" spans="1:22">
      <c r="A167" s="3" t="inlineStr">
        <is>
          <t xml:space="preserve">4EEM</t>
        </is>
      </c>
      <c r="B167" s="3">
        <f>IFERROR(INDEX(_xlfn._xlws.FILTER(CONFIG_ASIGNATURAS!$B$2:$B$27,CONFIG_ASIGNATURAS!$G$2:$G$27="Sí"),15),"")</f>
      </c>
      <c r="C167" s="3">
        <f>IF(B167="","",IFERROR(IF(VLOOKUP(B167,CONFIG_ASIGNATURAS!$B$2:$F$27,5,FALSE())="Sí","Especialidad","Asignatura"),"Asignatura"))</f>
      </c>
      <c r="D167">
        <f>COUNTIFS(DATOS!G:G,CONFIG_METADATA!$B$4,DATOS!I:I,B167)</f>
        <v>0</v>
      </c>
      <c r="E167" s="14" t="str">
        <f>IFERROR(AVERAGEIFS(DATOS!K:K,DATOS!G:G,CONFIG_METADATA!$B$4,DATOS!I:I,B167),"—")</f>
        <v>—</v>
      </c>
      <c r="F167" s="14" t="str" cm="1">
        <f t="array" ref="F167">IFERROR(_xlfn.STDEV.P(IF((DATOS!$G$2:$G$20000=CONFIG_METADATA!$B$4)*(DATOS!$I$2:$I$20000=B167),DATOS!$K$2:$K$20000)),"—")</f>
        <v>—</v>
      </c>
      <c r="G167" t="str" cm="1">
        <f t="array" ref="G167">IFERROR(_xlfn.MODE.SNGL(IF((DATOS!$G$2:$G$20000=CONFIG_METADATA!$B$4)*(DATOS!$I$2:$I$20000=B167),DATOS!$K$2:$K$20000)),"—")</f>
        <v>—</v>
      </c>
      <c r="H167" s="15" t="str">
        <f>IFERROR(COUNTIFS(DATOS!G:G,CONFIG_METADATA!$B$4,DATOS!I:I,B167,DATOS!L:L,"S")/COUNTIFS(DATOS!G:G,CONFIG_METADATA!$B$4,DATOS!I:I,B167),"—")</f>
        <v>—</v>
      </c>
      <c r="I167" s="15" t="str">
        <f>IFERROR(COUNTIFS(DATOS!G:G,CONFIG_METADATA!$B$4,DATOS!I:I,B167,DATOS!L:L,"N")/COUNTIFS(DATOS!G:G,CONFIG_METADATA!$B$4,DATOS!I:I,B167),"—")</f>
        <v>—</v>
      </c>
      <c r="J167" t="str" cm="1">
        <f t="array" ref="J167">IFERROR(_xlfn.MODE.SNGL(IF((DATOS!$G$2:$G$20000=CONFIG_METADATA!$B$4)*(DATOS!$I$2:$I$20000=B167)*(DATOS!$L$2:$L$20000="S"),DATOS!$K$2:$K$20000)),"—")</f>
        <v>—</v>
      </c>
      <c r="K167" t="str" cm="1">
        <f t="array" ref="K167">IFERROR(_xlfn.MODE.SNGL(IF((DATOS!$G$2:$G$20000=CONFIG_METADATA!$B$4)*(DATOS!$I$2:$I$20000=B167)*(DATOS!$L$2:$L$20000="N"),DATOS!$K$2:$K$20000)),"—")</f>
        <v>—</v>
      </c>
      <c r="L167">
        <f>COUNTIFS(DATOS!G:G,CONFIG_METADATA!$B$4,DATOS!I:I,B167,DATOS!K:K,1)</f>
        <v>0</v>
      </c>
      <c r="M167">
        <f>COUNTIFS(DATOS!G:G,CONFIG_METADATA!$B$4,DATOS!I:I,B167,DATOS!K:K,2)</f>
        <v>0</v>
      </c>
      <c r="N167">
        <f>COUNTIFS(DATOS!G:G,CONFIG_METADATA!$B$4,DATOS!I:I,B167,DATOS!K:K,3)</f>
        <v>0</v>
      </c>
      <c r="O167">
        <f>COUNTIFS(DATOS!G:G,CONFIG_METADATA!$B$4,DATOS!I:I,B167,DATOS!K:K,4)</f>
        <v>0</v>
      </c>
      <c r="P167">
        <f>COUNTIFS(DATOS!G:G,CONFIG_METADATA!$B$4,DATOS!I:I,B167,DATOS!K:K,5)</f>
        <v>0</v>
      </c>
      <c r="Q167">
        <f>COUNTIFS(DATOS!G:G,CONFIG_METADATA!$B$4,DATOS!I:I,B167,DATOS!K:K,6)</f>
        <v>0</v>
      </c>
      <c r="R167">
        <f>COUNTIFS(DATOS!G:G,CONFIG_METADATA!$B$4,DATOS!I:I,B167,DATOS!K:K,7)</f>
        <v>0</v>
      </c>
      <c r="S167">
        <f>COUNTIFS(DATOS!G:G,CONFIG_METADATA!$B$4,DATOS!I:I,B167,DATOS!K:K,8)</f>
        <v>0</v>
      </c>
      <c r="T167">
        <f>COUNTIFS(DATOS!G:G,CONFIG_METADATA!$B$4,DATOS!I:I,B167,DATOS!K:K,9)</f>
        <v>0</v>
      </c>
      <c r="U167">
        <f>COUNTIFS(DATOS!G:G,CONFIG_METADATA!$B$4,DATOS!I:I,B167,DATOS!K:K,10)</f>
        <v>0</v>
      </c>
    </row>
    <row r="168" spans="1:22">
      <c r="A168" s="3" t="inlineStr">
        <is>
          <t xml:space="preserve">4EEM</t>
        </is>
      </c>
      <c r="B168" s="3">
        <f>IFERROR(INDEX(_xlfn._xlws.FILTER(CONFIG_ASIGNATURAS!$B$2:$B$27,CONFIG_ASIGNATURAS!$G$2:$G$27="Sí"),16),"")</f>
      </c>
      <c r="C168" s="3">
        <f>IF(B168="","",IFERROR(IF(VLOOKUP(B168,CONFIG_ASIGNATURAS!$B$2:$F$27,5,FALSE())="Sí","Especialidad","Asignatura"),"Asignatura"))</f>
      </c>
      <c r="D168">
        <f>COUNTIFS(DATOS!G:G,CONFIG_METADATA!$B$4,DATOS!I:I,B168)</f>
        <v>0</v>
      </c>
      <c r="E168" s="14" t="str">
        <f>IFERROR(AVERAGEIFS(DATOS!K:K,DATOS!G:G,CONFIG_METADATA!$B$4,DATOS!I:I,B168),"—")</f>
        <v>—</v>
      </c>
      <c r="F168" s="14" t="str" cm="1">
        <f t="array" ref="F168">IFERROR(_xlfn.STDEV.P(IF((DATOS!$G$2:$G$20000=CONFIG_METADATA!$B$4)*(DATOS!$I$2:$I$20000=B168),DATOS!$K$2:$K$20000)),"—")</f>
        <v>—</v>
      </c>
      <c r="G168" t="str" cm="1">
        <f t="array" ref="G168">IFERROR(_xlfn.MODE.SNGL(IF((DATOS!$G$2:$G$20000=CONFIG_METADATA!$B$4)*(DATOS!$I$2:$I$20000=B168),DATOS!$K$2:$K$20000)),"—")</f>
        <v>—</v>
      </c>
      <c r="H168" s="15" t="str">
        <f>IFERROR(COUNTIFS(DATOS!G:G,CONFIG_METADATA!$B$4,DATOS!I:I,B168,DATOS!L:L,"S")/COUNTIFS(DATOS!G:G,CONFIG_METADATA!$B$4,DATOS!I:I,B168),"—")</f>
        <v>—</v>
      </c>
      <c r="I168" s="15" t="str">
        <f>IFERROR(COUNTIFS(DATOS!G:G,CONFIG_METADATA!$B$4,DATOS!I:I,B168,DATOS!L:L,"N")/COUNTIFS(DATOS!G:G,CONFIG_METADATA!$B$4,DATOS!I:I,B168),"—")</f>
        <v>—</v>
      </c>
      <c r="J168" t="str" cm="1">
        <f t="array" ref="J168">IFERROR(_xlfn.MODE.SNGL(IF((DATOS!$G$2:$G$20000=CONFIG_METADATA!$B$4)*(DATOS!$I$2:$I$20000=B168)*(DATOS!$L$2:$L$20000="S"),DATOS!$K$2:$K$20000)),"—")</f>
        <v>—</v>
      </c>
      <c r="K168" t="str" cm="1">
        <f t="array" ref="K168">IFERROR(_xlfn.MODE.SNGL(IF((DATOS!$G$2:$G$20000=CONFIG_METADATA!$B$4)*(DATOS!$I$2:$I$20000=B168)*(DATOS!$L$2:$L$20000="N"),DATOS!$K$2:$K$20000)),"—")</f>
        <v>—</v>
      </c>
      <c r="L168">
        <f>COUNTIFS(DATOS!G:G,CONFIG_METADATA!$B$4,DATOS!I:I,B168,DATOS!K:K,1)</f>
        <v>0</v>
      </c>
      <c r="M168">
        <f>COUNTIFS(DATOS!G:G,CONFIG_METADATA!$B$4,DATOS!I:I,B168,DATOS!K:K,2)</f>
        <v>0</v>
      </c>
      <c r="N168">
        <f>COUNTIFS(DATOS!G:G,CONFIG_METADATA!$B$4,DATOS!I:I,B168,DATOS!K:K,3)</f>
        <v>0</v>
      </c>
      <c r="O168">
        <f>COUNTIFS(DATOS!G:G,CONFIG_METADATA!$B$4,DATOS!I:I,B168,DATOS!K:K,4)</f>
        <v>0</v>
      </c>
      <c r="P168">
        <f>COUNTIFS(DATOS!G:G,CONFIG_METADATA!$B$4,DATOS!I:I,B168,DATOS!K:K,5)</f>
        <v>0</v>
      </c>
      <c r="Q168">
        <f>COUNTIFS(DATOS!G:G,CONFIG_METADATA!$B$4,DATOS!I:I,B168,DATOS!K:K,6)</f>
        <v>0</v>
      </c>
      <c r="R168">
        <f>COUNTIFS(DATOS!G:G,CONFIG_METADATA!$B$4,DATOS!I:I,B168,DATOS!K:K,7)</f>
        <v>0</v>
      </c>
      <c r="S168">
        <f>COUNTIFS(DATOS!G:G,CONFIG_METADATA!$B$4,DATOS!I:I,B168,DATOS!K:K,8)</f>
        <v>0</v>
      </c>
      <c r="T168">
        <f>COUNTIFS(DATOS!G:G,CONFIG_METADATA!$B$4,DATOS!I:I,B168,DATOS!K:K,9)</f>
        <v>0</v>
      </c>
      <c r="U168">
        <f>COUNTIFS(DATOS!G:G,CONFIG_METADATA!$B$4,DATOS!I:I,B168,DATOS!K:K,10)</f>
        <v>0</v>
      </c>
    </row>
    <row r="169" spans="1:22">
      <c r="A169" s="3" t="inlineStr">
        <is>
          <t xml:space="preserve">4EEM</t>
        </is>
      </c>
      <c r="B169" s="3">
        <f>IFERROR(INDEX(_xlfn._xlws.FILTER(CONFIG_ASIGNATURAS!$B$2:$B$27,CONFIG_ASIGNATURAS!$G$2:$G$27="Sí"),17),"")</f>
      </c>
      <c r="C169" s="3">
        <f>IF(B169="","",IFERROR(IF(VLOOKUP(B169,CONFIG_ASIGNATURAS!$B$2:$F$27,5,FALSE())="Sí","Especialidad","Asignatura"),"Asignatura"))</f>
      </c>
      <c r="D169">
        <f>COUNTIFS(DATOS!G:G,CONFIG_METADATA!$B$4,DATOS!I:I,B169)</f>
        <v>0</v>
      </c>
      <c r="E169" s="14" t="str">
        <f>IFERROR(AVERAGEIFS(DATOS!K:K,DATOS!G:G,CONFIG_METADATA!$B$4,DATOS!I:I,B169),"—")</f>
        <v>—</v>
      </c>
      <c r="F169" s="14" t="str" cm="1">
        <f t="array" ref="F169">IFERROR(_xlfn.STDEV.P(IF((DATOS!$G$2:$G$20000=CONFIG_METADATA!$B$4)*(DATOS!$I$2:$I$20000=B169),DATOS!$K$2:$K$20000)),"—")</f>
        <v>—</v>
      </c>
      <c r="G169" t="str" cm="1">
        <f t="array" ref="G169">IFERROR(_xlfn.MODE.SNGL(IF((DATOS!$G$2:$G$20000=CONFIG_METADATA!$B$4)*(DATOS!$I$2:$I$20000=B169),DATOS!$K$2:$K$20000)),"—")</f>
        <v>—</v>
      </c>
      <c r="H169" s="15" t="str">
        <f>IFERROR(COUNTIFS(DATOS!G:G,CONFIG_METADATA!$B$4,DATOS!I:I,B169,DATOS!L:L,"S")/COUNTIFS(DATOS!G:G,CONFIG_METADATA!$B$4,DATOS!I:I,B169),"—")</f>
        <v>—</v>
      </c>
      <c r="I169" s="15" t="str">
        <f>IFERROR(COUNTIFS(DATOS!G:G,CONFIG_METADATA!$B$4,DATOS!I:I,B169,DATOS!L:L,"N")/COUNTIFS(DATOS!G:G,CONFIG_METADATA!$B$4,DATOS!I:I,B169),"—")</f>
        <v>—</v>
      </c>
      <c r="J169" t="str" cm="1">
        <f t="array" ref="J169">IFERROR(_xlfn.MODE.SNGL(IF((DATOS!$G$2:$G$20000=CONFIG_METADATA!$B$4)*(DATOS!$I$2:$I$20000=B169)*(DATOS!$L$2:$L$20000="S"),DATOS!$K$2:$K$20000)),"—")</f>
        <v>—</v>
      </c>
      <c r="K169" t="str" cm="1">
        <f t="array" ref="K169">IFERROR(_xlfn.MODE.SNGL(IF((DATOS!$G$2:$G$20000=CONFIG_METADATA!$B$4)*(DATOS!$I$2:$I$20000=B169)*(DATOS!$L$2:$L$20000="N"),DATOS!$K$2:$K$20000)),"—")</f>
        <v>—</v>
      </c>
      <c r="L169">
        <f>COUNTIFS(DATOS!G:G,CONFIG_METADATA!$B$4,DATOS!I:I,B169,DATOS!K:K,1)</f>
        <v>0</v>
      </c>
      <c r="M169">
        <f>COUNTIFS(DATOS!G:G,CONFIG_METADATA!$B$4,DATOS!I:I,B169,DATOS!K:K,2)</f>
        <v>0</v>
      </c>
      <c r="N169">
        <f>COUNTIFS(DATOS!G:G,CONFIG_METADATA!$B$4,DATOS!I:I,B169,DATOS!K:K,3)</f>
        <v>0</v>
      </c>
      <c r="O169">
        <f>COUNTIFS(DATOS!G:G,CONFIG_METADATA!$B$4,DATOS!I:I,B169,DATOS!K:K,4)</f>
        <v>0</v>
      </c>
      <c r="P169">
        <f>COUNTIFS(DATOS!G:G,CONFIG_METADATA!$B$4,DATOS!I:I,B169,DATOS!K:K,5)</f>
        <v>0</v>
      </c>
      <c r="Q169">
        <f>COUNTIFS(DATOS!G:G,CONFIG_METADATA!$B$4,DATOS!I:I,B169,DATOS!K:K,6)</f>
        <v>0</v>
      </c>
      <c r="R169">
        <f>COUNTIFS(DATOS!G:G,CONFIG_METADATA!$B$4,DATOS!I:I,B169,DATOS!K:K,7)</f>
        <v>0</v>
      </c>
      <c r="S169">
        <f>COUNTIFS(DATOS!G:G,CONFIG_METADATA!$B$4,DATOS!I:I,B169,DATOS!K:K,8)</f>
        <v>0</v>
      </c>
      <c r="T169">
        <f>COUNTIFS(DATOS!G:G,CONFIG_METADATA!$B$4,DATOS!I:I,B169,DATOS!K:K,9)</f>
        <v>0</v>
      </c>
      <c r="U169">
        <f>COUNTIFS(DATOS!G:G,CONFIG_METADATA!$B$4,DATOS!I:I,B169,DATOS!K:K,10)</f>
        <v>0</v>
      </c>
    </row>
    <row r="170" spans="1:22">
      <c r="A170" s="3" t="inlineStr">
        <is>
          <t xml:space="preserve">4EEM</t>
        </is>
      </c>
      <c r="B170" s="3">
        <f>IFERROR(INDEX(_xlfn._xlws.FILTER(CONFIG_ASIGNATURAS!$B$2:$B$27,CONFIG_ASIGNATURAS!$G$2:$G$27="Sí"),18),"")</f>
      </c>
      <c r="C170" s="3">
        <f>IF(B170="","",IFERROR(IF(VLOOKUP(B170,CONFIG_ASIGNATURAS!$B$2:$F$27,5,FALSE())="Sí","Especialidad","Asignatura"),"Asignatura"))</f>
      </c>
      <c r="D170">
        <f>COUNTIFS(DATOS!G:G,CONFIG_METADATA!$B$4,DATOS!I:I,B170)</f>
        <v>0</v>
      </c>
      <c r="E170" s="14" t="str">
        <f>IFERROR(AVERAGEIFS(DATOS!K:K,DATOS!G:G,CONFIG_METADATA!$B$4,DATOS!I:I,B170),"—")</f>
        <v>—</v>
      </c>
      <c r="F170" s="14" t="str" cm="1">
        <f t="array" ref="F170">IFERROR(_xlfn.STDEV.P(IF((DATOS!$G$2:$G$20000=CONFIG_METADATA!$B$4)*(DATOS!$I$2:$I$20000=B170),DATOS!$K$2:$K$20000)),"—")</f>
        <v>—</v>
      </c>
      <c r="G170" t="str" cm="1">
        <f t="array" ref="G170">IFERROR(_xlfn.MODE.SNGL(IF((DATOS!$G$2:$G$20000=CONFIG_METADATA!$B$4)*(DATOS!$I$2:$I$20000=B170),DATOS!$K$2:$K$20000)),"—")</f>
        <v>—</v>
      </c>
      <c r="H170" s="15" t="str">
        <f>IFERROR(COUNTIFS(DATOS!G:G,CONFIG_METADATA!$B$4,DATOS!I:I,B170,DATOS!L:L,"S")/COUNTIFS(DATOS!G:G,CONFIG_METADATA!$B$4,DATOS!I:I,B170),"—")</f>
        <v>—</v>
      </c>
      <c r="I170" s="15" t="str">
        <f>IFERROR(COUNTIFS(DATOS!G:G,CONFIG_METADATA!$B$4,DATOS!I:I,B170,DATOS!L:L,"N")/COUNTIFS(DATOS!G:G,CONFIG_METADATA!$B$4,DATOS!I:I,B170),"—")</f>
        <v>—</v>
      </c>
      <c r="J170" t="str" cm="1">
        <f t="array" ref="J170">IFERROR(_xlfn.MODE.SNGL(IF((DATOS!$G$2:$G$20000=CONFIG_METADATA!$B$4)*(DATOS!$I$2:$I$20000=B170)*(DATOS!$L$2:$L$20000="S"),DATOS!$K$2:$K$20000)),"—")</f>
        <v>—</v>
      </c>
      <c r="K170" t="str" cm="1">
        <f t="array" ref="K170">IFERROR(_xlfn.MODE.SNGL(IF((DATOS!$G$2:$G$20000=CONFIG_METADATA!$B$4)*(DATOS!$I$2:$I$20000=B170)*(DATOS!$L$2:$L$20000="N"),DATOS!$K$2:$K$20000)),"—")</f>
        <v>—</v>
      </c>
      <c r="L170">
        <f>COUNTIFS(DATOS!G:G,CONFIG_METADATA!$B$4,DATOS!I:I,B170,DATOS!K:K,1)</f>
        <v>0</v>
      </c>
      <c r="M170">
        <f>COUNTIFS(DATOS!G:G,CONFIG_METADATA!$B$4,DATOS!I:I,B170,DATOS!K:K,2)</f>
        <v>0</v>
      </c>
      <c r="N170">
        <f>COUNTIFS(DATOS!G:G,CONFIG_METADATA!$B$4,DATOS!I:I,B170,DATOS!K:K,3)</f>
        <v>0</v>
      </c>
      <c r="O170">
        <f>COUNTIFS(DATOS!G:G,CONFIG_METADATA!$B$4,DATOS!I:I,B170,DATOS!K:K,4)</f>
        <v>0</v>
      </c>
      <c r="P170">
        <f>COUNTIFS(DATOS!G:G,CONFIG_METADATA!$B$4,DATOS!I:I,B170,DATOS!K:K,5)</f>
        <v>0</v>
      </c>
      <c r="Q170">
        <f>COUNTIFS(DATOS!G:G,CONFIG_METADATA!$B$4,DATOS!I:I,B170,DATOS!K:K,6)</f>
        <v>0</v>
      </c>
      <c r="R170">
        <f>COUNTIFS(DATOS!G:G,CONFIG_METADATA!$B$4,DATOS!I:I,B170,DATOS!K:K,7)</f>
        <v>0</v>
      </c>
      <c r="S170">
        <f>COUNTIFS(DATOS!G:G,CONFIG_METADATA!$B$4,DATOS!I:I,B170,DATOS!K:K,8)</f>
        <v>0</v>
      </c>
      <c r="T170">
        <f>COUNTIFS(DATOS!G:G,CONFIG_METADATA!$B$4,DATOS!I:I,B170,DATOS!K:K,9)</f>
        <v>0</v>
      </c>
      <c r="U170">
        <f>COUNTIFS(DATOS!G:G,CONFIG_METADATA!$B$4,DATOS!I:I,B170,DATOS!K:K,10)</f>
        <v>0</v>
      </c>
    </row>
    <row r="171" spans="1:22">
      <c r="A171" s="3" t="inlineStr">
        <is>
          <t xml:space="preserve">4EEM</t>
        </is>
      </c>
      <c r="B171" s="3">
        <f>IFERROR(INDEX(_xlfn._xlws.FILTER(CONFIG_ASIGNATURAS!$B$2:$B$27,CONFIG_ASIGNATURAS!$G$2:$G$27="Sí"),19),"")</f>
      </c>
      <c r="C171" s="3">
        <f>IF(B171="","",IFERROR(IF(VLOOKUP(B171,CONFIG_ASIGNATURAS!$B$2:$F$27,5,FALSE())="Sí","Especialidad","Asignatura"),"Asignatura"))</f>
      </c>
      <c r="D171">
        <f>COUNTIFS(DATOS!G:G,CONFIG_METADATA!$B$4,DATOS!I:I,B171)</f>
        <v>0</v>
      </c>
      <c r="E171" s="14" t="str">
        <f>IFERROR(AVERAGEIFS(DATOS!K:K,DATOS!G:G,CONFIG_METADATA!$B$4,DATOS!I:I,B171),"—")</f>
        <v>—</v>
      </c>
      <c r="F171" s="14" t="str" cm="1">
        <f t="array" ref="F171">IFERROR(_xlfn.STDEV.P(IF((DATOS!$G$2:$G$20000=CONFIG_METADATA!$B$4)*(DATOS!$I$2:$I$20000=B171),DATOS!$K$2:$K$20000)),"—")</f>
        <v>—</v>
      </c>
      <c r="G171" t="str" cm="1">
        <f t="array" ref="G171">IFERROR(_xlfn.MODE.SNGL(IF((DATOS!$G$2:$G$20000=CONFIG_METADATA!$B$4)*(DATOS!$I$2:$I$20000=B171),DATOS!$K$2:$K$20000)),"—")</f>
        <v>—</v>
      </c>
      <c r="H171" s="15" t="str">
        <f>IFERROR(COUNTIFS(DATOS!G:G,CONFIG_METADATA!$B$4,DATOS!I:I,B171,DATOS!L:L,"S")/COUNTIFS(DATOS!G:G,CONFIG_METADATA!$B$4,DATOS!I:I,B171),"—")</f>
        <v>—</v>
      </c>
      <c r="I171" s="15" t="str">
        <f>IFERROR(COUNTIFS(DATOS!G:G,CONFIG_METADATA!$B$4,DATOS!I:I,B171,DATOS!L:L,"N")/COUNTIFS(DATOS!G:G,CONFIG_METADATA!$B$4,DATOS!I:I,B171),"—")</f>
        <v>—</v>
      </c>
      <c r="J171" t="str" cm="1">
        <f t="array" ref="J171">IFERROR(_xlfn.MODE.SNGL(IF((DATOS!$G$2:$G$20000=CONFIG_METADATA!$B$4)*(DATOS!$I$2:$I$20000=B171)*(DATOS!$L$2:$L$20000="S"),DATOS!$K$2:$K$20000)),"—")</f>
        <v>—</v>
      </c>
      <c r="K171" t="str" cm="1">
        <f t="array" ref="K171">IFERROR(_xlfn.MODE.SNGL(IF((DATOS!$G$2:$G$20000=CONFIG_METADATA!$B$4)*(DATOS!$I$2:$I$20000=B171)*(DATOS!$L$2:$L$20000="N"),DATOS!$K$2:$K$20000)),"—")</f>
        <v>—</v>
      </c>
      <c r="L171">
        <f>COUNTIFS(DATOS!G:G,CONFIG_METADATA!$B$4,DATOS!I:I,B171,DATOS!K:K,1)</f>
        <v>0</v>
      </c>
      <c r="M171">
        <f>COUNTIFS(DATOS!G:G,CONFIG_METADATA!$B$4,DATOS!I:I,B171,DATOS!K:K,2)</f>
        <v>0</v>
      </c>
      <c r="N171">
        <f>COUNTIFS(DATOS!G:G,CONFIG_METADATA!$B$4,DATOS!I:I,B171,DATOS!K:K,3)</f>
        <v>0</v>
      </c>
      <c r="O171">
        <f>COUNTIFS(DATOS!G:G,CONFIG_METADATA!$B$4,DATOS!I:I,B171,DATOS!K:K,4)</f>
        <v>0</v>
      </c>
      <c r="P171">
        <f>COUNTIFS(DATOS!G:G,CONFIG_METADATA!$B$4,DATOS!I:I,B171,DATOS!K:K,5)</f>
        <v>0</v>
      </c>
      <c r="Q171">
        <f>COUNTIFS(DATOS!G:G,CONFIG_METADATA!$B$4,DATOS!I:I,B171,DATOS!K:K,6)</f>
        <v>0</v>
      </c>
      <c r="R171">
        <f>COUNTIFS(DATOS!G:G,CONFIG_METADATA!$B$4,DATOS!I:I,B171,DATOS!K:K,7)</f>
        <v>0</v>
      </c>
      <c r="S171">
        <f>COUNTIFS(DATOS!G:G,CONFIG_METADATA!$B$4,DATOS!I:I,B171,DATOS!K:K,8)</f>
        <v>0</v>
      </c>
      <c r="T171">
        <f>COUNTIFS(DATOS!G:G,CONFIG_METADATA!$B$4,DATOS!I:I,B171,DATOS!K:K,9)</f>
        <v>0</v>
      </c>
      <c r="U171">
        <f>COUNTIFS(DATOS!G:G,CONFIG_METADATA!$B$4,DATOS!I:I,B171,DATOS!K:K,10)</f>
        <v>0</v>
      </c>
    </row>
    <row r="172" spans="1:22">
      <c r="A172" s="3" t="inlineStr">
        <is>
          <t xml:space="preserve">4EEM</t>
        </is>
      </c>
      <c r="B172" s="3">
        <f>IFERROR(INDEX(_xlfn._xlws.FILTER(CONFIG_ASIGNATURAS!$B$2:$B$27,CONFIG_ASIGNATURAS!$G$2:$G$27="Sí"),20),"")</f>
      </c>
      <c r="C172" s="3">
        <f>IF(B172="","",IFERROR(IF(VLOOKUP(B172,CONFIG_ASIGNATURAS!$B$2:$F$27,5,FALSE())="Sí","Especialidad","Asignatura"),"Asignatura"))</f>
      </c>
      <c r="D172">
        <f>COUNTIFS(DATOS!G:G,CONFIG_METADATA!$B$4,DATOS!I:I,B172)</f>
        <v>0</v>
      </c>
      <c r="E172" s="14" t="str">
        <f>IFERROR(AVERAGEIFS(DATOS!K:K,DATOS!G:G,CONFIG_METADATA!$B$4,DATOS!I:I,B172),"—")</f>
        <v>—</v>
      </c>
      <c r="F172" s="14" t="str" cm="1">
        <f t="array" ref="F172">IFERROR(_xlfn.STDEV.P(IF((DATOS!$G$2:$G$20000=CONFIG_METADATA!$B$4)*(DATOS!$I$2:$I$20000=B172),DATOS!$K$2:$K$20000)),"—")</f>
        <v>—</v>
      </c>
      <c r="G172" t="str" cm="1">
        <f t="array" ref="G172">IFERROR(_xlfn.MODE.SNGL(IF((DATOS!$G$2:$G$20000=CONFIG_METADATA!$B$4)*(DATOS!$I$2:$I$20000=B172),DATOS!$K$2:$K$20000)),"—")</f>
        <v>—</v>
      </c>
      <c r="H172" s="15" t="str">
        <f>IFERROR(COUNTIFS(DATOS!G:G,CONFIG_METADATA!$B$4,DATOS!I:I,B172,DATOS!L:L,"S")/COUNTIFS(DATOS!G:G,CONFIG_METADATA!$B$4,DATOS!I:I,B172),"—")</f>
        <v>—</v>
      </c>
      <c r="I172" s="15" t="str">
        <f>IFERROR(COUNTIFS(DATOS!G:G,CONFIG_METADATA!$B$4,DATOS!I:I,B172,DATOS!L:L,"N")/COUNTIFS(DATOS!G:G,CONFIG_METADATA!$B$4,DATOS!I:I,B172),"—")</f>
        <v>—</v>
      </c>
      <c r="J172" t="str" cm="1">
        <f t="array" ref="J172">IFERROR(_xlfn.MODE.SNGL(IF((DATOS!$G$2:$G$20000=CONFIG_METADATA!$B$4)*(DATOS!$I$2:$I$20000=B172)*(DATOS!$L$2:$L$20000="S"),DATOS!$K$2:$K$20000)),"—")</f>
        <v>—</v>
      </c>
      <c r="K172" t="str" cm="1">
        <f t="array" ref="K172">IFERROR(_xlfn.MODE.SNGL(IF((DATOS!$G$2:$G$20000=CONFIG_METADATA!$B$4)*(DATOS!$I$2:$I$20000=B172)*(DATOS!$L$2:$L$20000="N"),DATOS!$K$2:$K$20000)),"—")</f>
        <v>—</v>
      </c>
      <c r="L172">
        <f>COUNTIFS(DATOS!G:G,CONFIG_METADATA!$B$4,DATOS!I:I,B172,DATOS!K:K,1)</f>
        <v>0</v>
      </c>
      <c r="M172">
        <f>COUNTIFS(DATOS!G:G,CONFIG_METADATA!$B$4,DATOS!I:I,B172,DATOS!K:K,2)</f>
        <v>0</v>
      </c>
      <c r="N172">
        <f>COUNTIFS(DATOS!G:G,CONFIG_METADATA!$B$4,DATOS!I:I,B172,DATOS!K:K,3)</f>
        <v>0</v>
      </c>
      <c r="O172">
        <f>COUNTIFS(DATOS!G:G,CONFIG_METADATA!$B$4,DATOS!I:I,B172,DATOS!K:K,4)</f>
        <v>0</v>
      </c>
      <c r="P172">
        <f>COUNTIFS(DATOS!G:G,CONFIG_METADATA!$B$4,DATOS!I:I,B172,DATOS!K:K,5)</f>
        <v>0</v>
      </c>
      <c r="Q172">
        <f>COUNTIFS(DATOS!G:G,CONFIG_METADATA!$B$4,DATOS!I:I,B172,DATOS!K:K,6)</f>
        <v>0</v>
      </c>
      <c r="R172">
        <f>COUNTIFS(DATOS!G:G,CONFIG_METADATA!$B$4,DATOS!I:I,B172,DATOS!K:K,7)</f>
        <v>0</v>
      </c>
      <c r="S172">
        <f>COUNTIFS(DATOS!G:G,CONFIG_METADATA!$B$4,DATOS!I:I,B172,DATOS!K:K,8)</f>
        <v>0</v>
      </c>
      <c r="T172">
        <f>COUNTIFS(DATOS!G:G,CONFIG_METADATA!$B$4,DATOS!I:I,B172,DATOS!K:K,9)</f>
        <v>0</v>
      </c>
      <c r="U172">
        <f>COUNTIFS(DATOS!G:G,CONFIG_METADATA!$B$4,DATOS!I:I,B172,DATOS!K:K,10)</f>
        <v>0</v>
      </c>
    </row>
    <row r="173" spans="1:22">
      <c r="A173" s="3" t="inlineStr">
        <is>
          <t xml:space="preserve">4EEM</t>
        </is>
      </c>
      <c r="B173" s="3">
        <f>IFERROR(INDEX(_xlfn._xlws.FILTER(CONFIG_ASIGNATURAS!$B$2:$B$27,CONFIG_ASIGNATURAS!$G$2:$G$27="Sí"),21),"")</f>
      </c>
      <c r="C173" s="3">
        <f>IF(B173="","",IFERROR(IF(VLOOKUP(B173,CONFIG_ASIGNATURAS!$B$2:$F$27,5,FALSE())="Sí","Especialidad","Asignatura"),"Asignatura"))</f>
      </c>
      <c r="D173">
        <f>COUNTIFS(DATOS!G:G,CONFIG_METADATA!$B$4,DATOS!I:I,B173)</f>
        <v>0</v>
      </c>
      <c r="E173" s="14" t="str">
        <f>IFERROR(AVERAGEIFS(DATOS!K:K,DATOS!G:G,CONFIG_METADATA!$B$4,DATOS!I:I,B173),"—")</f>
        <v>—</v>
      </c>
      <c r="F173" s="14" t="str" cm="1">
        <f t="array" ref="F173">IFERROR(_xlfn.STDEV.P(IF((DATOS!$G$2:$G$20000=CONFIG_METADATA!$B$4)*(DATOS!$I$2:$I$20000=B173),DATOS!$K$2:$K$20000)),"—")</f>
        <v>—</v>
      </c>
      <c r="G173" t="str" cm="1">
        <f t="array" ref="G173">IFERROR(_xlfn.MODE.SNGL(IF((DATOS!$G$2:$G$20000=CONFIG_METADATA!$B$4)*(DATOS!$I$2:$I$20000=B173),DATOS!$K$2:$K$20000)),"—")</f>
        <v>—</v>
      </c>
      <c r="H173" s="15" t="str">
        <f>IFERROR(COUNTIFS(DATOS!G:G,CONFIG_METADATA!$B$4,DATOS!I:I,B173,DATOS!L:L,"S")/COUNTIFS(DATOS!G:G,CONFIG_METADATA!$B$4,DATOS!I:I,B173),"—")</f>
        <v>—</v>
      </c>
      <c r="I173" s="15" t="str">
        <f>IFERROR(COUNTIFS(DATOS!G:G,CONFIG_METADATA!$B$4,DATOS!I:I,B173,DATOS!L:L,"N")/COUNTIFS(DATOS!G:G,CONFIG_METADATA!$B$4,DATOS!I:I,B173),"—")</f>
        <v>—</v>
      </c>
      <c r="J173" t="str" cm="1">
        <f t="array" ref="J173">IFERROR(_xlfn.MODE.SNGL(IF((DATOS!$G$2:$G$20000=CONFIG_METADATA!$B$4)*(DATOS!$I$2:$I$20000=B173)*(DATOS!$L$2:$L$20000="S"),DATOS!$K$2:$K$20000)),"—")</f>
        <v>—</v>
      </c>
      <c r="K173" t="str" cm="1">
        <f t="array" ref="K173">IFERROR(_xlfn.MODE.SNGL(IF((DATOS!$G$2:$G$20000=CONFIG_METADATA!$B$4)*(DATOS!$I$2:$I$20000=B173)*(DATOS!$L$2:$L$20000="N"),DATOS!$K$2:$K$20000)),"—")</f>
        <v>—</v>
      </c>
      <c r="L173">
        <f>COUNTIFS(DATOS!G:G,CONFIG_METADATA!$B$4,DATOS!I:I,B173,DATOS!K:K,1)</f>
        <v>0</v>
      </c>
      <c r="M173">
        <f>COUNTIFS(DATOS!G:G,CONFIG_METADATA!$B$4,DATOS!I:I,B173,DATOS!K:K,2)</f>
        <v>0</v>
      </c>
      <c r="N173">
        <f>COUNTIFS(DATOS!G:G,CONFIG_METADATA!$B$4,DATOS!I:I,B173,DATOS!K:K,3)</f>
        <v>0</v>
      </c>
      <c r="O173">
        <f>COUNTIFS(DATOS!G:G,CONFIG_METADATA!$B$4,DATOS!I:I,B173,DATOS!K:K,4)</f>
        <v>0</v>
      </c>
      <c r="P173">
        <f>COUNTIFS(DATOS!G:G,CONFIG_METADATA!$B$4,DATOS!I:I,B173,DATOS!K:K,5)</f>
        <v>0</v>
      </c>
      <c r="Q173">
        <f>COUNTIFS(DATOS!G:G,CONFIG_METADATA!$B$4,DATOS!I:I,B173,DATOS!K:K,6)</f>
        <v>0</v>
      </c>
      <c r="R173">
        <f>COUNTIFS(DATOS!G:G,CONFIG_METADATA!$B$4,DATOS!I:I,B173,DATOS!K:K,7)</f>
        <v>0</v>
      </c>
      <c r="S173">
        <f>COUNTIFS(DATOS!G:G,CONFIG_METADATA!$B$4,DATOS!I:I,B173,DATOS!K:K,8)</f>
        <v>0</v>
      </c>
      <c r="T173">
        <f>COUNTIFS(DATOS!G:G,CONFIG_METADATA!$B$4,DATOS!I:I,B173,DATOS!K:K,9)</f>
        <v>0</v>
      </c>
      <c r="U173">
        <f>COUNTIFS(DATOS!G:G,CONFIG_METADATA!$B$4,DATOS!I:I,B173,DATOS!K:K,10)</f>
        <v>0</v>
      </c>
    </row>
    <row r="174" spans="1:22">
      <c r="A174" s="3" t="inlineStr">
        <is>
          <t xml:space="preserve">4EEM</t>
        </is>
      </c>
      <c r="B174" s="3">
        <f>IFERROR(INDEX(_xlfn._xlws.FILTER(CONFIG_ASIGNATURAS!$B$2:$B$27,CONFIG_ASIGNATURAS!$G$2:$G$27="Sí"),22),"")</f>
      </c>
      <c r="C174" s="3">
        <f>IF(B174="","",IFERROR(IF(VLOOKUP(B174,CONFIG_ASIGNATURAS!$B$2:$F$27,5,FALSE())="Sí","Especialidad","Asignatura"),"Asignatura"))</f>
      </c>
      <c r="D174">
        <f>COUNTIFS(DATOS!G:G,CONFIG_METADATA!$B$4,DATOS!I:I,B174)</f>
        <v>0</v>
      </c>
      <c r="E174" s="14" t="str">
        <f>IFERROR(AVERAGEIFS(DATOS!K:K,DATOS!G:G,CONFIG_METADATA!$B$4,DATOS!I:I,B174),"—")</f>
        <v>—</v>
      </c>
      <c r="F174" s="14" t="str" cm="1">
        <f t="array" ref="F174">IFERROR(_xlfn.STDEV.P(IF((DATOS!$G$2:$G$20000=CONFIG_METADATA!$B$4)*(DATOS!$I$2:$I$20000=B174),DATOS!$K$2:$K$20000)),"—")</f>
        <v>—</v>
      </c>
      <c r="G174" t="str" cm="1">
        <f t="array" ref="G174">IFERROR(_xlfn.MODE.SNGL(IF((DATOS!$G$2:$G$20000=CONFIG_METADATA!$B$4)*(DATOS!$I$2:$I$20000=B174),DATOS!$K$2:$K$20000)),"—")</f>
        <v>—</v>
      </c>
      <c r="H174" s="15" t="str">
        <f>IFERROR(COUNTIFS(DATOS!G:G,CONFIG_METADATA!$B$4,DATOS!I:I,B174,DATOS!L:L,"S")/COUNTIFS(DATOS!G:G,CONFIG_METADATA!$B$4,DATOS!I:I,B174),"—")</f>
        <v>—</v>
      </c>
      <c r="I174" s="15" t="str">
        <f>IFERROR(COUNTIFS(DATOS!G:G,CONFIG_METADATA!$B$4,DATOS!I:I,B174,DATOS!L:L,"N")/COUNTIFS(DATOS!G:G,CONFIG_METADATA!$B$4,DATOS!I:I,B174),"—")</f>
        <v>—</v>
      </c>
      <c r="J174" t="str" cm="1">
        <f t="array" ref="J174">IFERROR(_xlfn.MODE.SNGL(IF((DATOS!$G$2:$G$20000=CONFIG_METADATA!$B$4)*(DATOS!$I$2:$I$20000=B174)*(DATOS!$L$2:$L$20000="S"),DATOS!$K$2:$K$20000)),"—")</f>
        <v>—</v>
      </c>
      <c r="K174" t="str" cm="1">
        <f t="array" ref="K174">IFERROR(_xlfn.MODE.SNGL(IF((DATOS!$G$2:$G$20000=CONFIG_METADATA!$B$4)*(DATOS!$I$2:$I$20000=B174)*(DATOS!$L$2:$L$20000="N"),DATOS!$K$2:$K$20000)),"—")</f>
        <v>—</v>
      </c>
      <c r="L174">
        <f>COUNTIFS(DATOS!G:G,CONFIG_METADATA!$B$4,DATOS!I:I,B174,DATOS!K:K,1)</f>
        <v>0</v>
      </c>
      <c r="M174">
        <f>COUNTIFS(DATOS!G:G,CONFIG_METADATA!$B$4,DATOS!I:I,B174,DATOS!K:K,2)</f>
        <v>0</v>
      </c>
      <c r="N174">
        <f>COUNTIFS(DATOS!G:G,CONFIG_METADATA!$B$4,DATOS!I:I,B174,DATOS!K:K,3)</f>
        <v>0</v>
      </c>
      <c r="O174">
        <f>COUNTIFS(DATOS!G:G,CONFIG_METADATA!$B$4,DATOS!I:I,B174,DATOS!K:K,4)</f>
        <v>0</v>
      </c>
      <c r="P174">
        <f>COUNTIFS(DATOS!G:G,CONFIG_METADATA!$B$4,DATOS!I:I,B174,DATOS!K:K,5)</f>
        <v>0</v>
      </c>
      <c r="Q174">
        <f>COUNTIFS(DATOS!G:G,CONFIG_METADATA!$B$4,DATOS!I:I,B174,DATOS!K:K,6)</f>
        <v>0</v>
      </c>
      <c r="R174">
        <f>COUNTIFS(DATOS!G:G,CONFIG_METADATA!$B$4,DATOS!I:I,B174,DATOS!K:K,7)</f>
        <v>0</v>
      </c>
      <c r="S174">
        <f>COUNTIFS(DATOS!G:G,CONFIG_METADATA!$B$4,DATOS!I:I,B174,DATOS!K:K,8)</f>
        <v>0</v>
      </c>
      <c r="T174">
        <f>COUNTIFS(DATOS!G:G,CONFIG_METADATA!$B$4,DATOS!I:I,B174,DATOS!K:K,9)</f>
        <v>0</v>
      </c>
      <c r="U174">
        <f>COUNTIFS(DATOS!G:G,CONFIG_METADATA!$B$4,DATOS!I:I,B174,DATOS!K:K,10)</f>
        <v>0</v>
      </c>
    </row>
    <row r="175" spans="1:22">
      <c r="A175" s="3" t="inlineStr">
        <is>
          <t xml:space="preserve">4EEM</t>
        </is>
      </c>
      <c r="B175" s="3">
        <f>IFERROR(INDEX(_xlfn._xlws.FILTER(CONFIG_ASIGNATURAS!$B$2:$B$27,CONFIG_ASIGNATURAS!$G$2:$G$27="Sí"),23),"")</f>
      </c>
      <c r="C175" s="3">
        <f>IF(B175="","",IFERROR(IF(VLOOKUP(B175,CONFIG_ASIGNATURAS!$B$2:$F$27,5,FALSE())="Sí","Especialidad","Asignatura"),"Asignatura"))</f>
      </c>
      <c r="D175">
        <f>COUNTIFS(DATOS!G:G,CONFIG_METADATA!$B$4,DATOS!I:I,B175)</f>
        <v>0</v>
      </c>
      <c r="E175" s="14" t="str">
        <f>IFERROR(AVERAGEIFS(DATOS!K:K,DATOS!G:G,CONFIG_METADATA!$B$4,DATOS!I:I,B175),"—")</f>
        <v>—</v>
      </c>
      <c r="F175" s="14" t="str" cm="1">
        <f t="array" ref="F175">IFERROR(_xlfn.STDEV.P(IF((DATOS!$G$2:$G$20000=CONFIG_METADATA!$B$4)*(DATOS!$I$2:$I$20000=B175),DATOS!$K$2:$K$20000)),"—")</f>
        <v>—</v>
      </c>
      <c r="G175" t="str" cm="1">
        <f t="array" ref="G175">IFERROR(_xlfn.MODE.SNGL(IF((DATOS!$G$2:$G$20000=CONFIG_METADATA!$B$4)*(DATOS!$I$2:$I$20000=B175),DATOS!$K$2:$K$20000)),"—")</f>
        <v>—</v>
      </c>
      <c r="H175" s="15" t="str">
        <f>IFERROR(COUNTIFS(DATOS!G:G,CONFIG_METADATA!$B$4,DATOS!I:I,B175,DATOS!L:L,"S")/COUNTIFS(DATOS!G:G,CONFIG_METADATA!$B$4,DATOS!I:I,B175),"—")</f>
        <v>—</v>
      </c>
      <c r="I175" s="15" t="str">
        <f>IFERROR(COUNTIFS(DATOS!G:G,CONFIG_METADATA!$B$4,DATOS!I:I,B175,DATOS!L:L,"N")/COUNTIFS(DATOS!G:G,CONFIG_METADATA!$B$4,DATOS!I:I,B175),"—")</f>
        <v>—</v>
      </c>
      <c r="J175" t="str" cm="1">
        <f t="array" ref="J175">IFERROR(_xlfn.MODE.SNGL(IF((DATOS!$G$2:$G$20000=CONFIG_METADATA!$B$4)*(DATOS!$I$2:$I$20000=B175)*(DATOS!$L$2:$L$20000="S"),DATOS!$K$2:$K$20000)),"—")</f>
        <v>—</v>
      </c>
      <c r="K175" t="str" cm="1">
        <f t="array" ref="K175">IFERROR(_xlfn.MODE.SNGL(IF((DATOS!$G$2:$G$20000=CONFIG_METADATA!$B$4)*(DATOS!$I$2:$I$20000=B175)*(DATOS!$L$2:$L$20000="N"),DATOS!$K$2:$K$20000)),"—")</f>
        <v>—</v>
      </c>
      <c r="L175">
        <f>COUNTIFS(DATOS!G:G,CONFIG_METADATA!$B$4,DATOS!I:I,B175,DATOS!K:K,1)</f>
        <v>0</v>
      </c>
      <c r="M175">
        <f>COUNTIFS(DATOS!G:G,CONFIG_METADATA!$B$4,DATOS!I:I,B175,DATOS!K:K,2)</f>
        <v>0</v>
      </c>
      <c r="N175">
        <f>COUNTIFS(DATOS!G:G,CONFIG_METADATA!$B$4,DATOS!I:I,B175,DATOS!K:K,3)</f>
        <v>0</v>
      </c>
      <c r="O175">
        <f>COUNTIFS(DATOS!G:G,CONFIG_METADATA!$B$4,DATOS!I:I,B175,DATOS!K:K,4)</f>
        <v>0</v>
      </c>
      <c r="P175">
        <f>COUNTIFS(DATOS!G:G,CONFIG_METADATA!$B$4,DATOS!I:I,B175,DATOS!K:K,5)</f>
        <v>0</v>
      </c>
      <c r="Q175">
        <f>COUNTIFS(DATOS!G:G,CONFIG_METADATA!$B$4,DATOS!I:I,B175,DATOS!K:K,6)</f>
        <v>0</v>
      </c>
      <c r="R175">
        <f>COUNTIFS(DATOS!G:G,CONFIG_METADATA!$B$4,DATOS!I:I,B175,DATOS!K:K,7)</f>
        <v>0</v>
      </c>
      <c r="S175">
        <f>COUNTIFS(DATOS!G:G,CONFIG_METADATA!$B$4,DATOS!I:I,B175,DATOS!K:K,8)</f>
        <v>0</v>
      </c>
      <c r="T175">
        <f>COUNTIFS(DATOS!G:G,CONFIG_METADATA!$B$4,DATOS!I:I,B175,DATOS!K:K,9)</f>
        <v>0</v>
      </c>
      <c r="U175">
        <f>COUNTIFS(DATOS!G:G,CONFIG_METADATA!$B$4,DATOS!I:I,B175,DATOS!K:K,10)</f>
        <v>0</v>
      </c>
    </row>
    <row r="176" spans="1:22">
      <c r="A176" s="3" t="inlineStr">
        <is>
          <t xml:space="preserve">4EEM</t>
        </is>
      </c>
      <c r="B176" s="3">
        <f>IFERROR(INDEX(_xlfn._xlws.FILTER(CONFIG_ASIGNATURAS!$B$2:$B$27,CONFIG_ASIGNATURAS!$G$2:$G$27="Sí"),24),"")</f>
      </c>
      <c r="C176" s="3">
        <f>IF(B176="","",IFERROR(IF(VLOOKUP(B176,CONFIG_ASIGNATURAS!$B$2:$F$27,5,FALSE())="Sí","Especialidad","Asignatura"),"Asignatura"))</f>
      </c>
      <c r="D176">
        <f>COUNTIFS(DATOS!G:G,CONFIG_METADATA!$B$4,DATOS!I:I,B176)</f>
        <v>0</v>
      </c>
      <c r="E176" s="14" t="str">
        <f>IFERROR(AVERAGEIFS(DATOS!K:K,DATOS!G:G,CONFIG_METADATA!$B$4,DATOS!I:I,B176),"—")</f>
        <v>—</v>
      </c>
      <c r="F176" s="14" t="str" cm="1">
        <f t="array" ref="F176">IFERROR(_xlfn.STDEV.P(IF((DATOS!$G$2:$G$20000=CONFIG_METADATA!$B$4)*(DATOS!$I$2:$I$20000=B176),DATOS!$K$2:$K$20000)),"—")</f>
        <v>—</v>
      </c>
      <c r="G176" t="str" cm="1">
        <f t="array" ref="G176">IFERROR(_xlfn.MODE.SNGL(IF((DATOS!$G$2:$G$20000=CONFIG_METADATA!$B$4)*(DATOS!$I$2:$I$20000=B176),DATOS!$K$2:$K$20000)),"—")</f>
        <v>—</v>
      </c>
      <c r="H176" s="15" t="str">
        <f>IFERROR(COUNTIFS(DATOS!G:G,CONFIG_METADATA!$B$4,DATOS!I:I,B176,DATOS!L:L,"S")/COUNTIFS(DATOS!G:G,CONFIG_METADATA!$B$4,DATOS!I:I,B176),"—")</f>
        <v>—</v>
      </c>
      <c r="I176" s="15" t="str">
        <f>IFERROR(COUNTIFS(DATOS!G:G,CONFIG_METADATA!$B$4,DATOS!I:I,B176,DATOS!L:L,"N")/COUNTIFS(DATOS!G:G,CONFIG_METADATA!$B$4,DATOS!I:I,B176),"—")</f>
        <v>—</v>
      </c>
      <c r="J176" t="str" cm="1">
        <f t="array" ref="J176">IFERROR(_xlfn.MODE.SNGL(IF((DATOS!$G$2:$G$20000=CONFIG_METADATA!$B$4)*(DATOS!$I$2:$I$20000=B176)*(DATOS!$L$2:$L$20000="S"),DATOS!$K$2:$K$20000)),"—")</f>
        <v>—</v>
      </c>
      <c r="K176" t="str" cm="1">
        <f t="array" ref="K176">IFERROR(_xlfn.MODE.SNGL(IF((DATOS!$G$2:$G$20000=CONFIG_METADATA!$B$4)*(DATOS!$I$2:$I$20000=B176)*(DATOS!$L$2:$L$20000="N"),DATOS!$K$2:$K$20000)),"—")</f>
        <v>—</v>
      </c>
      <c r="L176">
        <f>COUNTIFS(DATOS!G:G,CONFIG_METADATA!$B$4,DATOS!I:I,B176,DATOS!K:K,1)</f>
        <v>0</v>
      </c>
      <c r="M176">
        <f>COUNTIFS(DATOS!G:G,CONFIG_METADATA!$B$4,DATOS!I:I,B176,DATOS!K:K,2)</f>
        <v>0</v>
      </c>
      <c r="N176">
        <f>COUNTIFS(DATOS!G:G,CONFIG_METADATA!$B$4,DATOS!I:I,B176,DATOS!K:K,3)</f>
        <v>0</v>
      </c>
      <c r="O176">
        <f>COUNTIFS(DATOS!G:G,CONFIG_METADATA!$B$4,DATOS!I:I,B176,DATOS!K:K,4)</f>
        <v>0</v>
      </c>
      <c r="P176">
        <f>COUNTIFS(DATOS!G:G,CONFIG_METADATA!$B$4,DATOS!I:I,B176,DATOS!K:K,5)</f>
        <v>0</v>
      </c>
      <c r="Q176">
        <f>COUNTIFS(DATOS!G:G,CONFIG_METADATA!$B$4,DATOS!I:I,B176,DATOS!K:K,6)</f>
        <v>0</v>
      </c>
      <c r="R176">
        <f>COUNTIFS(DATOS!G:G,CONFIG_METADATA!$B$4,DATOS!I:I,B176,DATOS!K:K,7)</f>
        <v>0</v>
      </c>
      <c r="S176">
        <f>COUNTIFS(DATOS!G:G,CONFIG_METADATA!$B$4,DATOS!I:I,B176,DATOS!K:K,8)</f>
        <v>0</v>
      </c>
      <c r="T176">
        <f>COUNTIFS(DATOS!G:G,CONFIG_METADATA!$B$4,DATOS!I:I,B176,DATOS!K:K,9)</f>
        <v>0</v>
      </c>
      <c r="U176">
        <f>COUNTIFS(DATOS!G:G,CONFIG_METADATA!$B$4,DATOS!I:I,B176,DATOS!K:K,10)</f>
        <v>0</v>
      </c>
    </row>
    <row r="177" spans="1:22">
      <c r="A177" s="3" t="inlineStr">
        <is>
          <t xml:space="preserve">4EEM</t>
        </is>
      </c>
      <c r="B177" s="3">
        <f>IFERROR(INDEX(_xlfn._xlws.FILTER(CONFIG_ASIGNATURAS!$B$2:$B$27,CONFIG_ASIGNATURAS!$G$2:$G$27="Sí"),25),"")</f>
      </c>
      <c r="C177" s="3">
        <f>IF(B177="","",IFERROR(IF(VLOOKUP(B177,CONFIG_ASIGNATURAS!$B$2:$F$27,5,FALSE())="Sí","Especialidad","Asignatura"),"Asignatura"))</f>
      </c>
      <c r="D177">
        <f>COUNTIFS(DATOS!G:G,CONFIG_METADATA!$B$4,DATOS!I:I,B177)</f>
        <v>0</v>
      </c>
      <c r="E177" s="14" t="str">
        <f>IFERROR(AVERAGEIFS(DATOS!K:K,DATOS!G:G,CONFIG_METADATA!$B$4,DATOS!I:I,B177),"—")</f>
        <v>—</v>
      </c>
      <c r="F177" s="14" t="str" cm="1">
        <f t="array" ref="F177">IFERROR(_xlfn.STDEV.P(IF((DATOS!$G$2:$G$20000=CONFIG_METADATA!$B$4)*(DATOS!$I$2:$I$20000=B177),DATOS!$K$2:$K$20000)),"—")</f>
        <v>—</v>
      </c>
      <c r="G177" t="str" cm="1">
        <f t="array" ref="G177">IFERROR(_xlfn.MODE.SNGL(IF((DATOS!$G$2:$G$20000=CONFIG_METADATA!$B$4)*(DATOS!$I$2:$I$20000=B177),DATOS!$K$2:$K$20000)),"—")</f>
        <v>—</v>
      </c>
      <c r="H177" s="15" t="str">
        <f>IFERROR(COUNTIFS(DATOS!G:G,CONFIG_METADATA!$B$4,DATOS!I:I,B177,DATOS!L:L,"S")/COUNTIFS(DATOS!G:G,CONFIG_METADATA!$B$4,DATOS!I:I,B177),"—")</f>
        <v>—</v>
      </c>
      <c r="I177" s="15" t="str">
        <f>IFERROR(COUNTIFS(DATOS!G:G,CONFIG_METADATA!$B$4,DATOS!I:I,B177,DATOS!L:L,"N")/COUNTIFS(DATOS!G:G,CONFIG_METADATA!$B$4,DATOS!I:I,B177),"—")</f>
        <v>—</v>
      </c>
      <c r="J177" t="str" cm="1">
        <f t="array" ref="J177">IFERROR(_xlfn.MODE.SNGL(IF((DATOS!$G$2:$G$20000=CONFIG_METADATA!$B$4)*(DATOS!$I$2:$I$20000=B177)*(DATOS!$L$2:$L$20000="S"),DATOS!$K$2:$K$20000)),"—")</f>
        <v>—</v>
      </c>
      <c r="K177" t="str" cm="1">
        <f t="array" ref="K177">IFERROR(_xlfn.MODE.SNGL(IF((DATOS!$G$2:$G$20000=CONFIG_METADATA!$B$4)*(DATOS!$I$2:$I$20000=B177)*(DATOS!$L$2:$L$20000="N"),DATOS!$K$2:$K$20000)),"—")</f>
        <v>—</v>
      </c>
      <c r="L177">
        <f>COUNTIFS(DATOS!G:G,CONFIG_METADATA!$B$4,DATOS!I:I,B177,DATOS!K:K,1)</f>
        <v>0</v>
      </c>
      <c r="M177">
        <f>COUNTIFS(DATOS!G:G,CONFIG_METADATA!$B$4,DATOS!I:I,B177,DATOS!K:K,2)</f>
        <v>0</v>
      </c>
      <c r="N177">
        <f>COUNTIFS(DATOS!G:G,CONFIG_METADATA!$B$4,DATOS!I:I,B177,DATOS!K:K,3)</f>
        <v>0</v>
      </c>
      <c r="O177">
        <f>COUNTIFS(DATOS!G:G,CONFIG_METADATA!$B$4,DATOS!I:I,B177,DATOS!K:K,4)</f>
        <v>0</v>
      </c>
      <c r="P177">
        <f>COUNTIFS(DATOS!G:G,CONFIG_METADATA!$B$4,DATOS!I:I,B177,DATOS!K:K,5)</f>
        <v>0</v>
      </c>
      <c r="Q177">
        <f>COUNTIFS(DATOS!G:G,CONFIG_METADATA!$B$4,DATOS!I:I,B177,DATOS!K:K,6)</f>
        <v>0</v>
      </c>
      <c r="R177">
        <f>COUNTIFS(DATOS!G:G,CONFIG_METADATA!$B$4,DATOS!I:I,B177,DATOS!K:K,7)</f>
        <v>0</v>
      </c>
      <c r="S177">
        <f>COUNTIFS(DATOS!G:G,CONFIG_METADATA!$B$4,DATOS!I:I,B177,DATOS!K:K,8)</f>
        <v>0</v>
      </c>
      <c r="T177">
        <f>COUNTIFS(DATOS!G:G,CONFIG_METADATA!$B$4,DATOS!I:I,B177,DATOS!K:K,9)</f>
        <v>0</v>
      </c>
      <c r="U177">
        <f>COUNTIFS(DATOS!G:G,CONFIG_METADATA!$B$4,DATOS!I:I,B177,DATOS!K:K,10)</f>
        <v>0</v>
      </c>
    </row>
    <row r="178" spans="1:22">
      <c r="A178" s="3" t="inlineStr">
        <is>
          <t xml:space="preserve">4EEM</t>
        </is>
      </c>
      <c r="B178" s="3">
        <f>IFERROR(INDEX(_xlfn._xlws.FILTER(CONFIG_ASIGNATURAS!$B$2:$B$27,CONFIG_ASIGNATURAS!$G$2:$G$27="Sí"),26),"")</f>
      </c>
      <c r="C178" s="3">
        <f>IF(B178="","",IFERROR(IF(VLOOKUP(B178,CONFIG_ASIGNATURAS!$B$2:$F$27,5,FALSE())="Sí","Especialidad","Asignatura"),"Asignatura"))</f>
      </c>
      <c r="D178">
        <f>COUNTIFS(DATOS!G:G,CONFIG_METADATA!$B$4,DATOS!I:I,B178)</f>
        <v>0</v>
      </c>
      <c r="E178" s="14" t="str">
        <f>IFERROR(AVERAGEIFS(DATOS!K:K,DATOS!G:G,CONFIG_METADATA!$B$4,DATOS!I:I,B178),"—")</f>
        <v>—</v>
      </c>
      <c r="F178" s="14" t="str" cm="1">
        <f t="array" ref="F178">IFERROR(_xlfn.STDEV.P(IF((DATOS!$G$2:$G$20000=CONFIG_METADATA!$B$4)*(DATOS!$I$2:$I$20000=B178),DATOS!$K$2:$K$20000)),"—")</f>
        <v>—</v>
      </c>
      <c r="G178" t="str" cm="1">
        <f t="array" ref="G178">IFERROR(_xlfn.MODE.SNGL(IF((DATOS!$G$2:$G$20000=CONFIG_METADATA!$B$4)*(DATOS!$I$2:$I$20000=B178),DATOS!$K$2:$K$20000)),"—")</f>
        <v>—</v>
      </c>
      <c r="H178" s="15" t="str">
        <f>IFERROR(COUNTIFS(DATOS!G:G,CONFIG_METADATA!$B$4,DATOS!I:I,B178,DATOS!L:L,"S")/COUNTIFS(DATOS!G:G,CONFIG_METADATA!$B$4,DATOS!I:I,B178),"—")</f>
        <v>—</v>
      </c>
      <c r="I178" s="15" t="str">
        <f>IFERROR(COUNTIFS(DATOS!G:G,CONFIG_METADATA!$B$4,DATOS!I:I,B178,DATOS!L:L,"N")/COUNTIFS(DATOS!G:G,CONFIG_METADATA!$B$4,DATOS!I:I,B178),"—")</f>
        <v>—</v>
      </c>
      <c r="J178" t="str" cm="1">
        <f t="array" ref="J178">IFERROR(_xlfn.MODE.SNGL(IF((DATOS!$G$2:$G$20000=CONFIG_METADATA!$B$4)*(DATOS!$I$2:$I$20000=B178)*(DATOS!$L$2:$L$20000="S"),DATOS!$K$2:$K$20000)),"—")</f>
        <v>—</v>
      </c>
      <c r="K178" t="str" cm="1">
        <f t="array" ref="K178">IFERROR(_xlfn.MODE.SNGL(IF((DATOS!$G$2:$G$20000=CONFIG_METADATA!$B$4)*(DATOS!$I$2:$I$20000=B178)*(DATOS!$L$2:$L$20000="N"),DATOS!$K$2:$K$20000)),"—")</f>
        <v>—</v>
      </c>
      <c r="L178">
        <f>COUNTIFS(DATOS!G:G,CONFIG_METADATA!$B$4,DATOS!I:I,B178,DATOS!K:K,1)</f>
        <v>0</v>
      </c>
      <c r="M178">
        <f>COUNTIFS(DATOS!G:G,CONFIG_METADATA!$B$4,DATOS!I:I,B178,DATOS!K:K,2)</f>
        <v>0</v>
      </c>
      <c r="N178">
        <f>COUNTIFS(DATOS!G:G,CONFIG_METADATA!$B$4,DATOS!I:I,B178,DATOS!K:K,3)</f>
        <v>0</v>
      </c>
      <c r="O178">
        <f>COUNTIFS(DATOS!G:G,CONFIG_METADATA!$B$4,DATOS!I:I,B178,DATOS!K:K,4)</f>
        <v>0</v>
      </c>
      <c r="P178">
        <f>COUNTIFS(DATOS!G:G,CONFIG_METADATA!$B$4,DATOS!I:I,B178,DATOS!K:K,5)</f>
        <v>0</v>
      </c>
      <c r="Q178">
        <f>COUNTIFS(DATOS!G:G,CONFIG_METADATA!$B$4,DATOS!I:I,B178,DATOS!K:K,6)</f>
        <v>0</v>
      </c>
      <c r="R178">
        <f>COUNTIFS(DATOS!G:G,CONFIG_METADATA!$B$4,DATOS!I:I,B178,DATOS!K:K,7)</f>
        <v>0</v>
      </c>
      <c r="S178">
        <f>COUNTIFS(DATOS!G:G,CONFIG_METADATA!$B$4,DATOS!I:I,B178,DATOS!K:K,8)</f>
        <v>0</v>
      </c>
      <c r="T178">
        <f>COUNTIFS(DATOS!G:G,CONFIG_METADATA!$B$4,DATOS!I:I,B178,DATOS!K:K,9)</f>
        <v>0</v>
      </c>
      <c r="U178">
        <f>COUNTIFS(DATOS!G:G,CONFIG_METADATA!$B$4,DATOS!I:I,B178,DATOS!K:K,10)</f>
        <v>0</v>
      </c>
    </row>
    <row r="179" spans="1:22">
      <c r="A179" s="3" t="inlineStr">
        <is>
          <t xml:space="preserve">4EEM</t>
        </is>
      </c>
      <c r="B179" s="3">
        <f>IFERROR(INDEX(_xlfn._xlws.FILTER(CONFIG_ASIGNATURAS!$B$2:$B$27,CONFIG_ASIGNATURAS!$G$2:$G$27="Sí"),27),"")</f>
      </c>
      <c r="C179" s="3">
        <f>IF(B179="","",IFERROR(IF(VLOOKUP(B179,CONFIG_ASIGNATURAS!$B$2:$F$27,5,FALSE())="Sí","Especialidad","Asignatura"),"Asignatura"))</f>
      </c>
      <c r="D179">
        <f>COUNTIFS(DATOS!G:G,CONFIG_METADATA!$B$4,DATOS!I:I,B179)</f>
        <v>0</v>
      </c>
      <c r="E179" s="14" t="str">
        <f>IFERROR(AVERAGEIFS(DATOS!K:K,DATOS!G:G,CONFIG_METADATA!$B$4,DATOS!I:I,B179),"—")</f>
        <v>—</v>
      </c>
      <c r="F179" s="14" t="str" cm="1">
        <f t="array" ref="F179">IFERROR(_xlfn.STDEV.P(IF((DATOS!$G$2:$G$20000=CONFIG_METADATA!$B$4)*(DATOS!$I$2:$I$20000=B179),DATOS!$K$2:$K$20000)),"—")</f>
        <v>—</v>
      </c>
      <c r="G179" t="str" cm="1">
        <f t="array" ref="G179">IFERROR(_xlfn.MODE.SNGL(IF((DATOS!$G$2:$G$20000=CONFIG_METADATA!$B$4)*(DATOS!$I$2:$I$20000=B179),DATOS!$K$2:$K$20000)),"—")</f>
        <v>—</v>
      </c>
      <c r="H179" s="15" t="str">
        <f>IFERROR(COUNTIFS(DATOS!G:G,CONFIG_METADATA!$B$4,DATOS!I:I,B179,DATOS!L:L,"S")/COUNTIFS(DATOS!G:G,CONFIG_METADATA!$B$4,DATOS!I:I,B179),"—")</f>
        <v>—</v>
      </c>
      <c r="I179" s="15" t="str">
        <f>IFERROR(COUNTIFS(DATOS!G:G,CONFIG_METADATA!$B$4,DATOS!I:I,B179,DATOS!L:L,"N")/COUNTIFS(DATOS!G:G,CONFIG_METADATA!$B$4,DATOS!I:I,B179),"—")</f>
        <v>—</v>
      </c>
      <c r="J179" t="str" cm="1">
        <f t="array" ref="J179">IFERROR(_xlfn.MODE.SNGL(IF((DATOS!$G$2:$G$20000=CONFIG_METADATA!$B$4)*(DATOS!$I$2:$I$20000=B179)*(DATOS!$L$2:$L$20000="S"),DATOS!$K$2:$K$20000)),"—")</f>
        <v>—</v>
      </c>
      <c r="K179" t="str" cm="1">
        <f t="array" ref="K179">IFERROR(_xlfn.MODE.SNGL(IF((DATOS!$G$2:$G$20000=CONFIG_METADATA!$B$4)*(DATOS!$I$2:$I$20000=B179)*(DATOS!$L$2:$L$20000="N"),DATOS!$K$2:$K$20000)),"—")</f>
        <v>—</v>
      </c>
      <c r="L179">
        <f>COUNTIFS(DATOS!G:G,CONFIG_METADATA!$B$4,DATOS!I:I,B179,DATOS!K:K,1)</f>
        <v>0</v>
      </c>
      <c r="M179">
        <f>COUNTIFS(DATOS!G:G,CONFIG_METADATA!$B$4,DATOS!I:I,B179,DATOS!K:K,2)</f>
        <v>0</v>
      </c>
      <c r="N179">
        <f>COUNTIFS(DATOS!G:G,CONFIG_METADATA!$B$4,DATOS!I:I,B179,DATOS!K:K,3)</f>
        <v>0</v>
      </c>
      <c r="O179">
        <f>COUNTIFS(DATOS!G:G,CONFIG_METADATA!$B$4,DATOS!I:I,B179,DATOS!K:K,4)</f>
        <v>0</v>
      </c>
      <c r="P179">
        <f>COUNTIFS(DATOS!G:G,CONFIG_METADATA!$B$4,DATOS!I:I,B179,DATOS!K:K,5)</f>
        <v>0</v>
      </c>
      <c r="Q179">
        <f>COUNTIFS(DATOS!G:G,CONFIG_METADATA!$B$4,DATOS!I:I,B179,DATOS!K:K,6)</f>
        <v>0</v>
      </c>
      <c r="R179">
        <f>COUNTIFS(DATOS!G:G,CONFIG_METADATA!$B$4,DATOS!I:I,B179,DATOS!K:K,7)</f>
        <v>0</v>
      </c>
      <c r="S179">
        <f>COUNTIFS(DATOS!G:G,CONFIG_METADATA!$B$4,DATOS!I:I,B179,DATOS!K:K,8)</f>
        <v>0</v>
      </c>
      <c r="T179">
        <f>COUNTIFS(DATOS!G:G,CONFIG_METADATA!$B$4,DATOS!I:I,B179,DATOS!K:K,9)</f>
        <v>0</v>
      </c>
      <c r="U179">
        <f>COUNTIFS(DATOS!G:G,CONFIG_METADATA!$B$4,DATOS!I:I,B179,DATOS!K:K,10)</f>
        <v>0</v>
      </c>
    </row>
    <row r="180" spans="1:22">
      <c r="A180" s="3" t="inlineStr">
        <is>
          <t xml:space="preserve">4EEM</t>
        </is>
      </c>
      <c r="B180" s="3">
        <f>IFERROR(INDEX(_xlfn._xlws.FILTER(CONFIG_ASIGNATURAS!$B$2:$B$27,CONFIG_ASIGNATURAS!$G$2:$G$27="Sí"),28),"")</f>
      </c>
      <c r="C180" s="3">
        <f>IF(B180="","",IFERROR(IF(VLOOKUP(B180,CONFIG_ASIGNATURAS!$B$2:$F$27,5,FALSE())="Sí","Especialidad","Asignatura"),"Asignatura"))</f>
      </c>
      <c r="D180">
        <f>COUNTIFS(DATOS!G:G,CONFIG_METADATA!$B$4,DATOS!I:I,B180)</f>
        <v>0</v>
      </c>
      <c r="E180" s="14" t="str">
        <f>IFERROR(AVERAGEIFS(DATOS!K:K,DATOS!G:G,CONFIG_METADATA!$B$4,DATOS!I:I,B180),"—")</f>
        <v>—</v>
      </c>
      <c r="F180" s="14" t="str" cm="1">
        <f t="array" ref="F180">IFERROR(_xlfn.STDEV.P(IF((DATOS!$G$2:$G$20000=CONFIG_METADATA!$B$4)*(DATOS!$I$2:$I$20000=B180),DATOS!$K$2:$K$20000)),"—")</f>
        <v>—</v>
      </c>
      <c r="G180" t="str" cm="1">
        <f t="array" ref="G180">IFERROR(_xlfn.MODE.SNGL(IF((DATOS!$G$2:$G$20000=CONFIG_METADATA!$B$4)*(DATOS!$I$2:$I$20000=B180),DATOS!$K$2:$K$20000)),"—")</f>
        <v>—</v>
      </c>
      <c r="H180" s="15" t="str">
        <f>IFERROR(COUNTIFS(DATOS!G:G,CONFIG_METADATA!$B$4,DATOS!I:I,B180,DATOS!L:L,"S")/COUNTIFS(DATOS!G:G,CONFIG_METADATA!$B$4,DATOS!I:I,B180),"—")</f>
        <v>—</v>
      </c>
      <c r="I180" s="15" t="str">
        <f>IFERROR(COUNTIFS(DATOS!G:G,CONFIG_METADATA!$B$4,DATOS!I:I,B180,DATOS!L:L,"N")/COUNTIFS(DATOS!G:G,CONFIG_METADATA!$B$4,DATOS!I:I,B180),"—")</f>
        <v>—</v>
      </c>
      <c r="J180" t="str" cm="1">
        <f t="array" ref="J180">IFERROR(_xlfn.MODE.SNGL(IF((DATOS!$G$2:$G$20000=CONFIG_METADATA!$B$4)*(DATOS!$I$2:$I$20000=B180)*(DATOS!$L$2:$L$20000="S"),DATOS!$K$2:$K$20000)),"—")</f>
        <v>—</v>
      </c>
      <c r="K180" t="str" cm="1">
        <f t="array" ref="K180">IFERROR(_xlfn.MODE.SNGL(IF((DATOS!$G$2:$G$20000=CONFIG_METADATA!$B$4)*(DATOS!$I$2:$I$20000=B180)*(DATOS!$L$2:$L$20000="N"),DATOS!$K$2:$K$20000)),"—")</f>
        <v>—</v>
      </c>
      <c r="L180">
        <f>COUNTIFS(DATOS!G:G,CONFIG_METADATA!$B$4,DATOS!I:I,B180,DATOS!K:K,1)</f>
        <v>0</v>
      </c>
      <c r="M180">
        <f>COUNTIFS(DATOS!G:G,CONFIG_METADATA!$B$4,DATOS!I:I,B180,DATOS!K:K,2)</f>
        <v>0</v>
      </c>
      <c r="N180">
        <f>COUNTIFS(DATOS!G:G,CONFIG_METADATA!$B$4,DATOS!I:I,B180,DATOS!K:K,3)</f>
        <v>0</v>
      </c>
      <c r="O180">
        <f>COUNTIFS(DATOS!G:G,CONFIG_METADATA!$B$4,DATOS!I:I,B180,DATOS!K:K,4)</f>
        <v>0</v>
      </c>
      <c r="P180">
        <f>COUNTIFS(DATOS!G:G,CONFIG_METADATA!$B$4,DATOS!I:I,B180,DATOS!K:K,5)</f>
        <v>0</v>
      </c>
      <c r="Q180">
        <f>COUNTIFS(DATOS!G:G,CONFIG_METADATA!$B$4,DATOS!I:I,B180,DATOS!K:K,6)</f>
        <v>0</v>
      </c>
      <c r="R180">
        <f>COUNTIFS(DATOS!G:G,CONFIG_METADATA!$B$4,DATOS!I:I,B180,DATOS!K:K,7)</f>
        <v>0</v>
      </c>
      <c r="S180">
        <f>COUNTIFS(DATOS!G:G,CONFIG_METADATA!$B$4,DATOS!I:I,B180,DATOS!K:K,8)</f>
        <v>0</v>
      </c>
      <c r="T180">
        <f>COUNTIFS(DATOS!G:G,CONFIG_METADATA!$B$4,DATOS!I:I,B180,DATOS!K:K,9)</f>
        <v>0</v>
      </c>
      <c r="U180">
        <f>COUNTIFS(DATOS!G:G,CONFIG_METADATA!$B$4,DATOS!I:I,B180,DATOS!K:K,10)</f>
        <v>0</v>
      </c>
    </row>
    <row r="181" spans="1:22">
      <c r="A181" s="3" t="inlineStr">
        <is>
          <t xml:space="preserve">4EEM</t>
        </is>
      </c>
      <c r="B181" s="3">
        <f>IFERROR(INDEX(_xlfn._xlws.FILTER(CONFIG_ASIGNATURAS!$B$2:$B$27,CONFIG_ASIGNATURAS!$G$2:$G$27="Sí"),29),"")</f>
      </c>
      <c r="C181" s="3">
        <f>IF(B181="","",IFERROR(IF(VLOOKUP(B181,CONFIG_ASIGNATURAS!$B$2:$F$27,5,FALSE())="Sí","Especialidad","Asignatura"),"Asignatura"))</f>
      </c>
      <c r="D181">
        <f>COUNTIFS(DATOS!G:G,CONFIG_METADATA!$B$4,DATOS!I:I,B181)</f>
        <v>0</v>
      </c>
      <c r="E181" s="14" t="str">
        <f>IFERROR(AVERAGEIFS(DATOS!K:K,DATOS!G:G,CONFIG_METADATA!$B$4,DATOS!I:I,B181),"—")</f>
        <v>—</v>
      </c>
      <c r="F181" s="14" t="str" cm="1">
        <f t="array" ref="F181">IFERROR(_xlfn.STDEV.P(IF((DATOS!$G$2:$G$20000=CONFIG_METADATA!$B$4)*(DATOS!$I$2:$I$20000=B181),DATOS!$K$2:$K$20000)),"—")</f>
        <v>—</v>
      </c>
      <c r="G181" t="str" cm="1">
        <f t="array" ref="G181">IFERROR(_xlfn.MODE.SNGL(IF((DATOS!$G$2:$G$20000=CONFIG_METADATA!$B$4)*(DATOS!$I$2:$I$20000=B181),DATOS!$K$2:$K$20000)),"—")</f>
        <v>—</v>
      </c>
      <c r="H181" s="15" t="str">
        <f>IFERROR(COUNTIFS(DATOS!G:G,CONFIG_METADATA!$B$4,DATOS!I:I,B181,DATOS!L:L,"S")/COUNTIFS(DATOS!G:G,CONFIG_METADATA!$B$4,DATOS!I:I,B181),"—")</f>
        <v>—</v>
      </c>
      <c r="I181" s="15" t="str">
        <f>IFERROR(COUNTIFS(DATOS!G:G,CONFIG_METADATA!$B$4,DATOS!I:I,B181,DATOS!L:L,"N")/COUNTIFS(DATOS!G:G,CONFIG_METADATA!$B$4,DATOS!I:I,B181),"—")</f>
        <v>—</v>
      </c>
      <c r="J181" t="str" cm="1">
        <f t="array" ref="J181">IFERROR(_xlfn.MODE.SNGL(IF((DATOS!$G$2:$G$20000=CONFIG_METADATA!$B$4)*(DATOS!$I$2:$I$20000=B181)*(DATOS!$L$2:$L$20000="S"),DATOS!$K$2:$K$20000)),"—")</f>
        <v>—</v>
      </c>
      <c r="K181" t="str" cm="1">
        <f t="array" ref="K181">IFERROR(_xlfn.MODE.SNGL(IF((DATOS!$G$2:$G$20000=CONFIG_METADATA!$B$4)*(DATOS!$I$2:$I$20000=B181)*(DATOS!$L$2:$L$20000="N"),DATOS!$K$2:$K$20000)),"—")</f>
        <v>—</v>
      </c>
      <c r="L181">
        <f>COUNTIFS(DATOS!G:G,CONFIG_METADATA!$B$4,DATOS!I:I,B181,DATOS!K:K,1)</f>
        <v>0</v>
      </c>
      <c r="M181">
        <f>COUNTIFS(DATOS!G:G,CONFIG_METADATA!$B$4,DATOS!I:I,B181,DATOS!K:K,2)</f>
        <v>0</v>
      </c>
      <c r="N181">
        <f>COUNTIFS(DATOS!G:G,CONFIG_METADATA!$B$4,DATOS!I:I,B181,DATOS!K:K,3)</f>
        <v>0</v>
      </c>
      <c r="O181">
        <f>COUNTIFS(DATOS!G:G,CONFIG_METADATA!$B$4,DATOS!I:I,B181,DATOS!K:K,4)</f>
        <v>0</v>
      </c>
      <c r="P181">
        <f>COUNTIFS(DATOS!G:G,CONFIG_METADATA!$B$4,DATOS!I:I,B181,DATOS!K:K,5)</f>
        <v>0</v>
      </c>
      <c r="Q181">
        <f>COUNTIFS(DATOS!G:G,CONFIG_METADATA!$B$4,DATOS!I:I,B181,DATOS!K:K,6)</f>
        <v>0</v>
      </c>
      <c r="R181">
        <f>COUNTIFS(DATOS!G:G,CONFIG_METADATA!$B$4,DATOS!I:I,B181,DATOS!K:K,7)</f>
        <v>0</v>
      </c>
      <c r="S181">
        <f>COUNTIFS(DATOS!G:G,CONFIG_METADATA!$B$4,DATOS!I:I,B181,DATOS!K:K,8)</f>
        <v>0</v>
      </c>
      <c r="T181">
        <f>COUNTIFS(DATOS!G:G,CONFIG_METADATA!$B$4,DATOS!I:I,B181,DATOS!K:K,9)</f>
        <v>0</v>
      </c>
      <c r="U181">
        <f>COUNTIFS(DATOS!G:G,CONFIG_METADATA!$B$4,DATOS!I:I,B181,DATOS!K:K,10)</f>
        <v>0</v>
      </c>
    </row>
    <row r="182" spans="1:22">
      <c r="A182" s="3" t="inlineStr">
        <is>
          <t xml:space="preserve">4EEM</t>
        </is>
      </c>
      <c r="B182" s="3">
        <f>IFERROR(INDEX(_xlfn._xlws.FILTER(CONFIG_ASIGNATURAS!$B$2:$B$27,CONFIG_ASIGNATURAS!$G$2:$G$27="Sí"),30),"")</f>
      </c>
      <c r="C182" s="3">
        <f>IF(B182="","",IFERROR(IF(VLOOKUP(B182,CONFIG_ASIGNATURAS!$B$2:$F$27,5,FALSE())="Sí","Especialidad","Asignatura"),"Asignatura"))</f>
      </c>
      <c r="D182">
        <f>COUNTIFS(DATOS!G:G,CONFIG_METADATA!$B$4,DATOS!I:I,B182)</f>
        <v>0</v>
      </c>
      <c r="E182" s="14" t="str">
        <f>IFERROR(AVERAGEIFS(DATOS!K:K,DATOS!G:G,CONFIG_METADATA!$B$4,DATOS!I:I,B182),"—")</f>
        <v>—</v>
      </c>
      <c r="F182" s="14" t="str" cm="1">
        <f t="array" ref="F182">IFERROR(_xlfn.STDEV.P(IF((DATOS!$G$2:$G$20000=CONFIG_METADATA!$B$4)*(DATOS!$I$2:$I$20000=B182),DATOS!$K$2:$K$20000)),"—")</f>
        <v>—</v>
      </c>
      <c r="G182" t="str" cm="1">
        <f t="array" ref="G182">IFERROR(_xlfn.MODE.SNGL(IF((DATOS!$G$2:$G$20000=CONFIG_METADATA!$B$4)*(DATOS!$I$2:$I$20000=B182),DATOS!$K$2:$K$20000)),"—")</f>
        <v>—</v>
      </c>
      <c r="H182" s="15" t="str">
        <f>IFERROR(COUNTIFS(DATOS!G:G,CONFIG_METADATA!$B$4,DATOS!I:I,B182,DATOS!L:L,"S")/COUNTIFS(DATOS!G:G,CONFIG_METADATA!$B$4,DATOS!I:I,B182),"—")</f>
        <v>—</v>
      </c>
      <c r="I182" s="15" t="str">
        <f>IFERROR(COUNTIFS(DATOS!G:G,CONFIG_METADATA!$B$4,DATOS!I:I,B182,DATOS!L:L,"N")/COUNTIFS(DATOS!G:G,CONFIG_METADATA!$B$4,DATOS!I:I,B182),"—")</f>
        <v>—</v>
      </c>
      <c r="J182" t="str" cm="1">
        <f t="array" ref="J182">IFERROR(_xlfn.MODE.SNGL(IF((DATOS!$G$2:$G$20000=CONFIG_METADATA!$B$4)*(DATOS!$I$2:$I$20000=B182)*(DATOS!$L$2:$L$20000="S"),DATOS!$K$2:$K$20000)),"—")</f>
        <v>—</v>
      </c>
      <c r="K182" t="str" cm="1">
        <f t="array" ref="K182">IFERROR(_xlfn.MODE.SNGL(IF((DATOS!$G$2:$G$20000=CONFIG_METADATA!$B$4)*(DATOS!$I$2:$I$20000=B182)*(DATOS!$L$2:$L$20000="N"),DATOS!$K$2:$K$20000)),"—")</f>
        <v>—</v>
      </c>
      <c r="L182">
        <f>COUNTIFS(DATOS!G:G,CONFIG_METADATA!$B$4,DATOS!I:I,B182,DATOS!K:K,1)</f>
        <v>0</v>
      </c>
      <c r="M182">
        <f>COUNTIFS(DATOS!G:G,CONFIG_METADATA!$B$4,DATOS!I:I,B182,DATOS!K:K,2)</f>
        <v>0</v>
      </c>
      <c r="N182">
        <f>COUNTIFS(DATOS!G:G,CONFIG_METADATA!$B$4,DATOS!I:I,B182,DATOS!K:K,3)</f>
        <v>0</v>
      </c>
      <c r="O182">
        <f>COUNTIFS(DATOS!G:G,CONFIG_METADATA!$B$4,DATOS!I:I,B182,DATOS!K:K,4)</f>
        <v>0</v>
      </c>
      <c r="P182">
        <f>COUNTIFS(DATOS!G:G,CONFIG_METADATA!$B$4,DATOS!I:I,B182,DATOS!K:K,5)</f>
        <v>0</v>
      </c>
      <c r="Q182">
        <f>COUNTIFS(DATOS!G:G,CONFIG_METADATA!$B$4,DATOS!I:I,B182,DATOS!K:K,6)</f>
        <v>0</v>
      </c>
      <c r="R182">
        <f>COUNTIFS(DATOS!G:G,CONFIG_METADATA!$B$4,DATOS!I:I,B182,DATOS!K:K,7)</f>
        <v>0</v>
      </c>
      <c r="S182">
        <f>COUNTIFS(DATOS!G:G,CONFIG_METADATA!$B$4,DATOS!I:I,B182,DATOS!K:K,8)</f>
        <v>0</v>
      </c>
      <c r="T182">
        <f>COUNTIFS(DATOS!G:G,CONFIG_METADATA!$B$4,DATOS!I:I,B182,DATOS!K:K,9)</f>
        <v>0</v>
      </c>
      <c r="U182">
        <f>COUNTIFS(DATOS!G:G,CONFIG_METADATA!$B$4,DATOS!I:I,B182,DATOS!K:K,10)</f>
        <v>0</v>
      </c>
    </row>
    <row r="183" spans="1:22">
      <c r="A183" s="3" t="inlineStr">
        <is>
          <t xml:space="preserve">4EEM</t>
        </is>
      </c>
      <c r="B183" s="3">
        <f>IFERROR(INDEX(_xlfn._xlws.FILTER(CONFIG_ASIGNATURAS!$B$2:$B$27,CONFIG_ASIGNATURAS!$G$2:$G$27="Sí"),31),"")</f>
      </c>
      <c r="C183" s="3">
        <f>IF(B183="","",IFERROR(IF(VLOOKUP(B183,CONFIG_ASIGNATURAS!$B$2:$F$27,5,FALSE())="Sí","Especialidad","Asignatura"),"Asignatura"))</f>
      </c>
      <c r="D183">
        <f>COUNTIFS(DATOS!G:G,CONFIG_METADATA!$B$4,DATOS!I:I,B183)</f>
        <v>0</v>
      </c>
      <c r="E183" s="14" t="str">
        <f>IFERROR(AVERAGEIFS(DATOS!K:K,DATOS!G:G,CONFIG_METADATA!$B$4,DATOS!I:I,B183),"—")</f>
        <v>—</v>
      </c>
      <c r="F183" s="14" t="str" cm="1">
        <f t="array" ref="F183">IFERROR(_xlfn.STDEV.P(IF((DATOS!$G$2:$G$20000=CONFIG_METADATA!$B$4)*(DATOS!$I$2:$I$20000=B183),DATOS!$K$2:$K$20000)),"—")</f>
        <v>—</v>
      </c>
      <c r="G183" t="str" cm="1">
        <f t="array" ref="G183">IFERROR(_xlfn.MODE.SNGL(IF((DATOS!$G$2:$G$20000=CONFIG_METADATA!$B$4)*(DATOS!$I$2:$I$20000=B183),DATOS!$K$2:$K$20000)),"—")</f>
        <v>—</v>
      </c>
      <c r="H183" s="15" t="str">
        <f>IFERROR(COUNTIFS(DATOS!G:G,CONFIG_METADATA!$B$4,DATOS!I:I,B183,DATOS!L:L,"S")/COUNTIFS(DATOS!G:G,CONFIG_METADATA!$B$4,DATOS!I:I,B183),"—")</f>
        <v>—</v>
      </c>
      <c r="I183" s="15" t="str">
        <f>IFERROR(COUNTIFS(DATOS!G:G,CONFIG_METADATA!$B$4,DATOS!I:I,B183,DATOS!L:L,"N")/COUNTIFS(DATOS!G:G,CONFIG_METADATA!$B$4,DATOS!I:I,B183),"—")</f>
        <v>—</v>
      </c>
      <c r="J183" t="str" cm="1">
        <f t="array" ref="J183">IFERROR(_xlfn.MODE.SNGL(IF((DATOS!$G$2:$G$20000=CONFIG_METADATA!$B$4)*(DATOS!$I$2:$I$20000=B183)*(DATOS!$L$2:$L$20000="S"),DATOS!$K$2:$K$20000)),"—")</f>
        <v>—</v>
      </c>
      <c r="K183" t="str" cm="1">
        <f t="array" ref="K183">IFERROR(_xlfn.MODE.SNGL(IF((DATOS!$G$2:$G$20000=CONFIG_METADATA!$B$4)*(DATOS!$I$2:$I$20000=B183)*(DATOS!$L$2:$L$20000="N"),DATOS!$K$2:$K$20000)),"—")</f>
        <v>—</v>
      </c>
      <c r="L183">
        <f>COUNTIFS(DATOS!G:G,CONFIG_METADATA!$B$4,DATOS!I:I,B183,DATOS!K:K,1)</f>
        <v>0</v>
      </c>
      <c r="M183">
        <f>COUNTIFS(DATOS!G:G,CONFIG_METADATA!$B$4,DATOS!I:I,B183,DATOS!K:K,2)</f>
        <v>0</v>
      </c>
      <c r="N183">
        <f>COUNTIFS(DATOS!G:G,CONFIG_METADATA!$B$4,DATOS!I:I,B183,DATOS!K:K,3)</f>
        <v>0</v>
      </c>
      <c r="O183">
        <f>COUNTIFS(DATOS!G:G,CONFIG_METADATA!$B$4,DATOS!I:I,B183,DATOS!K:K,4)</f>
        <v>0</v>
      </c>
      <c r="P183">
        <f>COUNTIFS(DATOS!G:G,CONFIG_METADATA!$B$4,DATOS!I:I,B183,DATOS!K:K,5)</f>
        <v>0</v>
      </c>
      <c r="Q183">
        <f>COUNTIFS(DATOS!G:G,CONFIG_METADATA!$B$4,DATOS!I:I,B183,DATOS!K:K,6)</f>
        <v>0</v>
      </c>
      <c r="R183">
        <f>COUNTIFS(DATOS!G:G,CONFIG_METADATA!$B$4,DATOS!I:I,B183,DATOS!K:K,7)</f>
        <v>0</v>
      </c>
      <c r="S183">
        <f>COUNTIFS(DATOS!G:G,CONFIG_METADATA!$B$4,DATOS!I:I,B183,DATOS!K:K,8)</f>
        <v>0</v>
      </c>
      <c r="T183">
        <f>COUNTIFS(DATOS!G:G,CONFIG_METADATA!$B$4,DATOS!I:I,B183,DATOS!K:K,9)</f>
        <v>0</v>
      </c>
      <c r="U183">
        <f>COUNTIFS(DATOS!G:G,CONFIG_METADATA!$B$4,DATOS!I:I,B183,DATOS!K:K,10)</f>
        <v>0</v>
      </c>
    </row>
    <row r="184" spans="1:22">
      <c r="A184" s="3" t="inlineStr">
        <is>
          <t xml:space="preserve">4EEM</t>
        </is>
      </c>
      <c r="B184" s="3">
        <f>IFERROR(INDEX(_xlfn._xlws.FILTER(CONFIG_ASIGNATURAS!$B$2:$B$27,CONFIG_ASIGNATURAS!$G$2:$G$27="Sí"),32),"")</f>
      </c>
      <c r="C184" s="3">
        <f>IF(B184="","",IFERROR(IF(VLOOKUP(B184,CONFIG_ASIGNATURAS!$B$2:$F$27,5,FALSE())="Sí","Especialidad","Asignatura"),"Asignatura"))</f>
      </c>
      <c r="D184">
        <f>COUNTIFS(DATOS!G:G,CONFIG_METADATA!$B$4,DATOS!I:I,B184)</f>
        <v>0</v>
      </c>
      <c r="E184" s="14" t="str">
        <f>IFERROR(AVERAGEIFS(DATOS!K:K,DATOS!G:G,CONFIG_METADATA!$B$4,DATOS!I:I,B184),"—")</f>
        <v>—</v>
      </c>
      <c r="F184" s="14" t="str" cm="1">
        <f t="array" ref="F184">IFERROR(_xlfn.STDEV.P(IF((DATOS!$G$2:$G$20000=CONFIG_METADATA!$B$4)*(DATOS!$I$2:$I$20000=B184),DATOS!$K$2:$K$20000)),"—")</f>
        <v>—</v>
      </c>
      <c r="G184" t="str" cm="1">
        <f t="array" ref="G184">IFERROR(_xlfn.MODE.SNGL(IF((DATOS!$G$2:$G$20000=CONFIG_METADATA!$B$4)*(DATOS!$I$2:$I$20000=B184),DATOS!$K$2:$K$20000)),"—")</f>
        <v>—</v>
      </c>
      <c r="H184" s="15" t="str">
        <f>IFERROR(COUNTIFS(DATOS!G:G,CONFIG_METADATA!$B$4,DATOS!I:I,B184,DATOS!L:L,"S")/COUNTIFS(DATOS!G:G,CONFIG_METADATA!$B$4,DATOS!I:I,B184),"—")</f>
        <v>—</v>
      </c>
      <c r="I184" s="15" t="str">
        <f>IFERROR(COUNTIFS(DATOS!G:G,CONFIG_METADATA!$B$4,DATOS!I:I,B184,DATOS!L:L,"N")/COUNTIFS(DATOS!G:G,CONFIG_METADATA!$B$4,DATOS!I:I,B184),"—")</f>
        <v>—</v>
      </c>
      <c r="J184" t="str" cm="1">
        <f t="array" ref="J184">IFERROR(_xlfn.MODE.SNGL(IF((DATOS!$G$2:$G$20000=CONFIG_METADATA!$B$4)*(DATOS!$I$2:$I$20000=B184)*(DATOS!$L$2:$L$20000="S"),DATOS!$K$2:$K$20000)),"—")</f>
        <v>—</v>
      </c>
      <c r="K184" t="str" cm="1">
        <f t="array" ref="K184">IFERROR(_xlfn.MODE.SNGL(IF((DATOS!$G$2:$G$20000=CONFIG_METADATA!$B$4)*(DATOS!$I$2:$I$20000=B184)*(DATOS!$L$2:$L$20000="N"),DATOS!$K$2:$K$20000)),"—")</f>
        <v>—</v>
      </c>
      <c r="L184">
        <f>COUNTIFS(DATOS!G:G,CONFIG_METADATA!$B$4,DATOS!I:I,B184,DATOS!K:K,1)</f>
        <v>0</v>
      </c>
      <c r="M184">
        <f>COUNTIFS(DATOS!G:G,CONFIG_METADATA!$B$4,DATOS!I:I,B184,DATOS!K:K,2)</f>
        <v>0</v>
      </c>
      <c r="N184">
        <f>COUNTIFS(DATOS!G:G,CONFIG_METADATA!$B$4,DATOS!I:I,B184,DATOS!K:K,3)</f>
        <v>0</v>
      </c>
      <c r="O184">
        <f>COUNTIFS(DATOS!G:G,CONFIG_METADATA!$B$4,DATOS!I:I,B184,DATOS!K:K,4)</f>
        <v>0</v>
      </c>
      <c r="P184">
        <f>COUNTIFS(DATOS!G:G,CONFIG_METADATA!$B$4,DATOS!I:I,B184,DATOS!K:K,5)</f>
        <v>0</v>
      </c>
      <c r="Q184">
        <f>COUNTIFS(DATOS!G:G,CONFIG_METADATA!$B$4,DATOS!I:I,B184,DATOS!K:K,6)</f>
        <v>0</v>
      </c>
      <c r="R184">
        <f>COUNTIFS(DATOS!G:G,CONFIG_METADATA!$B$4,DATOS!I:I,B184,DATOS!K:K,7)</f>
        <v>0</v>
      </c>
      <c r="S184">
        <f>COUNTIFS(DATOS!G:G,CONFIG_METADATA!$B$4,DATOS!I:I,B184,DATOS!K:K,8)</f>
        <v>0</v>
      </c>
      <c r="T184">
        <f>COUNTIFS(DATOS!G:G,CONFIG_METADATA!$B$4,DATOS!I:I,B184,DATOS!K:K,9)</f>
        <v>0</v>
      </c>
      <c r="U184">
        <f>COUNTIFS(DATOS!G:G,CONFIG_METADATA!$B$4,DATOS!I:I,B184,DATOS!K:K,10)</f>
        <v>0</v>
      </c>
    </row>
    <row r="185" spans="1:22">
      <c r="A185" s="3" t="inlineStr">
        <is>
          <t xml:space="preserve">4EEM</t>
        </is>
      </c>
      <c r="B185" s="3">
        <f>IFERROR(INDEX(_xlfn._xlws.FILTER(CONFIG_ASIGNATURAS!$B$2:$B$27,CONFIG_ASIGNATURAS!$G$2:$G$27="Sí"),33),"")</f>
      </c>
      <c r="C185" s="3">
        <f>IF(B185="","",IFERROR(IF(VLOOKUP(B185,CONFIG_ASIGNATURAS!$B$2:$F$27,5,FALSE())="Sí","Especialidad","Asignatura"),"Asignatura"))</f>
      </c>
      <c r="D185">
        <f>COUNTIFS(DATOS!G:G,CONFIG_METADATA!$B$4,DATOS!I:I,B185)</f>
        <v>0</v>
      </c>
      <c r="E185" s="14" t="str">
        <f>IFERROR(AVERAGEIFS(DATOS!K:K,DATOS!G:G,CONFIG_METADATA!$B$4,DATOS!I:I,B185),"—")</f>
        <v>—</v>
      </c>
      <c r="F185" s="14" t="str" cm="1">
        <f t="array" ref="F185">IFERROR(_xlfn.STDEV.P(IF((DATOS!$G$2:$G$20000=CONFIG_METADATA!$B$4)*(DATOS!$I$2:$I$20000=B185),DATOS!$K$2:$K$20000)),"—")</f>
        <v>—</v>
      </c>
      <c r="G185" t="str" cm="1">
        <f t="array" ref="G185">IFERROR(_xlfn.MODE.SNGL(IF((DATOS!$G$2:$G$20000=CONFIG_METADATA!$B$4)*(DATOS!$I$2:$I$20000=B185),DATOS!$K$2:$K$20000)),"—")</f>
        <v>—</v>
      </c>
      <c r="H185" s="15" t="str">
        <f>IFERROR(COUNTIFS(DATOS!G:G,CONFIG_METADATA!$B$4,DATOS!I:I,B185,DATOS!L:L,"S")/COUNTIFS(DATOS!G:G,CONFIG_METADATA!$B$4,DATOS!I:I,B185),"—")</f>
        <v>—</v>
      </c>
      <c r="I185" s="15" t="str">
        <f>IFERROR(COUNTIFS(DATOS!G:G,CONFIG_METADATA!$B$4,DATOS!I:I,B185,DATOS!L:L,"N")/COUNTIFS(DATOS!G:G,CONFIG_METADATA!$B$4,DATOS!I:I,B185),"—")</f>
        <v>—</v>
      </c>
      <c r="J185" t="str" cm="1">
        <f t="array" ref="J185">IFERROR(_xlfn.MODE.SNGL(IF((DATOS!$G$2:$G$20000=CONFIG_METADATA!$B$4)*(DATOS!$I$2:$I$20000=B185)*(DATOS!$L$2:$L$20000="S"),DATOS!$K$2:$K$20000)),"—")</f>
        <v>—</v>
      </c>
      <c r="K185" t="str" cm="1">
        <f t="array" ref="K185">IFERROR(_xlfn.MODE.SNGL(IF((DATOS!$G$2:$G$20000=CONFIG_METADATA!$B$4)*(DATOS!$I$2:$I$20000=B185)*(DATOS!$L$2:$L$20000="N"),DATOS!$K$2:$K$20000)),"—")</f>
        <v>—</v>
      </c>
      <c r="L185">
        <f>COUNTIFS(DATOS!G:G,CONFIG_METADATA!$B$4,DATOS!I:I,B185,DATOS!K:K,1)</f>
        <v>0</v>
      </c>
      <c r="M185">
        <f>COUNTIFS(DATOS!G:G,CONFIG_METADATA!$B$4,DATOS!I:I,B185,DATOS!K:K,2)</f>
        <v>0</v>
      </c>
      <c r="N185">
        <f>COUNTIFS(DATOS!G:G,CONFIG_METADATA!$B$4,DATOS!I:I,B185,DATOS!K:K,3)</f>
        <v>0</v>
      </c>
      <c r="O185">
        <f>COUNTIFS(DATOS!G:G,CONFIG_METADATA!$B$4,DATOS!I:I,B185,DATOS!K:K,4)</f>
        <v>0</v>
      </c>
      <c r="P185">
        <f>COUNTIFS(DATOS!G:G,CONFIG_METADATA!$B$4,DATOS!I:I,B185,DATOS!K:K,5)</f>
        <v>0</v>
      </c>
      <c r="Q185">
        <f>COUNTIFS(DATOS!G:G,CONFIG_METADATA!$B$4,DATOS!I:I,B185,DATOS!K:K,6)</f>
        <v>0</v>
      </c>
      <c r="R185">
        <f>COUNTIFS(DATOS!G:G,CONFIG_METADATA!$B$4,DATOS!I:I,B185,DATOS!K:K,7)</f>
        <v>0</v>
      </c>
      <c r="S185">
        <f>COUNTIFS(DATOS!G:G,CONFIG_METADATA!$B$4,DATOS!I:I,B185,DATOS!K:K,8)</f>
        <v>0</v>
      </c>
      <c r="T185">
        <f>COUNTIFS(DATOS!G:G,CONFIG_METADATA!$B$4,DATOS!I:I,B185,DATOS!K:K,9)</f>
        <v>0</v>
      </c>
      <c r="U185">
        <f>COUNTIFS(DATOS!G:G,CONFIG_METADATA!$B$4,DATOS!I:I,B185,DATOS!K:K,10)</f>
        <v>0</v>
      </c>
    </row>
    <row r="186" spans="1:22">
      <c r="A186" s="3" t="inlineStr">
        <is>
          <t xml:space="preserve">4EEM</t>
        </is>
      </c>
      <c r="B186" s="3">
        <f>IFERROR(INDEX(_xlfn._xlws.FILTER(CONFIG_ASIGNATURAS!$B$2:$B$27,CONFIG_ASIGNATURAS!$G$2:$G$27="Sí"),34),"")</f>
      </c>
      <c r="C186" s="3">
        <f>IF(B186="","",IFERROR(IF(VLOOKUP(B186,CONFIG_ASIGNATURAS!$B$2:$F$27,5,FALSE())="Sí","Especialidad","Asignatura"),"Asignatura"))</f>
      </c>
      <c r="D186">
        <f>COUNTIFS(DATOS!G:G,CONFIG_METADATA!$B$4,DATOS!I:I,B186)</f>
        <v>0</v>
      </c>
      <c r="E186" s="14" t="str">
        <f>IFERROR(AVERAGEIFS(DATOS!K:K,DATOS!G:G,CONFIG_METADATA!$B$4,DATOS!I:I,B186),"—")</f>
        <v>—</v>
      </c>
      <c r="F186" s="14" t="str" cm="1">
        <f t="array" ref="F186">IFERROR(_xlfn.STDEV.P(IF((DATOS!$G$2:$G$20000=CONFIG_METADATA!$B$4)*(DATOS!$I$2:$I$20000=B186),DATOS!$K$2:$K$20000)),"—")</f>
        <v>—</v>
      </c>
      <c r="G186" t="str" cm="1">
        <f t="array" ref="G186">IFERROR(_xlfn.MODE.SNGL(IF((DATOS!$G$2:$G$20000=CONFIG_METADATA!$B$4)*(DATOS!$I$2:$I$20000=B186),DATOS!$K$2:$K$20000)),"—")</f>
        <v>—</v>
      </c>
      <c r="H186" s="15" t="str">
        <f>IFERROR(COUNTIFS(DATOS!G:G,CONFIG_METADATA!$B$4,DATOS!I:I,B186,DATOS!L:L,"S")/COUNTIFS(DATOS!G:G,CONFIG_METADATA!$B$4,DATOS!I:I,B186),"—")</f>
        <v>—</v>
      </c>
      <c r="I186" s="15" t="str">
        <f>IFERROR(COUNTIFS(DATOS!G:G,CONFIG_METADATA!$B$4,DATOS!I:I,B186,DATOS!L:L,"N")/COUNTIFS(DATOS!G:G,CONFIG_METADATA!$B$4,DATOS!I:I,B186),"—")</f>
        <v>—</v>
      </c>
      <c r="J186" t="str" cm="1">
        <f t="array" ref="J186">IFERROR(_xlfn.MODE.SNGL(IF((DATOS!$G$2:$G$20000=CONFIG_METADATA!$B$4)*(DATOS!$I$2:$I$20000=B186)*(DATOS!$L$2:$L$20000="S"),DATOS!$K$2:$K$20000)),"—")</f>
        <v>—</v>
      </c>
      <c r="K186" t="str" cm="1">
        <f t="array" ref="K186">IFERROR(_xlfn.MODE.SNGL(IF((DATOS!$G$2:$G$20000=CONFIG_METADATA!$B$4)*(DATOS!$I$2:$I$20000=B186)*(DATOS!$L$2:$L$20000="N"),DATOS!$K$2:$K$20000)),"—")</f>
        <v>—</v>
      </c>
      <c r="L186">
        <f>COUNTIFS(DATOS!G:G,CONFIG_METADATA!$B$4,DATOS!I:I,B186,DATOS!K:K,1)</f>
        <v>0</v>
      </c>
      <c r="M186">
        <f>COUNTIFS(DATOS!G:G,CONFIG_METADATA!$B$4,DATOS!I:I,B186,DATOS!K:K,2)</f>
        <v>0</v>
      </c>
      <c r="N186">
        <f>COUNTIFS(DATOS!G:G,CONFIG_METADATA!$B$4,DATOS!I:I,B186,DATOS!K:K,3)</f>
        <v>0</v>
      </c>
      <c r="O186">
        <f>COUNTIFS(DATOS!G:G,CONFIG_METADATA!$B$4,DATOS!I:I,B186,DATOS!K:K,4)</f>
        <v>0</v>
      </c>
      <c r="P186">
        <f>COUNTIFS(DATOS!G:G,CONFIG_METADATA!$B$4,DATOS!I:I,B186,DATOS!K:K,5)</f>
        <v>0</v>
      </c>
      <c r="Q186">
        <f>COUNTIFS(DATOS!G:G,CONFIG_METADATA!$B$4,DATOS!I:I,B186,DATOS!K:K,6)</f>
        <v>0</v>
      </c>
      <c r="R186">
        <f>COUNTIFS(DATOS!G:G,CONFIG_METADATA!$B$4,DATOS!I:I,B186,DATOS!K:K,7)</f>
        <v>0</v>
      </c>
      <c r="S186">
        <f>COUNTIFS(DATOS!G:G,CONFIG_METADATA!$B$4,DATOS!I:I,B186,DATOS!K:K,8)</f>
        <v>0</v>
      </c>
      <c r="T186">
        <f>COUNTIFS(DATOS!G:G,CONFIG_METADATA!$B$4,DATOS!I:I,B186,DATOS!K:K,9)</f>
        <v>0</v>
      </c>
      <c r="U186">
        <f>COUNTIFS(DATOS!G:G,CONFIG_METADATA!$B$4,DATOS!I:I,B186,DATOS!K:K,10)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853"/>
  <sheetViews>
    <sheetView zoomScaleNormal="100" workbookViewId="0">
      <selection activeCell="W6" sqref="W6:W787"/>
    </sheetView>
  </sheetViews>
  <sheetFormatPr baseColWidth="10" defaultColWidth="8.6640625" defaultRowHeight="15" x14ac:dyDescent="0.2"/>
  <cols>
    <col min="1" max="1" width="24.5" customWidth="1"/>
    <col min="2" max="24" width="9" customWidth="1"/>
  </cols>
  <sheetData>
    <row r="1" spans="1:23" ht="17.25" customHeight="1" x14ac:dyDescent="0.2">
      <c r="A1" s="7" t="s">
        <v>102</v>
      </c>
    </row>
    <row r="2" spans="1:23" ht="15" customHeight="1" x14ac:dyDescent="0.2">
      <c r="A2" s="8" t="s">
        <v>103</v>
      </c>
    </row>
    <row r="3" spans="1:23" ht="15" customHeight="1" x14ac:dyDescent="0.2">
      <c r="A3" s="9"/>
    </row>
    <row r="4" spans="1:23" ht="15" customHeight="1" x14ac:dyDescent="0.2">
      <c r="A4" s="10" t="s">
        <v>104</v>
      </c>
      <c r="B4" s="11" t="s">
        <v>15</v>
      </c>
      <c r="G4" s="10" t="s">
        <v>104</v>
      </c>
      <c r="H4" s="11" t="s">
        <v>19</v>
      </c>
      <c r="M4" s="10" t="s">
        <v>104</v>
      </c>
      <c r="N4" s="11" t="s">
        <v>23</v>
      </c>
      <c r="S4" s="10" t="s">
        <v>104</v>
      </c>
      <c r="T4" s="11" t="s">
        <v>26</v>
      </c>
    </row>
    <row r="5" spans="1:23" ht="15" customHeight="1" x14ac:dyDescent="0.2">
      <c r="A5" s="2" t="s">
        <v>63</v>
      </c>
      <c r="B5" s="2" t="s">
        <v>105</v>
      </c>
      <c r="C5" s="2" t="s">
        <v>16</v>
      </c>
      <c r="D5" s="2" t="s">
        <v>106</v>
      </c>
      <c r="E5" s="2" t="s">
        <v>107</v>
      </c>
      <c r="G5" s="2" t="s">
        <v>63</v>
      </c>
      <c r="H5" s="2" t="s">
        <v>105</v>
      </c>
      <c r="I5" s="2" t="s">
        <v>16</v>
      </c>
      <c r="J5" s="2" t="s">
        <v>106</v>
      </c>
      <c r="K5" s="2" t="s">
        <v>107</v>
      </c>
      <c r="M5" s="2" t="s">
        <v>63</v>
      </c>
      <c r="N5" s="2" t="s">
        <v>105</v>
      </c>
      <c r="O5" s="2" t="s">
        <v>16</v>
      </c>
      <c r="P5" s="2" t="s">
        <v>106</v>
      </c>
      <c r="Q5" s="2" t="s">
        <v>107</v>
      </c>
      <c r="S5" s="2" t="s">
        <v>63</v>
      </c>
      <c r="T5" s="2" t="s">
        <v>105</v>
      </c>
      <c r="U5" s="2" t="s">
        <v>16</v>
      </c>
      <c r="V5" s="2" t="s">
        <v>106</v>
      </c>
      <c r="W5" s="2" t="s">
        <v>107</v>
      </c>
    </row>
    <row r="6" spans="1:23" ht="15" customHeight="1" x14ac:dyDescent="0.2">
      <c r="A6" t="str" cm="1">
        <f t="array" ref="A6">IFERROR(_xlfn.UNIQUE(_xlfn._xlws.FILTER(DATOS!$A$2:$A$20000,(DATOS!$G$2:$G$20000=CONFIG_METADATA!$B$4)*(DATOS!$D$2:$D$20000="1EEM"))),"")</f>
        <v/>
      </c>
      <c r="B6" t="str">
        <f>IF(A6="","",IFERROR(AVERAGEIFS(DATOS!$K$2:$K$20000,DATOS!$A$2:$A$20000,A6,DATOS!$G$2:$G$20000,CONFIG_METADATA!$B$4,DATOS!$I$2:$I$20000,"Lenguaje Musical"),""))</f>
        <v/>
      </c>
      <c r="C6" t="str">
        <f>IF(A6="","",IFERROR(AVERAGEIFS(DATOS!$K$2:$K$20000,DATOS!$A$2:$A$20000,A6,DATOS!$G$2:$G$20000,CONFIG_METADATA!$B$4,DATOS!$I$2:$I$20000,"Coro"),""))</f>
        <v/>
      </c>
      <c r="D6" t="str">
        <f>IF(A6="","",IFERROR(AVERAGEIFS(DATOS!$K$2:$K$20000,DATOS!$A$2:$A$20000,A6,DATOS!$G$2:$G$20000,CONFIG_METADATA!$B$4,DATOS!$I$2:$I$20000,"Conjunto"),""))</f>
        <v/>
      </c>
      <c r="E6" t="str" cm="1">
        <f t="array" ref="E6">IF(A6="","",IFERROR(AVERAGE(IF((DATOS!$A$2:$A$20000=A6)*(DATOS!$G$2:$G$20000=CONFIG_METADATA!$B$4)*(DATOS!$I$2:$I$20000&lt;&gt;"Lenguaje Musical")*(DATOS!$I$2:$I$20000&lt;&gt;"Coro")*(DATOS!$I$2:$I$20000&lt;&gt;"Conjunto"),DATOS!$K$2:$K$20000)),""))</f>
        <v/>
      </c>
      <c r="G6" t="str" cm="1">
        <f t="array" ref="G6">IFERROR(_xlfn.UNIQUE(_xlfn._xlws.FILTER(DATOS!$A$2:$A$20000,(DATOS!$G$2:$G$20000=CONFIG_METADATA!$B$4)*(DATOS!$D$2:$D$20000="2EEM"))),"")</f>
        <v/>
      </c>
      <c r="H6" t="str">
        <f>IF(G6="","",IFERROR(AVERAGEIFS(DATOS!$K$2:$K$20000,DATOS!$A$2:$A$20000,G6,DATOS!$G$2:$G$20000,CONFIG_METADATA!$B$4,DATOS!$I$2:$I$20000,"Lenguaje Musical"),""))</f>
        <v/>
      </c>
      <c r="I6" t="str">
        <f>IF(G6="","",IFERROR(AVERAGEIFS(DATOS!$K$2:$K$20000,DATOS!$A$2:$A$20000,G6,DATOS!$G$2:$G$20000,CONFIG_METADATA!$B$4,DATOS!$I$2:$I$20000,"Coro"),""))</f>
        <v/>
      </c>
      <c r="J6" t="str">
        <f>IF(G6="","",IFERROR(AVERAGEIFS(DATOS!$K$2:$K$20000,DATOS!$A$2:$A$20000,G6,DATOS!$G$2:$G$20000,CONFIG_METADATA!$B$4,DATOS!$I$2:$I$20000,"Conjunto"),""))</f>
        <v/>
      </c>
      <c r="K6" t="str" cm="1">
        <f t="array" ref="K6">IF(G6="","",IFERROR(AVERAGE(IF((DATOS!$A$2:$A$20000=G6)*(DATOS!$G$2:$G$20000=CONFIG_METADATA!$B$4)*(DATOS!$I$2:$I$20000&lt;&gt;"Lenguaje Musical")*(DATOS!$I$2:$I$20000&lt;&gt;"Coro")*(DATOS!$I$2:$I$20000&lt;&gt;"Conjunto"),DATOS!$K$2:$K$20000)),""))</f>
        <v/>
      </c>
      <c r="M6" t="str" cm="1">
        <f t="array" ref="M6">IFERROR(_xlfn.UNIQUE(_xlfn._xlws.FILTER(DATOS!$A$2:$A$20000,(DATOS!$G$2:$G$20000=CONFIG_METADATA!$B$4)*(DATOS!$D$2:$D$20000="3EEM"))),"")</f>
        <v/>
      </c>
      <c r="N6" t="str">
        <f>IF(M6="","",IFERROR(AVERAGEIFS(DATOS!$K$2:$K$20000,DATOS!$A$2:$A$20000,M6,DATOS!$G$2:$G$20000,CONFIG_METADATA!$B$4,DATOS!$I$2:$I$20000,"Lenguaje Musical"),""))</f>
        <v/>
      </c>
      <c r="O6" t="str">
        <f>IF(M6="","",IFERROR(AVERAGEIFS(DATOS!$K$2:$K$20000,DATOS!$A$2:$A$20000,M6,DATOS!$G$2:$G$20000,CONFIG_METADATA!$B$4,DATOS!$I$2:$I$20000,"Coro"),""))</f>
        <v/>
      </c>
      <c r="P6" t="str">
        <f>IF(M6="","",IFERROR(AVERAGEIFS(DATOS!$K$2:$K$20000,DATOS!$A$2:$A$20000,M6,DATOS!$G$2:$G$20000,CONFIG_METADATA!$B$4,DATOS!$I$2:$I$20000,"Conjunto"),""))</f>
        <v/>
      </c>
      <c r="Q6" t="str" cm="1">
        <f t="array" ref="Q6">IF(M6="","",IFERROR(AVERAGE(IF((DATOS!$A$2:$A$20000=M6)*(DATOS!$G$2:$G$20000=CONFIG_METADATA!$B$4)*(DATOS!$I$2:$I$20000&lt;&gt;"Lenguaje Musical")*(DATOS!$I$2:$I$20000&lt;&gt;"Coro")*(DATOS!$I$2:$I$20000&lt;&gt;"Conjunto"),DATOS!$K$2:$K$20000)),""))</f>
        <v/>
      </c>
      <c r="S6" t="str" cm="1">
        <f t="array" ref="S6">IFERROR(_xlfn.UNIQUE(_xlfn._xlws.FILTER(DATOS!$A$2:$A$20000,(DATOS!$G$2:$G$20000=CONFIG_METADATA!$B$4)*(DATOS!$D$2:$D$20000="4EEM"))),"")</f>
        <v/>
      </c>
      <c r="T6" t="str">
        <f>IF(S6="","",IFERROR(AVERAGEIFS(DATOS!$K$2:$K$20000,DATOS!$A$2:$A$20000,S6,DATOS!$G$2:$G$20000,CONFIG_METADATA!$B$4,DATOS!$I$2:$I$20000,"Lenguaje Musical"),""))</f>
        <v/>
      </c>
      <c r="U6" t="str">
        <f>IF(S6="","",IFERROR(AVERAGEIFS(DATOS!$K$2:$K$20000,DATOS!$A$2:$A$20000,S6,DATOS!$G$2:$G$20000,CONFIG_METADATA!$B$4,DATOS!$I$2:$I$20000,"Coro"),""))</f>
        <v/>
      </c>
      <c r="V6" t="str">
        <f>IF(S6="","",IFERROR(AVERAGEIFS(DATOS!$K$2:$K$20000,DATOS!$A$2:$A$20000,S6,DATOS!$G$2:$G$20000,CONFIG_METADATA!$B$4,DATOS!$I$2:$I$20000,"Conjunto"),""))</f>
        <v/>
      </c>
      <c r="W6" t="str" cm="1">
        <f t="array" ref="W6">IF(S6="","",IFERROR(AVERAGE(IF((DATOS!$A$2:$A$20000=S6)*(DATOS!$G$2:$G$20000=CONFIG_METADATA!$B$4)*(DATOS!$I$2:$I$20000&lt;&gt;"Lenguaje Musical")*(DATOS!$I$2:$I$20000&lt;&gt;"Coro")*(DATOS!$I$2:$I$20000&lt;&gt;"Conjunto"),DATOS!$K$2:$K$20000)),""))</f>
        <v/>
      </c>
    </row>
    <row r="7" spans="1:23" ht="15" customHeight="1" x14ac:dyDescent="0.2">
      <c r="B7" t="str">
        <f>IF(A7="","",IFERROR(AVERAGEIFS(DATOS!$K$2:$K$20000,DATOS!$A$2:$A$20000,A7,DATOS!$G$2:$G$20000,CONFIG_METADATA!$B$4,DATOS!$I$2:$I$20000,"Lenguaje Musical"),""))</f>
        <v/>
      </c>
      <c r="C7" t="str">
        <f>IF(A7="","",IFERROR(AVERAGEIFS(DATOS!$K$2:$K$20000,DATOS!$A$2:$A$20000,A7,DATOS!$G$2:$G$20000,CONFIG_METADATA!$B$4,DATOS!$I$2:$I$20000,"Coro"),""))</f>
        <v/>
      </c>
      <c r="D7" t="str">
        <f>IF(A7="","",IFERROR(AVERAGEIFS(DATOS!$K$2:$K$20000,DATOS!$A$2:$A$20000,A7,DATOS!$G$2:$G$20000,CONFIG_METADATA!$B$4,DATOS!$I$2:$I$20000,"Conjunto"),""))</f>
        <v/>
      </c>
      <c r="E7" t="str" cm="1">
        <f t="array" ref="E7">IF(A7="","",IFERROR(AVERAGE(IF((DATOS!$A$2:$A$20000=A7)*(DATOS!$G$2:$G$20000=CONFIG_METADATA!$B$4)*(DATOS!$I$2:$I$20000&lt;&gt;"Lenguaje Musical")*(DATOS!$I$2:$I$20000&lt;&gt;"Coro")*(DATOS!$I$2:$I$20000&lt;&gt;"Conjunto"),DATOS!$K$2:$K$20000)),""))</f>
        <v/>
      </c>
      <c r="H7" t="str">
        <f>IF(G7="","",IFERROR(AVERAGEIFS(DATOS!$K$2:$K$20000,DATOS!$A$2:$A$20000,G7,DATOS!$G$2:$G$20000,CONFIG_METADATA!$B$4,DATOS!$I$2:$I$20000,"Lenguaje Musical"),""))</f>
        <v/>
      </c>
      <c r="I7" t="str">
        <f>IF(G7="","",IFERROR(AVERAGEIFS(DATOS!$K$2:$K$20000,DATOS!$A$2:$A$20000,G7,DATOS!$G$2:$G$20000,CONFIG_METADATA!$B$4,DATOS!$I$2:$I$20000,"Coro"),""))</f>
        <v/>
      </c>
      <c r="J7" t="str">
        <f>IF(G7="","",IFERROR(AVERAGEIFS(DATOS!$K$2:$K$20000,DATOS!$A$2:$A$20000,G7,DATOS!$G$2:$G$20000,CONFIG_METADATA!$B$4,DATOS!$I$2:$I$20000,"Conjunto"),""))</f>
        <v/>
      </c>
      <c r="K7" t="str" cm="1">
        <f t="array" ref="K7">IF(G7="","",IFERROR(AVERAGE(IF((DATOS!$A$2:$A$20000=G7)*(DATOS!$G$2:$G$20000=CONFIG_METADATA!$B$4)*(DATOS!$I$2:$I$20000&lt;&gt;"Lenguaje Musical")*(DATOS!$I$2:$I$20000&lt;&gt;"Coro")*(DATOS!$I$2:$I$20000&lt;&gt;"Conjunto"),DATOS!$K$2:$K$20000)),""))</f>
        <v/>
      </c>
      <c r="N7" t="str">
        <f>IF(M7="","",IFERROR(AVERAGEIFS(DATOS!$K$2:$K$20000,DATOS!$A$2:$A$20000,M7,DATOS!$G$2:$G$20000,CONFIG_METADATA!$B$4,DATOS!$I$2:$I$20000,"Lenguaje Musical"),""))</f>
        <v/>
      </c>
      <c r="O7" t="str">
        <f>IF(M7="","",IFERROR(AVERAGEIFS(DATOS!$K$2:$K$20000,DATOS!$A$2:$A$20000,M7,DATOS!$G$2:$G$20000,CONFIG_METADATA!$B$4,DATOS!$I$2:$I$20000,"Coro"),""))</f>
        <v/>
      </c>
      <c r="P7" t="str">
        <f>IF(M7="","",IFERROR(AVERAGEIFS(DATOS!$K$2:$K$20000,DATOS!$A$2:$A$20000,M7,DATOS!$G$2:$G$20000,CONFIG_METADATA!$B$4,DATOS!$I$2:$I$20000,"Conjunto"),""))</f>
        <v/>
      </c>
      <c r="Q7" t="str" cm="1">
        <f t="array" ref="Q7">IF(M7="","",IFERROR(AVERAGE(IF((DATOS!$A$2:$A$20000=M7)*(DATOS!$G$2:$G$20000=CONFIG_METADATA!$B$4)*(DATOS!$I$2:$I$20000&lt;&gt;"Lenguaje Musical")*(DATOS!$I$2:$I$20000&lt;&gt;"Coro")*(DATOS!$I$2:$I$20000&lt;&gt;"Conjunto"),DATOS!$K$2:$K$20000)),""))</f>
        <v/>
      </c>
      <c r="T7" t="str">
        <f>IF(S7="","",IFERROR(AVERAGEIFS(DATOS!$K$2:$K$20000,DATOS!$A$2:$A$20000,S7,DATOS!$G$2:$G$20000,CONFIG_METADATA!$B$4,DATOS!$I$2:$I$20000,"Lenguaje Musical"),""))</f>
        <v/>
      </c>
      <c r="U7" t="str">
        <f>IF(S7="","",IFERROR(AVERAGEIFS(DATOS!$K$2:$K$20000,DATOS!$A$2:$A$20000,S7,DATOS!$G$2:$G$20000,CONFIG_METADATA!$B$4,DATOS!$I$2:$I$20000,"Coro"),""))</f>
        <v/>
      </c>
      <c r="V7" t="str">
        <f>IF(S7="","",IFERROR(AVERAGEIFS(DATOS!$K$2:$K$20000,DATOS!$A$2:$A$20000,S7,DATOS!$G$2:$G$20000,CONFIG_METADATA!$B$4,DATOS!$I$2:$I$20000,"Conjunto"),""))</f>
        <v/>
      </c>
      <c r="W7" t="str" cm="1">
        <f t="array" ref="W7">IF(S7="","",IFERROR(AVERAGE(IF((DATOS!$A$2:$A$20000=S7)*(DATOS!$G$2:$G$20000=CONFIG_METADATA!$B$4)*(DATOS!$I$2:$I$20000&lt;&gt;"Lenguaje Musical")*(DATOS!$I$2:$I$20000&lt;&gt;"Coro")*(DATOS!$I$2:$I$20000&lt;&gt;"Conjunto"),DATOS!$K$2:$K$20000)),""))</f>
        <v/>
      </c>
    </row>
    <row r="8" spans="1:23" ht="15" customHeight="1" x14ac:dyDescent="0.2">
      <c r="B8" t="str">
        <f>IF(A8="","",IFERROR(AVERAGEIFS(DATOS!$K$2:$K$20000,DATOS!$A$2:$A$20000,A8,DATOS!$G$2:$G$20000,CONFIG_METADATA!$B$4,DATOS!$I$2:$I$20000,"Lenguaje Musical"),""))</f>
        <v/>
      </c>
      <c r="C8" t="str">
        <f>IF(A8="","",IFERROR(AVERAGEIFS(DATOS!$K$2:$K$20000,DATOS!$A$2:$A$20000,A8,DATOS!$G$2:$G$20000,CONFIG_METADATA!$B$4,DATOS!$I$2:$I$20000,"Coro"),""))</f>
        <v/>
      </c>
      <c r="D8" t="str">
        <f>IF(A8="","",IFERROR(AVERAGEIFS(DATOS!$K$2:$K$20000,DATOS!$A$2:$A$20000,A8,DATOS!$G$2:$G$20000,CONFIG_METADATA!$B$4,DATOS!$I$2:$I$20000,"Conjunto"),""))</f>
        <v/>
      </c>
      <c r="E8" t="str" cm="1">
        <f t="array" ref="E8">IF(A8="","",IFERROR(AVERAGE(IF((DATOS!$A$2:$A$20000=A8)*(DATOS!$G$2:$G$20000=CONFIG_METADATA!$B$4)*(DATOS!$I$2:$I$20000&lt;&gt;"Lenguaje Musical")*(DATOS!$I$2:$I$20000&lt;&gt;"Coro")*(DATOS!$I$2:$I$20000&lt;&gt;"Conjunto"),DATOS!$K$2:$K$20000)),""))</f>
        <v/>
      </c>
      <c r="H8" t="str">
        <f>IF(G8="","",IFERROR(AVERAGEIFS(DATOS!$K$2:$K$20000,DATOS!$A$2:$A$20000,G8,DATOS!$G$2:$G$20000,CONFIG_METADATA!$B$4,DATOS!$I$2:$I$20000,"Lenguaje Musical"),""))</f>
        <v/>
      </c>
      <c r="I8" t="str">
        <f>IF(G8="","",IFERROR(AVERAGEIFS(DATOS!$K$2:$K$20000,DATOS!$A$2:$A$20000,G8,DATOS!$G$2:$G$20000,CONFIG_METADATA!$B$4,DATOS!$I$2:$I$20000,"Coro"),""))</f>
        <v/>
      </c>
      <c r="J8" t="str">
        <f>IF(G8="","",IFERROR(AVERAGEIFS(DATOS!$K$2:$K$20000,DATOS!$A$2:$A$20000,G8,DATOS!$G$2:$G$20000,CONFIG_METADATA!$B$4,DATOS!$I$2:$I$20000,"Conjunto"),""))</f>
        <v/>
      </c>
      <c r="K8" t="str" cm="1">
        <f t="array" ref="K8">IF(G8="","",IFERROR(AVERAGE(IF((DATOS!$A$2:$A$20000=G8)*(DATOS!$G$2:$G$20000=CONFIG_METADATA!$B$4)*(DATOS!$I$2:$I$20000&lt;&gt;"Lenguaje Musical")*(DATOS!$I$2:$I$20000&lt;&gt;"Coro")*(DATOS!$I$2:$I$20000&lt;&gt;"Conjunto"),DATOS!$K$2:$K$20000)),""))</f>
        <v/>
      </c>
      <c r="N8" t="str">
        <f>IF(M8="","",IFERROR(AVERAGEIFS(DATOS!$K$2:$K$20000,DATOS!$A$2:$A$20000,M8,DATOS!$G$2:$G$20000,CONFIG_METADATA!$B$4,DATOS!$I$2:$I$20000,"Lenguaje Musical"),""))</f>
        <v/>
      </c>
      <c r="O8" t="str">
        <f>IF(M8="","",IFERROR(AVERAGEIFS(DATOS!$K$2:$K$20000,DATOS!$A$2:$A$20000,M8,DATOS!$G$2:$G$20000,CONFIG_METADATA!$B$4,DATOS!$I$2:$I$20000,"Coro"),""))</f>
        <v/>
      </c>
      <c r="P8" t="str">
        <f>IF(M8="","",IFERROR(AVERAGEIFS(DATOS!$K$2:$K$20000,DATOS!$A$2:$A$20000,M8,DATOS!$G$2:$G$20000,CONFIG_METADATA!$B$4,DATOS!$I$2:$I$20000,"Conjunto"),""))</f>
        <v/>
      </c>
      <c r="Q8" t="str" cm="1">
        <f t="array" ref="Q8">IF(M8="","",IFERROR(AVERAGE(IF((DATOS!$A$2:$A$20000=M8)*(DATOS!$G$2:$G$20000=CONFIG_METADATA!$B$4)*(DATOS!$I$2:$I$20000&lt;&gt;"Lenguaje Musical")*(DATOS!$I$2:$I$20000&lt;&gt;"Coro")*(DATOS!$I$2:$I$20000&lt;&gt;"Conjunto"),DATOS!$K$2:$K$20000)),""))</f>
        <v/>
      </c>
      <c r="T8" t="str">
        <f>IF(S8="","",IFERROR(AVERAGEIFS(DATOS!$K$2:$K$20000,DATOS!$A$2:$A$20000,S8,DATOS!$G$2:$G$20000,CONFIG_METADATA!$B$4,DATOS!$I$2:$I$20000,"Lenguaje Musical"),""))</f>
        <v/>
      </c>
      <c r="U8" t="str">
        <f>IF(S8="","",IFERROR(AVERAGEIFS(DATOS!$K$2:$K$20000,DATOS!$A$2:$A$20000,S8,DATOS!$G$2:$G$20000,CONFIG_METADATA!$B$4,DATOS!$I$2:$I$20000,"Coro"),""))</f>
        <v/>
      </c>
      <c r="V8" t="str">
        <f>IF(S8="","",IFERROR(AVERAGEIFS(DATOS!$K$2:$K$20000,DATOS!$A$2:$A$20000,S8,DATOS!$G$2:$G$20000,CONFIG_METADATA!$B$4,DATOS!$I$2:$I$20000,"Conjunto"),""))</f>
        <v/>
      </c>
      <c r="W8" t="str" cm="1">
        <f t="array" ref="W8">IF(S8="","",IFERROR(AVERAGE(IF((DATOS!$A$2:$A$20000=S8)*(DATOS!$G$2:$G$20000=CONFIG_METADATA!$B$4)*(DATOS!$I$2:$I$20000&lt;&gt;"Lenguaje Musical")*(DATOS!$I$2:$I$20000&lt;&gt;"Coro")*(DATOS!$I$2:$I$20000&lt;&gt;"Conjunto"),DATOS!$K$2:$K$20000)),""))</f>
        <v/>
      </c>
    </row>
    <row r="9" spans="1:23" ht="15" customHeight="1" x14ac:dyDescent="0.2">
      <c r="B9" t="str">
        <f>IF(A9="","",IFERROR(AVERAGEIFS(DATOS!$K$2:$K$20000,DATOS!$A$2:$A$20000,A9,DATOS!$G$2:$G$20000,CONFIG_METADATA!$B$4,DATOS!$I$2:$I$20000,"Lenguaje Musical"),""))</f>
        <v/>
      </c>
      <c r="C9" t="str">
        <f>IF(A9="","",IFERROR(AVERAGEIFS(DATOS!$K$2:$K$20000,DATOS!$A$2:$A$20000,A9,DATOS!$G$2:$G$20000,CONFIG_METADATA!$B$4,DATOS!$I$2:$I$20000,"Coro"),""))</f>
        <v/>
      </c>
      <c r="D9" t="str">
        <f>IF(A9="","",IFERROR(AVERAGEIFS(DATOS!$K$2:$K$20000,DATOS!$A$2:$A$20000,A9,DATOS!$G$2:$G$20000,CONFIG_METADATA!$B$4,DATOS!$I$2:$I$20000,"Conjunto"),""))</f>
        <v/>
      </c>
      <c r="E9" t="str" cm="1">
        <f t="array" ref="E9">IF(A9="","",IFERROR(AVERAGE(IF((DATOS!$A$2:$A$20000=A9)*(DATOS!$G$2:$G$20000=CONFIG_METADATA!$B$4)*(DATOS!$I$2:$I$20000&lt;&gt;"Lenguaje Musical")*(DATOS!$I$2:$I$20000&lt;&gt;"Coro")*(DATOS!$I$2:$I$20000&lt;&gt;"Conjunto"),DATOS!$K$2:$K$20000)),""))</f>
        <v/>
      </c>
      <c r="H9" t="str">
        <f>IF(G9="","",IFERROR(AVERAGEIFS(DATOS!$K$2:$K$20000,DATOS!$A$2:$A$20000,G9,DATOS!$G$2:$G$20000,CONFIG_METADATA!$B$4,DATOS!$I$2:$I$20000,"Lenguaje Musical"),""))</f>
        <v/>
      </c>
      <c r="I9" t="str">
        <f>IF(G9="","",IFERROR(AVERAGEIFS(DATOS!$K$2:$K$20000,DATOS!$A$2:$A$20000,G9,DATOS!$G$2:$G$20000,CONFIG_METADATA!$B$4,DATOS!$I$2:$I$20000,"Coro"),""))</f>
        <v/>
      </c>
      <c r="J9" t="str">
        <f>IF(G9="","",IFERROR(AVERAGEIFS(DATOS!$K$2:$K$20000,DATOS!$A$2:$A$20000,G9,DATOS!$G$2:$G$20000,CONFIG_METADATA!$B$4,DATOS!$I$2:$I$20000,"Conjunto"),""))</f>
        <v/>
      </c>
      <c r="K9" t="str" cm="1">
        <f t="array" ref="K9">IF(G9="","",IFERROR(AVERAGE(IF((DATOS!$A$2:$A$20000=G9)*(DATOS!$G$2:$G$20000=CONFIG_METADATA!$B$4)*(DATOS!$I$2:$I$20000&lt;&gt;"Lenguaje Musical")*(DATOS!$I$2:$I$20000&lt;&gt;"Coro")*(DATOS!$I$2:$I$20000&lt;&gt;"Conjunto"),DATOS!$K$2:$K$20000)),""))</f>
        <v/>
      </c>
      <c r="N9" t="str">
        <f>IF(M9="","",IFERROR(AVERAGEIFS(DATOS!$K$2:$K$20000,DATOS!$A$2:$A$20000,M9,DATOS!$G$2:$G$20000,CONFIG_METADATA!$B$4,DATOS!$I$2:$I$20000,"Lenguaje Musical"),""))</f>
        <v/>
      </c>
      <c r="O9" t="str">
        <f>IF(M9="","",IFERROR(AVERAGEIFS(DATOS!$K$2:$K$20000,DATOS!$A$2:$A$20000,M9,DATOS!$G$2:$G$20000,CONFIG_METADATA!$B$4,DATOS!$I$2:$I$20000,"Coro"),""))</f>
        <v/>
      </c>
      <c r="P9" t="str">
        <f>IF(M9="","",IFERROR(AVERAGEIFS(DATOS!$K$2:$K$20000,DATOS!$A$2:$A$20000,M9,DATOS!$G$2:$G$20000,CONFIG_METADATA!$B$4,DATOS!$I$2:$I$20000,"Conjunto"),""))</f>
        <v/>
      </c>
      <c r="Q9" t="str" cm="1">
        <f t="array" ref="Q9">IF(M9="","",IFERROR(AVERAGE(IF((DATOS!$A$2:$A$20000=M9)*(DATOS!$G$2:$G$20000=CONFIG_METADATA!$B$4)*(DATOS!$I$2:$I$20000&lt;&gt;"Lenguaje Musical")*(DATOS!$I$2:$I$20000&lt;&gt;"Coro")*(DATOS!$I$2:$I$20000&lt;&gt;"Conjunto"),DATOS!$K$2:$K$20000)),""))</f>
        <v/>
      </c>
      <c r="T9" t="str">
        <f>IF(S9="","",IFERROR(AVERAGEIFS(DATOS!$K$2:$K$20000,DATOS!$A$2:$A$20000,S9,DATOS!$G$2:$G$20000,CONFIG_METADATA!$B$4,DATOS!$I$2:$I$20000,"Lenguaje Musical"),""))</f>
        <v/>
      </c>
      <c r="U9" t="str">
        <f>IF(S9="","",IFERROR(AVERAGEIFS(DATOS!$K$2:$K$20000,DATOS!$A$2:$A$20000,S9,DATOS!$G$2:$G$20000,CONFIG_METADATA!$B$4,DATOS!$I$2:$I$20000,"Coro"),""))</f>
        <v/>
      </c>
      <c r="V9" t="str">
        <f>IF(S9="","",IFERROR(AVERAGEIFS(DATOS!$K$2:$K$20000,DATOS!$A$2:$A$20000,S9,DATOS!$G$2:$G$20000,CONFIG_METADATA!$B$4,DATOS!$I$2:$I$20000,"Conjunto"),""))</f>
        <v/>
      </c>
      <c r="W9" t="str" cm="1">
        <f t="array" ref="W9">IF(S9="","",IFERROR(AVERAGE(IF((DATOS!$A$2:$A$20000=S9)*(DATOS!$G$2:$G$20000=CONFIG_METADATA!$B$4)*(DATOS!$I$2:$I$20000&lt;&gt;"Lenguaje Musical")*(DATOS!$I$2:$I$20000&lt;&gt;"Coro")*(DATOS!$I$2:$I$20000&lt;&gt;"Conjunto"),DATOS!$K$2:$K$20000)),""))</f>
        <v/>
      </c>
    </row>
    <row r="10" spans="1:23" ht="15" customHeight="1" x14ac:dyDescent="0.2">
      <c r="B10" t="str">
        <f>IF(A10="","",IFERROR(AVERAGEIFS(DATOS!$K$2:$K$20000,DATOS!$A$2:$A$20000,A10,DATOS!$G$2:$G$20000,CONFIG_METADATA!$B$4,DATOS!$I$2:$I$20000,"Lenguaje Musical"),""))</f>
        <v/>
      </c>
      <c r="C10" t="str">
        <f>IF(A10="","",IFERROR(AVERAGEIFS(DATOS!$K$2:$K$20000,DATOS!$A$2:$A$20000,A10,DATOS!$G$2:$G$20000,CONFIG_METADATA!$B$4,DATOS!$I$2:$I$20000,"Coro"),""))</f>
        <v/>
      </c>
      <c r="D10" t="str">
        <f>IF(A10="","",IFERROR(AVERAGEIFS(DATOS!$K$2:$K$20000,DATOS!$A$2:$A$20000,A10,DATOS!$G$2:$G$20000,CONFIG_METADATA!$B$4,DATOS!$I$2:$I$20000,"Conjunto"),""))</f>
        <v/>
      </c>
      <c r="E10" t="str" cm="1">
        <f t="array" ref="E10">IF(A10="","",IFERROR(AVERAGE(IF((DATOS!$A$2:$A$20000=A10)*(DATOS!$G$2:$G$20000=CONFIG_METADATA!$B$4)*(DATOS!$I$2:$I$20000&lt;&gt;"Lenguaje Musical")*(DATOS!$I$2:$I$20000&lt;&gt;"Coro")*(DATOS!$I$2:$I$20000&lt;&gt;"Conjunto"),DATOS!$K$2:$K$20000)),""))</f>
        <v/>
      </c>
      <c r="H10" t="str">
        <f>IF(G10="","",IFERROR(AVERAGEIFS(DATOS!$K$2:$K$20000,DATOS!$A$2:$A$20000,G10,DATOS!$G$2:$G$20000,CONFIG_METADATA!$B$4,DATOS!$I$2:$I$20000,"Lenguaje Musical"),""))</f>
        <v/>
      </c>
      <c r="I10" t="str">
        <f>IF(G10="","",IFERROR(AVERAGEIFS(DATOS!$K$2:$K$20000,DATOS!$A$2:$A$20000,G10,DATOS!$G$2:$G$20000,CONFIG_METADATA!$B$4,DATOS!$I$2:$I$20000,"Coro"),""))</f>
        <v/>
      </c>
      <c r="J10" t="str">
        <f>IF(G10="","",IFERROR(AVERAGEIFS(DATOS!$K$2:$K$20000,DATOS!$A$2:$A$20000,G10,DATOS!$G$2:$G$20000,CONFIG_METADATA!$B$4,DATOS!$I$2:$I$20000,"Conjunto"),""))</f>
        <v/>
      </c>
      <c r="K10" t="str" cm="1">
        <f t="array" ref="K10">IF(G10="","",IFERROR(AVERAGE(IF((DATOS!$A$2:$A$20000=G10)*(DATOS!$G$2:$G$20000=CONFIG_METADATA!$B$4)*(DATOS!$I$2:$I$20000&lt;&gt;"Lenguaje Musical")*(DATOS!$I$2:$I$20000&lt;&gt;"Coro")*(DATOS!$I$2:$I$20000&lt;&gt;"Conjunto"),DATOS!$K$2:$K$20000)),""))</f>
        <v/>
      </c>
      <c r="N10" t="str">
        <f>IF(M10="","",IFERROR(AVERAGEIFS(DATOS!$K$2:$K$20000,DATOS!$A$2:$A$20000,M10,DATOS!$G$2:$G$20000,CONFIG_METADATA!$B$4,DATOS!$I$2:$I$20000,"Lenguaje Musical"),""))</f>
        <v/>
      </c>
      <c r="O10" t="str">
        <f>IF(M10="","",IFERROR(AVERAGEIFS(DATOS!$K$2:$K$20000,DATOS!$A$2:$A$20000,M10,DATOS!$G$2:$G$20000,CONFIG_METADATA!$B$4,DATOS!$I$2:$I$20000,"Coro"),""))</f>
        <v/>
      </c>
      <c r="P10" t="str">
        <f>IF(M10="","",IFERROR(AVERAGEIFS(DATOS!$K$2:$K$20000,DATOS!$A$2:$A$20000,M10,DATOS!$G$2:$G$20000,CONFIG_METADATA!$B$4,DATOS!$I$2:$I$20000,"Conjunto"),""))</f>
        <v/>
      </c>
      <c r="Q10" t="str" cm="1">
        <f t="array" ref="Q10">IF(M10="","",IFERROR(AVERAGE(IF((DATOS!$A$2:$A$20000=M10)*(DATOS!$G$2:$G$20000=CONFIG_METADATA!$B$4)*(DATOS!$I$2:$I$20000&lt;&gt;"Lenguaje Musical")*(DATOS!$I$2:$I$20000&lt;&gt;"Coro")*(DATOS!$I$2:$I$20000&lt;&gt;"Conjunto"),DATOS!$K$2:$K$20000)),""))</f>
        <v/>
      </c>
      <c r="T10" t="str">
        <f>IF(S10="","",IFERROR(AVERAGEIFS(DATOS!$K$2:$K$20000,DATOS!$A$2:$A$20000,S10,DATOS!$G$2:$G$20000,CONFIG_METADATA!$B$4,DATOS!$I$2:$I$20000,"Lenguaje Musical"),""))</f>
        <v/>
      </c>
      <c r="U10" t="str">
        <f>IF(S10="","",IFERROR(AVERAGEIFS(DATOS!$K$2:$K$20000,DATOS!$A$2:$A$20000,S10,DATOS!$G$2:$G$20000,CONFIG_METADATA!$B$4,DATOS!$I$2:$I$20000,"Coro"),""))</f>
        <v/>
      </c>
      <c r="V10" t="str">
        <f>IF(S10="","",IFERROR(AVERAGEIFS(DATOS!$K$2:$K$20000,DATOS!$A$2:$A$20000,S10,DATOS!$G$2:$G$20000,CONFIG_METADATA!$B$4,DATOS!$I$2:$I$20000,"Conjunto"),""))</f>
        <v/>
      </c>
      <c r="W10" t="str" cm="1">
        <f t="array" ref="W10">IF(S10="","",IFERROR(AVERAGE(IF((DATOS!$A$2:$A$20000=S10)*(DATOS!$G$2:$G$20000=CONFIG_METADATA!$B$4)*(DATOS!$I$2:$I$20000&lt;&gt;"Lenguaje Musical")*(DATOS!$I$2:$I$20000&lt;&gt;"Coro")*(DATOS!$I$2:$I$20000&lt;&gt;"Conjunto"),DATOS!$K$2:$K$20000)),""))</f>
        <v/>
      </c>
    </row>
    <row r="11" spans="1:23" ht="15" customHeight="1" x14ac:dyDescent="0.2">
      <c r="B11" t="str">
        <f>IF(A11="","",IFERROR(AVERAGEIFS(DATOS!$K$2:$K$20000,DATOS!$A$2:$A$20000,A11,DATOS!$G$2:$G$20000,CONFIG_METADATA!$B$4,DATOS!$I$2:$I$20000,"Lenguaje Musical"),""))</f>
        <v/>
      </c>
      <c r="C11" t="str">
        <f>IF(A11="","",IFERROR(AVERAGEIFS(DATOS!$K$2:$K$20000,DATOS!$A$2:$A$20000,A11,DATOS!$G$2:$G$20000,CONFIG_METADATA!$B$4,DATOS!$I$2:$I$20000,"Coro"),""))</f>
        <v/>
      </c>
      <c r="D11" t="str">
        <f>IF(A11="","",IFERROR(AVERAGEIFS(DATOS!$K$2:$K$20000,DATOS!$A$2:$A$20000,A11,DATOS!$G$2:$G$20000,CONFIG_METADATA!$B$4,DATOS!$I$2:$I$20000,"Conjunto"),""))</f>
        <v/>
      </c>
      <c r="E11" t="str" cm="1">
        <f t="array" ref="E11">IF(A11="","",IFERROR(AVERAGE(IF((DATOS!$A$2:$A$20000=A11)*(DATOS!$G$2:$G$20000=CONFIG_METADATA!$B$4)*(DATOS!$I$2:$I$20000&lt;&gt;"Lenguaje Musical")*(DATOS!$I$2:$I$20000&lt;&gt;"Coro")*(DATOS!$I$2:$I$20000&lt;&gt;"Conjunto"),DATOS!$K$2:$K$20000)),""))</f>
        <v/>
      </c>
      <c r="H11" t="str">
        <f>IF(G11="","",IFERROR(AVERAGEIFS(DATOS!$K$2:$K$20000,DATOS!$A$2:$A$20000,G11,DATOS!$G$2:$G$20000,CONFIG_METADATA!$B$4,DATOS!$I$2:$I$20000,"Lenguaje Musical"),""))</f>
        <v/>
      </c>
      <c r="I11" t="str">
        <f>IF(G11="","",IFERROR(AVERAGEIFS(DATOS!$K$2:$K$20000,DATOS!$A$2:$A$20000,G11,DATOS!$G$2:$G$20000,CONFIG_METADATA!$B$4,DATOS!$I$2:$I$20000,"Coro"),""))</f>
        <v/>
      </c>
      <c r="J11" t="str">
        <f>IF(G11="","",IFERROR(AVERAGEIFS(DATOS!$K$2:$K$20000,DATOS!$A$2:$A$20000,G11,DATOS!$G$2:$G$20000,CONFIG_METADATA!$B$4,DATOS!$I$2:$I$20000,"Conjunto"),""))</f>
        <v/>
      </c>
      <c r="K11" t="str" cm="1">
        <f t="array" ref="K11">IF(G11="","",IFERROR(AVERAGE(IF((DATOS!$A$2:$A$20000=G11)*(DATOS!$G$2:$G$20000=CONFIG_METADATA!$B$4)*(DATOS!$I$2:$I$20000&lt;&gt;"Lenguaje Musical")*(DATOS!$I$2:$I$20000&lt;&gt;"Coro")*(DATOS!$I$2:$I$20000&lt;&gt;"Conjunto"),DATOS!$K$2:$K$20000)),""))</f>
        <v/>
      </c>
      <c r="N11" t="str">
        <f>IF(M11="","",IFERROR(AVERAGEIFS(DATOS!$K$2:$K$20000,DATOS!$A$2:$A$20000,M11,DATOS!$G$2:$G$20000,CONFIG_METADATA!$B$4,DATOS!$I$2:$I$20000,"Lenguaje Musical"),""))</f>
        <v/>
      </c>
      <c r="O11" t="str">
        <f>IF(M11="","",IFERROR(AVERAGEIFS(DATOS!$K$2:$K$20000,DATOS!$A$2:$A$20000,M11,DATOS!$G$2:$G$20000,CONFIG_METADATA!$B$4,DATOS!$I$2:$I$20000,"Coro"),""))</f>
        <v/>
      </c>
      <c r="P11" t="str">
        <f>IF(M11="","",IFERROR(AVERAGEIFS(DATOS!$K$2:$K$20000,DATOS!$A$2:$A$20000,M11,DATOS!$G$2:$G$20000,CONFIG_METADATA!$B$4,DATOS!$I$2:$I$20000,"Conjunto"),""))</f>
        <v/>
      </c>
      <c r="Q11" t="str" cm="1">
        <f t="array" ref="Q11">IF(M11="","",IFERROR(AVERAGE(IF((DATOS!$A$2:$A$20000=M11)*(DATOS!$G$2:$G$20000=CONFIG_METADATA!$B$4)*(DATOS!$I$2:$I$20000&lt;&gt;"Lenguaje Musical")*(DATOS!$I$2:$I$20000&lt;&gt;"Coro")*(DATOS!$I$2:$I$20000&lt;&gt;"Conjunto"),DATOS!$K$2:$K$20000)),""))</f>
        <v/>
      </c>
      <c r="T11" t="str">
        <f>IF(S11="","",IFERROR(AVERAGEIFS(DATOS!$K$2:$K$20000,DATOS!$A$2:$A$20000,S11,DATOS!$G$2:$G$20000,CONFIG_METADATA!$B$4,DATOS!$I$2:$I$20000,"Lenguaje Musical"),""))</f>
        <v/>
      </c>
      <c r="U11" t="str">
        <f>IF(S11="","",IFERROR(AVERAGEIFS(DATOS!$K$2:$K$20000,DATOS!$A$2:$A$20000,S11,DATOS!$G$2:$G$20000,CONFIG_METADATA!$B$4,DATOS!$I$2:$I$20000,"Coro"),""))</f>
        <v/>
      </c>
      <c r="V11" t="str">
        <f>IF(S11="","",IFERROR(AVERAGEIFS(DATOS!$K$2:$K$20000,DATOS!$A$2:$A$20000,S11,DATOS!$G$2:$G$20000,CONFIG_METADATA!$B$4,DATOS!$I$2:$I$20000,"Conjunto"),""))</f>
        <v/>
      </c>
      <c r="W11" t="str" cm="1">
        <f t="array" ref="W11">IF(S11="","",IFERROR(AVERAGE(IF((DATOS!$A$2:$A$20000=S11)*(DATOS!$G$2:$G$20000=CONFIG_METADATA!$B$4)*(DATOS!$I$2:$I$20000&lt;&gt;"Lenguaje Musical")*(DATOS!$I$2:$I$20000&lt;&gt;"Coro")*(DATOS!$I$2:$I$20000&lt;&gt;"Conjunto"),DATOS!$K$2:$K$20000)),""))</f>
        <v/>
      </c>
    </row>
    <row r="12" spans="1:23" ht="15" customHeight="1" x14ac:dyDescent="0.2">
      <c r="B12" t="str">
        <f>IF(A12="","",IFERROR(AVERAGEIFS(DATOS!$K$2:$K$20000,DATOS!$A$2:$A$20000,A12,DATOS!$G$2:$G$20000,CONFIG_METADATA!$B$4,DATOS!$I$2:$I$20000,"Lenguaje Musical"),""))</f>
        <v/>
      </c>
      <c r="C12" t="str">
        <f>IF(A12="","",IFERROR(AVERAGEIFS(DATOS!$K$2:$K$20000,DATOS!$A$2:$A$20000,A12,DATOS!$G$2:$G$20000,CONFIG_METADATA!$B$4,DATOS!$I$2:$I$20000,"Coro"),""))</f>
        <v/>
      </c>
      <c r="D12" t="str">
        <f>IF(A12="","",IFERROR(AVERAGEIFS(DATOS!$K$2:$K$20000,DATOS!$A$2:$A$20000,A12,DATOS!$G$2:$G$20000,CONFIG_METADATA!$B$4,DATOS!$I$2:$I$20000,"Conjunto"),""))</f>
        <v/>
      </c>
      <c r="E12" t="str" cm="1">
        <f t="array" ref="E12">IF(A12="","",IFERROR(AVERAGE(IF((DATOS!$A$2:$A$20000=A12)*(DATOS!$G$2:$G$20000=CONFIG_METADATA!$B$4)*(DATOS!$I$2:$I$20000&lt;&gt;"Lenguaje Musical")*(DATOS!$I$2:$I$20000&lt;&gt;"Coro")*(DATOS!$I$2:$I$20000&lt;&gt;"Conjunto"),DATOS!$K$2:$K$20000)),""))</f>
        <v/>
      </c>
      <c r="H12" t="str">
        <f>IF(G12="","",IFERROR(AVERAGEIFS(DATOS!$K$2:$K$20000,DATOS!$A$2:$A$20000,G12,DATOS!$G$2:$G$20000,CONFIG_METADATA!$B$4,DATOS!$I$2:$I$20000,"Lenguaje Musical"),""))</f>
        <v/>
      </c>
      <c r="I12" t="str">
        <f>IF(G12="","",IFERROR(AVERAGEIFS(DATOS!$K$2:$K$20000,DATOS!$A$2:$A$20000,G12,DATOS!$G$2:$G$20000,CONFIG_METADATA!$B$4,DATOS!$I$2:$I$20000,"Coro"),""))</f>
        <v/>
      </c>
      <c r="J12" t="str">
        <f>IF(G12="","",IFERROR(AVERAGEIFS(DATOS!$K$2:$K$20000,DATOS!$A$2:$A$20000,G12,DATOS!$G$2:$G$20000,CONFIG_METADATA!$B$4,DATOS!$I$2:$I$20000,"Conjunto"),""))</f>
        <v/>
      </c>
      <c r="K12" t="str" cm="1">
        <f t="array" ref="K12">IF(G12="","",IFERROR(AVERAGE(IF((DATOS!$A$2:$A$20000=G12)*(DATOS!$G$2:$G$20000=CONFIG_METADATA!$B$4)*(DATOS!$I$2:$I$20000&lt;&gt;"Lenguaje Musical")*(DATOS!$I$2:$I$20000&lt;&gt;"Coro")*(DATOS!$I$2:$I$20000&lt;&gt;"Conjunto"),DATOS!$K$2:$K$20000)),""))</f>
        <v/>
      </c>
      <c r="N12" t="str">
        <f>IF(M12="","",IFERROR(AVERAGEIFS(DATOS!$K$2:$K$20000,DATOS!$A$2:$A$20000,M12,DATOS!$G$2:$G$20000,CONFIG_METADATA!$B$4,DATOS!$I$2:$I$20000,"Lenguaje Musical"),""))</f>
        <v/>
      </c>
      <c r="O12" t="str">
        <f>IF(M12="","",IFERROR(AVERAGEIFS(DATOS!$K$2:$K$20000,DATOS!$A$2:$A$20000,M12,DATOS!$G$2:$G$20000,CONFIG_METADATA!$B$4,DATOS!$I$2:$I$20000,"Coro"),""))</f>
        <v/>
      </c>
      <c r="P12" t="str">
        <f>IF(M12="","",IFERROR(AVERAGEIFS(DATOS!$K$2:$K$20000,DATOS!$A$2:$A$20000,M12,DATOS!$G$2:$G$20000,CONFIG_METADATA!$B$4,DATOS!$I$2:$I$20000,"Conjunto"),""))</f>
        <v/>
      </c>
      <c r="Q12" t="str" cm="1">
        <f t="array" ref="Q12">IF(M12="","",IFERROR(AVERAGE(IF((DATOS!$A$2:$A$20000=M12)*(DATOS!$G$2:$G$20000=CONFIG_METADATA!$B$4)*(DATOS!$I$2:$I$20000&lt;&gt;"Lenguaje Musical")*(DATOS!$I$2:$I$20000&lt;&gt;"Coro")*(DATOS!$I$2:$I$20000&lt;&gt;"Conjunto"),DATOS!$K$2:$K$20000)),""))</f>
        <v/>
      </c>
      <c r="T12" t="str">
        <f>IF(S12="","",IFERROR(AVERAGEIFS(DATOS!$K$2:$K$20000,DATOS!$A$2:$A$20000,S12,DATOS!$G$2:$G$20000,CONFIG_METADATA!$B$4,DATOS!$I$2:$I$20000,"Lenguaje Musical"),""))</f>
        <v/>
      </c>
      <c r="U12" t="str">
        <f>IF(S12="","",IFERROR(AVERAGEIFS(DATOS!$K$2:$K$20000,DATOS!$A$2:$A$20000,S12,DATOS!$G$2:$G$20000,CONFIG_METADATA!$B$4,DATOS!$I$2:$I$20000,"Coro"),""))</f>
        <v/>
      </c>
      <c r="V12" t="str">
        <f>IF(S12="","",IFERROR(AVERAGEIFS(DATOS!$K$2:$K$20000,DATOS!$A$2:$A$20000,S12,DATOS!$G$2:$G$20000,CONFIG_METADATA!$B$4,DATOS!$I$2:$I$20000,"Conjunto"),""))</f>
        <v/>
      </c>
      <c r="W12" t="str" cm="1">
        <f t="array" ref="W12">IF(S12="","",IFERROR(AVERAGE(IF((DATOS!$A$2:$A$20000=S12)*(DATOS!$G$2:$G$20000=CONFIG_METADATA!$B$4)*(DATOS!$I$2:$I$20000&lt;&gt;"Lenguaje Musical")*(DATOS!$I$2:$I$20000&lt;&gt;"Coro")*(DATOS!$I$2:$I$20000&lt;&gt;"Conjunto"),DATOS!$K$2:$K$20000)),""))</f>
        <v/>
      </c>
    </row>
    <row r="13" spans="1:23" ht="15" customHeight="1" x14ac:dyDescent="0.2">
      <c r="B13" t="str">
        <f>IF(A13="","",IFERROR(AVERAGEIFS(DATOS!$K$2:$K$20000,DATOS!$A$2:$A$20000,A13,DATOS!$G$2:$G$20000,CONFIG_METADATA!$B$4,DATOS!$I$2:$I$20000,"Lenguaje Musical"),""))</f>
        <v/>
      </c>
      <c r="C13" t="str">
        <f>IF(A13="","",IFERROR(AVERAGEIFS(DATOS!$K$2:$K$20000,DATOS!$A$2:$A$20000,A13,DATOS!$G$2:$G$20000,CONFIG_METADATA!$B$4,DATOS!$I$2:$I$20000,"Coro"),""))</f>
        <v/>
      </c>
      <c r="D13" t="str">
        <f>IF(A13="","",IFERROR(AVERAGEIFS(DATOS!$K$2:$K$20000,DATOS!$A$2:$A$20000,A13,DATOS!$G$2:$G$20000,CONFIG_METADATA!$B$4,DATOS!$I$2:$I$20000,"Conjunto"),""))</f>
        <v/>
      </c>
      <c r="E13" t="str" cm="1">
        <f t="array" ref="E13">IF(A13="","",IFERROR(AVERAGE(IF((DATOS!$A$2:$A$20000=A13)*(DATOS!$G$2:$G$20000=CONFIG_METADATA!$B$4)*(DATOS!$I$2:$I$20000&lt;&gt;"Lenguaje Musical")*(DATOS!$I$2:$I$20000&lt;&gt;"Coro")*(DATOS!$I$2:$I$20000&lt;&gt;"Conjunto"),DATOS!$K$2:$K$20000)),""))</f>
        <v/>
      </c>
      <c r="H13" t="str">
        <f>IF(G13="","",IFERROR(AVERAGEIFS(DATOS!$K$2:$K$20000,DATOS!$A$2:$A$20000,G13,DATOS!$G$2:$G$20000,CONFIG_METADATA!$B$4,DATOS!$I$2:$I$20000,"Lenguaje Musical"),""))</f>
        <v/>
      </c>
      <c r="I13" t="str">
        <f>IF(G13="","",IFERROR(AVERAGEIFS(DATOS!$K$2:$K$20000,DATOS!$A$2:$A$20000,G13,DATOS!$G$2:$G$20000,CONFIG_METADATA!$B$4,DATOS!$I$2:$I$20000,"Coro"),""))</f>
        <v/>
      </c>
      <c r="J13" t="str">
        <f>IF(G13="","",IFERROR(AVERAGEIFS(DATOS!$K$2:$K$20000,DATOS!$A$2:$A$20000,G13,DATOS!$G$2:$G$20000,CONFIG_METADATA!$B$4,DATOS!$I$2:$I$20000,"Conjunto"),""))</f>
        <v/>
      </c>
      <c r="K13" t="str" cm="1">
        <f t="array" ref="K13">IF(G13="","",IFERROR(AVERAGE(IF((DATOS!$A$2:$A$20000=G13)*(DATOS!$G$2:$G$20000=CONFIG_METADATA!$B$4)*(DATOS!$I$2:$I$20000&lt;&gt;"Lenguaje Musical")*(DATOS!$I$2:$I$20000&lt;&gt;"Coro")*(DATOS!$I$2:$I$20000&lt;&gt;"Conjunto"),DATOS!$K$2:$K$20000)),""))</f>
        <v/>
      </c>
      <c r="N13" t="str">
        <f>IF(M13="","",IFERROR(AVERAGEIFS(DATOS!$K$2:$K$20000,DATOS!$A$2:$A$20000,M13,DATOS!$G$2:$G$20000,CONFIG_METADATA!$B$4,DATOS!$I$2:$I$20000,"Lenguaje Musical"),""))</f>
        <v/>
      </c>
      <c r="O13" t="str">
        <f>IF(M13="","",IFERROR(AVERAGEIFS(DATOS!$K$2:$K$20000,DATOS!$A$2:$A$20000,M13,DATOS!$G$2:$G$20000,CONFIG_METADATA!$B$4,DATOS!$I$2:$I$20000,"Coro"),""))</f>
        <v/>
      </c>
      <c r="P13" t="str">
        <f>IF(M13="","",IFERROR(AVERAGEIFS(DATOS!$K$2:$K$20000,DATOS!$A$2:$A$20000,M13,DATOS!$G$2:$G$20000,CONFIG_METADATA!$B$4,DATOS!$I$2:$I$20000,"Conjunto"),""))</f>
        <v/>
      </c>
      <c r="Q13" t="str" cm="1">
        <f t="array" ref="Q13">IF(M13="","",IFERROR(AVERAGE(IF((DATOS!$A$2:$A$20000=M13)*(DATOS!$G$2:$G$20000=CONFIG_METADATA!$B$4)*(DATOS!$I$2:$I$20000&lt;&gt;"Lenguaje Musical")*(DATOS!$I$2:$I$20000&lt;&gt;"Coro")*(DATOS!$I$2:$I$20000&lt;&gt;"Conjunto"),DATOS!$K$2:$K$20000)),""))</f>
        <v/>
      </c>
      <c r="T13" t="str">
        <f>IF(S13="","",IFERROR(AVERAGEIFS(DATOS!$K$2:$K$20000,DATOS!$A$2:$A$20000,S13,DATOS!$G$2:$G$20000,CONFIG_METADATA!$B$4,DATOS!$I$2:$I$20000,"Lenguaje Musical"),""))</f>
        <v/>
      </c>
      <c r="U13" t="str">
        <f>IF(S13="","",IFERROR(AVERAGEIFS(DATOS!$K$2:$K$20000,DATOS!$A$2:$A$20000,S13,DATOS!$G$2:$G$20000,CONFIG_METADATA!$B$4,DATOS!$I$2:$I$20000,"Coro"),""))</f>
        <v/>
      </c>
      <c r="V13" t="str">
        <f>IF(S13="","",IFERROR(AVERAGEIFS(DATOS!$K$2:$K$20000,DATOS!$A$2:$A$20000,S13,DATOS!$G$2:$G$20000,CONFIG_METADATA!$B$4,DATOS!$I$2:$I$20000,"Conjunto"),""))</f>
        <v/>
      </c>
      <c r="W13" t="str" cm="1">
        <f t="array" ref="W13">IF(S13="","",IFERROR(AVERAGE(IF((DATOS!$A$2:$A$20000=S13)*(DATOS!$G$2:$G$20000=CONFIG_METADATA!$B$4)*(DATOS!$I$2:$I$20000&lt;&gt;"Lenguaje Musical")*(DATOS!$I$2:$I$20000&lt;&gt;"Coro")*(DATOS!$I$2:$I$20000&lt;&gt;"Conjunto"),DATOS!$K$2:$K$20000)),""))</f>
        <v/>
      </c>
    </row>
    <row r="14" spans="1:23" ht="15" customHeight="1" x14ac:dyDescent="0.2">
      <c r="B14" t="str">
        <f>IF(A14="","",IFERROR(AVERAGEIFS(DATOS!$K$2:$K$20000,DATOS!$A$2:$A$20000,A14,DATOS!$G$2:$G$20000,CONFIG_METADATA!$B$4,DATOS!$I$2:$I$20000,"Lenguaje Musical"),""))</f>
        <v/>
      </c>
      <c r="C14" t="str">
        <f>IF(A14="","",IFERROR(AVERAGEIFS(DATOS!$K$2:$K$20000,DATOS!$A$2:$A$20000,A14,DATOS!$G$2:$G$20000,CONFIG_METADATA!$B$4,DATOS!$I$2:$I$20000,"Coro"),""))</f>
        <v/>
      </c>
      <c r="D14" t="str">
        <f>IF(A14="","",IFERROR(AVERAGEIFS(DATOS!$K$2:$K$20000,DATOS!$A$2:$A$20000,A14,DATOS!$G$2:$G$20000,CONFIG_METADATA!$B$4,DATOS!$I$2:$I$20000,"Conjunto"),""))</f>
        <v/>
      </c>
      <c r="E14" t="str" cm="1">
        <f t="array" ref="E14">IF(A14="","",IFERROR(AVERAGE(IF((DATOS!$A$2:$A$20000=A14)*(DATOS!$G$2:$G$20000=CONFIG_METADATA!$B$4)*(DATOS!$I$2:$I$20000&lt;&gt;"Lenguaje Musical")*(DATOS!$I$2:$I$20000&lt;&gt;"Coro")*(DATOS!$I$2:$I$20000&lt;&gt;"Conjunto"),DATOS!$K$2:$K$20000)),""))</f>
        <v/>
      </c>
      <c r="H14" t="str">
        <f>IF(G14="","",IFERROR(AVERAGEIFS(DATOS!$K$2:$K$20000,DATOS!$A$2:$A$20000,G14,DATOS!$G$2:$G$20000,CONFIG_METADATA!$B$4,DATOS!$I$2:$I$20000,"Lenguaje Musical"),""))</f>
        <v/>
      </c>
      <c r="I14" t="str">
        <f>IF(G14="","",IFERROR(AVERAGEIFS(DATOS!$K$2:$K$20000,DATOS!$A$2:$A$20000,G14,DATOS!$G$2:$G$20000,CONFIG_METADATA!$B$4,DATOS!$I$2:$I$20000,"Coro"),""))</f>
        <v/>
      </c>
      <c r="J14" t="str">
        <f>IF(G14="","",IFERROR(AVERAGEIFS(DATOS!$K$2:$K$20000,DATOS!$A$2:$A$20000,G14,DATOS!$G$2:$G$20000,CONFIG_METADATA!$B$4,DATOS!$I$2:$I$20000,"Conjunto"),""))</f>
        <v/>
      </c>
      <c r="K14" t="str" cm="1">
        <f t="array" ref="K14">IF(G14="","",IFERROR(AVERAGE(IF((DATOS!$A$2:$A$20000=G14)*(DATOS!$G$2:$G$20000=CONFIG_METADATA!$B$4)*(DATOS!$I$2:$I$20000&lt;&gt;"Lenguaje Musical")*(DATOS!$I$2:$I$20000&lt;&gt;"Coro")*(DATOS!$I$2:$I$20000&lt;&gt;"Conjunto"),DATOS!$K$2:$K$20000)),""))</f>
        <v/>
      </c>
      <c r="N14" t="str">
        <f>IF(M14="","",IFERROR(AVERAGEIFS(DATOS!$K$2:$K$20000,DATOS!$A$2:$A$20000,M14,DATOS!$G$2:$G$20000,CONFIG_METADATA!$B$4,DATOS!$I$2:$I$20000,"Lenguaje Musical"),""))</f>
        <v/>
      </c>
      <c r="O14" t="str">
        <f>IF(M14="","",IFERROR(AVERAGEIFS(DATOS!$K$2:$K$20000,DATOS!$A$2:$A$20000,M14,DATOS!$G$2:$G$20000,CONFIG_METADATA!$B$4,DATOS!$I$2:$I$20000,"Coro"),""))</f>
        <v/>
      </c>
      <c r="P14" t="str">
        <f>IF(M14="","",IFERROR(AVERAGEIFS(DATOS!$K$2:$K$20000,DATOS!$A$2:$A$20000,M14,DATOS!$G$2:$G$20000,CONFIG_METADATA!$B$4,DATOS!$I$2:$I$20000,"Conjunto"),""))</f>
        <v/>
      </c>
      <c r="Q14" t="str" cm="1">
        <f t="array" ref="Q14">IF(M14="","",IFERROR(AVERAGE(IF((DATOS!$A$2:$A$20000=M14)*(DATOS!$G$2:$G$20000=CONFIG_METADATA!$B$4)*(DATOS!$I$2:$I$20000&lt;&gt;"Lenguaje Musical")*(DATOS!$I$2:$I$20000&lt;&gt;"Coro")*(DATOS!$I$2:$I$20000&lt;&gt;"Conjunto"),DATOS!$K$2:$K$20000)),""))</f>
        <v/>
      </c>
      <c r="T14" t="str">
        <f>IF(S14="","",IFERROR(AVERAGEIFS(DATOS!$K$2:$K$20000,DATOS!$A$2:$A$20000,S14,DATOS!$G$2:$G$20000,CONFIG_METADATA!$B$4,DATOS!$I$2:$I$20000,"Lenguaje Musical"),""))</f>
        <v/>
      </c>
      <c r="U14" t="str">
        <f>IF(S14="","",IFERROR(AVERAGEIFS(DATOS!$K$2:$K$20000,DATOS!$A$2:$A$20000,S14,DATOS!$G$2:$G$20000,CONFIG_METADATA!$B$4,DATOS!$I$2:$I$20000,"Coro"),""))</f>
        <v/>
      </c>
      <c r="V14" t="str">
        <f>IF(S14="","",IFERROR(AVERAGEIFS(DATOS!$K$2:$K$20000,DATOS!$A$2:$A$20000,S14,DATOS!$G$2:$G$20000,CONFIG_METADATA!$B$4,DATOS!$I$2:$I$20000,"Conjunto"),""))</f>
        <v/>
      </c>
      <c r="W14" t="str" cm="1">
        <f t="array" ref="W14">IF(S14="","",IFERROR(AVERAGE(IF((DATOS!$A$2:$A$20000=S14)*(DATOS!$G$2:$G$20000=CONFIG_METADATA!$B$4)*(DATOS!$I$2:$I$20000&lt;&gt;"Lenguaje Musical")*(DATOS!$I$2:$I$20000&lt;&gt;"Coro")*(DATOS!$I$2:$I$20000&lt;&gt;"Conjunto"),DATOS!$K$2:$K$20000)),""))</f>
        <v/>
      </c>
    </row>
    <row r="15" spans="1:23" ht="15" customHeight="1" x14ac:dyDescent="0.2">
      <c r="B15" t="str">
        <f>IF(A15="","",IFERROR(AVERAGEIFS(DATOS!$K$2:$K$20000,DATOS!$A$2:$A$20000,A15,DATOS!$G$2:$G$20000,CONFIG_METADATA!$B$4,DATOS!$I$2:$I$20000,"Lenguaje Musical"),""))</f>
        <v/>
      </c>
      <c r="C15" t="str">
        <f>IF(A15="","",IFERROR(AVERAGEIFS(DATOS!$K$2:$K$20000,DATOS!$A$2:$A$20000,A15,DATOS!$G$2:$G$20000,CONFIG_METADATA!$B$4,DATOS!$I$2:$I$20000,"Coro"),""))</f>
        <v/>
      </c>
      <c r="D15" t="str">
        <f>IF(A15="","",IFERROR(AVERAGEIFS(DATOS!$K$2:$K$20000,DATOS!$A$2:$A$20000,A15,DATOS!$G$2:$G$20000,CONFIG_METADATA!$B$4,DATOS!$I$2:$I$20000,"Conjunto"),""))</f>
        <v/>
      </c>
      <c r="E15" t="str" cm="1">
        <f t="array" ref="E15">IF(A15="","",IFERROR(AVERAGE(IF((DATOS!$A$2:$A$20000=A15)*(DATOS!$G$2:$G$20000=CONFIG_METADATA!$B$4)*(DATOS!$I$2:$I$20000&lt;&gt;"Lenguaje Musical")*(DATOS!$I$2:$I$20000&lt;&gt;"Coro")*(DATOS!$I$2:$I$20000&lt;&gt;"Conjunto"),DATOS!$K$2:$K$20000)),""))</f>
        <v/>
      </c>
      <c r="H15" t="str">
        <f>IF(G15="","",IFERROR(AVERAGEIFS(DATOS!$K$2:$K$20000,DATOS!$A$2:$A$20000,G15,DATOS!$G$2:$G$20000,CONFIG_METADATA!$B$4,DATOS!$I$2:$I$20000,"Lenguaje Musical"),""))</f>
        <v/>
      </c>
      <c r="I15" t="str">
        <f>IF(G15="","",IFERROR(AVERAGEIFS(DATOS!$K$2:$K$20000,DATOS!$A$2:$A$20000,G15,DATOS!$G$2:$G$20000,CONFIG_METADATA!$B$4,DATOS!$I$2:$I$20000,"Coro"),""))</f>
        <v/>
      </c>
      <c r="J15" t="str">
        <f>IF(G15="","",IFERROR(AVERAGEIFS(DATOS!$K$2:$K$20000,DATOS!$A$2:$A$20000,G15,DATOS!$G$2:$G$20000,CONFIG_METADATA!$B$4,DATOS!$I$2:$I$20000,"Conjunto"),""))</f>
        <v/>
      </c>
      <c r="K15" t="str" cm="1">
        <f t="array" ref="K15">IF(G15="","",IFERROR(AVERAGE(IF((DATOS!$A$2:$A$20000=G15)*(DATOS!$G$2:$G$20000=CONFIG_METADATA!$B$4)*(DATOS!$I$2:$I$20000&lt;&gt;"Lenguaje Musical")*(DATOS!$I$2:$I$20000&lt;&gt;"Coro")*(DATOS!$I$2:$I$20000&lt;&gt;"Conjunto"),DATOS!$K$2:$K$20000)),""))</f>
        <v/>
      </c>
      <c r="N15" t="str">
        <f>IF(M15="","",IFERROR(AVERAGEIFS(DATOS!$K$2:$K$20000,DATOS!$A$2:$A$20000,M15,DATOS!$G$2:$G$20000,CONFIG_METADATA!$B$4,DATOS!$I$2:$I$20000,"Lenguaje Musical"),""))</f>
        <v/>
      </c>
      <c r="O15" t="str">
        <f>IF(M15="","",IFERROR(AVERAGEIFS(DATOS!$K$2:$K$20000,DATOS!$A$2:$A$20000,M15,DATOS!$G$2:$G$20000,CONFIG_METADATA!$B$4,DATOS!$I$2:$I$20000,"Coro"),""))</f>
        <v/>
      </c>
      <c r="P15" t="str">
        <f>IF(M15="","",IFERROR(AVERAGEIFS(DATOS!$K$2:$K$20000,DATOS!$A$2:$A$20000,M15,DATOS!$G$2:$G$20000,CONFIG_METADATA!$B$4,DATOS!$I$2:$I$20000,"Conjunto"),""))</f>
        <v/>
      </c>
      <c r="Q15" t="str" cm="1">
        <f t="array" ref="Q15">IF(M15="","",IFERROR(AVERAGE(IF((DATOS!$A$2:$A$20000=M15)*(DATOS!$G$2:$G$20000=CONFIG_METADATA!$B$4)*(DATOS!$I$2:$I$20000&lt;&gt;"Lenguaje Musical")*(DATOS!$I$2:$I$20000&lt;&gt;"Coro")*(DATOS!$I$2:$I$20000&lt;&gt;"Conjunto"),DATOS!$K$2:$K$20000)),""))</f>
        <v/>
      </c>
      <c r="T15" t="str">
        <f>IF(S15="","",IFERROR(AVERAGEIFS(DATOS!$K$2:$K$20000,DATOS!$A$2:$A$20000,S15,DATOS!$G$2:$G$20000,CONFIG_METADATA!$B$4,DATOS!$I$2:$I$20000,"Lenguaje Musical"),""))</f>
        <v/>
      </c>
      <c r="U15" t="str">
        <f>IF(S15="","",IFERROR(AVERAGEIFS(DATOS!$K$2:$K$20000,DATOS!$A$2:$A$20000,S15,DATOS!$G$2:$G$20000,CONFIG_METADATA!$B$4,DATOS!$I$2:$I$20000,"Coro"),""))</f>
        <v/>
      </c>
      <c r="V15" t="str">
        <f>IF(S15="","",IFERROR(AVERAGEIFS(DATOS!$K$2:$K$20000,DATOS!$A$2:$A$20000,S15,DATOS!$G$2:$G$20000,CONFIG_METADATA!$B$4,DATOS!$I$2:$I$20000,"Conjunto"),""))</f>
        <v/>
      </c>
      <c r="W15" t="str" cm="1">
        <f t="array" ref="W15">IF(S15="","",IFERROR(AVERAGE(IF((DATOS!$A$2:$A$20000=S15)*(DATOS!$G$2:$G$20000=CONFIG_METADATA!$B$4)*(DATOS!$I$2:$I$20000&lt;&gt;"Lenguaje Musical")*(DATOS!$I$2:$I$20000&lt;&gt;"Coro")*(DATOS!$I$2:$I$20000&lt;&gt;"Conjunto"),DATOS!$K$2:$K$20000)),""))</f>
        <v/>
      </c>
    </row>
    <row r="16" spans="1:23" ht="15" customHeight="1" x14ac:dyDescent="0.2">
      <c r="B16" t="str">
        <f>IF(A16="","",IFERROR(AVERAGEIFS(DATOS!$K$2:$K$20000,DATOS!$A$2:$A$20000,A16,DATOS!$G$2:$G$20000,CONFIG_METADATA!$B$4,DATOS!$I$2:$I$20000,"Lenguaje Musical"),""))</f>
        <v/>
      </c>
      <c r="C16" t="str">
        <f>IF(A16="","",IFERROR(AVERAGEIFS(DATOS!$K$2:$K$20000,DATOS!$A$2:$A$20000,A16,DATOS!$G$2:$G$20000,CONFIG_METADATA!$B$4,DATOS!$I$2:$I$20000,"Coro"),""))</f>
        <v/>
      </c>
      <c r="D16" t="str">
        <f>IF(A16="","",IFERROR(AVERAGEIFS(DATOS!$K$2:$K$20000,DATOS!$A$2:$A$20000,A16,DATOS!$G$2:$G$20000,CONFIG_METADATA!$B$4,DATOS!$I$2:$I$20000,"Conjunto"),""))</f>
        <v/>
      </c>
      <c r="E16" t="str" cm="1">
        <f t="array" ref="E16">IF(A16="","",IFERROR(AVERAGE(IF((DATOS!$A$2:$A$20000=A16)*(DATOS!$G$2:$G$20000=CONFIG_METADATA!$B$4)*(DATOS!$I$2:$I$20000&lt;&gt;"Lenguaje Musical")*(DATOS!$I$2:$I$20000&lt;&gt;"Coro")*(DATOS!$I$2:$I$20000&lt;&gt;"Conjunto"),DATOS!$K$2:$K$20000)),""))</f>
        <v/>
      </c>
      <c r="H16" t="str">
        <f>IF(G16="","",IFERROR(AVERAGEIFS(DATOS!$K$2:$K$20000,DATOS!$A$2:$A$20000,G16,DATOS!$G$2:$G$20000,CONFIG_METADATA!$B$4,DATOS!$I$2:$I$20000,"Lenguaje Musical"),""))</f>
        <v/>
      </c>
      <c r="I16" t="str">
        <f>IF(G16="","",IFERROR(AVERAGEIFS(DATOS!$K$2:$K$20000,DATOS!$A$2:$A$20000,G16,DATOS!$G$2:$G$20000,CONFIG_METADATA!$B$4,DATOS!$I$2:$I$20000,"Coro"),""))</f>
        <v/>
      </c>
      <c r="J16" t="str">
        <f>IF(G16="","",IFERROR(AVERAGEIFS(DATOS!$K$2:$K$20000,DATOS!$A$2:$A$20000,G16,DATOS!$G$2:$G$20000,CONFIG_METADATA!$B$4,DATOS!$I$2:$I$20000,"Conjunto"),""))</f>
        <v/>
      </c>
      <c r="K16" t="str" cm="1">
        <f t="array" ref="K16">IF(G16="","",IFERROR(AVERAGE(IF((DATOS!$A$2:$A$20000=G16)*(DATOS!$G$2:$G$20000=CONFIG_METADATA!$B$4)*(DATOS!$I$2:$I$20000&lt;&gt;"Lenguaje Musical")*(DATOS!$I$2:$I$20000&lt;&gt;"Coro")*(DATOS!$I$2:$I$20000&lt;&gt;"Conjunto"),DATOS!$K$2:$K$20000)),""))</f>
        <v/>
      </c>
      <c r="N16" t="str">
        <f>IF(M16="","",IFERROR(AVERAGEIFS(DATOS!$K$2:$K$20000,DATOS!$A$2:$A$20000,M16,DATOS!$G$2:$G$20000,CONFIG_METADATA!$B$4,DATOS!$I$2:$I$20000,"Lenguaje Musical"),""))</f>
        <v/>
      </c>
      <c r="O16" t="str">
        <f>IF(M16="","",IFERROR(AVERAGEIFS(DATOS!$K$2:$K$20000,DATOS!$A$2:$A$20000,M16,DATOS!$G$2:$G$20000,CONFIG_METADATA!$B$4,DATOS!$I$2:$I$20000,"Coro"),""))</f>
        <v/>
      </c>
      <c r="P16" t="str">
        <f>IF(M16="","",IFERROR(AVERAGEIFS(DATOS!$K$2:$K$20000,DATOS!$A$2:$A$20000,M16,DATOS!$G$2:$G$20000,CONFIG_METADATA!$B$4,DATOS!$I$2:$I$20000,"Conjunto"),""))</f>
        <v/>
      </c>
      <c r="Q16" t="str" cm="1">
        <f t="array" ref="Q16">IF(M16="","",IFERROR(AVERAGE(IF((DATOS!$A$2:$A$20000=M16)*(DATOS!$G$2:$G$20000=CONFIG_METADATA!$B$4)*(DATOS!$I$2:$I$20000&lt;&gt;"Lenguaje Musical")*(DATOS!$I$2:$I$20000&lt;&gt;"Coro")*(DATOS!$I$2:$I$20000&lt;&gt;"Conjunto"),DATOS!$K$2:$K$20000)),""))</f>
        <v/>
      </c>
      <c r="T16" t="str">
        <f>IF(S16="","",IFERROR(AVERAGEIFS(DATOS!$K$2:$K$20000,DATOS!$A$2:$A$20000,S16,DATOS!$G$2:$G$20000,CONFIG_METADATA!$B$4,DATOS!$I$2:$I$20000,"Lenguaje Musical"),""))</f>
        <v/>
      </c>
      <c r="U16" t="str">
        <f>IF(S16="","",IFERROR(AVERAGEIFS(DATOS!$K$2:$K$20000,DATOS!$A$2:$A$20000,S16,DATOS!$G$2:$G$20000,CONFIG_METADATA!$B$4,DATOS!$I$2:$I$20000,"Coro"),""))</f>
        <v/>
      </c>
      <c r="V16" t="str">
        <f>IF(S16="","",IFERROR(AVERAGEIFS(DATOS!$K$2:$K$20000,DATOS!$A$2:$A$20000,S16,DATOS!$G$2:$G$20000,CONFIG_METADATA!$B$4,DATOS!$I$2:$I$20000,"Conjunto"),""))</f>
        <v/>
      </c>
      <c r="W16" t="str" cm="1">
        <f t="array" ref="W16">IF(S16="","",IFERROR(AVERAGE(IF((DATOS!$A$2:$A$20000=S16)*(DATOS!$G$2:$G$20000=CONFIG_METADATA!$B$4)*(DATOS!$I$2:$I$20000&lt;&gt;"Lenguaje Musical")*(DATOS!$I$2:$I$20000&lt;&gt;"Coro")*(DATOS!$I$2:$I$20000&lt;&gt;"Conjunto"),DATOS!$K$2:$K$20000)),""))</f>
        <v/>
      </c>
    </row>
    <row r="17" spans="2:23" ht="15" customHeight="1" x14ac:dyDescent="0.2">
      <c r="B17" t="str">
        <f>IF(A17="","",IFERROR(AVERAGEIFS(DATOS!$K$2:$K$20000,DATOS!$A$2:$A$20000,A17,DATOS!$G$2:$G$20000,CONFIG_METADATA!$B$4,DATOS!$I$2:$I$20000,"Lenguaje Musical"),""))</f>
        <v/>
      </c>
      <c r="C17" t="str">
        <f>IF(A17="","",IFERROR(AVERAGEIFS(DATOS!$K$2:$K$20000,DATOS!$A$2:$A$20000,A17,DATOS!$G$2:$G$20000,CONFIG_METADATA!$B$4,DATOS!$I$2:$I$20000,"Coro"),""))</f>
        <v/>
      </c>
      <c r="D17" t="str">
        <f>IF(A17="","",IFERROR(AVERAGEIFS(DATOS!$K$2:$K$20000,DATOS!$A$2:$A$20000,A17,DATOS!$G$2:$G$20000,CONFIG_METADATA!$B$4,DATOS!$I$2:$I$20000,"Conjunto"),""))</f>
        <v/>
      </c>
      <c r="E17" t="str" cm="1">
        <f t="array" ref="E17">IF(A17="","",IFERROR(AVERAGE(IF((DATOS!$A$2:$A$20000=A17)*(DATOS!$G$2:$G$20000=CONFIG_METADATA!$B$4)*(DATOS!$I$2:$I$20000&lt;&gt;"Lenguaje Musical")*(DATOS!$I$2:$I$20000&lt;&gt;"Coro")*(DATOS!$I$2:$I$20000&lt;&gt;"Conjunto"),DATOS!$K$2:$K$20000)),""))</f>
        <v/>
      </c>
      <c r="H17" t="str">
        <f>IF(G17="","",IFERROR(AVERAGEIFS(DATOS!$K$2:$K$20000,DATOS!$A$2:$A$20000,G17,DATOS!$G$2:$G$20000,CONFIG_METADATA!$B$4,DATOS!$I$2:$I$20000,"Lenguaje Musical"),""))</f>
        <v/>
      </c>
      <c r="I17" t="str">
        <f>IF(G17="","",IFERROR(AVERAGEIFS(DATOS!$K$2:$K$20000,DATOS!$A$2:$A$20000,G17,DATOS!$G$2:$G$20000,CONFIG_METADATA!$B$4,DATOS!$I$2:$I$20000,"Coro"),""))</f>
        <v/>
      </c>
      <c r="J17" t="str">
        <f>IF(G17="","",IFERROR(AVERAGEIFS(DATOS!$K$2:$K$20000,DATOS!$A$2:$A$20000,G17,DATOS!$G$2:$G$20000,CONFIG_METADATA!$B$4,DATOS!$I$2:$I$20000,"Conjunto"),""))</f>
        <v/>
      </c>
      <c r="K17" t="str" cm="1">
        <f t="array" ref="K17">IF(G17="","",IFERROR(AVERAGE(IF((DATOS!$A$2:$A$20000=G17)*(DATOS!$G$2:$G$20000=CONFIG_METADATA!$B$4)*(DATOS!$I$2:$I$20000&lt;&gt;"Lenguaje Musical")*(DATOS!$I$2:$I$20000&lt;&gt;"Coro")*(DATOS!$I$2:$I$20000&lt;&gt;"Conjunto"),DATOS!$K$2:$K$20000)),""))</f>
        <v/>
      </c>
      <c r="N17" t="str">
        <f>IF(M17="","",IFERROR(AVERAGEIFS(DATOS!$K$2:$K$20000,DATOS!$A$2:$A$20000,M17,DATOS!$G$2:$G$20000,CONFIG_METADATA!$B$4,DATOS!$I$2:$I$20000,"Lenguaje Musical"),""))</f>
        <v/>
      </c>
      <c r="O17" t="str">
        <f>IF(M17="","",IFERROR(AVERAGEIFS(DATOS!$K$2:$K$20000,DATOS!$A$2:$A$20000,M17,DATOS!$G$2:$G$20000,CONFIG_METADATA!$B$4,DATOS!$I$2:$I$20000,"Coro"),""))</f>
        <v/>
      </c>
      <c r="P17" t="str">
        <f>IF(M17="","",IFERROR(AVERAGEIFS(DATOS!$K$2:$K$20000,DATOS!$A$2:$A$20000,M17,DATOS!$G$2:$G$20000,CONFIG_METADATA!$B$4,DATOS!$I$2:$I$20000,"Conjunto"),""))</f>
        <v/>
      </c>
      <c r="Q17" t="str" cm="1">
        <f t="array" ref="Q17">IF(M17="","",IFERROR(AVERAGE(IF((DATOS!$A$2:$A$20000=M17)*(DATOS!$G$2:$G$20000=CONFIG_METADATA!$B$4)*(DATOS!$I$2:$I$20000&lt;&gt;"Lenguaje Musical")*(DATOS!$I$2:$I$20000&lt;&gt;"Coro")*(DATOS!$I$2:$I$20000&lt;&gt;"Conjunto"),DATOS!$K$2:$K$20000)),""))</f>
        <v/>
      </c>
      <c r="T17" t="str">
        <f>IF(S17="","",IFERROR(AVERAGEIFS(DATOS!$K$2:$K$20000,DATOS!$A$2:$A$20000,S17,DATOS!$G$2:$G$20000,CONFIG_METADATA!$B$4,DATOS!$I$2:$I$20000,"Lenguaje Musical"),""))</f>
        <v/>
      </c>
      <c r="U17" t="str">
        <f>IF(S17="","",IFERROR(AVERAGEIFS(DATOS!$K$2:$K$20000,DATOS!$A$2:$A$20000,S17,DATOS!$G$2:$G$20000,CONFIG_METADATA!$B$4,DATOS!$I$2:$I$20000,"Coro"),""))</f>
        <v/>
      </c>
      <c r="V17" t="str">
        <f>IF(S17="","",IFERROR(AVERAGEIFS(DATOS!$K$2:$K$20000,DATOS!$A$2:$A$20000,S17,DATOS!$G$2:$G$20000,CONFIG_METADATA!$B$4,DATOS!$I$2:$I$20000,"Conjunto"),""))</f>
        <v/>
      </c>
      <c r="W17" t="str" cm="1">
        <f t="array" ref="W17">IF(S17="","",IFERROR(AVERAGE(IF((DATOS!$A$2:$A$20000=S17)*(DATOS!$G$2:$G$20000=CONFIG_METADATA!$B$4)*(DATOS!$I$2:$I$20000&lt;&gt;"Lenguaje Musical")*(DATOS!$I$2:$I$20000&lt;&gt;"Coro")*(DATOS!$I$2:$I$20000&lt;&gt;"Conjunto"),DATOS!$K$2:$K$20000)),""))</f>
        <v/>
      </c>
    </row>
    <row r="18" spans="2:23" ht="15" customHeight="1" x14ac:dyDescent="0.2">
      <c r="B18" t="str">
        <f>IF(A18="","",IFERROR(AVERAGEIFS(DATOS!$K$2:$K$20000,DATOS!$A$2:$A$20000,A18,DATOS!$G$2:$G$20000,CONFIG_METADATA!$B$4,DATOS!$I$2:$I$20000,"Lenguaje Musical"),""))</f>
        <v/>
      </c>
      <c r="C18" t="str">
        <f>IF(A18="","",IFERROR(AVERAGEIFS(DATOS!$K$2:$K$20000,DATOS!$A$2:$A$20000,A18,DATOS!$G$2:$G$20000,CONFIG_METADATA!$B$4,DATOS!$I$2:$I$20000,"Coro"),""))</f>
        <v/>
      </c>
      <c r="D18" t="str">
        <f>IF(A18="","",IFERROR(AVERAGEIFS(DATOS!$K$2:$K$20000,DATOS!$A$2:$A$20000,A18,DATOS!$G$2:$G$20000,CONFIG_METADATA!$B$4,DATOS!$I$2:$I$20000,"Conjunto"),""))</f>
        <v/>
      </c>
      <c r="E18" t="str" cm="1">
        <f t="array" ref="E18">IF(A18="","",IFERROR(AVERAGE(IF((DATOS!$A$2:$A$20000=A18)*(DATOS!$G$2:$G$20000=CONFIG_METADATA!$B$4)*(DATOS!$I$2:$I$20000&lt;&gt;"Lenguaje Musical")*(DATOS!$I$2:$I$20000&lt;&gt;"Coro")*(DATOS!$I$2:$I$20000&lt;&gt;"Conjunto"),DATOS!$K$2:$K$20000)),""))</f>
        <v/>
      </c>
      <c r="H18" t="str">
        <f>IF(G18="","",IFERROR(AVERAGEIFS(DATOS!$K$2:$K$20000,DATOS!$A$2:$A$20000,G18,DATOS!$G$2:$G$20000,CONFIG_METADATA!$B$4,DATOS!$I$2:$I$20000,"Lenguaje Musical"),""))</f>
        <v/>
      </c>
      <c r="I18" t="str">
        <f>IF(G18="","",IFERROR(AVERAGEIFS(DATOS!$K$2:$K$20000,DATOS!$A$2:$A$20000,G18,DATOS!$G$2:$G$20000,CONFIG_METADATA!$B$4,DATOS!$I$2:$I$20000,"Coro"),""))</f>
        <v/>
      </c>
      <c r="J18" t="str">
        <f>IF(G18="","",IFERROR(AVERAGEIFS(DATOS!$K$2:$K$20000,DATOS!$A$2:$A$20000,G18,DATOS!$G$2:$G$20000,CONFIG_METADATA!$B$4,DATOS!$I$2:$I$20000,"Conjunto"),""))</f>
        <v/>
      </c>
      <c r="K18" t="str" cm="1">
        <f t="array" ref="K18">IF(G18="","",IFERROR(AVERAGE(IF((DATOS!$A$2:$A$20000=G18)*(DATOS!$G$2:$G$20000=CONFIG_METADATA!$B$4)*(DATOS!$I$2:$I$20000&lt;&gt;"Lenguaje Musical")*(DATOS!$I$2:$I$20000&lt;&gt;"Coro")*(DATOS!$I$2:$I$20000&lt;&gt;"Conjunto"),DATOS!$K$2:$K$20000)),""))</f>
        <v/>
      </c>
      <c r="N18" t="str">
        <f>IF(M18="","",IFERROR(AVERAGEIFS(DATOS!$K$2:$K$20000,DATOS!$A$2:$A$20000,M18,DATOS!$G$2:$G$20000,CONFIG_METADATA!$B$4,DATOS!$I$2:$I$20000,"Lenguaje Musical"),""))</f>
        <v/>
      </c>
      <c r="O18" t="str">
        <f>IF(M18="","",IFERROR(AVERAGEIFS(DATOS!$K$2:$K$20000,DATOS!$A$2:$A$20000,M18,DATOS!$G$2:$G$20000,CONFIG_METADATA!$B$4,DATOS!$I$2:$I$20000,"Coro"),""))</f>
        <v/>
      </c>
      <c r="P18" t="str">
        <f>IF(M18="","",IFERROR(AVERAGEIFS(DATOS!$K$2:$K$20000,DATOS!$A$2:$A$20000,M18,DATOS!$G$2:$G$20000,CONFIG_METADATA!$B$4,DATOS!$I$2:$I$20000,"Conjunto"),""))</f>
        <v/>
      </c>
      <c r="Q18" t="str" cm="1">
        <f t="array" ref="Q18">IF(M18="","",IFERROR(AVERAGE(IF((DATOS!$A$2:$A$20000=M18)*(DATOS!$G$2:$G$20000=CONFIG_METADATA!$B$4)*(DATOS!$I$2:$I$20000&lt;&gt;"Lenguaje Musical")*(DATOS!$I$2:$I$20000&lt;&gt;"Coro")*(DATOS!$I$2:$I$20000&lt;&gt;"Conjunto"),DATOS!$K$2:$K$20000)),""))</f>
        <v/>
      </c>
      <c r="T18" t="str">
        <f>IF(S18="","",IFERROR(AVERAGEIFS(DATOS!$K$2:$K$20000,DATOS!$A$2:$A$20000,S18,DATOS!$G$2:$G$20000,CONFIG_METADATA!$B$4,DATOS!$I$2:$I$20000,"Lenguaje Musical"),""))</f>
        <v/>
      </c>
      <c r="U18" t="str">
        <f>IF(S18="","",IFERROR(AVERAGEIFS(DATOS!$K$2:$K$20000,DATOS!$A$2:$A$20000,S18,DATOS!$G$2:$G$20000,CONFIG_METADATA!$B$4,DATOS!$I$2:$I$20000,"Coro"),""))</f>
        <v/>
      </c>
      <c r="V18" t="str">
        <f>IF(S18="","",IFERROR(AVERAGEIFS(DATOS!$K$2:$K$20000,DATOS!$A$2:$A$20000,S18,DATOS!$G$2:$G$20000,CONFIG_METADATA!$B$4,DATOS!$I$2:$I$20000,"Conjunto"),""))</f>
        <v/>
      </c>
      <c r="W18" t="str" cm="1">
        <f t="array" ref="W18">IF(S18="","",IFERROR(AVERAGE(IF((DATOS!$A$2:$A$20000=S18)*(DATOS!$G$2:$G$20000=CONFIG_METADATA!$B$4)*(DATOS!$I$2:$I$20000&lt;&gt;"Lenguaje Musical")*(DATOS!$I$2:$I$20000&lt;&gt;"Coro")*(DATOS!$I$2:$I$20000&lt;&gt;"Conjunto"),DATOS!$K$2:$K$20000)),""))</f>
        <v/>
      </c>
    </row>
    <row r="19" spans="2:23" ht="15" customHeight="1" x14ac:dyDescent="0.2">
      <c r="B19" t="str">
        <f>IF(A19="","",IFERROR(AVERAGEIFS(DATOS!$K$2:$K$20000,DATOS!$A$2:$A$20000,A19,DATOS!$G$2:$G$20000,CONFIG_METADATA!$B$4,DATOS!$I$2:$I$20000,"Lenguaje Musical"),""))</f>
        <v/>
      </c>
      <c r="C19" t="str">
        <f>IF(A19="","",IFERROR(AVERAGEIFS(DATOS!$K$2:$K$20000,DATOS!$A$2:$A$20000,A19,DATOS!$G$2:$G$20000,CONFIG_METADATA!$B$4,DATOS!$I$2:$I$20000,"Coro"),""))</f>
        <v/>
      </c>
      <c r="D19" t="str">
        <f>IF(A19="","",IFERROR(AVERAGEIFS(DATOS!$K$2:$K$20000,DATOS!$A$2:$A$20000,A19,DATOS!$G$2:$G$20000,CONFIG_METADATA!$B$4,DATOS!$I$2:$I$20000,"Conjunto"),""))</f>
        <v/>
      </c>
      <c r="E19" t="str" cm="1">
        <f t="array" ref="E19">IF(A19="","",IFERROR(AVERAGE(IF((DATOS!$A$2:$A$20000=A19)*(DATOS!$G$2:$G$20000=CONFIG_METADATA!$B$4)*(DATOS!$I$2:$I$20000&lt;&gt;"Lenguaje Musical")*(DATOS!$I$2:$I$20000&lt;&gt;"Coro")*(DATOS!$I$2:$I$20000&lt;&gt;"Conjunto"),DATOS!$K$2:$K$20000)),""))</f>
        <v/>
      </c>
      <c r="H19" t="str">
        <f>IF(G19="","",IFERROR(AVERAGEIFS(DATOS!$K$2:$K$20000,DATOS!$A$2:$A$20000,G19,DATOS!$G$2:$G$20000,CONFIG_METADATA!$B$4,DATOS!$I$2:$I$20000,"Lenguaje Musical"),""))</f>
        <v/>
      </c>
      <c r="I19" t="str">
        <f>IF(G19="","",IFERROR(AVERAGEIFS(DATOS!$K$2:$K$20000,DATOS!$A$2:$A$20000,G19,DATOS!$G$2:$G$20000,CONFIG_METADATA!$B$4,DATOS!$I$2:$I$20000,"Coro"),""))</f>
        <v/>
      </c>
      <c r="J19" t="str">
        <f>IF(G19="","",IFERROR(AVERAGEIFS(DATOS!$K$2:$K$20000,DATOS!$A$2:$A$20000,G19,DATOS!$G$2:$G$20000,CONFIG_METADATA!$B$4,DATOS!$I$2:$I$20000,"Conjunto"),""))</f>
        <v/>
      </c>
      <c r="K19" t="str" cm="1">
        <f t="array" ref="K19">IF(G19="","",IFERROR(AVERAGE(IF((DATOS!$A$2:$A$20000=G19)*(DATOS!$G$2:$G$20000=CONFIG_METADATA!$B$4)*(DATOS!$I$2:$I$20000&lt;&gt;"Lenguaje Musical")*(DATOS!$I$2:$I$20000&lt;&gt;"Coro")*(DATOS!$I$2:$I$20000&lt;&gt;"Conjunto"),DATOS!$K$2:$K$20000)),""))</f>
        <v/>
      </c>
      <c r="N19" t="str">
        <f>IF(M19="","",IFERROR(AVERAGEIFS(DATOS!$K$2:$K$20000,DATOS!$A$2:$A$20000,M19,DATOS!$G$2:$G$20000,CONFIG_METADATA!$B$4,DATOS!$I$2:$I$20000,"Lenguaje Musical"),""))</f>
        <v/>
      </c>
      <c r="O19" t="str">
        <f>IF(M19="","",IFERROR(AVERAGEIFS(DATOS!$K$2:$K$20000,DATOS!$A$2:$A$20000,M19,DATOS!$G$2:$G$20000,CONFIG_METADATA!$B$4,DATOS!$I$2:$I$20000,"Coro"),""))</f>
        <v/>
      </c>
      <c r="P19" t="str">
        <f>IF(M19="","",IFERROR(AVERAGEIFS(DATOS!$K$2:$K$20000,DATOS!$A$2:$A$20000,M19,DATOS!$G$2:$G$20000,CONFIG_METADATA!$B$4,DATOS!$I$2:$I$20000,"Conjunto"),""))</f>
        <v/>
      </c>
      <c r="Q19" t="str" cm="1">
        <f t="array" ref="Q19">IF(M19="","",IFERROR(AVERAGE(IF((DATOS!$A$2:$A$20000=M19)*(DATOS!$G$2:$G$20000=CONFIG_METADATA!$B$4)*(DATOS!$I$2:$I$20000&lt;&gt;"Lenguaje Musical")*(DATOS!$I$2:$I$20000&lt;&gt;"Coro")*(DATOS!$I$2:$I$20000&lt;&gt;"Conjunto"),DATOS!$K$2:$K$20000)),""))</f>
        <v/>
      </c>
      <c r="T19" t="str">
        <f>IF(S19="","",IFERROR(AVERAGEIFS(DATOS!$K$2:$K$20000,DATOS!$A$2:$A$20000,S19,DATOS!$G$2:$G$20000,CONFIG_METADATA!$B$4,DATOS!$I$2:$I$20000,"Lenguaje Musical"),""))</f>
        <v/>
      </c>
      <c r="U19" t="str">
        <f>IF(S19="","",IFERROR(AVERAGEIFS(DATOS!$K$2:$K$20000,DATOS!$A$2:$A$20000,S19,DATOS!$G$2:$G$20000,CONFIG_METADATA!$B$4,DATOS!$I$2:$I$20000,"Coro"),""))</f>
        <v/>
      </c>
      <c r="V19" t="str">
        <f>IF(S19="","",IFERROR(AVERAGEIFS(DATOS!$K$2:$K$20000,DATOS!$A$2:$A$20000,S19,DATOS!$G$2:$G$20000,CONFIG_METADATA!$B$4,DATOS!$I$2:$I$20000,"Conjunto"),""))</f>
        <v/>
      </c>
      <c r="W19" t="str" cm="1">
        <f t="array" ref="W19">IF(S19="","",IFERROR(AVERAGE(IF((DATOS!$A$2:$A$20000=S19)*(DATOS!$G$2:$G$20000=CONFIG_METADATA!$B$4)*(DATOS!$I$2:$I$20000&lt;&gt;"Lenguaje Musical")*(DATOS!$I$2:$I$20000&lt;&gt;"Coro")*(DATOS!$I$2:$I$20000&lt;&gt;"Conjunto"),DATOS!$K$2:$K$20000)),""))</f>
        <v/>
      </c>
    </row>
    <row r="20" spans="2:23" ht="15" customHeight="1" x14ac:dyDescent="0.2">
      <c r="B20" t="str">
        <f>IF(A20="","",IFERROR(AVERAGEIFS(DATOS!$K$2:$K$20000,DATOS!$A$2:$A$20000,A20,DATOS!$G$2:$G$20000,CONFIG_METADATA!$B$4,DATOS!$I$2:$I$20000,"Lenguaje Musical"),""))</f>
        <v/>
      </c>
      <c r="C20" t="str">
        <f>IF(A20="","",IFERROR(AVERAGEIFS(DATOS!$K$2:$K$20000,DATOS!$A$2:$A$20000,A20,DATOS!$G$2:$G$20000,CONFIG_METADATA!$B$4,DATOS!$I$2:$I$20000,"Coro"),""))</f>
        <v/>
      </c>
      <c r="D20" t="str">
        <f>IF(A20="","",IFERROR(AVERAGEIFS(DATOS!$K$2:$K$20000,DATOS!$A$2:$A$20000,A20,DATOS!$G$2:$G$20000,CONFIG_METADATA!$B$4,DATOS!$I$2:$I$20000,"Conjunto"),""))</f>
        <v/>
      </c>
      <c r="E20" t="str" cm="1">
        <f t="array" ref="E20">IF(A20="","",IFERROR(AVERAGE(IF((DATOS!$A$2:$A$20000=A20)*(DATOS!$G$2:$G$20000=CONFIG_METADATA!$B$4)*(DATOS!$I$2:$I$20000&lt;&gt;"Lenguaje Musical")*(DATOS!$I$2:$I$20000&lt;&gt;"Coro")*(DATOS!$I$2:$I$20000&lt;&gt;"Conjunto"),DATOS!$K$2:$K$20000)),""))</f>
        <v/>
      </c>
      <c r="H20" t="str">
        <f>IF(G20="","",IFERROR(AVERAGEIFS(DATOS!$K$2:$K$20000,DATOS!$A$2:$A$20000,G20,DATOS!$G$2:$G$20000,CONFIG_METADATA!$B$4,DATOS!$I$2:$I$20000,"Lenguaje Musical"),""))</f>
        <v/>
      </c>
      <c r="I20" t="str">
        <f>IF(G20="","",IFERROR(AVERAGEIFS(DATOS!$K$2:$K$20000,DATOS!$A$2:$A$20000,G20,DATOS!$G$2:$G$20000,CONFIG_METADATA!$B$4,DATOS!$I$2:$I$20000,"Coro"),""))</f>
        <v/>
      </c>
      <c r="J20" t="str">
        <f>IF(G20="","",IFERROR(AVERAGEIFS(DATOS!$K$2:$K$20000,DATOS!$A$2:$A$20000,G20,DATOS!$G$2:$G$20000,CONFIG_METADATA!$B$4,DATOS!$I$2:$I$20000,"Conjunto"),""))</f>
        <v/>
      </c>
      <c r="K20" t="str" cm="1">
        <f t="array" ref="K20">IF(G20="","",IFERROR(AVERAGE(IF((DATOS!$A$2:$A$20000=G20)*(DATOS!$G$2:$G$20000=CONFIG_METADATA!$B$4)*(DATOS!$I$2:$I$20000&lt;&gt;"Lenguaje Musical")*(DATOS!$I$2:$I$20000&lt;&gt;"Coro")*(DATOS!$I$2:$I$20000&lt;&gt;"Conjunto"),DATOS!$K$2:$K$20000)),""))</f>
        <v/>
      </c>
      <c r="N20" t="str">
        <f>IF(M20="","",IFERROR(AVERAGEIFS(DATOS!$K$2:$K$20000,DATOS!$A$2:$A$20000,M20,DATOS!$G$2:$G$20000,CONFIG_METADATA!$B$4,DATOS!$I$2:$I$20000,"Lenguaje Musical"),""))</f>
        <v/>
      </c>
      <c r="O20" t="str">
        <f>IF(M20="","",IFERROR(AVERAGEIFS(DATOS!$K$2:$K$20000,DATOS!$A$2:$A$20000,M20,DATOS!$G$2:$G$20000,CONFIG_METADATA!$B$4,DATOS!$I$2:$I$20000,"Coro"),""))</f>
        <v/>
      </c>
      <c r="P20" t="str">
        <f>IF(M20="","",IFERROR(AVERAGEIFS(DATOS!$K$2:$K$20000,DATOS!$A$2:$A$20000,M20,DATOS!$G$2:$G$20000,CONFIG_METADATA!$B$4,DATOS!$I$2:$I$20000,"Conjunto"),""))</f>
        <v/>
      </c>
      <c r="Q20" t="str" cm="1">
        <f t="array" ref="Q20">IF(M20="","",IFERROR(AVERAGE(IF((DATOS!$A$2:$A$20000=M20)*(DATOS!$G$2:$G$20000=CONFIG_METADATA!$B$4)*(DATOS!$I$2:$I$20000&lt;&gt;"Lenguaje Musical")*(DATOS!$I$2:$I$20000&lt;&gt;"Coro")*(DATOS!$I$2:$I$20000&lt;&gt;"Conjunto"),DATOS!$K$2:$K$20000)),""))</f>
        <v/>
      </c>
      <c r="T20" t="str">
        <f>IF(S20="","",IFERROR(AVERAGEIFS(DATOS!$K$2:$K$20000,DATOS!$A$2:$A$20000,S20,DATOS!$G$2:$G$20000,CONFIG_METADATA!$B$4,DATOS!$I$2:$I$20000,"Lenguaje Musical"),""))</f>
        <v/>
      </c>
      <c r="U20" t="str">
        <f>IF(S20="","",IFERROR(AVERAGEIFS(DATOS!$K$2:$K$20000,DATOS!$A$2:$A$20000,S20,DATOS!$G$2:$G$20000,CONFIG_METADATA!$B$4,DATOS!$I$2:$I$20000,"Coro"),""))</f>
        <v/>
      </c>
      <c r="V20" t="str">
        <f>IF(S20="","",IFERROR(AVERAGEIFS(DATOS!$K$2:$K$20000,DATOS!$A$2:$A$20000,S20,DATOS!$G$2:$G$20000,CONFIG_METADATA!$B$4,DATOS!$I$2:$I$20000,"Conjunto"),""))</f>
        <v/>
      </c>
      <c r="W20" t="str" cm="1">
        <f t="array" ref="W20">IF(S20="","",IFERROR(AVERAGE(IF((DATOS!$A$2:$A$20000=S20)*(DATOS!$G$2:$G$20000=CONFIG_METADATA!$B$4)*(DATOS!$I$2:$I$20000&lt;&gt;"Lenguaje Musical")*(DATOS!$I$2:$I$20000&lt;&gt;"Coro")*(DATOS!$I$2:$I$20000&lt;&gt;"Conjunto"),DATOS!$K$2:$K$20000)),""))</f>
        <v/>
      </c>
    </row>
    <row r="21" spans="2:23" ht="15" customHeight="1" x14ac:dyDescent="0.2">
      <c r="B21" t="str">
        <f>IF(A21="","",IFERROR(AVERAGEIFS(DATOS!$K$2:$K$20000,DATOS!$A$2:$A$20000,A21,DATOS!$G$2:$G$20000,CONFIG_METADATA!$B$4,DATOS!$I$2:$I$20000,"Lenguaje Musical"),""))</f>
        <v/>
      </c>
      <c r="C21" t="str">
        <f>IF(A21="","",IFERROR(AVERAGEIFS(DATOS!$K$2:$K$20000,DATOS!$A$2:$A$20000,A21,DATOS!$G$2:$G$20000,CONFIG_METADATA!$B$4,DATOS!$I$2:$I$20000,"Coro"),""))</f>
        <v/>
      </c>
      <c r="D21" t="str">
        <f>IF(A21="","",IFERROR(AVERAGEIFS(DATOS!$K$2:$K$20000,DATOS!$A$2:$A$20000,A21,DATOS!$G$2:$G$20000,CONFIG_METADATA!$B$4,DATOS!$I$2:$I$20000,"Conjunto"),""))</f>
        <v/>
      </c>
      <c r="E21" t="str" cm="1">
        <f t="array" ref="E21">IF(A21="","",IFERROR(AVERAGE(IF((DATOS!$A$2:$A$20000=A21)*(DATOS!$G$2:$G$20000=CONFIG_METADATA!$B$4)*(DATOS!$I$2:$I$20000&lt;&gt;"Lenguaje Musical")*(DATOS!$I$2:$I$20000&lt;&gt;"Coro")*(DATOS!$I$2:$I$20000&lt;&gt;"Conjunto"),DATOS!$K$2:$K$20000)),""))</f>
        <v/>
      </c>
      <c r="H21" t="str">
        <f>IF(G21="","",IFERROR(AVERAGEIFS(DATOS!$K$2:$K$20000,DATOS!$A$2:$A$20000,G21,DATOS!$G$2:$G$20000,CONFIG_METADATA!$B$4,DATOS!$I$2:$I$20000,"Lenguaje Musical"),""))</f>
        <v/>
      </c>
      <c r="I21" t="str">
        <f>IF(G21="","",IFERROR(AVERAGEIFS(DATOS!$K$2:$K$20000,DATOS!$A$2:$A$20000,G21,DATOS!$G$2:$G$20000,CONFIG_METADATA!$B$4,DATOS!$I$2:$I$20000,"Coro"),""))</f>
        <v/>
      </c>
      <c r="J21" t="str">
        <f>IF(G21="","",IFERROR(AVERAGEIFS(DATOS!$K$2:$K$20000,DATOS!$A$2:$A$20000,G21,DATOS!$G$2:$G$20000,CONFIG_METADATA!$B$4,DATOS!$I$2:$I$20000,"Conjunto"),""))</f>
        <v/>
      </c>
      <c r="K21" t="str" cm="1">
        <f t="array" ref="K21">IF(G21="","",IFERROR(AVERAGE(IF((DATOS!$A$2:$A$20000=G21)*(DATOS!$G$2:$G$20000=CONFIG_METADATA!$B$4)*(DATOS!$I$2:$I$20000&lt;&gt;"Lenguaje Musical")*(DATOS!$I$2:$I$20000&lt;&gt;"Coro")*(DATOS!$I$2:$I$20000&lt;&gt;"Conjunto"),DATOS!$K$2:$K$20000)),""))</f>
        <v/>
      </c>
      <c r="N21" t="str">
        <f>IF(M21="","",IFERROR(AVERAGEIFS(DATOS!$K$2:$K$20000,DATOS!$A$2:$A$20000,M21,DATOS!$G$2:$G$20000,CONFIG_METADATA!$B$4,DATOS!$I$2:$I$20000,"Lenguaje Musical"),""))</f>
        <v/>
      </c>
      <c r="O21" t="str">
        <f>IF(M21="","",IFERROR(AVERAGEIFS(DATOS!$K$2:$K$20000,DATOS!$A$2:$A$20000,M21,DATOS!$G$2:$G$20000,CONFIG_METADATA!$B$4,DATOS!$I$2:$I$20000,"Coro"),""))</f>
        <v/>
      </c>
      <c r="P21" t="str">
        <f>IF(M21="","",IFERROR(AVERAGEIFS(DATOS!$K$2:$K$20000,DATOS!$A$2:$A$20000,M21,DATOS!$G$2:$G$20000,CONFIG_METADATA!$B$4,DATOS!$I$2:$I$20000,"Conjunto"),""))</f>
        <v/>
      </c>
      <c r="Q21" t="str" cm="1">
        <f t="array" ref="Q21">IF(M21="","",IFERROR(AVERAGE(IF((DATOS!$A$2:$A$20000=M21)*(DATOS!$G$2:$G$20000=CONFIG_METADATA!$B$4)*(DATOS!$I$2:$I$20000&lt;&gt;"Lenguaje Musical")*(DATOS!$I$2:$I$20000&lt;&gt;"Coro")*(DATOS!$I$2:$I$20000&lt;&gt;"Conjunto"),DATOS!$K$2:$K$20000)),""))</f>
        <v/>
      </c>
      <c r="T21" t="str">
        <f>IF(S21="","",IFERROR(AVERAGEIFS(DATOS!$K$2:$K$20000,DATOS!$A$2:$A$20000,S21,DATOS!$G$2:$G$20000,CONFIG_METADATA!$B$4,DATOS!$I$2:$I$20000,"Lenguaje Musical"),""))</f>
        <v/>
      </c>
      <c r="U21" t="str">
        <f>IF(S21="","",IFERROR(AVERAGEIFS(DATOS!$K$2:$K$20000,DATOS!$A$2:$A$20000,S21,DATOS!$G$2:$G$20000,CONFIG_METADATA!$B$4,DATOS!$I$2:$I$20000,"Coro"),""))</f>
        <v/>
      </c>
      <c r="V21" t="str">
        <f>IF(S21="","",IFERROR(AVERAGEIFS(DATOS!$K$2:$K$20000,DATOS!$A$2:$A$20000,S21,DATOS!$G$2:$G$20000,CONFIG_METADATA!$B$4,DATOS!$I$2:$I$20000,"Conjunto"),""))</f>
        <v/>
      </c>
      <c r="W21" t="str" cm="1">
        <f t="array" ref="W21">IF(S21="","",IFERROR(AVERAGE(IF((DATOS!$A$2:$A$20000=S21)*(DATOS!$G$2:$G$20000=CONFIG_METADATA!$B$4)*(DATOS!$I$2:$I$20000&lt;&gt;"Lenguaje Musical")*(DATOS!$I$2:$I$20000&lt;&gt;"Coro")*(DATOS!$I$2:$I$20000&lt;&gt;"Conjunto"),DATOS!$K$2:$K$20000)),""))</f>
        <v/>
      </c>
    </row>
    <row r="22" spans="2:23" ht="15" customHeight="1" x14ac:dyDescent="0.2">
      <c r="B22" t="str">
        <f>IF(A22="","",IFERROR(AVERAGEIFS(DATOS!$K$2:$K$20000,DATOS!$A$2:$A$20000,A22,DATOS!$G$2:$G$20000,CONFIG_METADATA!$B$4,DATOS!$I$2:$I$20000,"Lenguaje Musical"),""))</f>
        <v/>
      </c>
      <c r="C22" t="str">
        <f>IF(A22="","",IFERROR(AVERAGEIFS(DATOS!$K$2:$K$20000,DATOS!$A$2:$A$20000,A22,DATOS!$G$2:$G$20000,CONFIG_METADATA!$B$4,DATOS!$I$2:$I$20000,"Coro"),""))</f>
        <v/>
      </c>
      <c r="D22" t="str">
        <f>IF(A22="","",IFERROR(AVERAGEIFS(DATOS!$K$2:$K$20000,DATOS!$A$2:$A$20000,A22,DATOS!$G$2:$G$20000,CONFIG_METADATA!$B$4,DATOS!$I$2:$I$20000,"Conjunto"),""))</f>
        <v/>
      </c>
      <c r="E22" t="str" cm="1">
        <f t="array" ref="E22">IF(A22="","",IFERROR(AVERAGE(IF((DATOS!$A$2:$A$20000=A22)*(DATOS!$G$2:$G$20000=CONFIG_METADATA!$B$4)*(DATOS!$I$2:$I$20000&lt;&gt;"Lenguaje Musical")*(DATOS!$I$2:$I$20000&lt;&gt;"Coro")*(DATOS!$I$2:$I$20000&lt;&gt;"Conjunto"),DATOS!$K$2:$K$20000)),""))</f>
        <v/>
      </c>
      <c r="H22" t="str">
        <f>IF(G22="","",IFERROR(AVERAGEIFS(DATOS!$K$2:$K$20000,DATOS!$A$2:$A$20000,G22,DATOS!$G$2:$G$20000,CONFIG_METADATA!$B$4,DATOS!$I$2:$I$20000,"Lenguaje Musical"),""))</f>
        <v/>
      </c>
      <c r="I22" t="str">
        <f>IF(G22="","",IFERROR(AVERAGEIFS(DATOS!$K$2:$K$20000,DATOS!$A$2:$A$20000,G22,DATOS!$G$2:$G$20000,CONFIG_METADATA!$B$4,DATOS!$I$2:$I$20000,"Coro"),""))</f>
        <v/>
      </c>
      <c r="J22" t="str">
        <f>IF(G22="","",IFERROR(AVERAGEIFS(DATOS!$K$2:$K$20000,DATOS!$A$2:$A$20000,G22,DATOS!$G$2:$G$20000,CONFIG_METADATA!$B$4,DATOS!$I$2:$I$20000,"Conjunto"),""))</f>
        <v/>
      </c>
      <c r="K22" t="str" cm="1">
        <f t="array" ref="K22">IF(G22="","",IFERROR(AVERAGE(IF((DATOS!$A$2:$A$20000=G22)*(DATOS!$G$2:$G$20000=CONFIG_METADATA!$B$4)*(DATOS!$I$2:$I$20000&lt;&gt;"Lenguaje Musical")*(DATOS!$I$2:$I$20000&lt;&gt;"Coro")*(DATOS!$I$2:$I$20000&lt;&gt;"Conjunto"),DATOS!$K$2:$K$20000)),""))</f>
        <v/>
      </c>
      <c r="N22" t="str">
        <f>IF(M22="","",IFERROR(AVERAGEIFS(DATOS!$K$2:$K$20000,DATOS!$A$2:$A$20000,M22,DATOS!$G$2:$G$20000,CONFIG_METADATA!$B$4,DATOS!$I$2:$I$20000,"Lenguaje Musical"),""))</f>
        <v/>
      </c>
      <c r="O22" t="str">
        <f>IF(M22="","",IFERROR(AVERAGEIFS(DATOS!$K$2:$K$20000,DATOS!$A$2:$A$20000,M22,DATOS!$G$2:$G$20000,CONFIG_METADATA!$B$4,DATOS!$I$2:$I$20000,"Coro"),""))</f>
        <v/>
      </c>
      <c r="P22" t="str">
        <f>IF(M22="","",IFERROR(AVERAGEIFS(DATOS!$K$2:$K$20000,DATOS!$A$2:$A$20000,M22,DATOS!$G$2:$G$20000,CONFIG_METADATA!$B$4,DATOS!$I$2:$I$20000,"Conjunto"),""))</f>
        <v/>
      </c>
      <c r="Q22" t="str" cm="1">
        <f t="array" ref="Q22">IF(M22="","",IFERROR(AVERAGE(IF((DATOS!$A$2:$A$20000=M22)*(DATOS!$G$2:$G$20000=CONFIG_METADATA!$B$4)*(DATOS!$I$2:$I$20000&lt;&gt;"Lenguaje Musical")*(DATOS!$I$2:$I$20000&lt;&gt;"Coro")*(DATOS!$I$2:$I$20000&lt;&gt;"Conjunto"),DATOS!$K$2:$K$20000)),""))</f>
        <v/>
      </c>
      <c r="T22" t="str">
        <f>IF(S22="","",IFERROR(AVERAGEIFS(DATOS!$K$2:$K$20000,DATOS!$A$2:$A$20000,S22,DATOS!$G$2:$G$20000,CONFIG_METADATA!$B$4,DATOS!$I$2:$I$20000,"Lenguaje Musical"),""))</f>
        <v/>
      </c>
      <c r="U22" t="str">
        <f>IF(S22="","",IFERROR(AVERAGEIFS(DATOS!$K$2:$K$20000,DATOS!$A$2:$A$20000,S22,DATOS!$G$2:$G$20000,CONFIG_METADATA!$B$4,DATOS!$I$2:$I$20000,"Coro"),""))</f>
        <v/>
      </c>
      <c r="V22" t="str">
        <f>IF(S22="","",IFERROR(AVERAGEIFS(DATOS!$K$2:$K$20000,DATOS!$A$2:$A$20000,S22,DATOS!$G$2:$G$20000,CONFIG_METADATA!$B$4,DATOS!$I$2:$I$20000,"Conjunto"),""))</f>
        <v/>
      </c>
      <c r="W22" t="str" cm="1">
        <f t="array" ref="W22">IF(S22="","",IFERROR(AVERAGE(IF((DATOS!$A$2:$A$20000=S22)*(DATOS!$G$2:$G$20000=CONFIG_METADATA!$B$4)*(DATOS!$I$2:$I$20000&lt;&gt;"Lenguaje Musical")*(DATOS!$I$2:$I$20000&lt;&gt;"Coro")*(DATOS!$I$2:$I$20000&lt;&gt;"Conjunto"),DATOS!$K$2:$K$20000)),""))</f>
        <v/>
      </c>
    </row>
    <row r="23" spans="2:23" ht="15" customHeight="1" x14ac:dyDescent="0.2">
      <c r="B23" t="str">
        <f>IF(A23="","",IFERROR(AVERAGEIFS(DATOS!$K$2:$K$20000,DATOS!$A$2:$A$20000,A23,DATOS!$G$2:$G$20000,CONFIG_METADATA!$B$4,DATOS!$I$2:$I$20000,"Lenguaje Musical"),""))</f>
        <v/>
      </c>
      <c r="C23" t="str">
        <f>IF(A23="","",IFERROR(AVERAGEIFS(DATOS!$K$2:$K$20000,DATOS!$A$2:$A$20000,A23,DATOS!$G$2:$G$20000,CONFIG_METADATA!$B$4,DATOS!$I$2:$I$20000,"Coro"),""))</f>
        <v/>
      </c>
      <c r="D23" t="str">
        <f>IF(A23="","",IFERROR(AVERAGEIFS(DATOS!$K$2:$K$20000,DATOS!$A$2:$A$20000,A23,DATOS!$G$2:$G$20000,CONFIG_METADATA!$B$4,DATOS!$I$2:$I$20000,"Conjunto"),""))</f>
        <v/>
      </c>
      <c r="E23" t="str" cm="1">
        <f t="array" ref="E23">IF(A23="","",IFERROR(AVERAGE(IF((DATOS!$A$2:$A$20000=A23)*(DATOS!$G$2:$G$20000=CONFIG_METADATA!$B$4)*(DATOS!$I$2:$I$20000&lt;&gt;"Lenguaje Musical")*(DATOS!$I$2:$I$20000&lt;&gt;"Coro")*(DATOS!$I$2:$I$20000&lt;&gt;"Conjunto"),DATOS!$K$2:$K$20000)),""))</f>
        <v/>
      </c>
      <c r="H23" t="str">
        <f>IF(G23="","",IFERROR(AVERAGEIFS(DATOS!$K$2:$K$20000,DATOS!$A$2:$A$20000,G23,DATOS!$G$2:$G$20000,CONFIG_METADATA!$B$4,DATOS!$I$2:$I$20000,"Lenguaje Musical"),""))</f>
        <v/>
      </c>
      <c r="I23" t="str">
        <f>IF(G23="","",IFERROR(AVERAGEIFS(DATOS!$K$2:$K$20000,DATOS!$A$2:$A$20000,G23,DATOS!$G$2:$G$20000,CONFIG_METADATA!$B$4,DATOS!$I$2:$I$20000,"Coro"),""))</f>
        <v/>
      </c>
      <c r="J23" t="str">
        <f>IF(G23="","",IFERROR(AVERAGEIFS(DATOS!$K$2:$K$20000,DATOS!$A$2:$A$20000,G23,DATOS!$G$2:$G$20000,CONFIG_METADATA!$B$4,DATOS!$I$2:$I$20000,"Conjunto"),""))</f>
        <v/>
      </c>
      <c r="K23" t="str" cm="1">
        <f t="array" ref="K23">IF(G23="","",IFERROR(AVERAGE(IF((DATOS!$A$2:$A$20000=G23)*(DATOS!$G$2:$G$20000=CONFIG_METADATA!$B$4)*(DATOS!$I$2:$I$20000&lt;&gt;"Lenguaje Musical")*(DATOS!$I$2:$I$20000&lt;&gt;"Coro")*(DATOS!$I$2:$I$20000&lt;&gt;"Conjunto"),DATOS!$K$2:$K$20000)),""))</f>
        <v/>
      </c>
      <c r="N23" t="str">
        <f>IF(M23="","",IFERROR(AVERAGEIFS(DATOS!$K$2:$K$20000,DATOS!$A$2:$A$20000,M23,DATOS!$G$2:$G$20000,CONFIG_METADATA!$B$4,DATOS!$I$2:$I$20000,"Lenguaje Musical"),""))</f>
        <v/>
      </c>
      <c r="O23" t="str">
        <f>IF(M23="","",IFERROR(AVERAGEIFS(DATOS!$K$2:$K$20000,DATOS!$A$2:$A$20000,M23,DATOS!$G$2:$G$20000,CONFIG_METADATA!$B$4,DATOS!$I$2:$I$20000,"Coro"),""))</f>
        <v/>
      </c>
      <c r="P23" t="str">
        <f>IF(M23="","",IFERROR(AVERAGEIFS(DATOS!$K$2:$K$20000,DATOS!$A$2:$A$20000,M23,DATOS!$G$2:$G$20000,CONFIG_METADATA!$B$4,DATOS!$I$2:$I$20000,"Conjunto"),""))</f>
        <v/>
      </c>
      <c r="Q23" t="str" cm="1">
        <f t="array" ref="Q23">IF(M23="","",IFERROR(AVERAGE(IF((DATOS!$A$2:$A$20000=M23)*(DATOS!$G$2:$G$20000=CONFIG_METADATA!$B$4)*(DATOS!$I$2:$I$20000&lt;&gt;"Lenguaje Musical")*(DATOS!$I$2:$I$20000&lt;&gt;"Coro")*(DATOS!$I$2:$I$20000&lt;&gt;"Conjunto"),DATOS!$K$2:$K$20000)),""))</f>
        <v/>
      </c>
      <c r="T23" t="str">
        <f>IF(S23="","",IFERROR(AVERAGEIFS(DATOS!$K$2:$K$20000,DATOS!$A$2:$A$20000,S23,DATOS!$G$2:$G$20000,CONFIG_METADATA!$B$4,DATOS!$I$2:$I$20000,"Lenguaje Musical"),""))</f>
        <v/>
      </c>
      <c r="U23" t="str">
        <f>IF(S23="","",IFERROR(AVERAGEIFS(DATOS!$K$2:$K$20000,DATOS!$A$2:$A$20000,S23,DATOS!$G$2:$G$20000,CONFIG_METADATA!$B$4,DATOS!$I$2:$I$20000,"Coro"),""))</f>
        <v/>
      </c>
      <c r="V23" t="str">
        <f>IF(S23="","",IFERROR(AVERAGEIFS(DATOS!$K$2:$K$20000,DATOS!$A$2:$A$20000,S23,DATOS!$G$2:$G$20000,CONFIG_METADATA!$B$4,DATOS!$I$2:$I$20000,"Conjunto"),""))</f>
        <v/>
      </c>
      <c r="W23" t="str" cm="1">
        <f t="array" ref="W23">IF(S23="","",IFERROR(AVERAGE(IF((DATOS!$A$2:$A$20000=S23)*(DATOS!$G$2:$G$20000=CONFIG_METADATA!$B$4)*(DATOS!$I$2:$I$20000&lt;&gt;"Lenguaje Musical")*(DATOS!$I$2:$I$20000&lt;&gt;"Coro")*(DATOS!$I$2:$I$20000&lt;&gt;"Conjunto"),DATOS!$K$2:$K$20000)),""))</f>
        <v/>
      </c>
    </row>
    <row r="24" spans="2:23" ht="15" customHeight="1" x14ac:dyDescent="0.2">
      <c r="B24" t="str">
        <f>IF(A24="","",IFERROR(AVERAGEIFS(DATOS!$K$2:$K$20000,DATOS!$A$2:$A$20000,A24,DATOS!$G$2:$G$20000,CONFIG_METADATA!$B$4,DATOS!$I$2:$I$20000,"Lenguaje Musical"),""))</f>
        <v/>
      </c>
      <c r="C24" t="str">
        <f>IF(A24="","",IFERROR(AVERAGEIFS(DATOS!$K$2:$K$20000,DATOS!$A$2:$A$20000,A24,DATOS!$G$2:$G$20000,CONFIG_METADATA!$B$4,DATOS!$I$2:$I$20000,"Coro"),""))</f>
        <v/>
      </c>
      <c r="D24" t="str">
        <f>IF(A24="","",IFERROR(AVERAGEIFS(DATOS!$K$2:$K$20000,DATOS!$A$2:$A$20000,A24,DATOS!$G$2:$G$20000,CONFIG_METADATA!$B$4,DATOS!$I$2:$I$20000,"Conjunto"),""))</f>
        <v/>
      </c>
      <c r="E24" t="str" cm="1">
        <f t="array" ref="E24">IF(A24="","",IFERROR(AVERAGE(IF((DATOS!$A$2:$A$20000=A24)*(DATOS!$G$2:$G$20000=CONFIG_METADATA!$B$4)*(DATOS!$I$2:$I$20000&lt;&gt;"Lenguaje Musical")*(DATOS!$I$2:$I$20000&lt;&gt;"Coro")*(DATOS!$I$2:$I$20000&lt;&gt;"Conjunto"),DATOS!$K$2:$K$20000)),""))</f>
        <v/>
      </c>
      <c r="H24" t="str">
        <f>IF(G24="","",IFERROR(AVERAGEIFS(DATOS!$K$2:$K$20000,DATOS!$A$2:$A$20000,G24,DATOS!$G$2:$G$20000,CONFIG_METADATA!$B$4,DATOS!$I$2:$I$20000,"Lenguaje Musical"),""))</f>
        <v/>
      </c>
      <c r="I24" t="str">
        <f>IF(G24="","",IFERROR(AVERAGEIFS(DATOS!$K$2:$K$20000,DATOS!$A$2:$A$20000,G24,DATOS!$G$2:$G$20000,CONFIG_METADATA!$B$4,DATOS!$I$2:$I$20000,"Coro"),""))</f>
        <v/>
      </c>
      <c r="J24" t="str">
        <f>IF(G24="","",IFERROR(AVERAGEIFS(DATOS!$K$2:$K$20000,DATOS!$A$2:$A$20000,G24,DATOS!$G$2:$G$20000,CONFIG_METADATA!$B$4,DATOS!$I$2:$I$20000,"Conjunto"),""))</f>
        <v/>
      </c>
      <c r="K24" t="str" cm="1">
        <f t="array" ref="K24">IF(G24="","",IFERROR(AVERAGE(IF((DATOS!$A$2:$A$20000=G24)*(DATOS!$G$2:$G$20000=CONFIG_METADATA!$B$4)*(DATOS!$I$2:$I$20000&lt;&gt;"Lenguaje Musical")*(DATOS!$I$2:$I$20000&lt;&gt;"Coro")*(DATOS!$I$2:$I$20000&lt;&gt;"Conjunto"),DATOS!$K$2:$K$20000)),""))</f>
        <v/>
      </c>
      <c r="N24" t="str">
        <f>IF(M24="","",IFERROR(AVERAGEIFS(DATOS!$K$2:$K$20000,DATOS!$A$2:$A$20000,M24,DATOS!$G$2:$G$20000,CONFIG_METADATA!$B$4,DATOS!$I$2:$I$20000,"Lenguaje Musical"),""))</f>
        <v/>
      </c>
      <c r="O24" t="str">
        <f>IF(M24="","",IFERROR(AVERAGEIFS(DATOS!$K$2:$K$20000,DATOS!$A$2:$A$20000,M24,DATOS!$G$2:$G$20000,CONFIG_METADATA!$B$4,DATOS!$I$2:$I$20000,"Coro"),""))</f>
        <v/>
      </c>
      <c r="P24" t="str">
        <f>IF(M24="","",IFERROR(AVERAGEIFS(DATOS!$K$2:$K$20000,DATOS!$A$2:$A$20000,M24,DATOS!$G$2:$G$20000,CONFIG_METADATA!$B$4,DATOS!$I$2:$I$20000,"Conjunto"),""))</f>
        <v/>
      </c>
      <c r="Q24" t="str" cm="1">
        <f t="array" ref="Q24">IF(M24="","",IFERROR(AVERAGE(IF((DATOS!$A$2:$A$20000=M24)*(DATOS!$G$2:$G$20000=CONFIG_METADATA!$B$4)*(DATOS!$I$2:$I$20000&lt;&gt;"Lenguaje Musical")*(DATOS!$I$2:$I$20000&lt;&gt;"Coro")*(DATOS!$I$2:$I$20000&lt;&gt;"Conjunto"),DATOS!$K$2:$K$20000)),""))</f>
        <v/>
      </c>
      <c r="T24" t="str">
        <f>IF(S24="","",IFERROR(AVERAGEIFS(DATOS!$K$2:$K$20000,DATOS!$A$2:$A$20000,S24,DATOS!$G$2:$G$20000,CONFIG_METADATA!$B$4,DATOS!$I$2:$I$20000,"Lenguaje Musical"),""))</f>
        <v/>
      </c>
      <c r="U24" t="str">
        <f>IF(S24="","",IFERROR(AVERAGEIFS(DATOS!$K$2:$K$20000,DATOS!$A$2:$A$20000,S24,DATOS!$G$2:$G$20000,CONFIG_METADATA!$B$4,DATOS!$I$2:$I$20000,"Coro"),""))</f>
        <v/>
      </c>
      <c r="V24" t="str">
        <f>IF(S24="","",IFERROR(AVERAGEIFS(DATOS!$K$2:$K$20000,DATOS!$A$2:$A$20000,S24,DATOS!$G$2:$G$20000,CONFIG_METADATA!$B$4,DATOS!$I$2:$I$20000,"Conjunto"),""))</f>
        <v/>
      </c>
      <c r="W24" t="str" cm="1">
        <f t="array" ref="W24">IF(S24="","",IFERROR(AVERAGE(IF((DATOS!$A$2:$A$20000=S24)*(DATOS!$G$2:$G$20000=CONFIG_METADATA!$B$4)*(DATOS!$I$2:$I$20000&lt;&gt;"Lenguaje Musical")*(DATOS!$I$2:$I$20000&lt;&gt;"Coro")*(DATOS!$I$2:$I$20000&lt;&gt;"Conjunto"),DATOS!$K$2:$K$20000)),""))</f>
        <v/>
      </c>
    </row>
    <row r="25" spans="2:23" ht="15" customHeight="1" x14ac:dyDescent="0.2">
      <c r="B25" t="str">
        <f>IF(A25="","",IFERROR(AVERAGEIFS(DATOS!$K$2:$K$20000,DATOS!$A$2:$A$20000,A25,DATOS!$G$2:$G$20000,CONFIG_METADATA!$B$4,DATOS!$I$2:$I$20000,"Lenguaje Musical"),""))</f>
        <v/>
      </c>
      <c r="C25" t="str">
        <f>IF(A25="","",IFERROR(AVERAGEIFS(DATOS!$K$2:$K$20000,DATOS!$A$2:$A$20000,A25,DATOS!$G$2:$G$20000,CONFIG_METADATA!$B$4,DATOS!$I$2:$I$20000,"Coro"),""))</f>
        <v/>
      </c>
      <c r="D25" t="str">
        <f>IF(A25="","",IFERROR(AVERAGEIFS(DATOS!$K$2:$K$20000,DATOS!$A$2:$A$20000,A25,DATOS!$G$2:$G$20000,CONFIG_METADATA!$B$4,DATOS!$I$2:$I$20000,"Conjunto"),""))</f>
        <v/>
      </c>
      <c r="E25" t="str" cm="1">
        <f t="array" ref="E25">IF(A25="","",IFERROR(AVERAGE(IF((DATOS!$A$2:$A$20000=A25)*(DATOS!$G$2:$G$20000=CONFIG_METADATA!$B$4)*(DATOS!$I$2:$I$20000&lt;&gt;"Lenguaje Musical")*(DATOS!$I$2:$I$20000&lt;&gt;"Coro")*(DATOS!$I$2:$I$20000&lt;&gt;"Conjunto"),DATOS!$K$2:$K$20000)),""))</f>
        <v/>
      </c>
      <c r="H25" t="str">
        <f>IF(G25="","",IFERROR(AVERAGEIFS(DATOS!$K$2:$K$20000,DATOS!$A$2:$A$20000,G25,DATOS!$G$2:$G$20000,CONFIG_METADATA!$B$4,DATOS!$I$2:$I$20000,"Lenguaje Musical"),""))</f>
        <v/>
      </c>
      <c r="I25" t="str">
        <f>IF(G25="","",IFERROR(AVERAGEIFS(DATOS!$K$2:$K$20000,DATOS!$A$2:$A$20000,G25,DATOS!$G$2:$G$20000,CONFIG_METADATA!$B$4,DATOS!$I$2:$I$20000,"Coro"),""))</f>
        <v/>
      </c>
      <c r="J25" t="str">
        <f>IF(G25="","",IFERROR(AVERAGEIFS(DATOS!$K$2:$K$20000,DATOS!$A$2:$A$20000,G25,DATOS!$G$2:$G$20000,CONFIG_METADATA!$B$4,DATOS!$I$2:$I$20000,"Conjunto"),""))</f>
        <v/>
      </c>
      <c r="K25" t="str" cm="1">
        <f t="array" ref="K25">IF(G25="","",IFERROR(AVERAGE(IF((DATOS!$A$2:$A$20000=G25)*(DATOS!$G$2:$G$20000=CONFIG_METADATA!$B$4)*(DATOS!$I$2:$I$20000&lt;&gt;"Lenguaje Musical")*(DATOS!$I$2:$I$20000&lt;&gt;"Coro")*(DATOS!$I$2:$I$20000&lt;&gt;"Conjunto"),DATOS!$K$2:$K$20000)),""))</f>
        <v/>
      </c>
      <c r="N25" t="str">
        <f>IF(M25="","",IFERROR(AVERAGEIFS(DATOS!$K$2:$K$20000,DATOS!$A$2:$A$20000,M25,DATOS!$G$2:$G$20000,CONFIG_METADATA!$B$4,DATOS!$I$2:$I$20000,"Lenguaje Musical"),""))</f>
        <v/>
      </c>
      <c r="O25" t="str">
        <f>IF(M25="","",IFERROR(AVERAGEIFS(DATOS!$K$2:$K$20000,DATOS!$A$2:$A$20000,M25,DATOS!$G$2:$G$20000,CONFIG_METADATA!$B$4,DATOS!$I$2:$I$20000,"Coro"),""))</f>
        <v/>
      </c>
      <c r="P25" t="str">
        <f>IF(M25="","",IFERROR(AVERAGEIFS(DATOS!$K$2:$K$20000,DATOS!$A$2:$A$20000,M25,DATOS!$G$2:$G$20000,CONFIG_METADATA!$B$4,DATOS!$I$2:$I$20000,"Conjunto"),""))</f>
        <v/>
      </c>
      <c r="Q25" t="str" cm="1">
        <f t="array" ref="Q25">IF(M25="","",IFERROR(AVERAGE(IF((DATOS!$A$2:$A$20000=M25)*(DATOS!$G$2:$G$20000=CONFIG_METADATA!$B$4)*(DATOS!$I$2:$I$20000&lt;&gt;"Lenguaje Musical")*(DATOS!$I$2:$I$20000&lt;&gt;"Coro")*(DATOS!$I$2:$I$20000&lt;&gt;"Conjunto"),DATOS!$K$2:$K$20000)),""))</f>
        <v/>
      </c>
      <c r="T25" t="str">
        <f>IF(S25="","",IFERROR(AVERAGEIFS(DATOS!$K$2:$K$20000,DATOS!$A$2:$A$20000,S25,DATOS!$G$2:$G$20000,CONFIG_METADATA!$B$4,DATOS!$I$2:$I$20000,"Lenguaje Musical"),""))</f>
        <v/>
      </c>
      <c r="U25" t="str">
        <f>IF(S25="","",IFERROR(AVERAGEIFS(DATOS!$K$2:$K$20000,DATOS!$A$2:$A$20000,S25,DATOS!$G$2:$G$20000,CONFIG_METADATA!$B$4,DATOS!$I$2:$I$20000,"Coro"),""))</f>
        <v/>
      </c>
      <c r="V25" t="str">
        <f>IF(S25="","",IFERROR(AVERAGEIFS(DATOS!$K$2:$K$20000,DATOS!$A$2:$A$20000,S25,DATOS!$G$2:$G$20000,CONFIG_METADATA!$B$4,DATOS!$I$2:$I$20000,"Conjunto"),""))</f>
        <v/>
      </c>
      <c r="W25" t="str" cm="1">
        <f t="array" ref="W25">IF(S25="","",IFERROR(AVERAGE(IF((DATOS!$A$2:$A$20000=S25)*(DATOS!$G$2:$G$20000=CONFIG_METADATA!$B$4)*(DATOS!$I$2:$I$20000&lt;&gt;"Lenguaje Musical")*(DATOS!$I$2:$I$20000&lt;&gt;"Coro")*(DATOS!$I$2:$I$20000&lt;&gt;"Conjunto"),DATOS!$K$2:$K$20000)),""))</f>
        <v/>
      </c>
    </row>
    <row r="26" spans="2:23" ht="15" customHeight="1" x14ac:dyDescent="0.2">
      <c r="B26" t="str">
        <f>IF(A26="","",IFERROR(AVERAGEIFS(DATOS!$K$2:$K$20000,DATOS!$A$2:$A$20000,A26,DATOS!$G$2:$G$20000,CONFIG_METADATA!$B$4,DATOS!$I$2:$I$20000,"Lenguaje Musical"),""))</f>
        <v/>
      </c>
      <c r="C26" t="str">
        <f>IF(A26="","",IFERROR(AVERAGEIFS(DATOS!$K$2:$K$20000,DATOS!$A$2:$A$20000,A26,DATOS!$G$2:$G$20000,CONFIG_METADATA!$B$4,DATOS!$I$2:$I$20000,"Coro"),""))</f>
        <v/>
      </c>
      <c r="D26" t="str">
        <f>IF(A26="","",IFERROR(AVERAGEIFS(DATOS!$K$2:$K$20000,DATOS!$A$2:$A$20000,A26,DATOS!$G$2:$G$20000,CONFIG_METADATA!$B$4,DATOS!$I$2:$I$20000,"Conjunto"),""))</f>
        <v/>
      </c>
      <c r="E26" t="str" cm="1">
        <f t="array" ref="E26">IF(A26="","",IFERROR(AVERAGE(IF((DATOS!$A$2:$A$20000=A26)*(DATOS!$G$2:$G$20000=CONFIG_METADATA!$B$4)*(DATOS!$I$2:$I$20000&lt;&gt;"Lenguaje Musical")*(DATOS!$I$2:$I$20000&lt;&gt;"Coro")*(DATOS!$I$2:$I$20000&lt;&gt;"Conjunto"),DATOS!$K$2:$K$20000)),""))</f>
        <v/>
      </c>
      <c r="H26" t="str">
        <f>IF(G26="","",IFERROR(AVERAGEIFS(DATOS!$K$2:$K$20000,DATOS!$A$2:$A$20000,G26,DATOS!$G$2:$G$20000,CONFIG_METADATA!$B$4,DATOS!$I$2:$I$20000,"Lenguaje Musical"),""))</f>
        <v/>
      </c>
      <c r="I26" t="str">
        <f>IF(G26="","",IFERROR(AVERAGEIFS(DATOS!$K$2:$K$20000,DATOS!$A$2:$A$20000,G26,DATOS!$G$2:$G$20000,CONFIG_METADATA!$B$4,DATOS!$I$2:$I$20000,"Coro"),""))</f>
        <v/>
      </c>
      <c r="J26" t="str">
        <f>IF(G26="","",IFERROR(AVERAGEIFS(DATOS!$K$2:$K$20000,DATOS!$A$2:$A$20000,G26,DATOS!$G$2:$G$20000,CONFIG_METADATA!$B$4,DATOS!$I$2:$I$20000,"Conjunto"),""))</f>
        <v/>
      </c>
      <c r="K26" t="str" cm="1">
        <f t="array" ref="K26">IF(G26="","",IFERROR(AVERAGE(IF((DATOS!$A$2:$A$20000=G26)*(DATOS!$G$2:$G$20000=CONFIG_METADATA!$B$4)*(DATOS!$I$2:$I$20000&lt;&gt;"Lenguaje Musical")*(DATOS!$I$2:$I$20000&lt;&gt;"Coro")*(DATOS!$I$2:$I$20000&lt;&gt;"Conjunto"),DATOS!$K$2:$K$20000)),""))</f>
        <v/>
      </c>
      <c r="N26" t="str">
        <f>IF(M26="","",IFERROR(AVERAGEIFS(DATOS!$K$2:$K$20000,DATOS!$A$2:$A$20000,M26,DATOS!$G$2:$G$20000,CONFIG_METADATA!$B$4,DATOS!$I$2:$I$20000,"Lenguaje Musical"),""))</f>
        <v/>
      </c>
      <c r="O26" t="str">
        <f>IF(M26="","",IFERROR(AVERAGEIFS(DATOS!$K$2:$K$20000,DATOS!$A$2:$A$20000,M26,DATOS!$G$2:$G$20000,CONFIG_METADATA!$B$4,DATOS!$I$2:$I$20000,"Coro"),""))</f>
        <v/>
      </c>
      <c r="P26" t="str">
        <f>IF(M26="","",IFERROR(AVERAGEIFS(DATOS!$K$2:$K$20000,DATOS!$A$2:$A$20000,M26,DATOS!$G$2:$G$20000,CONFIG_METADATA!$B$4,DATOS!$I$2:$I$20000,"Conjunto"),""))</f>
        <v/>
      </c>
      <c r="Q26" t="str" cm="1">
        <f t="array" ref="Q26">IF(M26="","",IFERROR(AVERAGE(IF((DATOS!$A$2:$A$20000=M26)*(DATOS!$G$2:$G$20000=CONFIG_METADATA!$B$4)*(DATOS!$I$2:$I$20000&lt;&gt;"Lenguaje Musical")*(DATOS!$I$2:$I$20000&lt;&gt;"Coro")*(DATOS!$I$2:$I$20000&lt;&gt;"Conjunto"),DATOS!$K$2:$K$20000)),""))</f>
        <v/>
      </c>
      <c r="T26" t="str">
        <f>IF(S26="","",IFERROR(AVERAGEIFS(DATOS!$K$2:$K$20000,DATOS!$A$2:$A$20000,S26,DATOS!$G$2:$G$20000,CONFIG_METADATA!$B$4,DATOS!$I$2:$I$20000,"Lenguaje Musical"),""))</f>
        <v/>
      </c>
      <c r="U26" t="str">
        <f>IF(S26="","",IFERROR(AVERAGEIFS(DATOS!$K$2:$K$20000,DATOS!$A$2:$A$20000,S26,DATOS!$G$2:$G$20000,CONFIG_METADATA!$B$4,DATOS!$I$2:$I$20000,"Coro"),""))</f>
        <v/>
      </c>
      <c r="V26" t="str">
        <f>IF(S26="","",IFERROR(AVERAGEIFS(DATOS!$K$2:$K$20000,DATOS!$A$2:$A$20000,S26,DATOS!$G$2:$G$20000,CONFIG_METADATA!$B$4,DATOS!$I$2:$I$20000,"Conjunto"),""))</f>
        <v/>
      </c>
      <c r="W26" t="str" cm="1">
        <f t="array" ref="W26">IF(S26="","",IFERROR(AVERAGE(IF((DATOS!$A$2:$A$20000=S26)*(DATOS!$G$2:$G$20000=CONFIG_METADATA!$B$4)*(DATOS!$I$2:$I$20000&lt;&gt;"Lenguaje Musical")*(DATOS!$I$2:$I$20000&lt;&gt;"Coro")*(DATOS!$I$2:$I$20000&lt;&gt;"Conjunto"),DATOS!$K$2:$K$20000)),""))</f>
        <v/>
      </c>
    </row>
    <row r="27" spans="2:23" ht="15" customHeight="1" x14ac:dyDescent="0.2">
      <c r="B27" t="str">
        <f>IF(A27="","",IFERROR(AVERAGEIFS(DATOS!$K$2:$K$20000,DATOS!$A$2:$A$20000,A27,DATOS!$G$2:$G$20000,CONFIG_METADATA!$B$4,DATOS!$I$2:$I$20000,"Lenguaje Musical"),""))</f>
        <v/>
      </c>
      <c r="C27" t="str">
        <f>IF(A27="","",IFERROR(AVERAGEIFS(DATOS!$K$2:$K$20000,DATOS!$A$2:$A$20000,A27,DATOS!$G$2:$G$20000,CONFIG_METADATA!$B$4,DATOS!$I$2:$I$20000,"Coro"),""))</f>
        <v/>
      </c>
      <c r="D27" t="str">
        <f>IF(A27="","",IFERROR(AVERAGEIFS(DATOS!$K$2:$K$20000,DATOS!$A$2:$A$20000,A27,DATOS!$G$2:$G$20000,CONFIG_METADATA!$B$4,DATOS!$I$2:$I$20000,"Conjunto"),""))</f>
        <v/>
      </c>
      <c r="E27" t="str" cm="1">
        <f t="array" ref="E27">IF(A27="","",IFERROR(AVERAGE(IF((DATOS!$A$2:$A$20000=A27)*(DATOS!$G$2:$G$20000=CONFIG_METADATA!$B$4)*(DATOS!$I$2:$I$20000&lt;&gt;"Lenguaje Musical")*(DATOS!$I$2:$I$20000&lt;&gt;"Coro")*(DATOS!$I$2:$I$20000&lt;&gt;"Conjunto"),DATOS!$K$2:$K$20000)),""))</f>
        <v/>
      </c>
      <c r="H27" t="str">
        <f>IF(G27="","",IFERROR(AVERAGEIFS(DATOS!$K$2:$K$20000,DATOS!$A$2:$A$20000,G27,DATOS!$G$2:$G$20000,CONFIG_METADATA!$B$4,DATOS!$I$2:$I$20000,"Lenguaje Musical"),""))</f>
        <v/>
      </c>
      <c r="I27" t="str">
        <f>IF(G27="","",IFERROR(AVERAGEIFS(DATOS!$K$2:$K$20000,DATOS!$A$2:$A$20000,G27,DATOS!$G$2:$G$20000,CONFIG_METADATA!$B$4,DATOS!$I$2:$I$20000,"Coro"),""))</f>
        <v/>
      </c>
      <c r="J27" t="str">
        <f>IF(G27="","",IFERROR(AVERAGEIFS(DATOS!$K$2:$K$20000,DATOS!$A$2:$A$20000,G27,DATOS!$G$2:$G$20000,CONFIG_METADATA!$B$4,DATOS!$I$2:$I$20000,"Conjunto"),""))</f>
        <v/>
      </c>
      <c r="K27" t="str" cm="1">
        <f t="array" ref="K27">IF(G27="","",IFERROR(AVERAGE(IF((DATOS!$A$2:$A$20000=G27)*(DATOS!$G$2:$G$20000=CONFIG_METADATA!$B$4)*(DATOS!$I$2:$I$20000&lt;&gt;"Lenguaje Musical")*(DATOS!$I$2:$I$20000&lt;&gt;"Coro")*(DATOS!$I$2:$I$20000&lt;&gt;"Conjunto"),DATOS!$K$2:$K$20000)),""))</f>
        <v/>
      </c>
      <c r="N27" t="str">
        <f>IF(M27="","",IFERROR(AVERAGEIFS(DATOS!$K$2:$K$20000,DATOS!$A$2:$A$20000,M27,DATOS!$G$2:$G$20000,CONFIG_METADATA!$B$4,DATOS!$I$2:$I$20000,"Lenguaje Musical"),""))</f>
        <v/>
      </c>
      <c r="O27" t="str">
        <f>IF(M27="","",IFERROR(AVERAGEIFS(DATOS!$K$2:$K$20000,DATOS!$A$2:$A$20000,M27,DATOS!$G$2:$G$20000,CONFIG_METADATA!$B$4,DATOS!$I$2:$I$20000,"Coro"),""))</f>
        <v/>
      </c>
      <c r="P27" t="str">
        <f>IF(M27="","",IFERROR(AVERAGEIFS(DATOS!$K$2:$K$20000,DATOS!$A$2:$A$20000,M27,DATOS!$G$2:$G$20000,CONFIG_METADATA!$B$4,DATOS!$I$2:$I$20000,"Conjunto"),""))</f>
        <v/>
      </c>
      <c r="Q27" t="str" cm="1">
        <f t="array" ref="Q27">IF(M27="","",IFERROR(AVERAGE(IF((DATOS!$A$2:$A$20000=M27)*(DATOS!$G$2:$G$20000=CONFIG_METADATA!$B$4)*(DATOS!$I$2:$I$20000&lt;&gt;"Lenguaje Musical")*(DATOS!$I$2:$I$20000&lt;&gt;"Coro")*(DATOS!$I$2:$I$20000&lt;&gt;"Conjunto"),DATOS!$K$2:$K$20000)),""))</f>
        <v/>
      </c>
      <c r="T27" t="str">
        <f>IF(S27="","",IFERROR(AVERAGEIFS(DATOS!$K$2:$K$20000,DATOS!$A$2:$A$20000,S27,DATOS!$G$2:$G$20000,CONFIG_METADATA!$B$4,DATOS!$I$2:$I$20000,"Lenguaje Musical"),""))</f>
        <v/>
      </c>
      <c r="U27" t="str">
        <f>IF(S27="","",IFERROR(AVERAGEIFS(DATOS!$K$2:$K$20000,DATOS!$A$2:$A$20000,S27,DATOS!$G$2:$G$20000,CONFIG_METADATA!$B$4,DATOS!$I$2:$I$20000,"Coro"),""))</f>
        <v/>
      </c>
      <c r="V27" t="str">
        <f>IF(S27="","",IFERROR(AVERAGEIFS(DATOS!$K$2:$K$20000,DATOS!$A$2:$A$20000,S27,DATOS!$G$2:$G$20000,CONFIG_METADATA!$B$4,DATOS!$I$2:$I$20000,"Conjunto"),""))</f>
        <v/>
      </c>
      <c r="W27" t="str" cm="1">
        <f t="array" ref="W27">IF(S27="","",IFERROR(AVERAGE(IF((DATOS!$A$2:$A$20000=S27)*(DATOS!$G$2:$G$20000=CONFIG_METADATA!$B$4)*(DATOS!$I$2:$I$20000&lt;&gt;"Lenguaje Musical")*(DATOS!$I$2:$I$20000&lt;&gt;"Coro")*(DATOS!$I$2:$I$20000&lt;&gt;"Conjunto"),DATOS!$K$2:$K$20000)),""))</f>
        <v/>
      </c>
    </row>
    <row r="28" spans="2:23" ht="15" customHeight="1" x14ac:dyDescent="0.2">
      <c r="B28" t="str">
        <f>IF(A28="","",IFERROR(AVERAGEIFS(DATOS!$K$2:$K$20000,DATOS!$A$2:$A$20000,A28,DATOS!$G$2:$G$20000,CONFIG_METADATA!$B$4,DATOS!$I$2:$I$20000,"Lenguaje Musical"),""))</f>
        <v/>
      </c>
      <c r="C28" t="str">
        <f>IF(A28="","",IFERROR(AVERAGEIFS(DATOS!$K$2:$K$20000,DATOS!$A$2:$A$20000,A28,DATOS!$G$2:$G$20000,CONFIG_METADATA!$B$4,DATOS!$I$2:$I$20000,"Coro"),""))</f>
        <v/>
      </c>
      <c r="D28" t="str">
        <f>IF(A28="","",IFERROR(AVERAGEIFS(DATOS!$K$2:$K$20000,DATOS!$A$2:$A$20000,A28,DATOS!$G$2:$G$20000,CONFIG_METADATA!$B$4,DATOS!$I$2:$I$20000,"Conjunto"),""))</f>
        <v/>
      </c>
      <c r="E28" t="str" cm="1">
        <f t="array" ref="E28">IF(A28="","",IFERROR(AVERAGE(IF((DATOS!$A$2:$A$20000=A28)*(DATOS!$G$2:$G$20000=CONFIG_METADATA!$B$4)*(DATOS!$I$2:$I$20000&lt;&gt;"Lenguaje Musical")*(DATOS!$I$2:$I$20000&lt;&gt;"Coro")*(DATOS!$I$2:$I$20000&lt;&gt;"Conjunto"),DATOS!$K$2:$K$20000)),""))</f>
        <v/>
      </c>
      <c r="H28" t="str">
        <f>IF(G28="","",IFERROR(AVERAGEIFS(DATOS!$K$2:$K$20000,DATOS!$A$2:$A$20000,G28,DATOS!$G$2:$G$20000,CONFIG_METADATA!$B$4,DATOS!$I$2:$I$20000,"Lenguaje Musical"),""))</f>
        <v/>
      </c>
      <c r="I28" t="str">
        <f>IF(G28="","",IFERROR(AVERAGEIFS(DATOS!$K$2:$K$20000,DATOS!$A$2:$A$20000,G28,DATOS!$G$2:$G$20000,CONFIG_METADATA!$B$4,DATOS!$I$2:$I$20000,"Coro"),""))</f>
        <v/>
      </c>
      <c r="J28" t="str">
        <f>IF(G28="","",IFERROR(AVERAGEIFS(DATOS!$K$2:$K$20000,DATOS!$A$2:$A$20000,G28,DATOS!$G$2:$G$20000,CONFIG_METADATA!$B$4,DATOS!$I$2:$I$20000,"Conjunto"),""))</f>
        <v/>
      </c>
      <c r="K28" t="str" cm="1">
        <f t="array" ref="K28">IF(G28="","",IFERROR(AVERAGE(IF((DATOS!$A$2:$A$20000=G28)*(DATOS!$G$2:$G$20000=CONFIG_METADATA!$B$4)*(DATOS!$I$2:$I$20000&lt;&gt;"Lenguaje Musical")*(DATOS!$I$2:$I$20000&lt;&gt;"Coro")*(DATOS!$I$2:$I$20000&lt;&gt;"Conjunto"),DATOS!$K$2:$K$20000)),""))</f>
        <v/>
      </c>
      <c r="N28" t="str">
        <f>IF(M28="","",IFERROR(AVERAGEIFS(DATOS!$K$2:$K$20000,DATOS!$A$2:$A$20000,M28,DATOS!$G$2:$G$20000,CONFIG_METADATA!$B$4,DATOS!$I$2:$I$20000,"Lenguaje Musical"),""))</f>
        <v/>
      </c>
      <c r="O28" t="str">
        <f>IF(M28="","",IFERROR(AVERAGEIFS(DATOS!$K$2:$K$20000,DATOS!$A$2:$A$20000,M28,DATOS!$G$2:$G$20000,CONFIG_METADATA!$B$4,DATOS!$I$2:$I$20000,"Coro"),""))</f>
        <v/>
      </c>
      <c r="P28" t="str">
        <f>IF(M28="","",IFERROR(AVERAGEIFS(DATOS!$K$2:$K$20000,DATOS!$A$2:$A$20000,M28,DATOS!$G$2:$G$20000,CONFIG_METADATA!$B$4,DATOS!$I$2:$I$20000,"Conjunto"),""))</f>
        <v/>
      </c>
      <c r="Q28" t="str" cm="1">
        <f t="array" ref="Q28">IF(M28="","",IFERROR(AVERAGE(IF((DATOS!$A$2:$A$20000=M28)*(DATOS!$G$2:$G$20000=CONFIG_METADATA!$B$4)*(DATOS!$I$2:$I$20000&lt;&gt;"Lenguaje Musical")*(DATOS!$I$2:$I$20000&lt;&gt;"Coro")*(DATOS!$I$2:$I$20000&lt;&gt;"Conjunto"),DATOS!$K$2:$K$20000)),""))</f>
        <v/>
      </c>
      <c r="T28" t="str">
        <f>IF(S28="","",IFERROR(AVERAGEIFS(DATOS!$K$2:$K$20000,DATOS!$A$2:$A$20000,S28,DATOS!$G$2:$G$20000,CONFIG_METADATA!$B$4,DATOS!$I$2:$I$20000,"Lenguaje Musical"),""))</f>
        <v/>
      </c>
      <c r="U28" t="str">
        <f>IF(S28="","",IFERROR(AVERAGEIFS(DATOS!$K$2:$K$20000,DATOS!$A$2:$A$20000,S28,DATOS!$G$2:$G$20000,CONFIG_METADATA!$B$4,DATOS!$I$2:$I$20000,"Coro"),""))</f>
        <v/>
      </c>
      <c r="V28" t="str">
        <f>IF(S28="","",IFERROR(AVERAGEIFS(DATOS!$K$2:$K$20000,DATOS!$A$2:$A$20000,S28,DATOS!$G$2:$G$20000,CONFIG_METADATA!$B$4,DATOS!$I$2:$I$20000,"Conjunto"),""))</f>
        <v/>
      </c>
      <c r="W28" t="str" cm="1">
        <f t="array" ref="W28">IF(S28="","",IFERROR(AVERAGE(IF((DATOS!$A$2:$A$20000=S28)*(DATOS!$G$2:$G$20000=CONFIG_METADATA!$B$4)*(DATOS!$I$2:$I$20000&lt;&gt;"Lenguaje Musical")*(DATOS!$I$2:$I$20000&lt;&gt;"Coro")*(DATOS!$I$2:$I$20000&lt;&gt;"Conjunto"),DATOS!$K$2:$K$20000)),""))</f>
        <v/>
      </c>
    </row>
    <row r="29" spans="2:23" ht="15" customHeight="1" x14ac:dyDescent="0.2">
      <c r="B29" t="str">
        <f>IF(A29="","",IFERROR(AVERAGEIFS(DATOS!$K$2:$K$20000,DATOS!$A$2:$A$20000,A29,DATOS!$G$2:$G$20000,CONFIG_METADATA!$B$4,DATOS!$I$2:$I$20000,"Lenguaje Musical"),""))</f>
        <v/>
      </c>
      <c r="C29" t="str">
        <f>IF(A29="","",IFERROR(AVERAGEIFS(DATOS!$K$2:$K$20000,DATOS!$A$2:$A$20000,A29,DATOS!$G$2:$G$20000,CONFIG_METADATA!$B$4,DATOS!$I$2:$I$20000,"Coro"),""))</f>
        <v/>
      </c>
      <c r="D29" t="str">
        <f>IF(A29="","",IFERROR(AVERAGEIFS(DATOS!$K$2:$K$20000,DATOS!$A$2:$A$20000,A29,DATOS!$G$2:$G$20000,CONFIG_METADATA!$B$4,DATOS!$I$2:$I$20000,"Conjunto"),""))</f>
        <v/>
      </c>
      <c r="E29" t="str" cm="1">
        <f t="array" ref="E29">IF(A29="","",IFERROR(AVERAGE(IF((DATOS!$A$2:$A$20000=A29)*(DATOS!$G$2:$G$20000=CONFIG_METADATA!$B$4)*(DATOS!$I$2:$I$20000&lt;&gt;"Lenguaje Musical")*(DATOS!$I$2:$I$20000&lt;&gt;"Coro")*(DATOS!$I$2:$I$20000&lt;&gt;"Conjunto"),DATOS!$K$2:$K$20000)),""))</f>
        <v/>
      </c>
      <c r="H29" t="str">
        <f>IF(G29="","",IFERROR(AVERAGEIFS(DATOS!$K$2:$K$20000,DATOS!$A$2:$A$20000,G29,DATOS!$G$2:$G$20000,CONFIG_METADATA!$B$4,DATOS!$I$2:$I$20000,"Lenguaje Musical"),""))</f>
        <v/>
      </c>
      <c r="I29" t="str">
        <f>IF(G29="","",IFERROR(AVERAGEIFS(DATOS!$K$2:$K$20000,DATOS!$A$2:$A$20000,G29,DATOS!$G$2:$G$20000,CONFIG_METADATA!$B$4,DATOS!$I$2:$I$20000,"Coro"),""))</f>
        <v/>
      </c>
      <c r="J29" t="str">
        <f>IF(G29="","",IFERROR(AVERAGEIFS(DATOS!$K$2:$K$20000,DATOS!$A$2:$A$20000,G29,DATOS!$G$2:$G$20000,CONFIG_METADATA!$B$4,DATOS!$I$2:$I$20000,"Conjunto"),""))</f>
        <v/>
      </c>
      <c r="K29" t="str" cm="1">
        <f t="array" ref="K29">IF(G29="","",IFERROR(AVERAGE(IF((DATOS!$A$2:$A$20000=G29)*(DATOS!$G$2:$G$20000=CONFIG_METADATA!$B$4)*(DATOS!$I$2:$I$20000&lt;&gt;"Lenguaje Musical")*(DATOS!$I$2:$I$20000&lt;&gt;"Coro")*(DATOS!$I$2:$I$20000&lt;&gt;"Conjunto"),DATOS!$K$2:$K$20000)),""))</f>
        <v/>
      </c>
      <c r="N29" t="str">
        <f>IF(M29="","",IFERROR(AVERAGEIFS(DATOS!$K$2:$K$20000,DATOS!$A$2:$A$20000,M29,DATOS!$G$2:$G$20000,CONFIG_METADATA!$B$4,DATOS!$I$2:$I$20000,"Lenguaje Musical"),""))</f>
        <v/>
      </c>
      <c r="O29" t="str">
        <f>IF(M29="","",IFERROR(AVERAGEIFS(DATOS!$K$2:$K$20000,DATOS!$A$2:$A$20000,M29,DATOS!$G$2:$G$20000,CONFIG_METADATA!$B$4,DATOS!$I$2:$I$20000,"Coro"),""))</f>
        <v/>
      </c>
      <c r="P29" t="str">
        <f>IF(M29="","",IFERROR(AVERAGEIFS(DATOS!$K$2:$K$20000,DATOS!$A$2:$A$20000,M29,DATOS!$G$2:$G$20000,CONFIG_METADATA!$B$4,DATOS!$I$2:$I$20000,"Conjunto"),""))</f>
        <v/>
      </c>
      <c r="Q29" t="str" cm="1">
        <f t="array" ref="Q29">IF(M29="","",IFERROR(AVERAGE(IF((DATOS!$A$2:$A$20000=M29)*(DATOS!$G$2:$G$20000=CONFIG_METADATA!$B$4)*(DATOS!$I$2:$I$20000&lt;&gt;"Lenguaje Musical")*(DATOS!$I$2:$I$20000&lt;&gt;"Coro")*(DATOS!$I$2:$I$20000&lt;&gt;"Conjunto"),DATOS!$K$2:$K$20000)),""))</f>
        <v/>
      </c>
      <c r="T29" t="str">
        <f>IF(S29="","",IFERROR(AVERAGEIFS(DATOS!$K$2:$K$20000,DATOS!$A$2:$A$20000,S29,DATOS!$G$2:$G$20000,CONFIG_METADATA!$B$4,DATOS!$I$2:$I$20000,"Lenguaje Musical"),""))</f>
        <v/>
      </c>
      <c r="U29" t="str">
        <f>IF(S29="","",IFERROR(AVERAGEIFS(DATOS!$K$2:$K$20000,DATOS!$A$2:$A$20000,S29,DATOS!$G$2:$G$20000,CONFIG_METADATA!$B$4,DATOS!$I$2:$I$20000,"Coro"),""))</f>
        <v/>
      </c>
      <c r="V29" t="str">
        <f>IF(S29="","",IFERROR(AVERAGEIFS(DATOS!$K$2:$K$20000,DATOS!$A$2:$A$20000,S29,DATOS!$G$2:$G$20000,CONFIG_METADATA!$B$4,DATOS!$I$2:$I$20000,"Conjunto"),""))</f>
        <v/>
      </c>
      <c r="W29" t="str" cm="1">
        <f t="array" ref="W29">IF(S29="","",IFERROR(AVERAGE(IF((DATOS!$A$2:$A$20000=S29)*(DATOS!$G$2:$G$20000=CONFIG_METADATA!$B$4)*(DATOS!$I$2:$I$20000&lt;&gt;"Lenguaje Musical")*(DATOS!$I$2:$I$20000&lt;&gt;"Coro")*(DATOS!$I$2:$I$20000&lt;&gt;"Conjunto"),DATOS!$K$2:$K$20000)),""))</f>
        <v/>
      </c>
    </row>
    <row r="30" spans="2:23" ht="15" customHeight="1" x14ac:dyDescent="0.2">
      <c r="B30" t="str">
        <f>IF(A30="","",IFERROR(AVERAGEIFS(DATOS!$K$2:$K$20000,DATOS!$A$2:$A$20000,A30,DATOS!$G$2:$G$20000,CONFIG_METADATA!$B$4,DATOS!$I$2:$I$20000,"Lenguaje Musical"),""))</f>
        <v/>
      </c>
      <c r="C30" t="str">
        <f>IF(A30="","",IFERROR(AVERAGEIFS(DATOS!$K$2:$K$20000,DATOS!$A$2:$A$20000,A30,DATOS!$G$2:$G$20000,CONFIG_METADATA!$B$4,DATOS!$I$2:$I$20000,"Coro"),""))</f>
        <v/>
      </c>
      <c r="D30" t="str">
        <f>IF(A30="","",IFERROR(AVERAGEIFS(DATOS!$K$2:$K$20000,DATOS!$A$2:$A$20000,A30,DATOS!$G$2:$G$20000,CONFIG_METADATA!$B$4,DATOS!$I$2:$I$20000,"Conjunto"),""))</f>
        <v/>
      </c>
      <c r="E30" t="str" cm="1">
        <f t="array" ref="E30">IF(A30="","",IFERROR(AVERAGE(IF((DATOS!$A$2:$A$20000=A30)*(DATOS!$G$2:$G$20000=CONFIG_METADATA!$B$4)*(DATOS!$I$2:$I$20000&lt;&gt;"Lenguaje Musical")*(DATOS!$I$2:$I$20000&lt;&gt;"Coro")*(DATOS!$I$2:$I$20000&lt;&gt;"Conjunto"),DATOS!$K$2:$K$20000)),""))</f>
        <v/>
      </c>
      <c r="H30" t="str">
        <f>IF(G30="","",IFERROR(AVERAGEIFS(DATOS!$K$2:$K$20000,DATOS!$A$2:$A$20000,G30,DATOS!$G$2:$G$20000,CONFIG_METADATA!$B$4,DATOS!$I$2:$I$20000,"Lenguaje Musical"),""))</f>
        <v/>
      </c>
      <c r="I30" t="str">
        <f>IF(G30="","",IFERROR(AVERAGEIFS(DATOS!$K$2:$K$20000,DATOS!$A$2:$A$20000,G30,DATOS!$G$2:$G$20000,CONFIG_METADATA!$B$4,DATOS!$I$2:$I$20000,"Coro"),""))</f>
        <v/>
      </c>
      <c r="J30" t="str">
        <f>IF(G30="","",IFERROR(AVERAGEIFS(DATOS!$K$2:$K$20000,DATOS!$A$2:$A$20000,G30,DATOS!$G$2:$G$20000,CONFIG_METADATA!$B$4,DATOS!$I$2:$I$20000,"Conjunto"),""))</f>
        <v/>
      </c>
      <c r="K30" t="str" cm="1">
        <f t="array" ref="K30">IF(G30="","",IFERROR(AVERAGE(IF((DATOS!$A$2:$A$20000=G30)*(DATOS!$G$2:$G$20000=CONFIG_METADATA!$B$4)*(DATOS!$I$2:$I$20000&lt;&gt;"Lenguaje Musical")*(DATOS!$I$2:$I$20000&lt;&gt;"Coro")*(DATOS!$I$2:$I$20000&lt;&gt;"Conjunto"),DATOS!$K$2:$K$20000)),""))</f>
        <v/>
      </c>
      <c r="N30" t="str">
        <f>IF(M30="","",IFERROR(AVERAGEIFS(DATOS!$K$2:$K$20000,DATOS!$A$2:$A$20000,M30,DATOS!$G$2:$G$20000,CONFIG_METADATA!$B$4,DATOS!$I$2:$I$20000,"Lenguaje Musical"),""))</f>
        <v/>
      </c>
      <c r="O30" t="str">
        <f>IF(M30="","",IFERROR(AVERAGEIFS(DATOS!$K$2:$K$20000,DATOS!$A$2:$A$20000,M30,DATOS!$G$2:$G$20000,CONFIG_METADATA!$B$4,DATOS!$I$2:$I$20000,"Coro"),""))</f>
        <v/>
      </c>
      <c r="P30" t="str">
        <f>IF(M30="","",IFERROR(AVERAGEIFS(DATOS!$K$2:$K$20000,DATOS!$A$2:$A$20000,M30,DATOS!$G$2:$G$20000,CONFIG_METADATA!$B$4,DATOS!$I$2:$I$20000,"Conjunto"),""))</f>
        <v/>
      </c>
      <c r="Q30" t="str" cm="1">
        <f t="array" ref="Q30">IF(M30="","",IFERROR(AVERAGE(IF((DATOS!$A$2:$A$20000=M30)*(DATOS!$G$2:$G$20000=CONFIG_METADATA!$B$4)*(DATOS!$I$2:$I$20000&lt;&gt;"Lenguaje Musical")*(DATOS!$I$2:$I$20000&lt;&gt;"Coro")*(DATOS!$I$2:$I$20000&lt;&gt;"Conjunto"),DATOS!$K$2:$K$20000)),""))</f>
        <v/>
      </c>
      <c r="T30" t="str">
        <f>IF(S30="","",IFERROR(AVERAGEIFS(DATOS!$K$2:$K$20000,DATOS!$A$2:$A$20000,S30,DATOS!$G$2:$G$20000,CONFIG_METADATA!$B$4,DATOS!$I$2:$I$20000,"Lenguaje Musical"),""))</f>
        <v/>
      </c>
      <c r="U30" t="str">
        <f>IF(S30="","",IFERROR(AVERAGEIFS(DATOS!$K$2:$K$20000,DATOS!$A$2:$A$20000,S30,DATOS!$G$2:$G$20000,CONFIG_METADATA!$B$4,DATOS!$I$2:$I$20000,"Coro"),""))</f>
        <v/>
      </c>
      <c r="V30" t="str">
        <f>IF(S30="","",IFERROR(AVERAGEIFS(DATOS!$K$2:$K$20000,DATOS!$A$2:$A$20000,S30,DATOS!$G$2:$G$20000,CONFIG_METADATA!$B$4,DATOS!$I$2:$I$20000,"Conjunto"),""))</f>
        <v/>
      </c>
      <c r="W30" t="str" cm="1">
        <f t="array" ref="W30">IF(S30="","",IFERROR(AVERAGE(IF((DATOS!$A$2:$A$20000=S30)*(DATOS!$G$2:$G$20000=CONFIG_METADATA!$B$4)*(DATOS!$I$2:$I$20000&lt;&gt;"Lenguaje Musical")*(DATOS!$I$2:$I$20000&lt;&gt;"Coro")*(DATOS!$I$2:$I$20000&lt;&gt;"Conjunto"),DATOS!$K$2:$K$20000)),""))</f>
        <v/>
      </c>
    </row>
    <row r="31" spans="2:23" ht="15" customHeight="1" x14ac:dyDescent="0.2">
      <c r="B31" t="str">
        <f>IF(A31="","",IFERROR(AVERAGEIFS(DATOS!$K$2:$K$20000,DATOS!$A$2:$A$20000,A31,DATOS!$G$2:$G$20000,CONFIG_METADATA!$B$4,DATOS!$I$2:$I$20000,"Lenguaje Musical"),""))</f>
        <v/>
      </c>
      <c r="C31" t="str">
        <f>IF(A31="","",IFERROR(AVERAGEIFS(DATOS!$K$2:$K$20000,DATOS!$A$2:$A$20000,A31,DATOS!$G$2:$G$20000,CONFIG_METADATA!$B$4,DATOS!$I$2:$I$20000,"Coro"),""))</f>
        <v/>
      </c>
      <c r="D31" t="str">
        <f>IF(A31="","",IFERROR(AVERAGEIFS(DATOS!$K$2:$K$20000,DATOS!$A$2:$A$20000,A31,DATOS!$G$2:$G$20000,CONFIG_METADATA!$B$4,DATOS!$I$2:$I$20000,"Conjunto"),""))</f>
        <v/>
      </c>
      <c r="E31" t="str" cm="1">
        <f t="array" ref="E31">IF(A31="","",IFERROR(AVERAGE(IF((DATOS!$A$2:$A$20000=A31)*(DATOS!$G$2:$G$20000=CONFIG_METADATA!$B$4)*(DATOS!$I$2:$I$20000&lt;&gt;"Lenguaje Musical")*(DATOS!$I$2:$I$20000&lt;&gt;"Coro")*(DATOS!$I$2:$I$20000&lt;&gt;"Conjunto"),DATOS!$K$2:$K$20000)),""))</f>
        <v/>
      </c>
      <c r="H31" t="str">
        <f>IF(G31="","",IFERROR(AVERAGEIFS(DATOS!$K$2:$K$20000,DATOS!$A$2:$A$20000,G31,DATOS!$G$2:$G$20000,CONFIG_METADATA!$B$4,DATOS!$I$2:$I$20000,"Lenguaje Musical"),""))</f>
        <v/>
      </c>
      <c r="I31" t="str">
        <f>IF(G31="","",IFERROR(AVERAGEIFS(DATOS!$K$2:$K$20000,DATOS!$A$2:$A$20000,G31,DATOS!$G$2:$G$20000,CONFIG_METADATA!$B$4,DATOS!$I$2:$I$20000,"Coro"),""))</f>
        <v/>
      </c>
      <c r="J31" t="str">
        <f>IF(G31="","",IFERROR(AVERAGEIFS(DATOS!$K$2:$K$20000,DATOS!$A$2:$A$20000,G31,DATOS!$G$2:$G$20000,CONFIG_METADATA!$B$4,DATOS!$I$2:$I$20000,"Conjunto"),""))</f>
        <v/>
      </c>
      <c r="K31" t="str" cm="1">
        <f t="array" ref="K31">IF(G31="","",IFERROR(AVERAGE(IF((DATOS!$A$2:$A$20000=G31)*(DATOS!$G$2:$G$20000=CONFIG_METADATA!$B$4)*(DATOS!$I$2:$I$20000&lt;&gt;"Lenguaje Musical")*(DATOS!$I$2:$I$20000&lt;&gt;"Coro")*(DATOS!$I$2:$I$20000&lt;&gt;"Conjunto"),DATOS!$K$2:$K$20000)),""))</f>
        <v/>
      </c>
      <c r="N31" t="str">
        <f>IF(M31="","",IFERROR(AVERAGEIFS(DATOS!$K$2:$K$20000,DATOS!$A$2:$A$20000,M31,DATOS!$G$2:$G$20000,CONFIG_METADATA!$B$4,DATOS!$I$2:$I$20000,"Lenguaje Musical"),""))</f>
        <v/>
      </c>
      <c r="O31" t="str">
        <f>IF(M31="","",IFERROR(AVERAGEIFS(DATOS!$K$2:$K$20000,DATOS!$A$2:$A$20000,M31,DATOS!$G$2:$G$20000,CONFIG_METADATA!$B$4,DATOS!$I$2:$I$20000,"Coro"),""))</f>
        <v/>
      </c>
      <c r="P31" t="str">
        <f>IF(M31="","",IFERROR(AVERAGEIFS(DATOS!$K$2:$K$20000,DATOS!$A$2:$A$20000,M31,DATOS!$G$2:$G$20000,CONFIG_METADATA!$B$4,DATOS!$I$2:$I$20000,"Conjunto"),""))</f>
        <v/>
      </c>
      <c r="Q31" t="str" cm="1">
        <f t="array" ref="Q31">IF(M31="","",IFERROR(AVERAGE(IF((DATOS!$A$2:$A$20000=M31)*(DATOS!$G$2:$G$20000=CONFIG_METADATA!$B$4)*(DATOS!$I$2:$I$20000&lt;&gt;"Lenguaje Musical")*(DATOS!$I$2:$I$20000&lt;&gt;"Coro")*(DATOS!$I$2:$I$20000&lt;&gt;"Conjunto"),DATOS!$K$2:$K$20000)),""))</f>
        <v/>
      </c>
      <c r="T31" t="str">
        <f>IF(S31="","",IFERROR(AVERAGEIFS(DATOS!$K$2:$K$20000,DATOS!$A$2:$A$20000,S31,DATOS!$G$2:$G$20000,CONFIG_METADATA!$B$4,DATOS!$I$2:$I$20000,"Lenguaje Musical"),""))</f>
        <v/>
      </c>
      <c r="U31" t="str">
        <f>IF(S31="","",IFERROR(AVERAGEIFS(DATOS!$K$2:$K$20000,DATOS!$A$2:$A$20000,S31,DATOS!$G$2:$G$20000,CONFIG_METADATA!$B$4,DATOS!$I$2:$I$20000,"Coro"),""))</f>
        <v/>
      </c>
      <c r="V31" t="str">
        <f>IF(S31="","",IFERROR(AVERAGEIFS(DATOS!$K$2:$K$20000,DATOS!$A$2:$A$20000,S31,DATOS!$G$2:$G$20000,CONFIG_METADATA!$B$4,DATOS!$I$2:$I$20000,"Conjunto"),""))</f>
        <v/>
      </c>
      <c r="W31" t="str" cm="1">
        <f t="array" ref="W31">IF(S31="","",IFERROR(AVERAGE(IF((DATOS!$A$2:$A$20000=S31)*(DATOS!$G$2:$G$20000=CONFIG_METADATA!$B$4)*(DATOS!$I$2:$I$20000&lt;&gt;"Lenguaje Musical")*(DATOS!$I$2:$I$20000&lt;&gt;"Coro")*(DATOS!$I$2:$I$20000&lt;&gt;"Conjunto"),DATOS!$K$2:$K$20000)),""))</f>
        <v/>
      </c>
    </row>
    <row r="32" spans="2:23" ht="15" customHeight="1" x14ac:dyDescent="0.2">
      <c r="B32" t="str">
        <f>IF(A32="","",IFERROR(AVERAGEIFS(DATOS!$K$2:$K$20000,DATOS!$A$2:$A$20000,A32,DATOS!$G$2:$G$20000,CONFIG_METADATA!$B$4,DATOS!$I$2:$I$20000,"Lenguaje Musical"),""))</f>
        <v/>
      </c>
      <c r="C32" t="str">
        <f>IF(A32="","",IFERROR(AVERAGEIFS(DATOS!$K$2:$K$20000,DATOS!$A$2:$A$20000,A32,DATOS!$G$2:$G$20000,CONFIG_METADATA!$B$4,DATOS!$I$2:$I$20000,"Coro"),""))</f>
        <v/>
      </c>
      <c r="D32" t="str">
        <f>IF(A32="","",IFERROR(AVERAGEIFS(DATOS!$K$2:$K$20000,DATOS!$A$2:$A$20000,A32,DATOS!$G$2:$G$20000,CONFIG_METADATA!$B$4,DATOS!$I$2:$I$20000,"Conjunto"),""))</f>
        <v/>
      </c>
      <c r="E32" t="str" cm="1">
        <f t="array" ref="E32">IF(A32="","",IFERROR(AVERAGE(IF((DATOS!$A$2:$A$20000=A32)*(DATOS!$G$2:$G$20000=CONFIG_METADATA!$B$4)*(DATOS!$I$2:$I$20000&lt;&gt;"Lenguaje Musical")*(DATOS!$I$2:$I$20000&lt;&gt;"Coro")*(DATOS!$I$2:$I$20000&lt;&gt;"Conjunto"),DATOS!$K$2:$K$20000)),""))</f>
        <v/>
      </c>
      <c r="H32" t="str">
        <f>IF(G32="","",IFERROR(AVERAGEIFS(DATOS!$K$2:$K$20000,DATOS!$A$2:$A$20000,G32,DATOS!$G$2:$G$20000,CONFIG_METADATA!$B$4,DATOS!$I$2:$I$20000,"Lenguaje Musical"),""))</f>
        <v/>
      </c>
      <c r="I32" t="str">
        <f>IF(G32="","",IFERROR(AVERAGEIFS(DATOS!$K$2:$K$20000,DATOS!$A$2:$A$20000,G32,DATOS!$G$2:$G$20000,CONFIG_METADATA!$B$4,DATOS!$I$2:$I$20000,"Coro"),""))</f>
        <v/>
      </c>
      <c r="J32" t="str">
        <f>IF(G32="","",IFERROR(AVERAGEIFS(DATOS!$K$2:$K$20000,DATOS!$A$2:$A$20000,G32,DATOS!$G$2:$G$20000,CONFIG_METADATA!$B$4,DATOS!$I$2:$I$20000,"Conjunto"),""))</f>
        <v/>
      </c>
      <c r="K32" t="str" cm="1">
        <f t="array" ref="K32">IF(G32="","",IFERROR(AVERAGE(IF((DATOS!$A$2:$A$20000=G32)*(DATOS!$G$2:$G$20000=CONFIG_METADATA!$B$4)*(DATOS!$I$2:$I$20000&lt;&gt;"Lenguaje Musical")*(DATOS!$I$2:$I$20000&lt;&gt;"Coro")*(DATOS!$I$2:$I$20000&lt;&gt;"Conjunto"),DATOS!$K$2:$K$20000)),""))</f>
        <v/>
      </c>
      <c r="N32" t="str">
        <f>IF(M32="","",IFERROR(AVERAGEIFS(DATOS!$K$2:$K$20000,DATOS!$A$2:$A$20000,M32,DATOS!$G$2:$G$20000,CONFIG_METADATA!$B$4,DATOS!$I$2:$I$20000,"Lenguaje Musical"),""))</f>
        <v/>
      </c>
      <c r="O32" t="str">
        <f>IF(M32="","",IFERROR(AVERAGEIFS(DATOS!$K$2:$K$20000,DATOS!$A$2:$A$20000,M32,DATOS!$G$2:$G$20000,CONFIG_METADATA!$B$4,DATOS!$I$2:$I$20000,"Coro"),""))</f>
        <v/>
      </c>
      <c r="P32" t="str">
        <f>IF(M32="","",IFERROR(AVERAGEIFS(DATOS!$K$2:$K$20000,DATOS!$A$2:$A$20000,M32,DATOS!$G$2:$G$20000,CONFIG_METADATA!$B$4,DATOS!$I$2:$I$20000,"Conjunto"),""))</f>
        <v/>
      </c>
      <c r="Q32" t="str" cm="1">
        <f t="array" ref="Q32">IF(M32="","",IFERROR(AVERAGE(IF((DATOS!$A$2:$A$20000=M32)*(DATOS!$G$2:$G$20000=CONFIG_METADATA!$B$4)*(DATOS!$I$2:$I$20000&lt;&gt;"Lenguaje Musical")*(DATOS!$I$2:$I$20000&lt;&gt;"Coro")*(DATOS!$I$2:$I$20000&lt;&gt;"Conjunto"),DATOS!$K$2:$K$20000)),""))</f>
        <v/>
      </c>
      <c r="T32" t="str">
        <f>IF(S32="","",IFERROR(AVERAGEIFS(DATOS!$K$2:$K$20000,DATOS!$A$2:$A$20000,S32,DATOS!$G$2:$G$20000,CONFIG_METADATA!$B$4,DATOS!$I$2:$I$20000,"Lenguaje Musical"),""))</f>
        <v/>
      </c>
      <c r="U32" t="str">
        <f>IF(S32="","",IFERROR(AVERAGEIFS(DATOS!$K$2:$K$20000,DATOS!$A$2:$A$20000,S32,DATOS!$G$2:$G$20000,CONFIG_METADATA!$B$4,DATOS!$I$2:$I$20000,"Coro"),""))</f>
        <v/>
      </c>
      <c r="V32" t="str">
        <f>IF(S32="","",IFERROR(AVERAGEIFS(DATOS!$K$2:$K$20000,DATOS!$A$2:$A$20000,S32,DATOS!$G$2:$G$20000,CONFIG_METADATA!$B$4,DATOS!$I$2:$I$20000,"Conjunto"),""))</f>
        <v/>
      </c>
      <c r="W32" t="str" cm="1">
        <f t="array" ref="W32">IF(S32="","",IFERROR(AVERAGE(IF((DATOS!$A$2:$A$20000=S32)*(DATOS!$G$2:$G$20000=CONFIG_METADATA!$B$4)*(DATOS!$I$2:$I$20000&lt;&gt;"Lenguaje Musical")*(DATOS!$I$2:$I$20000&lt;&gt;"Coro")*(DATOS!$I$2:$I$20000&lt;&gt;"Conjunto"),DATOS!$K$2:$K$20000)),""))</f>
        <v/>
      </c>
    </row>
    <row r="33" spans="2:23" ht="15" customHeight="1" x14ac:dyDescent="0.2">
      <c r="B33" t="str">
        <f>IF(A33="","",IFERROR(AVERAGEIFS(DATOS!$K$2:$K$20000,DATOS!$A$2:$A$20000,A33,DATOS!$G$2:$G$20000,CONFIG_METADATA!$B$4,DATOS!$I$2:$I$20000,"Lenguaje Musical"),""))</f>
        <v/>
      </c>
      <c r="C33" t="str">
        <f>IF(A33="","",IFERROR(AVERAGEIFS(DATOS!$K$2:$K$20000,DATOS!$A$2:$A$20000,A33,DATOS!$G$2:$G$20000,CONFIG_METADATA!$B$4,DATOS!$I$2:$I$20000,"Coro"),""))</f>
        <v/>
      </c>
      <c r="D33" t="str">
        <f>IF(A33="","",IFERROR(AVERAGEIFS(DATOS!$K$2:$K$20000,DATOS!$A$2:$A$20000,A33,DATOS!$G$2:$G$20000,CONFIG_METADATA!$B$4,DATOS!$I$2:$I$20000,"Conjunto"),""))</f>
        <v/>
      </c>
      <c r="E33" t="str" cm="1">
        <f t="array" ref="E33">IF(A33="","",IFERROR(AVERAGE(IF((DATOS!$A$2:$A$20000=A33)*(DATOS!$G$2:$G$20000=CONFIG_METADATA!$B$4)*(DATOS!$I$2:$I$20000&lt;&gt;"Lenguaje Musical")*(DATOS!$I$2:$I$20000&lt;&gt;"Coro")*(DATOS!$I$2:$I$20000&lt;&gt;"Conjunto"),DATOS!$K$2:$K$20000)),""))</f>
        <v/>
      </c>
      <c r="H33" t="str">
        <f>IF(G33="","",IFERROR(AVERAGEIFS(DATOS!$K$2:$K$20000,DATOS!$A$2:$A$20000,G33,DATOS!$G$2:$G$20000,CONFIG_METADATA!$B$4,DATOS!$I$2:$I$20000,"Lenguaje Musical"),""))</f>
        <v/>
      </c>
      <c r="I33" t="str">
        <f>IF(G33="","",IFERROR(AVERAGEIFS(DATOS!$K$2:$K$20000,DATOS!$A$2:$A$20000,G33,DATOS!$G$2:$G$20000,CONFIG_METADATA!$B$4,DATOS!$I$2:$I$20000,"Coro"),""))</f>
        <v/>
      </c>
      <c r="J33" t="str">
        <f>IF(G33="","",IFERROR(AVERAGEIFS(DATOS!$K$2:$K$20000,DATOS!$A$2:$A$20000,G33,DATOS!$G$2:$G$20000,CONFIG_METADATA!$B$4,DATOS!$I$2:$I$20000,"Conjunto"),""))</f>
        <v/>
      </c>
      <c r="K33" t="str" cm="1">
        <f t="array" ref="K33">IF(G33="","",IFERROR(AVERAGE(IF((DATOS!$A$2:$A$20000=G33)*(DATOS!$G$2:$G$20000=CONFIG_METADATA!$B$4)*(DATOS!$I$2:$I$20000&lt;&gt;"Lenguaje Musical")*(DATOS!$I$2:$I$20000&lt;&gt;"Coro")*(DATOS!$I$2:$I$20000&lt;&gt;"Conjunto"),DATOS!$K$2:$K$20000)),""))</f>
        <v/>
      </c>
      <c r="N33" t="str">
        <f>IF(M33="","",IFERROR(AVERAGEIFS(DATOS!$K$2:$K$20000,DATOS!$A$2:$A$20000,M33,DATOS!$G$2:$G$20000,CONFIG_METADATA!$B$4,DATOS!$I$2:$I$20000,"Lenguaje Musical"),""))</f>
        <v/>
      </c>
      <c r="O33" t="str">
        <f>IF(M33="","",IFERROR(AVERAGEIFS(DATOS!$K$2:$K$20000,DATOS!$A$2:$A$20000,M33,DATOS!$G$2:$G$20000,CONFIG_METADATA!$B$4,DATOS!$I$2:$I$20000,"Coro"),""))</f>
        <v/>
      </c>
      <c r="P33" t="str">
        <f>IF(M33="","",IFERROR(AVERAGEIFS(DATOS!$K$2:$K$20000,DATOS!$A$2:$A$20000,M33,DATOS!$G$2:$G$20000,CONFIG_METADATA!$B$4,DATOS!$I$2:$I$20000,"Conjunto"),""))</f>
        <v/>
      </c>
      <c r="Q33" t="str" cm="1">
        <f t="array" ref="Q33">IF(M33="","",IFERROR(AVERAGE(IF((DATOS!$A$2:$A$20000=M33)*(DATOS!$G$2:$G$20000=CONFIG_METADATA!$B$4)*(DATOS!$I$2:$I$20000&lt;&gt;"Lenguaje Musical")*(DATOS!$I$2:$I$20000&lt;&gt;"Coro")*(DATOS!$I$2:$I$20000&lt;&gt;"Conjunto"),DATOS!$K$2:$K$20000)),""))</f>
        <v/>
      </c>
      <c r="T33" t="str">
        <f>IF(S33="","",IFERROR(AVERAGEIFS(DATOS!$K$2:$K$20000,DATOS!$A$2:$A$20000,S33,DATOS!$G$2:$G$20000,CONFIG_METADATA!$B$4,DATOS!$I$2:$I$20000,"Lenguaje Musical"),""))</f>
        <v/>
      </c>
      <c r="U33" t="str">
        <f>IF(S33="","",IFERROR(AVERAGEIFS(DATOS!$K$2:$K$20000,DATOS!$A$2:$A$20000,S33,DATOS!$G$2:$G$20000,CONFIG_METADATA!$B$4,DATOS!$I$2:$I$20000,"Coro"),""))</f>
        <v/>
      </c>
      <c r="V33" t="str">
        <f>IF(S33="","",IFERROR(AVERAGEIFS(DATOS!$K$2:$K$20000,DATOS!$A$2:$A$20000,S33,DATOS!$G$2:$G$20000,CONFIG_METADATA!$B$4,DATOS!$I$2:$I$20000,"Conjunto"),""))</f>
        <v/>
      </c>
      <c r="W33" t="str" cm="1">
        <f t="array" ref="W33">IF(S33="","",IFERROR(AVERAGE(IF((DATOS!$A$2:$A$20000=S33)*(DATOS!$G$2:$G$20000=CONFIG_METADATA!$B$4)*(DATOS!$I$2:$I$20000&lt;&gt;"Lenguaje Musical")*(DATOS!$I$2:$I$20000&lt;&gt;"Coro")*(DATOS!$I$2:$I$20000&lt;&gt;"Conjunto"),DATOS!$K$2:$K$20000)),""))</f>
        <v/>
      </c>
    </row>
    <row r="34" spans="2:23" ht="15" customHeight="1" x14ac:dyDescent="0.2">
      <c r="B34" t="str">
        <f>IF(A34="","",IFERROR(AVERAGEIFS(DATOS!$K$2:$K$20000,DATOS!$A$2:$A$20000,A34,DATOS!$G$2:$G$20000,CONFIG_METADATA!$B$4,DATOS!$I$2:$I$20000,"Lenguaje Musical"),""))</f>
        <v/>
      </c>
      <c r="C34" t="str">
        <f>IF(A34="","",IFERROR(AVERAGEIFS(DATOS!$K$2:$K$20000,DATOS!$A$2:$A$20000,A34,DATOS!$G$2:$G$20000,CONFIG_METADATA!$B$4,DATOS!$I$2:$I$20000,"Coro"),""))</f>
        <v/>
      </c>
      <c r="D34" t="str">
        <f>IF(A34="","",IFERROR(AVERAGEIFS(DATOS!$K$2:$K$20000,DATOS!$A$2:$A$20000,A34,DATOS!$G$2:$G$20000,CONFIG_METADATA!$B$4,DATOS!$I$2:$I$20000,"Conjunto"),""))</f>
        <v/>
      </c>
      <c r="E34" t="str" cm="1">
        <f t="array" ref="E34">IF(A34="","",IFERROR(AVERAGE(IF((DATOS!$A$2:$A$20000=A34)*(DATOS!$G$2:$G$20000=CONFIG_METADATA!$B$4)*(DATOS!$I$2:$I$20000&lt;&gt;"Lenguaje Musical")*(DATOS!$I$2:$I$20000&lt;&gt;"Coro")*(DATOS!$I$2:$I$20000&lt;&gt;"Conjunto"),DATOS!$K$2:$K$20000)),""))</f>
        <v/>
      </c>
      <c r="H34" t="str">
        <f>IF(G34="","",IFERROR(AVERAGEIFS(DATOS!$K$2:$K$20000,DATOS!$A$2:$A$20000,G34,DATOS!$G$2:$G$20000,CONFIG_METADATA!$B$4,DATOS!$I$2:$I$20000,"Lenguaje Musical"),""))</f>
        <v/>
      </c>
      <c r="I34" t="str">
        <f>IF(G34="","",IFERROR(AVERAGEIFS(DATOS!$K$2:$K$20000,DATOS!$A$2:$A$20000,G34,DATOS!$G$2:$G$20000,CONFIG_METADATA!$B$4,DATOS!$I$2:$I$20000,"Coro"),""))</f>
        <v/>
      </c>
      <c r="J34" t="str">
        <f>IF(G34="","",IFERROR(AVERAGEIFS(DATOS!$K$2:$K$20000,DATOS!$A$2:$A$20000,G34,DATOS!$G$2:$G$20000,CONFIG_METADATA!$B$4,DATOS!$I$2:$I$20000,"Conjunto"),""))</f>
        <v/>
      </c>
      <c r="K34" t="str" cm="1">
        <f t="array" ref="K34">IF(G34="","",IFERROR(AVERAGE(IF((DATOS!$A$2:$A$20000=G34)*(DATOS!$G$2:$G$20000=CONFIG_METADATA!$B$4)*(DATOS!$I$2:$I$20000&lt;&gt;"Lenguaje Musical")*(DATOS!$I$2:$I$20000&lt;&gt;"Coro")*(DATOS!$I$2:$I$20000&lt;&gt;"Conjunto"),DATOS!$K$2:$K$20000)),""))</f>
        <v/>
      </c>
      <c r="N34" t="str">
        <f>IF(M34="","",IFERROR(AVERAGEIFS(DATOS!$K$2:$K$20000,DATOS!$A$2:$A$20000,M34,DATOS!$G$2:$G$20000,CONFIG_METADATA!$B$4,DATOS!$I$2:$I$20000,"Lenguaje Musical"),""))</f>
        <v/>
      </c>
      <c r="O34" t="str">
        <f>IF(M34="","",IFERROR(AVERAGEIFS(DATOS!$K$2:$K$20000,DATOS!$A$2:$A$20000,M34,DATOS!$G$2:$G$20000,CONFIG_METADATA!$B$4,DATOS!$I$2:$I$20000,"Coro"),""))</f>
        <v/>
      </c>
      <c r="P34" t="str">
        <f>IF(M34="","",IFERROR(AVERAGEIFS(DATOS!$K$2:$K$20000,DATOS!$A$2:$A$20000,M34,DATOS!$G$2:$G$20000,CONFIG_METADATA!$B$4,DATOS!$I$2:$I$20000,"Conjunto"),""))</f>
        <v/>
      </c>
      <c r="Q34" t="str" cm="1">
        <f t="array" ref="Q34">IF(M34="","",IFERROR(AVERAGE(IF((DATOS!$A$2:$A$20000=M34)*(DATOS!$G$2:$G$20000=CONFIG_METADATA!$B$4)*(DATOS!$I$2:$I$20000&lt;&gt;"Lenguaje Musical")*(DATOS!$I$2:$I$20000&lt;&gt;"Coro")*(DATOS!$I$2:$I$20000&lt;&gt;"Conjunto"),DATOS!$K$2:$K$20000)),""))</f>
        <v/>
      </c>
      <c r="T34" t="str">
        <f>IF(S34="","",IFERROR(AVERAGEIFS(DATOS!$K$2:$K$20000,DATOS!$A$2:$A$20000,S34,DATOS!$G$2:$G$20000,CONFIG_METADATA!$B$4,DATOS!$I$2:$I$20000,"Lenguaje Musical"),""))</f>
        <v/>
      </c>
      <c r="U34" t="str">
        <f>IF(S34="","",IFERROR(AVERAGEIFS(DATOS!$K$2:$K$20000,DATOS!$A$2:$A$20000,S34,DATOS!$G$2:$G$20000,CONFIG_METADATA!$B$4,DATOS!$I$2:$I$20000,"Coro"),""))</f>
        <v/>
      </c>
      <c r="V34" t="str">
        <f>IF(S34="","",IFERROR(AVERAGEIFS(DATOS!$K$2:$K$20000,DATOS!$A$2:$A$20000,S34,DATOS!$G$2:$G$20000,CONFIG_METADATA!$B$4,DATOS!$I$2:$I$20000,"Conjunto"),""))</f>
        <v/>
      </c>
      <c r="W34" t="str" cm="1">
        <f t="array" ref="W34">IF(S34="","",IFERROR(AVERAGE(IF((DATOS!$A$2:$A$20000=S34)*(DATOS!$G$2:$G$20000=CONFIG_METADATA!$B$4)*(DATOS!$I$2:$I$20000&lt;&gt;"Lenguaje Musical")*(DATOS!$I$2:$I$20000&lt;&gt;"Coro")*(DATOS!$I$2:$I$20000&lt;&gt;"Conjunto"),DATOS!$K$2:$K$20000)),""))</f>
        <v/>
      </c>
    </row>
    <row r="35" spans="2:23" ht="15" customHeight="1" x14ac:dyDescent="0.2">
      <c r="B35" t="str">
        <f>IF(A35="","",IFERROR(AVERAGEIFS(DATOS!$K$2:$K$20000,DATOS!$A$2:$A$20000,A35,DATOS!$G$2:$G$20000,CONFIG_METADATA!$B$4,DATOS!$I$2:$I$20000,"Lenguaje Musical"),""))</f>
        <v/>
      </c>
      <c r="C35" t="str">
        <f>IF(A35="","",IFERROR(AVERAGEIFS(DATOS!$K$2:$K$20000,DATOS!$A$2:$A$20000,A35,DATOS!$G$2:$G$20000,CONFIG_METADATA!$B$4,DATOS!$I$2:$I$20000,"Coro"),""))</f>
        <v/>
      </c>
      <c r="D35" t="str">
        <f>IF(A35="","",IFERROR(AVERAGEIFS(DATOS!$K$2:$K$20000,DATOS!$A$2:$A$20000,A35,DATOS!$G$2:$G$20000,CONFIG_METADATA!$B$4,DATOS!$I$2:$I$20000,"Conjunto"),""))</f>
        <v/>
      </c>
      <c r="E35" t="str" cm="1">
        <f t="array" ref="E35">IF(A35="","",IFERROR(AVERAGE(IF((DATOS!$A$2:$A$20000=A35)*(DATOS!$G$2:$G$20000=CONFIG_METADATA!$B$4)*(DATOS!$I$2:$I$20000&lt;&gt;"Lenguaje Musical")*(DATOS!$I$2:$I$20000&lt;&gt;"Coro")*(DATOS!$I$2:$I$20000&lt;&gt;"Conjunto"),DATOS!$K$2:$K$20000)),""))</f>
        <v/>
      </c>
      <c r="H35" t="str">
        <f>IF(G35="","",IFERROR(AVERAGEIFS(DATOS!$K$2:$K$20000,DATOS!$A$2:$A$20000,G35,DATOS!$G$2:$G$20000,CONFIG_METADATA!$B$4,DATOS!$I$2:$I$20000,"Lenguaje Musical"),""))</f>
        <v/>
      </c>
      <c r="I35" t="str">
        <f>IF(G35="","",IFERROR(AVERAGEIFS(DATOS!$K$2:$K$20000,DATOS!$A$2:$A$20000,G35,DATOS!$G$2:$G$20000,CONFIG_METADATA!$B$4,DATOS!$I$2:$I$20000,"Coro"),""))</f>
        <v/>
      </c>
      <c r="J35" t="str">
        <f>IF(G35="","",IFERROR(AVERAGEIFS(DATOS!$K$2:$K$20000,DATOS!$A$2:$A$20000,G35,DATOS!$G$2:$G$20000,CONFIG_METADATA!$B$4,DATOS!$I$2:$I$20000,"Conjunto"),""))</f>
        <v/>
      </c>
      <c r="K35" t="str" cm="1">
        <f t="array" ref="K35">IF(G35="","",IFERROR(AVERAGE(IF((DATOS!$A$2:$A$20000=G35)*(DATOS!$G$2:$G$20000=CONFIG_METADATA!$B$4)*(DATOS!$I$2:$I$20000&lt;&gt;"Lenguaje Musical")*(DATOS!$I$2:$I$20000&lt;&gt;"Coro")*(DATOS!$I$2:$I$20000&lt;&gt;"Conjunto"),DATOS!$K$2:$K$20000)),""))</f>
        <v/>
      </c>
      <c r="N35" t="str">
        <f>IF(M35="","",IFERROR(AVERAGEIFS(DATOS!$K$2:$K$20000,DATOS!$A$2:$A$20000,M35,DATOS!$G$2:$G$20000,CONFIG_METADATA!$B$4,DATOS!$I$2:$I$20000,"Lenguaje Musical"),""))</f>
        <v/>
      </c>
      <c r="O35" t="str">
        <f>IF(M35="","",IFERROR(AVERAGEIFS(DATOS!$K$2:$K$20000,DATOS!$A$2:$A$20000,M35,DATOS!$G$2:$G$20000,CONFIG_METADATA!$B$4,DATOS!$I$2:$I$20000,"Coro"),""))</f>
        <v/>
      </c>
      <c r="P35" t="str">
        <f>IF(M35="","",IFERROR(AVERAGEIFS(DATOS!$K$2:$K$20000,DATOS!$A$2:$A$20000,M35,DATOS!$G$2:$G$20000,CONFIG_METADATA!$B$4,DATOS!$I$2:$I$20000,"Conjunto"),""))</f>
        <v/>
      </c>
      <c r="Q35" t="str" cm="1">
        <f t="array" ref="Q35">IF(M35="","",IFERROR(AVERAGE(IF((DATOS!$A$2:$A$20000=M35)*(DATOS!$G$2:$G$20000=CONFIG_METADATA!$B$4)*(DATOS!$I$2:$I$20000&lt;&gt;"Lenguaje Musical")*(DATOS!$I$2:$I$20000&lt;&gt;"Coro")*(DATOS!$I$2:$I$20000&lt;&gt;"Conjunto"),DATOS!$K$2:$K$20000)),""))</f>
        <v/>
      </c>
      <c r="T35" t="str">
        <f>IF(S35="","",IFERROR(AVERAGEIFS(DATOS!$K$2:$K$20000,DATOS!$A$2:$A$20000,S35,DATOS!$G$2:$G$20000,CONFIG_METADATA!$B$4,DATOS!$I$2:$I$20000,"Lenguaje Musical"),""))</f>
        <v/>
      </c>
      <c r="U35" t="str">
        <f>IF(S35="","",IFERROR(AVERAGEIFS(DATOS!$K$2:$K$20000,DATOS!$A$2:$A$20000,S35,DATOS!$G$2:$G$20000,CONFIG_METADATA!$B$4,DATOS!$I$2:$I$20000,"Coro"),""))</f>
        <v/>
      </c>
      <c r="V35" t="str">
        <f>IF(S35="","",IFERROR(AVERAGEIFS(DATOS!$K$2:$K$20000,DATOS!$A$2:$A$20000,S35,DATOS!$G$2:$G$20000,CONFIG_METADATA!$B$4,DATOS!$I$2:$I$20000,"Conjunto"),""))</f>
        <v/>
      </c>
      <c r="W35" t="str" cm="1">
        <f t="array" ref="W35">IF(S35="","",IFERROR(AVERAGE(IF((DATOS!$A$2:$A$20000=S35)*(DATOS!$G$2:$G$20000=CONFIG_METADATA!$B$4)*(DATOS!$I$2:$I$20000&lt;&gt;"Lenguaje Musical")*(DATOS!$I$2:$I$20000&lt;&gt;"Coro")*(DATOS!$I$2:$I$20000&lt;&gt;"Conjunto"),DATOS!$K$2:$K$20000)),""))</f>
        <v/>
      </c>
    </row>
    <row r="36" spans="2:23" ht="15" customHeight="1" x14ac:dyDescent="0.2">
      <c r="B36" t="str">
        <f>IF(A36="","",IFERROR(AVERAGEIFS(DATOS!$K$2:$K$20000,DATOS!$A$2:$A$20000,A36,DATOS!$G$2:$G$20000,CONFIG_METADATA!$B$4,DATOS!$I$2:$I$20000,"Lenguaje Musical"),""))</f>
        <v/>
      </c>
      <c r="C36" t="str">
        <f>IF(A36="","",IFERROR(AVERAGEIFS(DATOS!$K$2:$K$20000,DATOS!$A$2:$A$20000,A36,DATOS!$G$2:$G$20000,CONFIG_METADATA!$B$4,DATOS!$I$2:$I$20000,"Coro"),""))</f>
        <v/>
      </c>
      <c r="D36" t="str">
        <f>IF(A36="","",IFERROR(AVERAGEIFS(DATOS!$K$2:$K$20000,DATOS!$A$2:$A$20000,A36,DATOS!$G$2:$G$20000,CONFIG_METADATA!$B$4,DATOS!$I$2:$I$20000,"Conjunto"),""))</f>
        <v/>
      </c>
      <c r="E36" t="str" cm="1">
        <f t="array" ref="E36">IF(A36="","",IFERROR(AVERAGE(IF((DATOS!$A$2:$A$20000=A36)*(DATOS!$G$2:$G$20000=CONFIG_METADATA!$B$4)*(DATOS!$I$2:$I$20000&lt;&gt;"Lenguaje Musical")*(DATOS!$I$2:$I$20000&lt;&gt;"Coro")*(DATOS!$I$2:$I$20000&lt;&gt;"Conjunto"),DATOS!$K$2:$K$20000)),""))</f>
        <v/>
      </c>
      <c r="H36" t="str">
        <f>IF(G36="","",IFERROR(AVERAGEIFS(DATOS!$K$2:$K$20000,DATOS!$A$2:$A$20000,G36,DATOS!$G$2:$G$20000,CONFIG_METADATA!$B$4,DATOS!$I$2:$I$20000,"Lenguaje Musical"),""))</f>
        <v/>
      </c>
      <c r="I36" t="str">
        <f>IF(G36="","",IFERROR(AVERAGEIFS(DATOS!$K$2:$K$20000,DATOS!$A$2:$A$20000,G36,DATOS!$G$2:$G$20000,CONFIG_METADATA!$B$4,DATOS!$I$2:$I$20000,"Coro"),""))</f>
        <v/>
      </c>
      <c r="J36" t="str">
        <f>IF(G36="","",IFERROR(AVERAGEIFS(DATOS!$K$2:$K$20000,DATOS!$A$2:$A$20000,G36,DATOS!$G$2:$G$20000,CONFIG_METADATA!$B$4,DATOS!$I$2:$I$20000,"Conjunto"),""))</f>
        <v/>
      </c>
      <c r="K36" t="str" cm="1">
        <f t="array" ref="K36">IF(G36="","",IFERROR(AVERAGE(IF((DATOS!$A$2:$A$20000=G36)*(DATOS!$G$2:$G$20000=CONFIG_METADATA!$B$4)*(DATOS!$I$2:$I$20000&lt;&gt;"Lenguaje Musical")*(DATOS!$I$2:$I$20000&lt;&gt;"Coro")*(DATOS!$I$2:$I$20000&lt;&gt;"Conjunto"),DATOS!$K$2:$K$20000)),""))</f>
        <v/>
      </c>
      <c r="N36" t="str">
        <f>IF(M36="","",IFERROR(AVERAGEIFS(DATOS!$K$2:$K$20000,DATOS!$A$2:$A$20000,M36,DATOS!$G$2:$G$20000,CONFIG_METADATA!$B$4,DATOS!$I$2:$I$20000,"Lenguaje Musical"),""))</f>
        <v/>
      </c>
      <c r="O36" t="str">
        <f>IF(M36="","",IFERROR(AVERAGEIFS(DATOS!$K$2:$K$20000,DATOS!$A$2:$A$20000,M36,DATOS!$G$2:$G$20000,CONFIG_METADATA!$B$4,DATOS!$I$2:$I$20000,"Coro"),""))</f>
        <v/>
      </c>
      <c r="P36" t="str">
        <f>IF(M36="","",IFERROR(AVERAGEIFS(DATOS!$K$2:$K$20000,DATOS!$A$2:$A$20000,M36,DATOS!$G$2:$G$20000,CONFIG_METADATA!$B$4,DATOS!$I$2:$I$20000,"Conjunto"),""))</f>
        <v/>
      </c>
      <c r="Q36" t="str" cm="1">
        <f t="array" ref="Q36">IF(M36="","",IFERROR(AVERAGE(IF((DATOS!$A$2:$A$20000=M36)*(DATOS!$G$2:$G$20000=CONFIG_METADATA!$B$4)*(DATOS!$I$2:$I$20000&lt;&gt;"Lenguaje Musical")*(DATOS!$I$2:$I$20000&lt;&gt;"Coro")*(DATOS!$I$2:$I$20000&lt;&gt;"Conjunto"),DATOS!$K$2:$K$20000)),""))</f>
        <v/>
      </c>
      <c r="T36" t="str">
        <f>IF(S36="","",IFERROR(AVERAGEIFS(DATOS!$K$2:$K$20000,DATOS!$A$2:$A$20000,S36,DATOS!$G$2:$G$20000,CONFIG_METADATA!$B$4,DATOS!$I$2:$I$20000,"Lenguaje Musical"),""))</f>
        <v/>
      </c>
      <c r="U36" t="str">
        <f>IF(S36="","",IFERROR(AVERAGEIFS(DATOS!$K$2:$K$20000,DATOS!$A$2:$A$20000,S36,DATOS!$G$2:$G$20000,CONFIG_METADATA!$B$4,DATOS!$I$2:$I$20000,"Coro"),""))</f>
        <v/>
      </c>
      <c r="V36" t="str">
        <f>IF(S36="","",IFERROR(AVERAGEIFS(DATOS!$K$2:$K$20000,DATOS!$A$2:$A$20000,S36,DATOS!$G$2:$G$20000,CONFIG_METADATA!$B$4,DATOS!$I$2:$I$20000,"Conjunto"),""))</f>
        <v/>
      </c>
      <c r="W36" t="str" cm="1">
        <f t="array" ref="W36">IF(S36="","",IFERROR(AVERAGE(IF((DATOS!$A$2:$A$20000=S36)*(DATOS!$G$2:$G$20000=CONFIG_METADATA!$B$4)*(DATOS!$I$2:$I$20000&lt;&gt;"Lenguaje Musical")*(DATOS!$I$2:$I$20000&lt;&gt;"Coro")*(DATOS!$I$2:$I$20000&lt;&gt;"Conjunto"),DATOS!$K$2:$K$20000)),""))</f>
        <v/>
      </c>
    </row>
    <row r="37" spans="2:23" ht="15" customHeight="1" x14ac:dyDescent="0.2">
      <c r="B37" t="str">
        <f>IF(A37="","",IFERROR(AVERAGEIFS(DATOS!$K$2:$K$20000,DATOS!$A$2:$A$20000,A37,DATOS!$G$2:$G$20000,CONFIG_METADATA!$B$4,DATOS!$I$2:$I$20000,"Lenguaje Musical"),""))</f>
        <v/>
      </c>
      <c r="C37" t="str">
        <f>IF(A37="","",IFERROR(AVERAGEIFS(DATOS!$K$2:$K$20000,DATOS!$A$2:$A$20000,A37,DATOS!$G$2:$G$20000,CONFIG_METADATA!$B$4,DATOS!$I$2:$I$20000,"Coro"),""))</f>
        <v/>
      </c>
      <c r="D37" t="str">
        <f>IF(A37="","",IFERROR(AVERAGEIFS(DATOS!$K$2:$K$20000,DATOS!$A$2:$A$20000,A37,DATOS!$G$2:$G$20000,CONFIG_METADATA!$B$4,DATOS!$I$2:$I$20000,"Conjunto"),""))</f>
        <v/>
      </c>
      <c r="E37" t="str" cm="1">
        <f t="array" ref="E37">IF(A37="","",IFERROR(AVERAGE(IF((DATOS!$A$2:$A$20000=A37)*(DATOS!$G$2:$G$20000=CONFIG_METADATA!$B$4)*(DATOS!$I$2:$I$20000&lt;&gt;"Lenguaje Musical")*(DATOS!$I$2:$I$20000&lt;&gt;"Coro")*(DATOS!$I$2:$I$20000&lt;&gt;"Conjunto"),DATOS!$K$2:$K$20000)),""))</f>
        <v/>
      </c>
      <c r="H37" t="str">
        <f>IF(G37="","",IFERROR(AVERAGEIFS(DATOS!$K$2:$K$20000,DATOS!$A$2:$A$20000,G37,DATOS!$G$2:$G$20000,CONFIG_METADATA!$B$4,DATOS!$I$2:$I$20000,"Lenguaje Musical"),""))</f>
        <v/>
      </c>
      <c r="I37" t="str">
        <f>IF(G37="","",IFERROR(AVERAGEIFS(DATOS!$K$2:$K$20000,DATOS!$A$2:$A$20000,G37,DATOS!$G$2:$G$20000,CONFIG_METADATA!$B$4,DATOS!$I$2:$I$20000,"Coro"),""))</f>
        <v/>
      </c>
      <c r="J37" t="str">
        <f>IF(G37="","",IFERROR(AVERAGEIFS(DATOS!$K$2:$K$20000,DATOS!$A$2:$A$20000,G37,DATOS!$G$2:$G$20000,CONFIG_METADATA!$B$4,DATOS!$I$2:$I$20000,"Conjunto"),""))</f>
        <v/>
      </c>
      <c r="K37" t="str" cm="1">
        <f t="array" ref="K37">IF(G37="","",IFERROR(AVERAGE(IF((DATOS!$A$2:$A$20000=G37)*(DATOS!$G$2:$G$20000=CONFIG_METADATA!$B$4)*(DATOS!$I$2:$I$20000&lt;&gt;"Lenguaje Musical")*(DATOS!$I$2:$I$20000&lt;&gt;"Coro")*(DATOS!$I$2:$I$20000&lt;&gt;"Conjunto"),DATOS!$K$2:$K$20000)),""))</f>
        <v/>
      </c>
      <c r="N37" t="str">
        <f>IF(M37="","",IFERROR(AVERAGEIFS(DATOS!$K$2:$K$20000,DATOS!$A$2:$A$20000,M37,DATOS!$G$2:$G$20000,CONFIG_METADATA!$B$4,DATOS!$I$2:$I$20000,"Lenguaje Musical"),""))</f>
        <v/>
      </c>
      <c r="O37" t="str">
        <f>IF(M37="","",IFERROR(AVERAGEIFS(DATOS!$K$2:$K$20000,DATOS!$A$2:$A$20000,M37,DATOS!$G$2:$G$20000,CONFIG_METADATA!$B$4,DATOS!$I$2:$I$20000,"Coro"),""))</f>
        <v/>
      </c>
      <c r="P37" t="str">
        <f>IF(M37="","",IFERROR(AVERAGEIFS(DATOS!$K$2:$K$20000,DATOS!$A$2:$A$20000,M37,DATOS!$G$2:$G$20000,CONFIG_METADATA!$B$4,DATOS!$I$2:$I$20000,"Conjunto"),""))</f>
        <v/>
      </c>
      <c r="Q37" t="str" cm="1">
        <f t="array" ref="Q37">IF(M37="","",IFERROR(AVERAGE(IF((DATOS!$A$2:$A$20000=M37)*(DATOS!$G$2:$G$20000=CONFIG_METADATA!$B$4)*(DATOS!$I$2:$I$20000&lt;&gt;"Lenguaje Musical")*(DATOS!$I$2:$I$20000&lt;&gt;"Coro")*(DATOS!$I$2:$I$20000&lt;&gt;"Conjunto"),DATOS!$K$2:$K$20000)),""))</f>
        <v/>
      </c>
      <c r="T37" t="str">
        <f>IF(S37="","",IFERROR(AVERAGEIFS(DATOS!$K$2:$K$20000,DATOS!$A$2:$A$20000,S37,DATOS!$G$2:$G$20000,CONFIG_METADATA!$B$4,DATOS!$I$2:$I$20000,"Lenguaje Musical"),""))</f>
        <v/>
      </c>
      <c r="U37" t="str">
        <f>IF(S37="","",IFERROR(AVERAGEIFS(DATOS!$K$2:$K$20000,DATOS!$A$2:$A$20000,S37,DATOS!$G$2:$G$20000,CONFIG_METADATA!$B$4,DATOS!$I$2:$I$20000,"Coro"),""))</f>
        <v/>
      </c>
      <c r="V37" t="str">
        <f>IF(S37="","",IFERROR(AVERAGEIFS(DATOS!$K$2:$K$20000,DATOS!$A$2:$A$20000,S37,DATOS!$G$2:$G$20000,CONFIG_METADATA!$B$4,DATOS!$I$2:$I$20000,"Conjunto"),""))</f>
        <v/>
      </c>
      <c r="W37" t="str" cm="1">
        <f t="array" ref="W37">IF(S37="","",IFERROR(AVERAGE(IF((DATOS!$A$2:$A$20000=S37)*(DATOS!$G$2:$G$20000=CONFIG_METADATA!$B$4)*(DATOS!$I$2:$I$20000&lt;&gt;"Lenguaje Musical")*(DATOS!$I$2:$I$20000&lt;&gt;"Coro")*(DATOS!$I$2:$I$20000&lt;&gt;"Conjunto"),DATOS!$K$2:$K$20000)),""))</f>
        <v/>
      </c>
    </row>
    <row r="38" spans="2:23" ht="15" customHeight="1" x14ac:dyDescent="0.2">
      <c r="B38" t="str">
        <f>IF(A38="","",IFERROR(AVERAGEIFS(DATOS!$K$2:$K$20000,DATOS!$A$2:$A$20000,A38,DATOS!$G$2:$G$20000,CONFIG_METADATA!$B$4,DATOS!$I$2:$I$20000,"Lenguaje Musical"),""))</f>
        <v/>
      </c>
      <c r="C38" t="str">
        <f>IF(A38="","",IFERROR(AVERAGEIFS(DATOS!$K$2:$K$20000,DATOS!$A$2:$A$20000,A38,DATOS!$G$2:$G$20000,CONFIG_METADATA!$B$4,DATOS!$I$2:$I$20000,"Coro"),""))</f>
        <v/>
      </c>
      <c r="D38" t="str">
        <f>IF(A38="","",IFERROR(AVERAGEIFS(DATOS!$K$2:$K$20000,DATOS!$A$2:$A$20000,A38,DATOS!$G$2:$G$20000,CONFIG_METADATA!$B$4,DATOS!$I$2:$I$20000,"Conjunto"),""))</f>
        <v/>
      </c>
      <c r="E38" t="str" cm="1">
        <f t="array" ref="E38">IF(A38="","",IFERROR(AVERAGE(IF((DATOS!$A$2:$A$20000=A38)*(DATOS!$G$2:$G$20000=CONFIG_METADATA!$B$4)*(DATOS!$I$2:$I$20000&lt;&gt;"Lenguaje Musical")*(DATOS!$I$2:$I$20000&lt;&gt;"Coro")*(DATOS!$I$2:$I$20000&lt;&gt;"Conjunto"),DATOS!$K$2:$K$20000)),""))</f>
        <v/>
      </c>
      <c r="H38" t="str">
        <f>IF(G38="","",IFERROR(AVERAGEIFS(DATOS!$K$2:$K$20000,DATOS!$A$2:$A$20000,G38,DATOS!$G$2:$G$20000,CONFIG_METADATA!$B$4,DATOS!$I$2:$I$20000,"Lenguaje Musical"),""))</f>
        <v/>
      </c>
      <c r="I38" t="str">
        <f>IF(G38="","",IFERROR(AVERAGEIFS(DATOS!$K$2:$K$20000,DATOS!$A$2:$A$20000,G38,DATOS!$G$2:$G$20000,CONFIG_METADATA!$B$4,DATOS!$I$2:$I$20000,"Coro"),""))</f>
        <v/>
      </c>
      <c r="J38" t="str">
        <f>IF(G38="","",IFERROR(AVERAGEIFS(DATOS!$K$2:$K$20000,DATOS!$A$2:$A$20000,G38,DATOS!$G$2:$G$20000,CONFIG_METADATA!$B$4,DATOS!$I$2:$I$20000,"Conjunto"),""))</f>
        <v/>
      </c>
      <c r="K38" t="str" cm="1">
        <f t="array" ref="K38">IF(G38="","",IFERROR(AVERAGE(IF((DATOS!$A$2:$A$20000=G38)*(DATOS!$G$2:$G$20000=CONFIG_METADATA!$B$4)*(DATOS!$I$2:$I$20000&lt;&gt;"Lenguaje Musical")*(DATOS!$I$2:$I$20000&lt;&gt;"Coro")*(DATOS!$I$2:$I$20000&lt;&gt;"Conjunto"),DATOS!$K$2:$K$20000)),""))</f>
        <v/>
      </c>
      <c r="N38" t="str">
        <f>IF(M38="","",IFERROR(AVERAGEIFS(DATOS!$K$2:$K$20000,DATOS!$A$2:$A$20000,M38,DATOS!$G$2:$G$20000,CONFIG_METADATA!$B$4,DATOS!$I$2:$I$20000,"Lenguaje Musical"),""))</f>
        <v/>
      </c>
      <c r="O38" t="str">
        <f>IF(M38="","",IFERROR(AVERAGEIFS(DATOS!$K$2:$K$20000,DATOS!$A$2:$A$20000,M38,DATOS!$G$2:$G$20000,CONFIG_METADATA!$B$4,DATOS!$I$2:$I$20000,"Coro"),""))</f>
        <v/>
      </c>
      <c r="P38" t="str">
        <f>IF(M38="","",IFERROR(AVERAGEIFS(DATOS!$K$2:$K$20000,DATOS!$A$2:$A$20000,M38,DATOS!$G$2:$G$20000,CONFIG_METADATA!$B$4,DATOS!$I$2:$I$20000,"Conjunto"),""))</f>
        <v/>
      </c>
      <c r="Q38" t="str" cm="1">
        <f t="array" ref="Q38">IF(M38="","",IFERROR(AVERAGE(IF((DATOS!$A$2:$A$20000=M38)*(DATOS!$G$2:$G$20000=CONFIG_METADATA!$B$4)*(DATOS!$I$2:$I$20000&lt;&gt;"Lenguaje Musical")*(DATOS!$I$2:$I$20000&lt;&gt;"Coro")*(DATOS!$I$2:$I$20000&lt;&gt;"Conjunto"),DATOS!$K$2:$K$20000)),""))</f>
        <v/>
      </c>
      <c r="T38" t="str">
        <f>IF(S38="","",IFERROR(AVERAGEIFS(DATOS!$K$2:$K$20000,DATOS!$A$2:$A$20000,S38,DATOS!$G$2:$G$20000,CONFIG_METADATA!$B$4,DATOS!$I$2:$I$20000,"Lenguaje Musical"),""))</f>
        <v/>
      </c>
      <c r="U38" t="str">
        <f>IF(S38="","",IFERROR(AVERAGEIFS(DATOS!$K$2:$K$20000,DATOS!$A$2:$A$20000,S38,DATOS!$G$2:$G$20000,CONFIG_METADATA!$B$4,DATOS!$I$2:$I$20000,"Coro"),""))</f>
        <v/>
      </c>
      <c r="V38" t="str">
        <f>IF(S38="","",IFERROR(AVERAGEIFS(DATOS!$K$2:$K$20000,DATOS!$A$2:$A$20000,S38,DATOS!$G$2:$G$20000,CONFIG_METADATA!$B$4,DATOS!$I$2:$I$20000,"Conjunto"),""))</f>
        <v/>
      </c>
      <c r="W38" t="str" cm="1">
        <f t="array" ref="W38">IF(S38="","",IFERROR(AVERAGE(IF((DATOS!$A$2:$A$20000=S38)*(DATOS!$G$2:$G$20000=CONFIG_METADATA!$B$4)*(DATOS!$I$2:$I$20000&lt;&gt;"Lenguaje Musical")*(DATOS!$I$2:$I$20000&lt;&gt;"Coro")*(DATOS!$I$2:$I$20000&lt;&gt;"Conjunto"),DATOS!$K$2:$K$20000)),""))</f>
        <v/>
      </c>
    </row>
    <row r="39" spans="2:23" ht="15" customHeight="1" x14ac:dyDescent="0.2">
      <c r="B39" t="str">
        <f>IF(A39="","",IFERROR(AVERAGEIFS(DATOS!$K$2:$K$20000,DATOS!$A$2:$A$20000,A39,DATOS!$G$2:$G$20000,CONFIG_METADATA!$B$4,DATOS!$I$2:$I$20000,"Lenguaje Musical"),""))</f>
        <v/>
      </c>
      <c r="C39" t="str">
        <f>IF(A39="","",IFERROR(AVERAGEIFS(DATOS!$K$2:$K$20000,DATOS!$A$2:$A$20000,A39,DATOS!$G$2:$G$20000,CONFIG_METADATA!$B$4,DATOS!$I$2:$I$20000,"Coro"),""))</f>
        <v/>
      </c>
      <c r="D39" t="str">
        <f>IF(A39="","",IFERROR(AVERAGEIFS(DATOS!$K$2:$K$20000,DATOS!$A$2:$A$20000,A39,DATOS!$G$2:$G$20000,CONFIG_METADATA!$B$4,DATOS!$I$2:$I$20000,"Conjunto"),""))</f>
        <v/>
      </c>
      <c r="E39" t="str" cm="1">
        <f t="array" ref="E39">IF(A39="","",IFERROR(AVERAGE(IF((DATOS!$A$2:$A$20000=A39)*(DATOS!$G$2:$G$20000=CONFIG_METADATA!$B$4)*(DATOS!$I$2:$I$20000&lt;&gt;"Lenguaje Musical")*(DATOS!$I$2:$I$20000&lt;&gt;"Coro")*(DATOS!$I$2:$I$20000&lt;&gt;"Conjunto"),DATOS!$K$2:$K$20000)),""))</f>
        <v/>
      </c>
      <c r="H39" t="str">
        <f>IF(G39="","",IFERROR(AVERAGEIFS(DATOS!$K$2:$K$20000,DATOS!$A$2:$A$20000,G39,DATOS!$G$2:$G$20000,CONFIG_METADATA!$B$4,DATOS!$I$2:$I$20000,"Lenguaje Musical"),""))</f>
        <v/>
      </c>
      <c r="I39" t="str">
        <f>IF(G39="","",IFERROR(AVERAGEIFS(DATOS!$K$2:$K$20000,DATOS!$A$2:$A$20000,G39,DATOS!$G$2:$G$20000,CONFIG_METADATA!$B$4,DATOS!$I$2:$I$20000,"Coro"),""))</f>
        <v/>
      </c>
      <c r="J39" t="str">
        <f>IF(G39="","",IFERROR(AVERAGEIFS(DATOS!$K$2:$K$20000,DATOS!$A$2:$A$20000,G39,DATOS!$G$2:$G$20000,CONFIG_METADATA!$B$4,DATOS!$I$2:$I$20000,"Conjunto"),""))</f>
        <v/>
      </c>
      <c r="K39" t="str" cm="1">
        <f t="array" ref="K39">IF(G39="","",IFERROR(AVERAGE(IF((DATOS!$A$2:$A$20000=G39)*(DATOS!$G$2:$G$20000=CONFIG_METADATA!$B$4)*(DATOS!$I$2:$I$20000&lt;&gt;"Lenguaje Musical")*(DATOS!$I$2:$I$20000&lt;&gt;"Coro")*(DATOS!$I$2:$I$20000&lt;&gt;"Conjunto"),DATOS!$K$2:$K$20000)),""))</f>
        <v/>
      </c>
      <c r="N39" t="str">
        <f>IF(M39="","",IFERROR(AVERAGEIFS(DATOS!$K$2:$K$20000,DATOS!$A$2:$A$20000,M39,DATOS!$G$2:$G$20000,CONFIG_METADATA!$B$4,DATOS!$I$2:$I$20000,"Lenguaje Musical"),""))</f>
        <v/>
      </c>
      <c r="O39" t="str">
        <f>IF(M39="","",IFERROR(AVERAGEIFS(DATOS!$K$2:$K$20000,DATOS!$A$2:$A$20000,M39,DATOS!$G$2:$G$20000,CONFIG_METADATA!$B$4,DATOS!$I$2:$I$20000,"Coro"),""))</f>
        <v/>
      </c>
      <c r="P39" t="str">
        <f>IF(M39="","",IFERROR(AVERAGEIFS(DATOS!$K$2:$K$20000,DATOS!$A$2:$A$20000,M39,DATOS!$G$2:$G$20000,CONFIG_METADATA!$B$4,DATOS!$I$2:$I$20000,"Conjunto"),""))</f>
        <v/>
      </c>
      <c r="Q39" t="str" cm="1">
        <f t="array" ref="Q39">IF(M39="","",IFERROR(AVERAGE(IF((DATOS!$A$2:$A$20000=M39)*(DATOS!$G$2:$G$20000=CONFIG_METADATA!$B$4)*(DATOS!$I$2:$I$20000&lt;&gt;"Lenguaje Musical")*(DATOS!$I$2:$I$20000&lt;&gt;"Coro")*(DATOS!$I$2:$I$20000&lt;&gt;"Conjunto"),DATOS!$K$2:$K$20000)),""))</f>
        <v/>
      </c>
      <c r="T39" t="str">
        <f>IF(S39="","",IFERROR(AVERAGEIFS(DATOS!$K$2:$K$20000,DATOS!$A$2:$A$20000,S39,DATOS!$G$2:$G$20000,CONFIG_METADATA!$B$4,DATOS!$I$2:$I$20000,"Lenguaje Musical"),""))</f>
        <v/>
      </c>
      <c r="U39" t="str">
        <f>IF(S39="","",IFERROR(AVERAGEIFS(DATOS!$K$2:$K$20000,DATOS!$A$2:$A$20000,S39,DATOS!$G$2:$G$20000,CONFIG_METADATA!$B$4,DATOS!$I$2:$I$20000,"Coro"),""))</f>
        <v/>
      </c>
      <c r="V39" t="str">
        <f>IF(S39="","",IFERROR(AVERAGEIFS(DATOS!$K$2:$K$20000,DATOS!$A$2:$A$20000,S39,DATOS!$G$2:$G$20000,CONFIG_METADATA!$B$4,DATOS!$I$2:$I$20000,"Conjunto"),""))</f>
        <v/>
      </c>
      <c r="W39" t="str" cm="1">
        <f t="array" ref="W39">IF(S39="","",IFERROR(AVERAGE(IF((DATOS!$A$2:$A$20000=S39)*(DATOS!$G$2:$G$20000=CONFIG_METADATA!$B$4)*(DATOS!$I$2:$I$20000&lt;&gt;"Lenguaje Musical")*(DATOS!$I$2:$I$20000&lt;&gt;"Coro")*(DATOS!$I$2:$I$20000&lt;&gt;"Conjunto"),DATOS!$K$2:$K$20000)),""))</f>
        <v/>
      </c>
    </row>
    <row r="40" spans="2:23" ht="15" customHeight="1" x14ac:dyDescent="0.2">
      <c r="B40" t="str">
        <f>IF(A40="","",IFERROR(AVERAGEIFS(DATOS!$K$2:$K$20000,DATOS!$A$2:$A$20000,A40,DATOS!$G$2:$G$20000,CONFIG_METADATA!$B$4,DATOS!$I$2:$I$20000,"Lenguaje Musical"),""))</f>
        <v/>
      </c>
      <c r="C40" t="str">
        <f>IF(A40="","",IFERROR(AVERAGEIFS(DATOS!$K$2:$K$20000,DATOS!$A$2:$A$20000,A40,DATOS!$G$2:$G$20000,CONFIG_METADATA!$B$4,DATOS!$I$2:$I$20000,"Coro"),""))</f>
        <v/>
      </c>
      <c r="D40" t="str">
        <f>IF(A40="","",IFERROR(AVERAGEIFS(DATOS!$K$2:$K$20000,DATOS!$A$2:$A$20000,A40,DATOS!$G$2:$G$20000,CONFIG_METADATA!$B$4,DATOS!$I$2:$I$20000,"Conjunto"),""))</f>
        <v/>
      </c>
      <c r="E40" t="str" cm="1">
        <f t="array" ref="E40">IF(A40="","",IFERROR(AVERAGE(IF((DATOS!$A$2:$A$20000=A40)*(DATOS!$G$2:$G$20000=CONFIG_METADATA!$B$4)*(DATOS!$I$2:$I$20000&lt;&gt;"Lenguaje Musical")*(DATOS!$I$2:$I$20000&lt;&gt;"Coro")*(DATOS!$I$2:$I$20000&lt;&gt;"Conjunto"),DATOS!$K$2:$K$20000)),""))</f>
        <v/>
      </c>
      <c r="H40" t="str">
        <f>IF(G40="","",IFERROR(AVERAGEIFS(DATOS!$K$2:$K$20000,DATOS!$A$2:$A$20000,G40,DATOS!$G$2:$G$20000,CONFIG_METADATA!$B$4,DATOS!$I$2:$I$20000,"Lenguaje Musical"),""))</f>
        <v/>
      </c>
      <c r="I40" t="str">
        <f>IF(G40="","",IFERROR(AVERAGEIFS(DATOS!$K$2:$K$20000,DATOS!$A$2:$A$20000,G40,DATOS!$G$2:$G$20000,CONFIG_METADATA!$B$4,DATOS!$I$2:$I$20000,"Coro"),""))</f>
        <v/>
      </c>
      <c r="J40" t="str">
        <f>IF(G40="","",IFERROR(AVERAGEIFS(DATOS!$K$2:$K$20000,DATOS!$A$2:$A$20000,G40,DATOS!$G$2:$G$20000,CONFIG_METADATA!$B$4,DATOS!$I$2:$I$20000,"Conjunto"),""))</f>
        <v/>
      </c>
      <c r="K40" t="str" cm="1">
        <f t="array" ref="K40">IF(G40="","",IFERROR(AVERAGE(IF((DATOS!$A$2:$A$20000=G40)*(DATOS!$G$2:$G$20000=CONFIG_METADATA!$B$4)*(DATOS!$I$2:$I$20000&lt;&gt;"Lenguaje Musical")*(DATOS!$I$2:$I$20000&lt;&gt;"Coro")*(DATOS!$I$2:$I$20000&lt;&gt;"Conjunto"),DATOS!$K$2:$K$20000)),""))</f>
        <v/>
      </c>
      <c r="N40" t="str">
        <f>IF(M40="","",IFERROR(AVERAGEIFS(DATOS!$K$2:$K$20000,DATOS!$A$2:$A$20000,M40,DATOS!$G$2:$G$20000,CONFIG_METADATA!$B$4,DATOS!$I$2:$I$20000,"Lenguaje Musical"),""))</f>
        <v/>
      </c>
      <c r="O40" t="str">
        <f>IF(M40="","",IFERROR(AVERAGEIFS(DATOS!$K$2:$K$20000,DATOS!$A$2:$A$20000,M40,DATOS!$G$2:$G$20000,CONFIG_METADATA!$B$4,DATOS!$I$2:$I$20000,"Coro"),""))</f>
        <v/>
      </c>
      <c r="P40" t="str">
        <f>IF(M40="","",IFERROR(AVERAGEIFS(DATOS!$K$2:$K$20000,DATOS!$A$2:$A$20000,M40,DATOS!$G$2:$G$20000,CONFIG_METADATA!$B$4,DATOS!$I$2:$I$20000,"Conjunto"),""))</f>
        <v/>
      </c>
      <c r="Q40" t="str" cm="1">
        <f t="array" ref="Q40">IF(M40="","",IFERROR(AVERAGE(IF((DATOS!$A$2:$A$20000=M40)*(DATOS!$G$2:$G$20000=CONFIG_METADATA!$B$4)*(DATOS!$I$2:$I$20000&lt;&gt;"Lenguaje Musical")*(DATOS!$I$2:$I$20000&lt;&gt;"Coro")*(DATOS!$I$2:$I$20000&lt;&gt;"Conjunto"),DATOS!$K$2:$K$20000)),""))</f>
        <v/>
      </c>
      <c r="T40" t="str">
        <f>IF(S40="","",IFERROR(AVERAGEIFS(DATOS!$K$2:$K$20000,DATOS!$A$2:$A$20000,S40,DATOS!$G$2:$G$20000,CONFIG_METADATA!$B$4,DATOS!$I$2:$I$20000,"Lenguaje Musical"),""))</f>
        <v/>
      </c>
      <c r="U40" t="str">
        <f>IF(S40="","",IFERROR(AVERAGEIFS(DATOS!$K$2:$K$20000,DATOS!$A$2:$A$20000,S40,DATOS!$G$2:$G$20000,CONFIG_METADATA!$B$4,DATOS!$I$2:$I$20000,"Coro"),""))</f>
        <v/>
      </c>
      <c r="V40" t="str">
        <f>IF(S40="","",IFERROR(AVERAGEIFS(DATOS!$K$2:$K$20000,DATOS!$A$2:$A$20000,S40,DATOS!$G$2:$G$20000,CONFIG_METADATA!$B$4,DATOS!$I$2:$I$20000,"Conjunto"),""))</f>
        <v/>
      </c>
      <c r="W40" t="str" cm="1">
        <f t="array" ref="W40">IF(S40="","",IFERROR(AVERAGE(IF((DATOS!$A$2:$A$20000=S40)*(DATOS!$G$2:$G$20000=CONFIG_METADATA!$B$4)*(DATOS!$I$2:$I$20000&lt;&gt;"Lenguaje Musical")*(DATOS!$I$2:$I$20000&lt;&gt;"Coro")*(DATOS!$I$2:$I$20000&lt;&gt;"Conjunto"),DATOS!$K$2:$K$20000)),""))</f>
        <v/>
      </c>
    </row>
    <row r="41" spans="2:23" ht="15" customHeight="1" x14ac:dyDescent="0.2">
      <c r="B41" t="str">
        <f>IF(A41="","",IFERROR(AVERAGEIFS(DATOS!$K$2:$K$20000,DATOS!$A$2:$A$20000,A41,DATOS!$G$2:$G$20000,CONFIG_METADATA!$B$4,DATOS!$I$2:$I$20000,"Lenguaje Musical"),""))</f>
        <v/>
      </c>
      <c r="C41" t="str">
        <f>IF(A41="","",IFERROR(AVERAGEIFS(DATOS!$K$2:$K$20000,DATOS!$A$2:$A$20000,A41,DATOS!$G$2:$G$20000,CONFIG_METADATA!$B$4,DATOS!$I$2:$I$20000,"Coro"),""))</f>
        <v/>
      </c>
      <c r="D41" t="str">
        <f>IF(A41="","",IFERROR(AVERAGEIFS(DATOS!$K$2:$K$20000,DATOS!$A$2:$A$20000,A41,DATOS!$G$2:$G$20000,CONFIG_METADATA!$B$4,DATOS!$I$2:$I$20000,"Conjunto"),""))</f>
        <v/>
      </c>
      <c r="E41" t="str" cm="1">
        <f t="array" ref="E41">IF(A41="","",IFERROR(AVERAGE(IF((DATOS!$A$2:$A$20000=A41)*(DATOS!$G$2:$G$20000=CONFIG_METADATA!$B$4)*(DATOS!$I$2:$I$20000&lt;&gt;"Lenguaje Musical")*(DATOS!$I$2:$I$20000&lt;&gt;"Coro")*(DATOS!$I$2:$I$20000&lt;&gt;"Conjunto"),DATOS!$K$2:$K$20000)),""))</f>
        <v/>
      </c>
      <c r="H41" t="str">
        <f>IF(G41="","",IFERROR(AVERAGEIFS(DATOS!$K$2:$K$20000,DATOS!$A$2:$A$20000,G41,DATOS!$G$2:$G$20000,CONFIG_METADATA!$B$4,DATOS!$I$2:$I$20000,"Lenguaje Musical"),""))</f>
        <v/>
      </c>
      <c r="I41" t="str">
        <f>IF(G41="","",IFERROR(AVERAGEIFS(DATOS!$K$2:$K$20000,DATOS!$A$2:$A$20000,G41,DATOS!$G$2:$G$20000,CONFIG_METADATA!$B$4,DATOS!$I$2:$I$20000,"Coro"),""))</f>
        <v/>
      </c>
      <c r="J41" t="str">
        <f>IF(G41="","",IFERROR(AVERAGEIFS(DATOS!$K$2:$K$20000,DATOS!$A$2:$A$20000,G41,DATOS!$G$2:$G$20000,CONFIG_METADATA!$B$4,DATOS!$I$2:$I$20000,"Conjunto"),""))</f>
        <v/>
      </c>
      <c r="K41" t="str" cm="1">
        <f t="array" ref="K41">IF(G41="","",IFERROR(AVERAGE(IF((DATOS!$A$2:$A$20000=G41)*(DATOS!$G$2:$G$20000=CONFIG_METADATA!$B$4)*(DATOS!$I$2:$I$20000&lt;&gt;"Lenguaje Musical")*(DATOS!$I$2:$I$20000&lt;&gt;"Coro")*(DATOS!$I$2:$I$20000&lt;&gt;"Conjunto"),DATOS!$K$2:$K$20000)),""))</f>
        <v/>
      </c>
      <c r="N41" t="str">
        <f>IF(M41="","",IFERROR(AVERAGEIFS(DATOS!$K$2:$K$20000,DATOS!$A$2:$A$20000,M41,DATOS!$G$2:$G$20000,CONFIG_METADATA!$B$4,DATOS!$I$2:$I$20000,"Lenguaje Musical"),""))</f>
        <v/>
      </c>
      <c r="O41" t="str">
        <f>IF(M41="","",IFERROR(AVERAGEIFS(DATOS!$K$2:$K$20000,DATOS!$A$2:$A$20000,M41,DATOS!$G$2:$G$20000,CONFIG_METADATA!$B$4,DATOS!$I$2:$I$20000,"Coro"),""))</f>
        <v/>
      </c>
      <c r="P41" t="str">
        <f>IF(M41="","",IFERROR(AVERAGEIFS(DATOS!$K$2:$K$20000,DATOS!$A$2:$A$20000,M41,DATOS!$G$2:$G$20000,CONFIG_METADATA!$B$4,DATOS!$I$2:$I$20000,"Conjunto"),""))</f>
        <v/>
      </c>
      <c r="Q41" t="str" cm="1">
        <f t="array" ref="Q41">IF(M41="","",IFERROR(AVERAGE(IF((DATOS!$A$2:$A$20000=M41)*(DATOS!$G$2:$G$20000=CONFIG_METADATA!$B$4)*(DATOS!$I$2:$I$20000&lt;&gt;"Lenguaje Musical")*(DATOS!$I$2:$I$20000&lt;&gt;"Coro")*(DATOS!$I$2:$I$20000&lt;&gt;"Conjunto"),DATOS!$K$2:$K$20000)),""))</f>
        <v/>
      </c>
      <c r="T41" t="str">
        <f>IF(S41="","",IFERROR(AVERAGEIFS(DATOS!$K$2:$K$20000,DATOS!$A$2:$A$20000,S41,DATOS!$G$2:$G$20000,CONFIG_METADATA!$B$4,DATOS!$I$2:$I$20000,"Lenguaje Musical"),""))</f>
        <v/>
      </c>
      <c r="U41" t="str">
        <f>IF(S41="","",IFERROR(AVERAGEIFS(DATOS!$K$2:$K$20000,DATOS!$A$2:$A$20000,S41,DATOS!$G$2:$G$20000,CONFIG_METADATA!$B$4,DATOS!$I$2:$I$20000,"Coro"),""))</f>
        <v/>
      </c>
      <c r="V41" t="str">
        <f>IF(S41="","",IFERROR(AVERAGEIFS(DATOS!$K$2:$K$20000,DATOS!$A$2:$A$20000,S41,DATOS!$G$2:$G$20000,CONFIG_METADATA!$B$4,DATOS!$I$2:$I$20000,"Conjunto"),""))</f>
        <v/>
      </c>
      <c r="W41" t="str" cm="1">
        <f t="array" ref="W41">IF(S41="","",IFERROR(AVERAGE(IF((DATOS!$A$2:$A$20000=S41)*(DATOS!$G$2:$G$20000=CONFIG_METADATA!$B$4)*(DATOS!$I$2:$I$20000&lt;&gt;"Lenguaje Musical")*(DATOS!$I$2:$I$20000&lt;&gt;"Coro")*(DATOS!$I$2:$I$20000&lt;&gt;"Conjunto"),DATOS!$K$2:$K$20000)),""))</f>
        <v/>
      </c>
    </row>
    <row r="42" spans="2:23" ht="15" customHeight="1" x14ac:dyDescent="0.2">
      <c r="B42" t="str">
        <f>IF(A42="","",IFERROR(AVERAGEIFS(DATOS!$K$2:$K$20000,DATOS!$A$2:$A$20000,A42,DATOS!$G$2:$G$20000,CONFIG_METADATA!$B$4,DATOS!$I$2:$I$20000,"Lenguaje Musical"),""))</f>
        <v/>
      </c>
      <c r="C42" t="str">
        <f>IF(A42="","",IFERROR(AVERAGEIFS(DATOS!$K$2:$K$20000,DATOS!$A$2:$A$20000,A42,DATOS!$G$2:$G$20000,CONFIG_METADATA!$B$4,DATOS!$I$2:$I$20000,"Coro"),""))</f>
        <v/>
      </c>
      <c r="D42" t="str">
        <f>IF(A42="","",IFERROR(AVERAGEIFS(DATOS!$K$2:$K$20000,DATOS!$A$2:$A$20000,A42,DATOS!$G$2:$G$20000,CONFIG_METADATA!$B$4,DATOS!$I$2:$I$20000,"Conjunto"),""))</f>
        <v/>
      </c>
      <c r="E42" t="str" cm="1">
        <f t="array" ref="E42">IF(A42="","",IFERROR(AVERAGE(IF((DATOS!$A$2:$A$20000=A42)*(DATOS!$G$2:$G$20000=CONFIG_METADATA!$B$4)*(DATOS!$I$2:$I$20000&lt;&gt;"Lenguaje Musical")*(DATOS!$I$2:$I$20000&lt;&gt;"Coro")*(DATOS!$I$2:$I$20000&lt;&gt;"Conjunto"),DATOS!$K$2:$K$20000)),""))</f>
        <v/>
      </c>
      <c r="H42" t="str">
        <f>IF(G42="","",IFERROR(AVERAGEIFS(DATOS!$K$2:$K$20000,DATOS!$A$2:$A$20000,G42,DATOS!$G$2:$G$20000,CONFIG_METADATA!$B$4,DATOS!$I$2:$I$20000,"Lenguaje Musical"),""))</f>
        <v/>
      </c>
      <c r="I42" t="str">
        <f>IF(G42="","",IFERROR(AVERAGEIFS(DATOS!$K$2:$K$20000,DATOS!$A$2:$A$20000,G42,DATOS!$G$2:$G$20000,CONFIG_METADATA!$B$4,DATOS!$I$2:$I$20000,"Coro"),""))</f>
        <v/>
      </c>
      <c r="J42" t="str">
        <f>IF(G42="","",IFERROR(AVERAGEIFS(DATOS!$K$2:$K$20000,DATOS!$A$2:$A$20000,G42,DATOS!$G$2:$G$20000,CONFIG_METADATA!$B$4,DATOS!$I$2:$I$20000,"Conjunto"),""))</f>
        <v/>
      </c>
      <c r="K42" t="str" cm="1">
        <f t="array" ref="K42">IF(G42="","",IFERROR(AVERAGE(IF((DATOS!$A$2:$A$20000=G42)*(DATOS!$G$2:$G$20000=CONFIG_METADATA!$B$4)*(DATOS!$I$2:$I$20000&lt;&gt;"Lenguaje Musical")*(DATOS!$I$2:$I$20000&lt;&gt;"Coro")*(DATOS!$I$2:$I$20000&lt;&gt;"Conjunto"),DATOS!$K$2:$K$20000)),""))</f>
        <v/>
      </c>
      <c r="N42" t="str">
        <f>IF(M42="","",IFERROR(AVERAGEIFS(DATOS!$K$2:$K$20000,DATOS!$A$2:$A$20000,M42,DATOS!$G$2:$G$20000,CONFIG_METADATA!$B$4,DATOS!$I$2:$I$20000,"Lenguaje Musical"),""))</f>
        <v/>
      </c>
      <c r="O42" t="str">
        <f>IF(M42="","",IFERROR(AVERAGEIFS(DATOS!$K$2:$K$20000,DATOS!$A$2:$A$20000,M42,DATOS!$G$2:$G$20000,CONFIG_METADATA!$B$4,DATOS!$I$2:$I$20000,"Coro"),""))</f>
        <v/>
      </c>
      <c r="P42" t="str">
        <f>IF(M42="","",IFERROR(AVERAGEIFS(DATOS!$K$2:$K$20000,DATOS!$A$2:$A$20000,M42,DATOS!$G$2:$G$20000,CONFIG_METADATA!$B$4,DATOS!$I$2:$I$20000,"Conjunto"),""))</f>
        <v/>
      </c>
      <c r="Q42" t="str" cm="1">
        <f t="array" ref="Q42">IF(M42="","",IFERROR(AVERAGE(IF((DATOS!$A$2:$A$20000=M42)*(DATOS!$G$2:$G$20000=CONFIG_METADATA!$B$4)*(DATOS!$I$2:$I$20000&lt;&gt;"Lenguaje Musical")*(DATOS!$I$2:$I$20000&lt;&gt;"Coro")*(DATOS!$I$2:$I$20000&lt;&gt;"Conjunto"),DATOS!$K$2:$K$20000)),""))</f>
        <v/>
      </c>
      <c r="T42" t="str">
        <f>IF(S42="","",IFERROR(AVERAGEIFS(DATOS!$K$2:$K$20000,DATOS!$A$2:$A$20000,S42,DATOS!$G$2:$G$20000,CONFIG_METADATA!$B$4,DATOS!$I$2:$I$20000,"Lenguaje Musical"),""))</f>
        <v/>
      </c>
      <c r="U42" t="str">
        <f>IF(S42="","",IFERROR(AVERAGEIFS(DATOS!$K$2:$K$20000,DATOS!$A$2:$A$20000,S42,DATOS!$G$2:$G$20000,CONFIG_METADATA!$B$4,DATOS!$I$2:$I$20000,"Coro"),""))</f>
        <v/>
      </c>
      <c r="V42" t="str">
        <f>IF(S42="","",IFERROR(AVERAGEIFS(DATOS!$K$2:$K$20000,DATOS!$A$2:$A$20000,S42,DATOS!$G$2:$G$20000,CONFIG_METADATA!$B$4,DATOS!$I$2:$I$20000,"Conjunto"),""))</f>
        <v/>
      </c>
      <c r="W42" t="str" cm="1">
        <f t="array" ref="W42">IF(S42="","",IFERROR(AVERAGE(IF((DATOS!$A$2:$A$20000=S42)*(DATOS!$G$2:$G$20000=CONFIG_METADATA!$B$4)*(DATOS!$I$2:$I$20000&lt;&gt;"Lenguaje Musical")*(DATOS!$I$2:$I$20000&lt;&gt;"Coro")*(DATOS!$I$2:$I$20000&lt;&gt;"Conjunto"),DATOS!$K$2:$K$20000)),""))</f>
        <v/>
      </c>
    </row>
    <row r="43" spans="2:23" ht="15" customHeight="1" x14ac:dyDescent="0.2">
      <c r="B43" t="str">
        <f>IF(A43="","",IFERROR(AVERAGEIFS(DATOS!$K$2:$K$20000,DATOS!$A$2:$A$20000,A43,DATOS!$G$2:$G$20000,CONFIG_METADATA!$B$4,DATOS!$I$2:$I$20000,"Lenguaje Musical"),""))</f>
        <v/>
      </c>
      <c r="C43" t="str">
        <f>IF(A43="","",IFERROR(AVERAGEIFS(DATOS!$K$2:$K$20000,DATOS!$A$2:$A$20000,A43,DATOS!$G$2:$G$20000,CONFIG_METADATA!$B$4,DATOS!$I$2:$I$20000,"Coro"),""))</f>
        <v/>
      </c>
      <c r="D43" t="str">
        <f>IF(A43="","",IFERROR(AVERAGEIFS(DATOS!$K$2:$K$20000,DATOS!$A$2:$A$20000,A43,DATOS!$G$2:$G$20000,CONFIG_METADATA!$B$4,DATOS!$I$2:$I$20000,"Conjunto"),""))</f>
        <v/>
      </c>
      <c r="E43" t="str" cm="1">
        <f t="array" ref="E43">IF(A43="","",IFERROR(AVERAGE(IF((DATOS!$A$2:$A$20000=A43)*(DATOS!$G$2:$G$20000=CONFIG_METADATA!$B$4)*(DATOS!$I$2:$I$20000&lt;&gt;"Lenguaje Musical")*(DATOS!$I$2:$I$20000&lt;&gt;"Coro")*(DATOS!$I$2:$I$20000&lt;&gt;"Conjunto"),DATOS!$K$2:$K$20000)),""))</f>
        <v/>
      </c>
      <c r="H43" t="str">
        <f>IF(G43="","",IFERROR(AVERAGEIFS(DATOS!$K$2:$K$20000,DATOS!$A$2:$A$20000,G43,DATOS!$G$2:$G$20000,CONFIG_METADATA!$B$4,DATOS!$I$2:$I$20000,"Lenguaje Musical"),""))</f>
        <v/>
      </c>
      <c r="I43" t="str">
        <f>IF(G43="","",IFERROR(AVERAGEIFS(DATOS!$K$2:$K$20000,DATOS!$A$2:$A$20000,G43,DATOS!$G$2:$G$20000,CONFIG_METADATA!$B$4,DATOS!$I$2:$I$20000,"Coro"),""))</f>
        <v/>
      </c>
      <c r="J43" t="str">
        <f>IF(G43="","",IFERROR(AVERAGEIFS(DATOS!$K$2:$K$20000,DATOS!$A$2:$A$20000,G43,DATOS!$G$2:$G$20000,CONFIG_METADATA!$B$4,DATOS!$I$2:$I$20000,"Conjunto"),""))</f>
        <v/>
      </c>
      <c r="K43" t="str" cm="1">
        <f t="array" ref="K43">IF(G43="","",IFERROR(AVERAGE(IF((DATOS!$A$2:$A$20000=G43)*(DATOS!$G$2:$G$20000=CONFIG_METADATA!$B$4)*(DATOS!$I$2:$I$20000&lt;&gt;"Lenguaje Musical")*(DATOS!$I$2:$I$20000&lt;&gt;"Coro")*(DATOS!$I$2:$I$20000&lt;&gt;"Conjunto"),DATOS!$K$2:$K$20000)),""))</f>
        <v/>
      </c>
      <c r="N43" t="str">
        <f>IF(M43="","",IFERROR(AVERAGEIFS(DATOS!$K$2:$K$20000,DATOS!$A$2:$A$20000,M43,DATOS!$G$2:$G$20000,CONFIG_METADATA!$B$4,DATOS!$I$2:$I$20000,"Lenguaje Musical"),""))</f>
        <v/>
      </c>
      <c r="O43" t="str">
        <f>IF(M43="","",IFERROR(AVERAGEIFS(DATOS!$K$2:$K$20000,DATOS!$A$2:$A$20000,M43,DATOS!$G$2:$G$20000,CONFIG_METADATA!$B$4,DATOS!$I$2:$I$20000,"Coro"),""))</f>
        <v/>
      </c>
      <c r="P43" t="str">
        <f>IF(M43="","",IFERROR(AVERAGEIFS(DATOS!$K$2:$K$20000,DATOS!$A$2:$A$20000,M43,DATOS!$G$2:$G$20000,CONFIG_METADATA!$B$4,DATOS!$I$2:$I$20000,"Conjunto"),""))</f>
        <v/>
      </c>
      <c r="Q43" t="str" cm="1">
        <f t="array" ref="Q43">IF(M43="","",IFERROR(AVERAGE(IF((DATOS!$A$2:$A$20000=M43)*(DATOS!$G$2:$G$20000=CONFIG_METADATA!$B$4)*(DATOS!$I$2:$I$20000&lt;&gt;"Lenguaje Musical")*(DATOS!$I$2:$I$20000&lt;&gt;"Coro")*(DATOS!$I$2:$I$20000&lt;&gt;"Conjunto"),DATOS!$K$2:$K$20000)),""))</f>
        <v/>
      </c>
      <c r="T43" t="str">
        <f>IF(S43="","",IFERROR(AVERAGEIFS(DATOS!$K$2:$K$20000,DATOS!$A$2:$A$20000,S43,DATOS!$G$2:$G$20000,CONFIG_METADATA!$B$4,DATOS!$I$2:$I$20000,"Lenguaje Musical"),""))</f>
        <v/>
      </c>
      <c r="U43" t="str">
        <f>IF(S43="","",IFERROR(AVERAGEIFS(DATOS!$K$2:$K$20000,DATOS!$A$2:$A$20000,S43,DATOS!$G$2:$G$20000,CONFIG_METADATA!$B$4,DATOS!$I$2:$I$20000,"Coro"),""))</f>
        <v/>
      </c>
      <c r="V43" t="str">
        <f>IF(S43="","",IFERROR(AVERAGEIFS(DATOS!$K$2:$K$20000,DATOS!$A$2:$A$20000,S43,DATOS!$G$2:$G$20000,CONFIG_METADATA!$B$4,DATOS!$I$2:$I$20000,"Conjunto"),""))</f>
        <v/>
      </c>
      <c r="W43" t="str" cm="1">
        <f t="array" ref="W43">IF(S43="","",IFERROR(AVERAGE(IF((DATOS!$A$2:$A$20000=S43)*(DATOS!$G$2:$G$20000=CONFIG_METADATA!$B$4)*(DATOS!$I$2:$I$20000&lt;&gt;"Lenguaje Musical")*(DATOS!$I$2:$I$20000&lt;&gt;"Coro")*(DATOS!$I$2:$I$20000&lt;&gt;"Conjunto"),DATOS!$K$2:$K$20000)),""))</f>
        <v/>
      </c>
    </row>
    <row r="44" spans="2:23" ht="15" customHeight="1" x14ac:dyDescent="0.2">
      <c r="B44" t="str">
        <f>IF(A44="","",IFERROR(AVERAGEIFS(DATOS!$K$2:$K$20000,DATOS!$A$2:$A$20000,A44,DATOS!$G$2:$G$20000,CONFIG_METADATA!$B$4,DATOS!$I$2:$I$20000,"Lenguaje Musical"),""))</f>
        <v/>
      </c>
      <c r="C44" t="str">
        <f>IF(A44="","",IFERROR(AVERAGEIFS(DATOS!$K$2:$K$20000,DATOS!$A$2:$A$20000,A44,DATOS!$G$2:$G$20000,CONFIG_METADATA!$B$4,DATOS!$I$2:$I$20000,"Coro"),""))</f>
        <v/>
      </c>
      <c r="D44" t="str">
        <f>IF(A44="","",IFERROR(AVERAGEIFS(DATOS!$K$2:$K$20000,DATOS!$A$2:$A$20000,A44,DATOS!$G$2:$G$20000,CONFIG_METADATA!$B$4,DATOS!$I$2:$I$20000,"Conjunto"),""))</f>
        <v/>
      </c>
      <c r="E44" t="str" cm="1">
        <f t="array" ref="E44">IF(A44="","",IFERROR(AVERAGE(IF((DATOS!$A$2:$A$20000=A44)*(DATOS!$G$2:$G$20000=CONFIG_METADATA!$B$4)*(DATOS!$I$2:$I$20000&lt;&gt;"Lenguaje Musical")*(DATOS!$I$2:$I$20000&lt;&gt;"Coro")*(DATOS!$I$2:$I$20000&lt;&gt;"Conjunto"),DATOS!$K$2:$K$20000)),""))</f>
        <v/>
      </c>
      <c r="H44" t="str">
        <f>IF(G44="","",IFERROR(AVERAGEIFS(DATOS!$K$2:$K$20000,DATOS!$A$2:$A$20000,G44,DATOS!$G$2:$G$20000,CONFIG_METADATA!$B$4,DATOS!$I$2:$I$20000,"Lenguaje Musical"),""))</f>
        <v/>
      </c>
      <c r="I44" t="str">
        <f>IF(G44="","",IFERROR(AVERAGEIFS(DATOS!$K$2:$K$20000,DATOS!$A$2:$A$20000,G44,DATOS!$G$2:$G$20000,CONFIG_METADATA!$B$4,DATOS!$I$2:$I$20000,"Coro"),""))</f>
        <v/>
      </c>
      <c r="J44" t="str">
        <f>IF(G44="","",IFERROR(AVERAGEIFS(DATOS!$K$2:$K$20000,DATOS!$A$2:$A$20000,G44,DATOS!$G$2:$G$20000,CONFIG_METADATA!$B$4,DATOS!$I$2:$I$20000,"Conjunto"),""))</f>
        <v/>
      </c>
      <c r="K44" t="str" cm="1">
        <f t="array" ref="K44">IF(G44="","",IFERROR(AVERAGE(IF((DATOS!$A$2:$A$20000=G44)*(DATOS!$G$2:$G$20000=CONFIG_METADATA!$B$4)*(DATOS!$I$2:$I$20000&lt;&gt;"Lenguaje Musical")*(DATOS!$I$2:$I$20000&lt;&gt;"Coro")*(DATOS!$I$2:$I$20000&lt;&gt;"Conjunto"),DATOS!$K$2:$K$20000)),""))</f>
        <v/>
      </c>
      <c r="N44" t="str">
        <f>IF(M44="","",IFERROR(AVERAGEIFS(DATOS!$K$2:$K$20000,DATOS!$A$2:$A$20000,M44,DATOS!$G$2:$G$20000,CONFIG_METADATA!$B$4,DATOS!$I$2:$I$20000,"Lenguaje Musical"),""))</f>
        <v/>
      </c>
      <c r="O44" t="str">
        <f>IF(M44="","",IFERROR(AVERAGEIFS(DATOS!$K$2:$K$20000,DATOS!$A$2:$A$20000,M44,DATOS!$G$2:$G$20000,CONFIG_METADATA!$B$4,DATOS!$I$2:$I$20000,"Coro"),""))</f>
        <v/>
      </c>
      <c r="P44" t="str">
        <f>IF(M44="","",IFERROR(AVERAGEIFS(DATOS!$K$2:$K$20000,DATOS!$A$2:$A$20000,M44,DATOS!$G$2:$G$20000,CONFIG_METADATA!$B$4,DATOS!$I$2:$I$20000,"Conjunto"),""))</f>
        <v/>
      </c>
      <c r="Q44" t="str" cm="1">
        <f t="array" ref="Q44">IF(M44="","",IFERROR(AVERAGE(IF((DATOS!$A$2:$A$20000=M44)*(DATOS!$G$2:$G$20000=CONFIG_METADATA!$B$4)*(DATOS!$I$2:$I$20000&lt;&gt;"Lenguaje Musical")*(DATOS!$I$2:$I$20000&lt;&gt;"Coro")*(DATOS!$I$2:$I$20000&lt;&gt;"Conjunto"),DATOS!$K$2:$K$20000)),""))</f>
        <v/>
      </c>
      <c r="T44" t="str">
        <f>IF(S44="","",IFERROR(AVERAGEIFS(DATOS!$K$2:$K$20000,DATOS!$A$2:$A$20000,S44,DATOS!$G$2:$G$20000,CONFIG_METADATA!$B$4,DATOS!$I$2:$I$20000,"Lenguaje Musical"),""))</f>
        <v/>
      </c>
      <c r="U44" t="str">
        <f>IF(S44="","",IFERROR(AVERAGEIFS(DATOS!$K$2:$K$20000,DATOS!$A$2:$A$20000,S44,DATOS!$G$2:$G$20000,CONFIG_METADATA!$B$4,DATOS!$I$2:$I$20000,"Coro"),""))</f>
        <v/>
      </c>
      <c r="V44" t="str">
        <f>IF(S44="","",IFERROR(AVERAGEIFS(DATOS!$K$2:$K$20000,DATOS!$A$2:$A$20000,S44,DATOS!$G$2:$G$20000,CONFIG_METADATA!$B$4,DATOS!$I$2:$I$20000,"Conjunto"),""))</f>
        <v/>
      </c>
      <c r="W44" t="str" cm="1">
        <f t="array" ref="W44">IF(S44="","",IFERROR(AVERAGE(IF((DATOS!$A$2:$A$20000=S44)*(DATOS!$G$2:$G$20000=CONFIG_METADATA!$B$4)*(DATOS!$I$2:$I$20000&lt;&gt;"Lenguaje Musical")*(DATOS!$I$2:$I$20000&lt;&gt;"Coro")*(DATOS!$I$2:$I$20000&lt;&gt;"Conjunto"),DATOS!$K$2:$K$20000)),""))</f>
        <v/>
      </c>
    </row>
    <row r="45" spans="2:23" ht="15" customHeight="1" x14ac:dyDescent="0.2">
      <c r="B45" t="str">
        <f>IF(A45="","",IFERROR(AVERAGEIFS(DATOS!$K$2:$K$20000,DATOS!$A$2:$A$20000,A45,DATOS!$G$2:$G$20000,CONFIG_METADATA!$B$4,DATOS!$I$2:$I$20000,"Lenguaje Musical"),""))</f>
        <v/>
      </c>
      <c r="C45" t="str">
        <f>IF(A45="","",IFERROR(AVERAGEIFS(DATOS!$K$2:$K$20000,DATOS!$A$2:$A$20000,A45,DATOS!$G$2:$G$20000,CONFIG_METADATA!$B$4,DATOS!$I$2:$I$20000,"Coro"),""))</f>
        <v/>
      </c>
      <c r="D45" t="str">
        <f>IF(A45="","",IFERROR(AVERAGEIFS(DATOS!$K$2:$K$20000,DATOS!$A$2:$A$20000,A45,DATOS!$G$2:$G$20000,CONFIG_METADATA!$B$4,DATOS!$I$2:$I$20000,"Conjunto"),""))</f>
        <v/>
      </c>
      <c r="E45" t="str" cm="1">
        <f t="array" ref="E45">IF(A45="","",IFERROR(AVERAGE(IF((DATOS!$A$2:$A$20000=A45)*(DATOS!$G$2:$G$20000=CONFIG_METADATA!$B$4)*(DATOS!$I$2:$I$20000&lt;&gt;"Lenguaje Musical")*(DATOS!$I$2:$I$20000&lt;&gt;"Coro")*(DATOS!$I$2:$I$20000&lt;&gt;"Conjunto"),DATOS!$K$2:$K$20000)),""))</f>
        <v/>
      </c>
      <c r="H45" t="str">
        <f>IF(G45="","",IFERROR(AVERAGEIFS(DATOS!$K$2:$K$20000,DATOS!$A$2:$A$20000,G45,DATOS!$G$2:$G$20000,CONFIG_METADATA!$B$4,DATOS!$I$2:$I$20000,"Lenguaje Musical"),""))</f>
        <v/>
      </c>
      <c r="I45" t="str">
        <f>IF(G45="","",IFERROR(AVERAGEIFS(DATOS!$K$2:$K$20000,DATOS!$A$2:$A$20000,G45,DATOS!$G$2:$G$20000,CONFIG_METADATA!$B$4,DATOS!$I$2:$I$20000,"Coro"),""))</f>
        <v/>
      </c>
      <c r="J45" t="str">
        <f>IF(G45="","",IFERROR(AVERAGEIFS(DATOS!$K$2:$K$20000,DATOS!$A$2:$A$20000,G45,DATOS!$G$2:$G$20000,CONFIG_METADATA!$B$4,DATOS!$I$2:$I$20000,"Conjunto"),""))</f>
        <v/>
      </c>
      <c r="K45" t="str" cm="1">
        <f t="array" ref="K45">IF(G45="","",IFERROR(AVERAGE(IF((DATOS!$A$2:$A$20000=G45)*(DATOS!$G$2:$G$20000=CONFIG_METADATA!$B$4)*(DATOS!$I$2:$I$20000&lt;&gt;"Lenguaje Musical")*(DATOS!$I$2:$I$20000&lt;&gt;"Coro")*(DATOS!$I$2:$I$20000&lt;&gt;"Conjunto"),DATOS!$K$2:$K$20000)),""))</f>
        <v/>
      </c>
      <c r="N45" t="str">
        <f>IF(M45="","",IFERROR(AVERAGEIFS(DATOS!$K$2:$K$20000,DATOS!$A$2:$A$20000,M45,DATOS!$G$2:$G$20000,CONFIG_METADATA!$B$4,DATOS!$I$2:$I$20000,"Lenguaje Musical"),""))</f>
        <v/>
      </c>
      <c r="O45" t="str">
        <f>IF(M45="","",IFERROR(AVERAGEIFS(DATOS!$K$2:$K$20000,DATOS!$A$2:$A$20000,M45,DATOS!$G$2:$G$20000,CONFIG_METADATA!$B$4,DATOS!$I$2:$I$20000,"Coro"),""))</f>
        <v/>
      </c>
      <c r="P45" t="str">
        <f>IF(M45="","",IFERROR(AVERAGEIFS(DATOS!$K$2:$K$20000,DATOS!$A$2:$A$20000,M45,DATOS!$G$2:$G$20000,CONFIG_METADATA!$B$4,DATOS!$I$2:$I$20000,"Conjunto"),""))</f>
        <v/>
      </c>
      <c r="Q45" t="str" cm="1">
        <f t="array" ref="Q45">IF(M45="","",IFERROR(AVERAGE(IF((DATOS!$A$2:$A$20000=M45)*(DATOS!$G$2:$G$20000=CONFIG_METADATA!$B$4)*(DATOS!$I$2:$I$20000&lt;&gt;"Lenguaje Musical")*(DATOS!$I$2:$I$20000&lt;&gt;"Coro")*(DATOS!$I$2:$I$20000&lt;&gt;"Conjunto"),DATOS!$K$2:$K$20000)),""))</f>
        <v/>
      </c>
      <c r="T45" t="str">
        <f>IF(S45="","",IFERROR(AVERAGEIFS(DATOS!$K$2:$K$20000,DATOS!$A$2:$A$20000,S45,DATOS!$G$2:$G$20000,CONFIG_METADATA!$B$4,DATOS!$I$2:$I$20000,"Lenguaje Musical"),""))</f>
        <v/>
      </c>
      <c r="U45" t="str">
        <f>IF(S45="","",IFERROR(AVERAGEIFS(DATOS!$K$2:$K$20000,DATOS!$A$2:$A$20000,S45,DATOS!$G$2:$G$20000,CONFIG_METADATA!$B$4,DATOS!$I$2:$I$20000,"Coro"),""))</f>
        <v/>
      </c>
      <c r="V45" t="str">
        <f>IF(S45="","",IFERROR(AVERAGEIFS(DATOS!$K$2:$K$20000,DATOS!$A$2:$A$20000,S45,DATOS!$G$2:$G$20000,CONFIG_METADATA!$B$4,DATOS!$I$2:$I$20000,"Conjunto"),""))</f>
        <v/>
      </c>
      <c r="W45" t="str" cm="1">
        <f t="array" ref="W45">IF(S45="","",IFERROR(AVERAGE(IF((DATOS!$A$2:$A$20000=S45)*(DATOS!$G$2:$G$20000=CONFIG_METADATA!$B$4)*(DATOS!$I$2:$I$20000&lt;&gt;"Lenguaje Musical")*(DATOS!$I$2:$I$20000&lt;&gt;"Coro")*(DATOS!$I$2:$I$20000&lt;&gt;"Conjunto"),DATOS!$K$2:$K$20000)),""))</f>
        <v/>
      </c>
    </row>
    <row r="46" spans="2:23" ht="15" customHeight="1" x14ac:dyDescent="0.2">
      <c r="B46" t="str">
        <f>IF(A46="","",IFERROR(AVERAGEIFS(DATOS!$K$2:$K$20000,DATOS!$A$2:$A$20000,A46,DATOS!$G$2:$G$20000,CONFIG_METADATA!$B$4,DATOS!$I$2:$I$20000,"Lenguaje Musical"),""))</f>
        <v/>
      </c>
      <c r="C46" t="str">
        <f>IF(A46="","",IFERROR(AVERAGEIFS(DATOS!$K$2:$K$20000,DATOS!$A$2:$A$20000,A46,DATOS!$G$2:$G$20000,CONFIG_METADATA!$B$4,DATOS!$I$2:$I$20000,"Coro"),""))</f>
        <v/>
      </c>
      <c r="D46" t="str">
        <f>IF(A46="","",IFERROR(AVERAGEIFS(DATOS!$K$2:$K$20000,DATOS!$A$2:$A$20000,A46,DATOS!$G$2:$G$20000,CONFIG_METADATA!$B$4,DATOS!$I$2:$I$20000,"Conjunto"),""))</f>
        <v/>
      </c>
      <c r="E46" t="str" cm="1">
        <f t="array" ref="E46">IF(A46="","",IFERROR(AVERAGE(IF((DATOS!$A$2:$A$20000=A46)*(DATOS!$G$2:$G$20000=CONFIG_METADATA!$B$4)*(DATOS!$I$2:$I$20000&lt;&gt;"Lenguaje Musical")*(DATOS!$I$2:$I$20000&lt;&gt;"Coro")*(DATOS!$I$2:$I$20000&lt;&gt;"Conjunto"),DATOS!$K$2:$K$20000)),""))</f>
        <v/>
      </c>
      <c r="H46" t="str">
        <f>IF(G46="","",IFERROR(AVERAGEIFS(DATOS!$K$2:$K$20000,DATOS!$A$2:$A$20000,G46,DATOS!$G$2:$G$20000,CONFIG_METADATA!$B$4,DATOS!$I$2:$I$20000,"Lenguaje Musical"),""))</f>
        <v/>
      </c>
      <c r="I46" t="str">
        <f>IF(G46="","",IFERROR(AVERAGEIFS(DATOS!$K$2:$K$20000,DATOS!$A$2:$A$20000,G46,DATOS!$G$2:$G$20000,CONFIG_METADATA!$B$4,DATOS!$I$2:$I$20000,"Coro"),""))</f>
        <v/>
      </c>
      <c r="J46" t="str">
        <f>IF(G46="","",IFERROR(AVERAGEIFS(DATOS!$K$2:$K$20000,DATOS!$A$2:$A$20000,G46,DATOS!$G$2:$G$20000,CONFIG_METADATA!$B$4,DATOS!$I$2:$I$20000,"Conjunto"),""))</f>
        <v/>
      </c>
      <c r="K46" t="str" cm="1">
        <f t="array" ref="K46">IF(G46="","",IFERROR(AVERAGE(IF((DATOS!$A$2:$A$20000=G46)*(DATOS!$G$2:$G$20000=CONFIG_METADATA!$B$4)*(DATOS!$I$2:$I$20000&lt;&gt;"Lenguaje Musical")*(DATOS!$I$2:$I$20000&lt;&gt;"Coro")*(DATOS!$I$2:$I$20000&lt;&gt;"Conjunto"),DATOS!$K$2:$K$20000)),""))</f>
        <v/>
      </c>
      <c r="N46" t="str">
        <f>IF(M46="","",IFERROR(AVERAGEIFS(DATOS!$K$2:$K$20000,DATOS!$A$2:$A$20000,M46,DATOS!$G$2:$G$20000,CONFIG_METADATA!$B$4,DATOS!$I$2:$I$20000,"Lenguaje Musical"),""))</f>
        <v/>
      </c>
      <c r="O46" t="str">
        <f>IF(M46="","",IFERROR(AVERAGEIFS(DATOS!$K$2:$K$20000,DATOS!$A$2:$A$20000,M46,DATOS!$G$2:$G$20000,CONFIG_METADATA!$B$4,DATOS!$I$2:$I$20000,"Coro"),""))</f>
        <v/>
      </c>
      <c r="P46" t="str">
        <f>IF(M46="","",IFERROR(AVERAGEIFS(DATOS!$K$2:$K$20000,DATOS!$A$2:$A$20000,M46,DATOS!$G$2:$G$20000,CONFIG_METADATA!$B$4,DATOS!$I$2:$I$20000,"Conjunto"),""))</f>
        <v/>
      </c>
      <c r="Q46" t="str" cm="1">
        <f t="array" ref="Q46">IF(M46="","",IFERROR(AVERAGE(IF((DATOS!$A$2:$A$20000=M46)*(DATOS!$G$2:$G$20000=CONFIG_METADATA!$B$4)*(DATOS!$I$2:$I$20000&lt;&gt;"Lenguaje Musical")*(DATOS!$I$2:$I$20000&lt;&gt;"Coro")*(DATOS!$I$2:$I$20000&lt;&gt;"Conjunto"),DATOS!$K$2:$K$20000)),""))</f>
        <v/>
      </c>
      <c r="T46" t="str">
        <f>IF(S46="","",IFERROR(AVERAGEIFS(DATOS!$K$2:$K$20000,DATOS!$A$2:$A$20000,S46,DATOS!$G$2:$G$20000,CONFIG_METADATA!$B$4,DATOS!$I$2:$I$20000,"Lenguaje Musical"),""))</f>
        <v/>
      </c>
      <c r="U46" t="str">
        <f>IF(S46="","",IFERROR(AVERAGEIFS(DATOS!$K$2:$K$20000,DATOS!$A$2:$A$20000,S46,DATOS!$G$2:$G$20000,CONFIG_METADATA!$B$4,DATOS!$I$2:$I$20000,"Coro"),""))</f>
        <v/>
      </c>
      <c r="V46" t="str">
        <f>IF(S46="","",IFERROR(AVERAGEIFS(DATOS!$K$2:$K$20000,DATOS!$A$2:$A$20000,S46,DATOS!$G$2:$G$20000,CONFIG_METADATA!$B$4,DATOS!$I$2:$I$20000,"Conjunto"),""))</f>
        <v/>
      </c>
      <c r="W46" t="str" cm="1">
        <f t="array" ref="W46">IF(S46="","",IFERROR(AVERAGE(IF((DATOS!$A$2:$A$20000=S46)*(DATOS!$G$2:$G$20000=CONFIG_METADATA!$B$4)*(DATOS!$I$2:$I$20000&lt;&gt;"Lenguaje Musical")*(DATOS!$I$2:$I$20000&lt;&gt;"Coro")*(DATOS!$I$2:$I$20000&lt;&gt;"Conjunto"),DATOS!$K$2:$K$20000)),""))</f>
        <v/>
      </c>
    </row>
    <row r="47" spans="2:23" ht="15" customHeight="1" x14ac:dyDescent="0.2">
      <c r="B47" t="str">
        <f>IF(A47="","",IFERROR(AVERAGEIFS(DATOS!$K$2:$K$20000,DATOS!$A$2:$A$20000,A47,DATOS!$G$2:$G$20000,CONFIG_METADATA!$B$4,DATOS!$I$2:$I$20000,"Lenguaje Musical"),""))</f>
        <v/>
      </c>
      <c r="C47" t="str">
        <f>IF(A47="","",IFERROR(AVERAGEIFS(DATOS!$K$2:$K$20000,DATOS!$A$2:$A$20000,A47,DATOS!$G$2:$G$20000,CONFIG_METADATA!$B$4,DATOS!$I$2:$I$20000,"Coro"),""))</f>
        <v/>
      </c>
      <c r="D47" t="str">
        <f>IF(A47="","",IFERROR(AVERAGEIFS(DATOS!$K$2:$K$20000,DATOS!$A$2:$A$20000,A47,DATOS!$G$2:$G$20000,CONFIG_METADATA!$B$4,DATOS!$I$2:$I$20000,"Conjunto"),""))</f>
        <v/>
      </c>
      <c r="E47" t="str" cm="1">
        <f t="array" ref="E47">IF(A47="","",IFERROR(AVERAGE(IF((DATOS!$A$2:$A$20000=A47)*(DATOS!$G$2:$G$20000=CONFIG_METADATA!$B$4)*(DATOS!$I$2:$I$20000&lt;&gt;"Lenguaje Musical")*(DATOS!$I$2:$I$20000&lt;&gt;"Coro")*(DATOS!$I$2:$I$20000&lt;&gt;"Conjunto"),DATOS!$K$2:$K$20000)),""))</f>
        <v/>
      </c>
      <c r="H47" t="str">
        <f>IF(G47="","",IFERROR(AVERAGEIFS(DATOS!$K$2:$K$20000,DATOS!$A$2:$A$20000,G47,DATOS!$G$2:$G$20000,CONFIG_METADATA!$B$4,DATOS!$I$2:$I$20000,"Lenguaje Musical"),""))</f>
        <v/>
      </c>
      <c r="I47" t="str">
        <f>IF(G47="","",IFERROR(AVERAGEIFS(DATOS!$K$2:$K$20000,DATOS!$A$2:$A$20000,G47,DATOS!$G$2:$G$20000,CONFIG_METADATA!$B$4,DATOS!$I$2:$I$20000,"Coro"),""))</f>
        <v/>
      </c>
      <c r="J47" t="str">
        <f>IF(G47="","",IFERROR(AVERAGEIFS(DATOS!$K$2:$K$20000,DATOS!$A$2:$A$20000,G47,DATOS!$G$2:$G$20000,CONFIG_METADATA!$B$4,DATOS!$I$2:$I$20000,"Conjunto"),""))</f>
        <v/>
      </c>
      <c r="K47" t="str" cm="1">
        <f t="array" ref="K47">IF(G47="","",IFERROR(AVERAGE(IF((DATOS!$A$2:$A$20000=G47)*(DATOS!$G$2:$G$20000=CONFIG_METADATA!$B$4)*(DATOS!$I$2:$I$20000&lt;&gt;"Lenguaje Musical")*(DATOS!$I$2:$I$20000&lt;&gt;"Coro")*(DATOS!$I$2:$I$20000&lt;&gt;"Conjunto"),DATOS!$K$2:$K$20000)),""))</f>
        <v/>
      </c>
      <c r="N47" t="str">
        <f>IF(M47="","",IFERROR(AVERAGEIFS(DATOS!$K$2:$K$20000,DATOS!$A$2:$A$20000,M47,DATOS!$G$2:$G$20000,CONFIG_METADATA!$B$4,DATOS!$I$2:$I$20000,"Lenguaje Musical"),""))</f>
        <v/>
      </c>
      <c r="O47" t="str">
        <f>IF(M47="","",IFERROR(AVERAGEIFS(DATOS!$K$2:$K$20000,DATOS!$A$2:$A$20000,M47,DATOS!$G$2:$G$20000,CONFIG_METADATA!$B$4,DATOS!$I$2:$I$20000,"Coro"),""))</f>
        <v/>
      </c>
      <c r="P47" t="str">
        <f>IF(M47="","",IFERROR(AVERAGEIFS(DATOS!$K$2:$K$20000,DATOS!$A$2:$A$20000,M47,DATOS!$G$2:$G$20000,CONFIG_METADATA!$B$4,DATOS!$I$2:$I$20000,"Conjunto"),""))</f>
        <v/>
      </c>
      <c r="Q47" t="str" cm="1">
        <f t="array" ref="Q47">IF(M47="","",IFERROR(AVERAGE(IF((DATOS!$A$2:$A$20000=M47)*(DATOS!$G$2:$G$20000=CONFIG_METADATA!$B$4)*(DATOS!$I$2:$I$20000&lt;&gt;"Lenguaje Musical")*(DATOS!$I$2:$I$20000&lt;&gt;"Coro")*(DATOS!$I$2:$I$20000&lt;&gt;"Conjunto"),DATOS!$K$2:$K$20000)),""))</f>
        <v/>
      </c>
      <c r="T47" t="str">
        <f>IF(S47="","",IFERROR(AVERAGEIFS(DATOS!$K$2:$K$20000,DATOS!$A$2:$A$20000,S47,DATOS!$G$2:$G$20000,CONFIG_METADATA!$B$4,DATOS!$I$2:$I$20000,"Lenguaje Musical"),""))</f>
        <v/>
      </c>
      <c r="U47" t="str">
        <f>IF(S47="","",IFERROR(AVERAGEIFS(DATOS!$K$2:$K$20000,DATOS!$A$2:$A$20000,S47,DATOS!$G$2:$G$20000,CONFIG_METADATA!$B$4,DATOS!$I$2:$I$20000,"Coro"),""))</f>
        <v/>
      </c>
      <c r="V47" t="str">
        <f>IF(S47="","",IFERROR(AVERAGEIFS(DATOS!$K$2:$K$20000,DATOS!$A$2:$A$20000,S47,DATOS!$G$2:$G$20000,CONFIG_METADATA!$B$4,DATOS!$I$2:$I$20000,"Conjunto"),""))</f>
        <v/>
      </c>
      <c r="W47" t="str" cm="1">
        <f t="array" ref="W47">IF(S47="","",IFERROR(AVERAGE(IF((DATOS!$A$2:$A$20000=S47)*(DATOS!$G$2:$G$20000=CONFIG_METADATA!$B$4)*(DATOS!$I$2:$I$20000&lt;&gt;"Lenguaje Musical")*(DATOS!$I$2:$I$20000&lt;&gt;"Coro")*(DATOS!$I$2:$I$20000&lt;&gt;"Conjunto"),DATOS!$K$2:$K$20000)),""))</f>
        <v/>
      </c>
    </row>
    <row r="48" spans="2:23" ht="15" customHeight="1" x14ac:dyDescent="0.2">
      <c r="B48" t="str">
        <f>IF(A48="","",IFERROR(AVERAGEIFS(DATOS!$K$2:$K$20000,DATOS!$A$2:$A$20000,A48,DATOS!$G$2:$G$20000,CONFIG_METADATA!$B$4,DATOS!$I$2:$I$20000,"Lenguaje Musical"),""))</f>
        <v/>
      </c>
      <c r="C48" t="str">
        <f>IF(A48="","",IFERROR(AVERAGEIFS(DATOS!$K$2:$K$20000,DATOS!$A$2:$A$20000,A48,DATOS!$G$2:$G$20000,CONFIG_METADATA!$B$4,DATOS!$I$2:$I$20000,"Coro"),""))</f>
        <v/>
      </c>
      <c r="D48" t="str">
        <f>IF(A48="","",IFERROR(AVERAGEIFS(DATOS!$K$2:$K$20000,DATOS!$A$2:$A$20000,A48,DATOS!$G$2:$G$20000,CONFIG_METADATA!$B$4,DATOS!$I$2:$I$20000,"Conjunto"),""))</f>
        <v/>
      </c>
      <c r="E48" t="str" cm="1">
        <f t="array" ref="E48">IF(A48="","",IFERROR(AVERAGE(IF((DATOS!$A$2:$A$20000=A48)*(DATOS!$G$2:$G$20000=CONFIG_METADATA!$B$4)*(DATOS!$I$2:$I$20000&lt;&gt;"Lenguaje Musical")*(DATOS!$I$2:$I$20000&lt;&gt;"Coro")*(DATOS!$I$2:$I$20000&lt;&gt;"Conjunto"),DATOS!$K$2:$K$20000)),""))</f>
        <v/>
      </c>
      <c r="H48" t="str">
        <f>IF(G48="","",IFERROR(AVERAGEIFS(DATOS!$K$2:$K$20000,DATOS!$A$2:$A$20000,G48,DATOS!$G$2:$G$20000,CONFIG_METADATA!$B$4,DATOS!$I$2:$I$20000,"Lenguaje Musical"),""))</f>
        <v/>
      </c>
      <c r="I48" t="str">
        <f>IF(G48="","",IFERROR(AVERAGEIFS(DATOS!$K$2:$K$20000,DATOS!$A$2:$A$20000,G48,DATOS!$G$2:$G$20000,CONFIG_METADATA!$B$4,DATOS!$I$2:$I$20000,"Coro"),""))</f>
        <v/>
      </c>
      <c r="J48" t="str">
        <f>IF(G48="","",IFERROR(AVERAGEIFS(DATOS!$K$2:$K$20000,DATOS!$A$2:$A$20000,G48,DATOS!$G$2:$G$20000,CONFIG_METADATA!$B$4,DATOS!$I$2:$I$20000,"Conjunto"),""))</f>
        <v/>
      </c>
      <c r="K48" t="str" cm="1">
        <f t="array" ref="K48">IF(G48="","",IFERROR(AVERAGE(IF((DATOS!$A$2:$A$20000=G48)*(DATOS!$G$2:$G$20000=CONFIG_METADATA!$B$4)*(DATOS!$I$2:$I$20000&lt;&gt;"Lenguaje Musical")*(DATOS!$I$2:$I$20000&lt;&gt;"Coro")*(DATOS!$I$2:$I$20000&lt;&gt;"Conjunto"),DATOS!$K$2:$K$20000)),""))</f>
        <v/>
      </c>
      <c r="N48" t="str">
        <f>IF(M48="","",IFERROR(AVERAGEIFS(DATOS!$K$2:$K$20000,DATOS!$A$2:$A$20000,M48,DATOS!$G$2:$G$20000,CONFIG_METADATA!$B$4,DATOS!$I$2:$I$20000,"Lenguaje Musical"),""))</f>
        <v/>
      </c>
      <c r="O48" t="str">
        <f>IF(M48="","",IFERROR(AVERAGEIFS(DATOS!$K$2:$K$20000,DATOS!$A$2:$A$20000,M48,DATOS!$G$2:$G$20000,CONFIG_METADATA!$B$4,DATOS!$I$2:$I$20000,"Coro"),""))</f>
        <v/>
      </c>
      <c r="P48" t="str">
        <f>IF(M48="","",IFERROR(AVERAGEIFS(DATOS!$K$2:$K$20000,DATOS!$A$2:$A$20000,M48,DATOS!$G$2:$G$20000,CONFIG_METADATA!$B$4,DATOS!$I$2:$I$20000,"Conjunto"),""))</f>
        <v/>
      </c>
      <c r="Q48" t="str" cm="1">
        <f t="array" ref="Q48">IF(M48="","",IFERROR(AVERAGE(IF((DATOS!$A$2:$A$20000=M48)*(DATOS!$G$2:$G$20000=CONFIG_METADATA!$B$4)*(DATOS!$I$2:$I$20000&lt;&gt;"Lenguaje Musical")*(DATOS!$I$2:$I$20000&lt;&gt;"Coro")*(DATOS!$I$2:$I$20000&lt;&gt;"Conjunto"),DATOS!$K$2:$K$20000)),""))</f>
        <v/>
      </c>
      <c r="T48" t="str">
        <f>IF(S48="","",IFERROR(AVERAGEIFS(DATOS!$K$2:$K$20000,DATOS!$A$2:$A$20000,S48,DATOS!$G$2:$G$20000,CONFIG_METADATA!$B$4,DATOS!$I$2:$I$20000,"Lenguaje Musical"),""))</f>
        <v/>
      </c>
      <c r="U48" t="str">
        <f>IF(S48="","",IFERROR(AVERAGEIFS(DATOS!$K$2:$K$20000,DATOS!$A$2:$A$20000,S48,DATOS!$G$2:$G$20000,CONFIG_METADATA!$B$4,DATOS!$I$2:$I$20000,"Coro"),""))</f>
        <v/>
      </c>
      <c r="V48" t="str">
        <f>IF(S48="","",IFERROR(AVERAGEIFS(DATOS!$K$2:$K$20000,DATOS!$A$2:$A$20000,S48,DATOS!$G$2:$G$20000,CONFIG_METADATA!$B$4,DATOS!$I$2:$I$20000,"Conjunto"),""))</f>
        <v/>
      </c>
      <c r="W48" t="str" cm="1">
        <f t="array" ref="W48">IF(S48="","",IFERROR(AVERAGE(IF((DATOS!$A$2:$A$20000=S48)*(DATOS!$G$2:$G$20000=CONFIG_METADATA!$B$4)*(DATOS!$I$2:$I$20000&lt;&gt;"Lenguaje Musical")*(DATOS!$I$2:$I$20000&lt;&gt;"Coro")*(DATOS!$I$2:$I$20000&lt;&gt;"Conjunto"),DATOS!$K$2:$K$20000)),""))</f>
        <v/>
      </c>
    </row>
    <row r="49" spans="2:23" ht="15" customHeight="1" x14ac:dyDescent="0.2">
      <c r="B49" t="str">
        <f>IF(A49="","",IFERROR(AVERAGEIFS(DATOS!$K$2:$K$20000,DATOS!$A$2:$A$20000,A49,DATOS!$G$2:$G$20000,CONFIG_METADATA!$B$4,DATOS!$I$2:$I$20000,"Lenguaje Musical"),""))</f>
        <v/>
      </c>
      <c r="C49" t="str">
        <f>IF(A49="","",IFERROR(AVERAGEIFS(DATOS!$K$2:$K$20000,DATOS!$A$2:$A$20000,A49,DATOS!$G$2:$G$20000,CONFIG_METADATA!$B$4,DATOS!$I$2:$I$20000,"Coro"),""))</f>
        <v/>
      </c>
      <c r="D49" t="str">
        <f>IF(A49="","",IFERROR(AVERAGEIFS(DATOS!$K$2:$K$20000,DATOS!$A$2:$A$20000,A49,DATOS!$G$2:$G$20000,CONFIG_METADATA!$B$4,DATOS!$I$2:$I$20000,"Conjunto"),""))</f>
        <v/>
      </c>
      <c r="E49" t="str" cm="1">
        <f t="array" ref="E49">IF(A49="","",IFERROR(AVERAGE(IF((DATOS!$A$2:$A$20000=A49)*(DATOS!$G$2:$G$20000=CONFIG_METADATA!$B$4)*(DATOS!$I$2:$I$20000&lt;&gt;"Lenguaje Musical")*(DATOS!$I$2:$I$20000&lt;&gt;"Coro")*(DATOS!$I$2:$I$20000&lt;&gt;"Conjunto"),DATOS!$K$2:$K$20000)),""))</f>
        <v/>
      </c>
      <c r="H49" t="str">
        <f>IF(G49="","",IFERROR(AVERAGEIFS(DATOS!$K$2:$K$20000,DATOS!$A$2:$A$20000,G49,DATOS!$G$2:$G$20000,CONFIG_METADATA!$B$4,DATOS!$I$2:$I$20000,"Lenguaje Musical"),""))</f>
        <v/>
      </c>
      <c r="I49" t="str">
        <f>IF(G49="","",IFERROR(AVERAGEIFS(DATOS!$K$2:$K$20000,DATOS!$A$2:$A$20000,G49,DATOS!$G$2:$G$20000,CONFIG_METADATA!$B$4,DATOS!$I$2:$I$20000,"Coro"),""))</f>
        <v/>
      </c>
      <c r="J49" t="str">
        <f>IF(G49="","",IFERROR(AVERAGEIFS(DATOS!$K$2:$K$20000,DATOS!$A$2:$A$20000,G49,DATOS!$G$2:$G$20000,CONFIG_METADATA!$B$4,DATOS!$I$2:$I$20000,"Conjunto"),""))</f>
        <v/>
      </c>
      <c r="K49" t="str" cm="1">
        <f t="array" ref="K49">IF(G49="","",IFERROR(AVERAGE(IF((DATOS!$A$2:$A$20000=G49)*(DATOS!$G$2:$G$20000=CONFIG_METADATA!$B$4)*(DATOS!$I$2:$I$20000&lt;&gt;"Lenguaje Musical")*(DATOS!$I$2:$I$20000&lt;&gt;"Coro")*(DATOS!$I$2:$I$20000&lt;&gt;"Conjunto"),DATOS!$K$2:$K$20000)),""))</f>
        <v/>
      </c>
      <c r="N49" t="str">
        <f>IF(M49="","",IFERROR(AVERAGEIFS(DATOS!$K$2:$K$20000,DATOS!$A$2:$A$20000,M49,DATOS!$G$2:$G$20000,CONFIG_METADATA!$B$4,DATOS!$I$2:$I$20000,"Lenguaje Musical"),""))</f>
        <v/>
      </c>
      <c r="O49" t="str">
        <f>IF(M49="","",IFERROR(AVERAGEIFS(DATOS!$K$2:$K$20000,DATOS!$A$2:$A$20000,M49,DATOS!$G$2:$G$20000,CONFIG_METADATA!$B$4,DATOS!$I$2:$I$20000,"Coro"),""))</f>
        <v/>
      </c>
      <c r="P49" t="str">
        <f>IF(M49="","",IFERROR(AVERAGEIFS(DATOS!$K$2:$K$20000,DATOS!$A$2:$A$20000,M49,DATOS!$G$2:$G$20000,CONFIG_METADATA!$B$4,DATOS!$I$2:$I$20000,"Conjunto"),""))</f>
        <v/>
      </c>
      <c r="Q49" t="str" cm="1">
        <f t="array" ref="Q49">IF(M49="","",IFERROR(AVERAGE(IF((DATOS!$A$2:$A$20000=M49)*(DATOS!$G$2:$G$20000=CONFIG_METADATA!$B$4)*(DATOS!$I$2:$I$20000&lt;&gt;"Lenguaje Musical")*(DATOS!$I$2:$I$20000&lt;&gt;"Coro")*(DATOS!$I$2:$I$20000&lt;&gt;"Conjunto"),DATOS!$K$2:$K$20000)),""))</f>
        <v/>
      </c>
      <c r="T49" t="str">
        <f>IF(S49="","",IFERROR(AVERAGEIFS(DATOS!$K$2:$K$20000,DATOS!$A$2:$A$20000,S49,DATOS!$G$2:$G$20000,CONFIG_METADATA!$B$4,DATOS!$I$2:$I$20000,"Lenguaje Musical"),""))</f>
        <v/>
      </c>
      <c r="U49" t="str">
        <f>IF(S49="","",IFERROR(AVERAGEIFS(DATOS!$K$2:$K$20000,DATOS!$A$2:$A$20000,S49,DATOS!$G$2:$G$20000,CONFIG_METADATA!$B$4,DATOS!$I$2:$I$20000,"Coro"),""))</f>
        <v/>
      </c>
      <c r="V49" t="str">
        <f>IF(S49="","",IFERROR(AVERAGEIFS(DATOS!$K$2:$K$20000,DATOS!$A$2:$A$20000,S49,DATOS!$G$2:$G$20000,CONFIG_METADATA!$B$4,DATOS!$I$2:$I$20000,"Conjunto"),""))</f>
        <v/>
      </c>
      <c r="W49" t="str" cm="1">
        <f t="array" ref="W49">IF(S49="","",IFERROR(AVERAGE(IF((DATOS!$A$2:$A$20000=S49)*(DATOS!$G$2:$G$20000=CONFIG_METADATA!$B$4)*(DATOS!$I$2:$I$20000&lt;&gt;"Lenguaje Musical")*(DATOS!$I$2:$I$20000&lt;&gt;"Coro")*(DATOS!$I$2:$I$20000&lt;&gt;"Conjunto"),DATOS!$K$2:$K$20000)),""))</f>
        <v/>
      </c>
    </row>
    <row r="50" spans="2:23" ht="15" customHeight="1" x14ac:dyDescent="0.2">
      <c r="B50" t="str">
        <f>IF(A50="","",IFERROR(AVERAGEIFS(DATOS!$K$2:$K$20000,DATOS!$A$2:$A$20000,A50,DATOS!$G$2:$G$20000,CONFIG_METADATA!$B$4,DATOS!$I$2:$I$20000,"Lenguaje Musical"),""))</f>
        <v/>
      </c>
      <c r="C50" t="str">
        <f>IF(A50="","",IFERROR(AVERAGEIFS(DATOS!$K$2:$K$20000,DATOS!$A$2:$A$20000,A50,DATOS!$G$2:$G$20000,CONFIG_METADATA!$B$4,DATOS!$I$2:$I$20000,"Coro"),""))</f>
        <v/>
      </c>
      <c r="D50" t="str">
        <f>IF(A50="","",IFERROR(AVERAGEIFS(DATOS!$K$2:$K$20000,DATOS!$A$2:$A$20000,A50,DATOS!$G$2:$G$20000,CONFIG_METADATA!$B$4,DATOS!$I$2:$I$20000,"Conjunto"),""))</f>
        <v/>
      </c>
      <c r="E50" t="str" cm="1">
        <f t="array" ref="E50">IF(A50="","",IFERROR(AVERAGE(IF((DATOS!$A$2:$A$20000=A50)*(DATOS!$G$2:$G$20000=CONFIG_METADATA!$B$4)*(DATOS!$I$2:$I$20000&lt;&gt;"Lenguaje Musical")*(DATOS!$I$2:$I$20000&lt;&gt;"Coro")*(DATOS!$I$2:$I$20000&lt;&gt;"Conjunto"),DATOS!$K$2:$K$20000)),""))</f>
        <v/>
      </c>
      <c r="H50" t="str">
        <f>IF(G50="","",IFERROR(AVERAGEIFS(DATOS!$K$2:$K$20000,DATOS!$A$2:$A$20000,G50,DATOS!$G$2:$G$20000,CONFIG_METADATA!$B$4,DATOS!$I$2:$I$20000,"Lenguaje Musical"),""))</f>
        <v/>
      </c>
      <c r="I50" t="str">
        <f>IF(G50="","",IFERROR(AVERAGEIFS(DATOS!$K$2:$K$20000,DATOS!$A$2:$A$20000,G50,DATOS!$G$2:$G$20000,CONFIG_METADATA!$B$4,DATOS!$I$2:$I$20000,"Coro"),""))</f>
        <v/>
      </c>
      <c r="J50" t="str">
        <f>IF(G50="","",IFERROR(AVERAGEIFS(DATOS!$K$2:$K$20000,DATOS!$A$2:$A$20000,G50,DATOS!$G$2:$G$20000,CONFIG_METADATA!$B$4,DATOS!$I$2:$I$20000,"Conjunto"),""))</f>
        <v/>
      </c>
      <c r="K50" t="str" cm="1">
        <f t="array" ref="K50">IF(G50="","",IFERROR(AVERAGE(IF((DATOS!$A$2:$A$20000=G50)*(DATOS!$G$2:$G$20000=CONFIG_METADATA!$B$4)*(DATOS!$I$2:$I$20000&lt;&gt;"Lenguaje Musical")*(DATOS!$I$2:$I$20000&lt;&gt;"Coro")*(DATOS!$I$2:$I$20000&lt;&gt;"Conjunto"),DATOS!$K$2:$K$20000)),""))</f>
        <v/>
      </c>
      <c r="N50" t="str">
        <f>IF(M50="","",IFERROR(AVERAGEIFS(DATOS!$K$2:$K$20000,DATOS!$A$2:$A$20000,M50,DATOS!$G$2:$G$20000,CONFIG_METADATA!$B$4,DATOS!$I$2:$I$20000,"Lenguaje Musical"),""))</f>
        <v/>
      </c>
      <c r="O50" t="str">
        <f>IF(M50="","",IFERROR(AVERAGEIFS(DATOS!$K$2:$K$20000,DATOS!$A$2:$A$20000,M50,DATOS!$G$2:$G$20000,CONFIG_METADATA!$B$4,DATOS!$I$2:$I$20000,"Coro"),""))</f>
        <v/>
      </c>
      <c r="P50" t="str">
        <f>IF(M50="","",IFERROR(AVERAGEIFS(DATOS!$K$2:$K$20000,DATOS!$A$2:$A$20000,M50,DATOS!$G$2:$G$20000,CONFIG_METADATA!$B$4,DATOS!$I$2:$I$20000,"Conjunto"),""))</f>
        <v/>
      </c>
      <c r="Q50" t="str" cm="1">
        <f t="array" ref="Q50">IF(M50="","",IFERROR(AVERAGE(IF((DATOS!$A$2:$A$20000=M50)*(DATOS!$G$2:$G$20000=CONFIG_METADATA!$B$4)*(DATOS!$I$2:$I$20000&lt;&gt;"Lenguaje Musical")*(DATOS!$I$2:$I$20000&lt;&gt;"Coro")*(DATOS!$I$2:$I$20000&lt;&gt;"Conjunto"),DATOS!$K$2:$K$20000)),""))</f>
        <v/>
      </c>
      <c r="T50" t="str">
        <f>IF(S50="","",IFERROR(AVERAGEIFS(DATOS!$K$2:$K$20000,DATOS!$A$2:$A$20000,S50,DATOS!$G$2:$G$20000,CONFIG_METADATA!$B$4,DATOS!$I$2:$I$20000,"Lenguaje Musical"),""))</f>
        <v/>
      </c>
      <c r="U50" t="str">
        <f>IF(S50="","",IFERROR(AVERAGEIFS(DATOS!$K$2:$K$20000,DATOS!$A$2:$A$20000,S50,DATOS!$G$2:$G$20000,CONFIG_METADATA!$B$4,DATOS!$I$2:$I$20000,"Coro"),""))</f>
        <v/>
      </c>
      <c r="V50" t="str">
        <f>IF(S50="","",IFERROR(AVERAGEIFS(DATOS!$K$2:$K$20000,DATOS!$A$2:$A$20000,S50,DATOS!$G$2:$G$20000,CONFIG_METADATA!$B$4,DATOS!$I$2:$I$20000,"Conjunto"),""))</f>
        <v/>
      </c>
      <c r="W50" t="str" cm="1">
        <f t="array" ref="W50">IF(S50="","",IFERROR(AVERAGE(IF((DATOS!$A$2:$A$20000=S50)*(DATOS!$G$2:$G$20000=CONFIG_METADATA!$B$4)*(DATOS!$I$2:$I$20000&lt;&gt;"Lenguaje Musical")*(DATOS!$I$2:$I$20000&lt;&gt;"Coro")*(DATOS!$I$2:$I$20000&lt;&gt;"Conjunto"),DATOS!$K$2:$K$20000)),""))</f>
        <v/>
      </c>
    </row>
    <row r="51" spans="2:23" ht="15" customHeight="1" x14ac:dyDescent="0.2">
      <c r="B51" t="str">
        <f>IF(A51="","",IFERROR(AVERAGEIFS(DATOS!$K$2:$K$20000,DATOS!$A$2:$A$20000,A51,DATOS!$G$2:$G$20000,CONFIG_METADATA!$B$4,DATOS!$I$2:$I$20000,"Lenguaje Musical"),""))</f>
        <v/>
      </c>
      <c r="C51" t="str">
        <f>IF(A51="","",IFERROR(AVERAGEIFS(DATOS!$K$2:$K$20000,DATOS!$A$2:$A$20000,A51,DATOS!$G$2:$G$20000,CONFIG_METADATA!$B$4,DATOS!$I$2:$I$20000,"Coro"),""))</f>
        <v/>
      </c>
      <c r="D51" t="str">
        <f>IF(A51="","",IFERROR(AVERAGEIFS(DATOS!$K$2:$K$20000,DATOS!$A$2:$A$20000,A51,DATOS!$G$2:$G$20000,CONFIG_METADATA!$B$4,DATOS!$I$2:$I$20000,"Conjunto"),""))</f>
        <v/>
      </c>
      <c r="E51" t="str" cm="1">
        <f t="array" ref="E51">IF(A51="","",IFERROR(AVERAGE(IF((DATOS!$A$2:$A$20000=A51)*(DATOS!$G$2:$G$20000=CONFIG_METADATA!$B$4)*(DATOS!$I$2:$I$20000&lt;&gt;"Lenguaje Musical")*(DATOS!$I$2:$I$20000&lt;&gt;"Coro")*(DATOS!$I$2:$I$20000&lt;&gt;"Conjunto"),DATOS!$K$2:$K$20000)),""))</f>
        <v/>
      </c>
      <c r="H51" t="str">
        <f>IF(G51="","",IFERROR(AVERAGEIFS(DATOS!$K$2:$K$20000,DATOS!$A$2:$A$20000,G51,DATOS!$G$2:$G$20000,CONFIG_METADATA!$B$4,DATOS!$I$2:$I$20000,"Lenguaje Musical"),""))</f>
        <v/>
      </c>
      <c r="I51" t="str">
        <f>IF(G51="","",IFERROR(AVERAGEIFS(DATOS!$K$2:$K$20000,DATOS!$A$2:$A$20000,G51,DATOS!$G$2:$G$20000,CONFIG_METADATA!$B$4,DATOS!$I$2:$I$20000,"Coro"),""))</f>
        <v/>
      </c>
      <c r="J51" t="str">
        <f>IF(G51="","",IFERROR(AVERAGEIFS(DATOS!$K$2:$K$20000,DATOS!$A$2:$A$20000,G51,DATOS!$G$2:$G$20000,CONFIG_METADATA!$B$4,DATOS!$I$2:$I$20000,"Conjunto"),""))</f>
        <v/>
      </c>
      <c r="K51" t="str" cm="1">
        <f t="array" ref="K51">IF(G51="","",IFERROR(AVERAGE(IF((DATOS!$A$2:$A$20000=G51)*(DATOS!$G$2:$G$20000=CONFIG_METADATA!$B$4)*(DATOS!$I$2:$I$20000&lt;&gt;"Lenguaje Musical")*(DATOS!$I$2:$I$20000&lt;&gt;"Coro")*(DATOS!$I$2:$I$20000&lt;&gt;"Conjunto"),DATOS!$K$2:$K$20000)),""))</f>
        <v/>
      </c>
      <c r="N51" t="str">
        <f>IF(M51="","",IFERROR(AVERAGEIFS(DATOS!$K$2:$K$20000,DATOS!$A$2:$A$20000,M51,DATOS!$G$2:$G$20000,CONFIG_METADATA!$B$4,DATOS!$I$2:$I$20000,"Lenguaje Musical"),""))</f>
        <v/>
      </c>
      <c r="O51" t="str">
        <f>IF(M51="","",IFERROR(AVERAGEIFS(DATOS!$K$2:$K$20000,DATOS!$A$2:$A$20000,M51,DATOS!$G$2:$G$20000,CONFIG_METADATA!$B$4,DATOS!$I$2:$I$20000,"Coro"),""))</f>
        <v/>
      </c>
      <c r="P51" t="str">
        <f>IF(M51="","",IFERROR(AVERAGEIFS(DATOS!$K$2:$K$20000,DATOS!$A$2:$A$20000,M51,DATOS!$G$2:$G$20000,CONFIG_METADATA!$B$4,DATOS!$I$2:$I$20000,"Conjunto"),""))</f>
        <v/>
      </c>
      <c r="Q51" t="str" cm="1">
        <f t="array" ref="Q51">IF(M51="","",IFERROR(AVERAGE(IF((DATOS!$A$2:$A$20000=M51)*(DATOS!$G$2:$G$20000=CONFIG_METADATA!$B$4)*(DATOS!$I$2:$I$20000&lt;&gt;"Lenguaje Musical")*(DATOS!$I$2:$I$20000&lt;&gt;"Coro")*(DATOS!$I$2:$I$20000&lt;&gt;"Conjunto"),DATOS!$K$2:$K$20000)),""))</f>
        <v/>
      </c>
      <c r="T51" t="str">
        <f>IF(S51="","",IFERROR(AVERAGEIFS(DATOS!$K$2:$K$20000,DATOS!$A$2:$A$20000,S51,DATOS!$G$2:$G$20000,CONFIG_METADATA!$B$4,DATOS!$I$2:$I$20000,"Lenguaje Musical"),""))</f>
        <v/>
      </c>
      <c r="U51" t="str">
        <f>IF(S51="","",IFERROR(AVERAGEIFS(DATOS!$K$2:$K$20000,DATOS!$A$2:$A$20000,S51,DATOS!$G$2:$G$20000,CONFIG_METADATA!$B$4,DATOS!$I$2:$I$20000,"Coro"),""))</f>
        <v/>
      </c>
      <c r="V51" t="str">
        <f>IF(S51="","",IFERROR(AVERAGEIFS(DATOS!$K$2:$K$20000,DATOS!$A$2:$A$20000,S51,DATOS!$G$2:$G$20000,CONFIG_METADATA!$B$4,DATOS!$I$2:$I$20000,"Conjunto"),""))</f>
        <v/>
      </c>
      <c r="W51" t="str" cm="1">
        <f t="array" ref="W51">IF(S51="","",IFERROR(AVERAGE(IF((DATOS!$A$2:$A$20000=S51)*(DATOS!$G$2:$G$20000=CONFIG_METADATA!$B$4)*(DATOS!$I$2:$I$20000&lt;&gt;"Lenguaje Musical")*(DATOS!$I$2:$I$20000&lt;&gt;"Coro")*(DATOS!$I$2:$I$20000&lt;&gt;"Conjunto"),DATOS!$K$2:$K$20000)),""))</f>
        <v/>
      </c>
    </row>
    <row r="52" spans="2:23" ht="15" customHeight="1" x14ac:dyDescent="0.2">
      <c r="B52" t="str">
        <f>IF(A52="","",IFERROR(AVERAGEIFS(DATOS!$K$2:$K$20000,DATOS!$A$2:$A$20000,A52,DATOS!$G$2:$G$20000,CONFIG_METADATA!$B$4,DATOS!$I$2:$I$20000,"Lenguaje Musical"),""))</f>
        <v/>
      </c>
      <c r="C52" t="str">
        <f>IF(A52="","",IFERROR(AVERAGEIFS(DATOS!$K$2:$K$20000,DATOS!$A$2:$A$20000,A52,DATOS!$G$2:$G$20000,CONFIG_METADATA!$B$4,DATOS!$I$2:$I$20000,"Coro"),""))</f>
        <v/>
      </c>
      <c r="D52" t="str">
        <f>IF(A52="","",IFERROR(AVERAGEIFS(DATOS!$K$2:$K$20000,DATOS!$A$2:$A$20000,A52,DATOS!$G$2:$G$20000,CONFIG_METADATA!$B$4,DATOS!$I$2:$I$20000,"Conjunto"),""))</f>
        <v/>
      </c>
      <c r="E52" t="str" cm="1">
        <f t="array" ref="E52">IF(A52="","",IFERROR(AVERAGE(IF((DATOS!$A$2:$A$20000=A52)*(DATOS!$G$2:$G$20000=CONFIG_METADATA!$B$4)*(DATOS!$I$2:$I$20000&lt;&gt;"Lenguaje Musical")*(DATOS!$I$2:$I$20000&lt;&gt;"Coro")*(DATOS!$I$2:$I$20000&lt;&gt;"Conjunto"),DATOS!$K$2:$K$20000)),""))</f>
        <v/>
      </c>
      <c r="H52" t="str">
        <f>IF(G52="","",IFERROR(AVERAGEIFS(DATOS!$K$2:$K$20000,DATOS!$A$2:$A$20000,G52,DATOS!$G$2:$G$20000,CONFIG_METADATA!$B$4,DATOS!$I$2:$I$20000,"Lenguaje Musical"),""))</f>
        <v/>
      </c>
      <c r="I52" t="str">
        <f>IF(G52="","",IFERROR(AVERAGEIFS(DATOS!$K$2:$K$20000,DATOS!$A$2:$A$20000,G52,DATOS!$G$2:$G$20000,CONFIG_METADATA!$B$4,DATOS!$I$2:$I$20000,"Coro"),""))</f>
        <v/>
      </c>
      <c r="J52" t="str">
        <f>IF(G52="","",IFERROR(AVERAGEIFS(DATOS!$K$2:$K$20000,DATOS!$A$2:$A$20000,G52,DATOS!$G$2:$G$20000,CONFIG_METADATA!$B$4,DATOS!$I$2:$I$20000,"Conjunto"),""))</f>
        <v/>
      </c>
      <c r="K52" t="str" cm="1">
        <f t="array" ref="K52">IF(G52="","",IFERROR(AVERAGE(IF((DATOS!$A$2:$A$20000=G52)*(DATOS!$G$2:$G$20000=CONFIG_METADATA!$B$4)*(DATOS!$I$2:$I$20000&lt;&gt;"Lenguaje Musical")*(DATOS!$I$2:$I$20000&lt;&gt;"Coro")*(DATOS!$I$2:$I$20000&lt;&gt;"Conjunto"),DATOS!$K$2:$K$20000)),""))</f>
        <v/>
      </c>
      <c r="N52" t="str">
        <f>IF(M52="","",IFERROR(AVERAGEIFS(DATOS!$K$2:$K$20000,DATOS!$A$2:$A$20000,M52,DATOS!$G$2:$G$20000,CONFIG_METADATA!$B$4,DATOS!$I$2:$I$20000,"Lenguaje Musical"),""))</f>
        <v/>
      </c>
      <c r="O52" t="str">
        <f>IF(M52="","",IFERROR(AVERAGEIFS(DATOS!$K$2:$K$20000,DATOS!$A$2:$A$20000,M52,DATOS!$G$2:$G$20000,CONFIG_METADATA!$B$4,DATOS!$I$2:$I$20000,"Coro"),""))</f>
        <v/>
      </c>
      <c r="P52" t="str">
        <f>IF(M52="","",IFERROR(AVERAGEIFS(DATOS!$K$2:$K$20000,DATOS!$A$2:$A$20000,M52,DATOS!$G$2:$G$20000,CONFIG_METADATA!$B$4,DATOS!$I$2:$I$20000,"Conjunto"),""))</f>
        <v/>
      </c>
      <c r="Q52" t="str" cm="1">
        <f t="array" ref="Q52">IF(M52="","",IFERROR(AVERAGE(IF((DATOS!$A$2:$A$20000=M52)*(DATOS!$G$2:$G$20000=CONFIG_METADATA!$B$4)*(DATOS!$I$2:$I$20000&lt;&gt;"Lenguaje Musical")*(DATOS!$I$2:$I$20000&lt;&gt;"Coro")*(DATOS!$I$2:$I$20000&lt;&gt;"Conjunto"),DATOS!$K$2:$K$20000)),""))</f>
        <v/>
      </c>
      <c r="T52" t="str">
        <f>IF(S52="","",IFERROR(AVERAGEIFS(DATOS!$K$2:$K$20000,DATOS!$A$2:$A$20000,S52,DATOS!$G$2:$G$20000,CONFIG_METADATA!$B$4,DATOS!$I$2:$I$20000,"Lenguaje Musical"),""))</f>
        <v/>
      </c>
      <c r="U52" t="str">
        <f>IF(S52="","",IFERROR(AVERAGEIFS(DATOS!$K$2:$K$20000,DATOS!$A$2:$A$20000,S52,DATOS!$G$2:$G$20000,CONFIG_METADATA!$B$4,DATOS!$I$2:$I$20000,"Coro"),""))</f>
        <v/>
      </c>
      <c r="V52" t="str">
        <f>IF(S52="","",IFERROR(AVERAGEIFS(DATOS!$K$2:$K$20000,DATOS!$A$2:$A$20000,S52,DATOS!$G$2:$G$20000,CONFIG_METADATA!$B$4,DATOS!$I$2:$I$20000,"Conjunto"),""))</f>
        <v/>
      </c>
      <c r="W52" t="str" cm="1">
        <f t="array" ref="W52">IF(S52="","",IFERROR(AVERAGE(IF((DATOS!$A$2:$A$20000=S52)*(DATOS!$G$2:$G$20000=CONFIG_METADATA!$B$4)*(DATOS!$I$2:$I$20000&lt;&gt;"Lenguaje Musical")*(DATOS!$I$2:$I$20000&lt;&gt;"Coro")*(DATOS!$I$2:$I$20000&lt;&gt;"Conjunto"),DATOS!$K$2:$K$20000)),""))</f>
        <v/>
      </c>
    </row>
    <row r="53" spans="2:23" ht="15" customHeight="1" x14ac:dyDescent="0.2">
      <c r="B53" t="str">
        <f>IF(A53="","",IFERROR(AVERAGEIFS(DATOS!$K$2:$K$20000,DATOS!$A$2:$A$20000,A53,DATOS!$G$2:$G$20000,CONFIG_METADATA!$B$4,DATOS!$I$2:$I$20000,"Lenguaje Musical"),""))</f>
        <v/>
      </c>
      <c r="C53" t="str">
        <f>IF(A53="","",IFERROR(AVERAGEIFS(DATOS!$K$2:$K$20000,DATOS!$A$2:$A$20000,A53,DATOS!$G$2:$G$20000,CONFIG_METADATA!$B$4,DATOS!$I$2:$I$20000,"Coro"),""))</f>
        <v/>
      </c>
      <c r="D53" t="str">
        <f>IF(A53="","",IFERROR(AVERAGEIFS(DATOS!$K$2:$K$20000,DATOS!$A$2:$A$20000,A53,DATOS!$G$2:$G$20000,CONFIG_METADATA!$B$4,DATOS!$I$2:$I$20000,"Conjunto"),""))</f>
        <v/>
      </c>
      <c r="E53" t="str" cm="1">
        <f t="array" ref="E53">IF(A53="","",IFERROR(AVERAGE(IF((DATOS!$A$2:$A$20000=A53)*(DATOS!$G$2:$G$20000=CONFIG_METADATA!$B$4)*(DATOS!$I$2:$I$20000&lt;&gt;"Lenguaje Musical")*(DATOS!$I$2:$I$20000&lt;&gt;"Coro")*(DATOS!$I$2:$I$20000&lt;&gt;"Conjunto"),DATOS!$K$2:$K$20000)),""))</f>
        <v/>
      </c>
      <c r="H53" t="str">
        <f>IF(G53="","",IFERROR(AVERAGEIFS(DATOS!$K$2:$K$20000,DATOS!$A$2:$A$20000,G53,DATOS!$G$2:$G$20000,CONFIG_METADATA!$B$4,DATOS!$I$2:$I$20000,"Lenguaje Musical"),""))</f>
        <v/>
      </c>
      <c r="I53" t="str">
        <f>IF(G53="","",IFERROR(AVERAGEIFS(DATOS!$K$2:$K$20000,DATOS!$A$2:$A$20000,G53,DATOS!$G$2:$G$20000,CONFIG_METADATA!$B$4,DATOS!$I$2:$I$20000,"Coro"),""))</f>
        <v/>
      </c>
      <c r="J53" t="str">
        <f>IF(G53="","",IFERROR(AVERAGEIFS(DATOS!$K$2:$K$20000,DATOS!$A$2:$A$20000,G53,DATOS!$G$2:$G$20000,CONFIG_METADATA!$B$4,DATOS!$I$2:$I$20000,"Conjunto"),""))</f>
        <v/>
      </c>
      <c r="K53" t="str" cm="1">
        <f t="array" ref="K53">IF(G53="","",IFERROR(AVERAGE(IF((DATOS!$A$2:$A$20000=G53)*(DATOS!$G$2:$G$20000=CONFIG_METADATA!$B$4)*(DATOS!$I$2:$I$20000&lt;&gt;"Lenguaje Musical")*(DATOS!$I$2:$I$20000&lt;&gt;"Coro")*(DATOS!$I$2:$I$20000&lt;&gt;"Conjunto"),DATOS!$K$2:$K$20000)),""))</f>
        <v/>
      </c>
      <c r="N53" t="str">
        <f>IF(M53="","",IFERROR(AVERAGEIFS(DATOS!$K$2:$K$20000,DATOS!$A$2:$A$20000,M53,DATOS!$G$2:$G$20000,CONFIG_METADATA!$B$4,DATOS!$I$2:$I$20000,"Lenguaje Musical"),""))</f>
        <v/>
      </c>
      <c r="O53" t="str">
        <f>IF(M53="","",IFERROR(AVERAGEIFS(DATOS!$K$2:$K$20000,DATOS!$A$2:$A$20000,M53,DATOS!$G$2:$G$20000,CONFIG_METADATA!$B$4,DATOS!$I$2:$I$20000,"Coro"),""))</f>
        <v/>
      </c>
      <c r="P53" t="str">
        <f>IF(M53="","",IFERROR(AVERAGEIFS(DATOS!$K$2:$K$20000,DATOS!$A$2:$A$20000,M53,DATOS!$G$2:$G$20000,CONFIG_METADATA!$B$4,DATOS!$I$2:$I$20000,"Conjunto"),""))</f>
        <v/>
      </c>
      <c r="Q53" t="str" cm="1">
        <f t="array" ref="Q53">IF(M53="","",IFERROR(AVERAGE(IF((DATOS!$A$2:$A$20000=M53)*(DATOS!$G$2:$G$20000=CONFIG_METADATA!$B$4)*(DATOS!$I$2:$I$20000&lt;&gt;"Lenguaje Musical")*(DATOS!$I$2:$I$20000&lt;&gt;"Coro")*(DATOS!$I$2:$I$20000&lt;&gt;"Conjunto"),DATOS!$K$2:$K$20000)),""))</f>
        <v/>
      </c>
      <c r="T53" t="str">
        <f>IF(S53="","",IFERROR(AVERAGEIFS(DATOS!$K$2:$K$20000,DATOS!$A$2:$A$20000,S53,DATOS!$G$2:$G$20000,CONFIG_METADATA!$B$4,DATOS!$I$2:$I$20000,"Lenguaje Musical"),""))</f>
        <v/>
      </c>
      <c r="U53" t="str">
        <f>IF(S53="","",IFERROR(AVERAGEIFS(DATOS!$K$2:$K$20000,DATOS!$A$2:$A$20000,S53,DATOS!$G$2:$G$20000,CONFIG_METADATA!$B$4,DATOS!$I$2:$I$20000,"Coro"),""))</f>
        <v/>
      </c>
      <c r="V53" t="str">
        <f>IF(S53="","",IFERROR(AVERAGEIFS(DATOS!$K$2:$K$20000,DATOS!$A$2:$A$20000,S53,DATOS!$G$2:$G$20000,CONFIG_METADATA!$B$4,DATOS!$I$2:$I$20000,"Conjunto"),""))</f>
        <v/>
      </c>
      <c r="W53" t="str" cm="1">
        <f t="array" ref="W53">IF(S53="","",IFERROR(AVERAGE(IF((DATOS!$A$2:$A$20000=S53)*(DATOS!$G$2:$G$20000=CONFIG_METADATA!$B$4)*(DATOS!$I$2:$I$20000&lt;&gt;"Lenguaje Musical")*(DATOS!$I$2:$I$20000&lt;&gt;"Coro")*(DATOS!$I$2:$I$20000&lt;&gt;"Conjunto"),DATOS!$K$2:$K$20000)),""))</f>
        <v/>
      </c>
    </row>
    <row r="54" spans="2:23" ht="15" customHeight="1" x14ac:dyDescent="0.2">
      <c r="B54" t="str">
        <f>IF(A54="","",IFERROR(AVERAGEIFS(DATOS!$K$2:$K$20000,DATOS!$A$2:$A$20000,A54,DATOS!$G$2:$G$20000,CONFIG_METADATA!$B$4,DATOS!$I$2:$I$20000,"Lenguaje Musical"),""))</f>
        <v/>
      </c>
      <c r="C54" t="str">
        <f>IF(A54="","",IFERROR(AVERAGEIFS(DATOS!$K$2:$K$20000,DATOS!$A$2:$A$20000,A54,DATOS!$G$2:$G$20000,CONFIG_METADATA!$B$4,DATOS!$I$2:$I$20000,"Coro"),""))</f>
        <v/>
      </c>
      <c r="D54" t="str">
        <f>IF(A54="","",IFERROR(AVERAGEIFS(DATOS!$K$2:$K$20000,DATOS!$A$2:$A$20000,A54,DATOS!$G$2:$G$20000,CONFIG_METADATA!$B$4,DATOS!$I$2:$I$20000,"Conjunto"),""))</f>
        <v/>
      </c>
      <c r="E54" t="str" cm="1">
        <f t="array" ref="E54">IF(A54="","",IFERROR(AVERAGE(IF((DATOS!$A$2:$A$20000=A54)*(DATOS!$G$2:$G$20000=CONFIG_METADATA!$B$4)*(DATOS!$I$2:$I$20000&lt;&gt;"Lenguaje Musical")*(DATOS!$I$2:$I$20000&lt;&gt;"Coro")*(DATOS!$I$2:$I$20000&lt;&gt;"Conjunto"),DATOS!$K$2:$K$20000)),""))</f>
        <v/>
      </c>
      <c r="H54" t="str">
        <f>IF(G54="","",IFERROR(AVERAGEIFS(DATOS!$K$2:$K$20000,DATOS!$A$2:$A$20000,G54,DATOS!$G$2:$G$20000,CONFIG_METADATA!$B$4,DATOS!$I$2:$I$20000,"Lenguaje Musical"),""))</f>
        <v/>
      </c>
      <c r="I54" t="str">
        <f>IF(G54="","",IFERROR(AVERAGEIFS(DATOS!$K$2:$K$20000,DATOS!$A$2:$A$20000,G54,DATOS!$G$2:$G$20000,CONFIG_METADATA!$B$4,DATOS!$I$2:$I$20000,"Coro"),""))</f>
        <v/>
      </c>
      <c r="J54" t="str">
        <f>IF(G54="","",IFERROR(AVERAGEIFS(DATOS!$K$2:$K$20000,DATOS!$A$2:$A$20000,G54,DATOS!$G$2:$G$20000,CONFIG_METADATA!$B$4,DATOS!$I$2:$I$20000,"Conjunto"),""))</f>
        <v/>
      </c>
      <c r="K54" t="str" cm="1">
        <f t="array" ref="K54">IF(G54="","",IFERROR(AVERAGE(IF((DATOS!$A$2:$A$20000=G54)*(DATOS!$G$2:$G$20000=CONFIG_METADATA!$B$4)*(DATOS!$I$2:$I$20000&lt;&gt;"Lenguaje Musical")*(DATOS!$I$2:$I$20000&lt;&gt;"Coro")*(DATOS!$I$2:$I$20000&lt;&gt;"Conjunto"),DATOS!$K$2:$K$20000)),""))</f>
        <v/>
      </c>
      <c r="N54" t="str">
        <f>IF(M54="","",IFERROR(AVERAGEIFS(DATOS!$K$2:$K$20000,DATOS!$A$2:$A$20000,M54,DATOS!$G$2:$G$20000,CONFIG_METADATA!$B$4,DATOS!$I$2:$I$20000,"Lenguaje Musical"),""))</f>
        <v/>
      </c>
      <c r="O54" t="str">
        <f>IF(M54="","",IFERROR(AVERAGEIFS(DATOS!$K$2:$K$20000,DATOS!$A$2:$A$20000,M54,DATOS!$G$2:$G$20000,CONFIG_METADATA!$B$4,DATOS!$I$2:$I$20000,"Coro"),""))</f>
        <v/>
      </c>
      <c r="P54" t="str">
        <f>IF(M54="","",IFERROR(AVERAGEIFS(DATOS!$K$2:$K$20000,DATOS!$A$2:$A$20000,M54,DATOS!$G$2:$G$20000,CONFIG_METADATA!$B$4,DATOS!$I$2:$I$20000,"Conjunto"),""))</f>
        <v/>
      </c>
      <c r="Q54" t="str" cm="1">
        <f t="array" ref="Q54">IF(M54="","",IFERROR(AVERAGE(IF((DATOS!$A$2:$A$20000=M54)*(DATOS!$G$2:$G$20000=CONFIG_METADATA!$B$4)*(DATOS!$I$2:$I$20000&lt;&gt;"Lenguaje Musical")*(DATOS!$I$2:$I$20000&lt;&gt;"Coro")*(DATOS!$I$2:$I$20000&lt;&gt;"Conjunto"),DATOS!$K$2:$K$20000)),""))</f>
        <v/>
      </c>
      <c r="T54" t="str">
        <f>IF(S54="","",IFERROR(AVERAGEIFS(DATOS!$K$2:$K$20000,DATOS!$A$2:$A$20000,S54,DATOS!$G$2:$G$20000,CONFIG_METADATA!$B$4,DATOS!$I$2:$I$20000,"Lenguaje Musical"),""))</f>
        <v/>
      </c>
      <c r="U54" t="str">
        <f>IF(S54="","",IFERROR(AVERAGEIFS(DATOS!$K$2:$K$20000,DATOS!$A$2:$A$20000,S54,DATOS!$G$2:$G$20000,CONFIG_METADATA!$B$4,DATOS!$I$2:$I$20000,"Coro"),""))</f>
        <v/>
      </c>
      <c r="V54" t="str">
        <f>IF(S54="","",IFERROR(AVERAGEIFS(DATOS!$K$2:$K$20000,DATOS!$A$2:$A$20000,S54,DATOS!$G$2:$G$20000,CONFIG_METADATA!$B$4,DATOS!$I$2:$I$20000,"Conjunto"),""))</f>
        <v/>
      </c>
      <c r="W54" t="str" cm="1">
        <f t="array" ref="W54">IF(S54="","",IFERROR(AVERAGE(IF((DATOS!$A$2:$A$20000=S54)*(DATOS!$G$2:$G$20000=CONFIG_METADATA!$B$4)*(DATOS!$I$2:$I$20000&lt;&gt;"Lenguaje Musical")*(DATOS!$I$2:$I$20000&lt;&gt;"Coro")*(DATOS!$I$2:$I$20000&lt;&gt;"Conjunto"),DATOS!$K$2:$K$20000)),""))</f>
        <v/>
      </c>
    </row>
    <row r="55" spans="2:23" ht="15" customHeight="1" x14ac:dyDescent="0.2">
      <c r="B55" t="str">
        <f>IF(A55="","",IFERROR(AVERAGEIFS(DATOS!$K$2:$K$20000,DATOS!$A$2:$A$20000,A55,DATOS!$G$2:$G$20000,CONFIG_METADATA!$B$4,DATOS!$I$2:$I$20000,"Lenguaje Musical"),""))</f>
        <v/>
      </c>
      <c r="C55" t="str">
        <f>IF(A55="","",IFERROR(AVERAGEIFS(DATOS!$K$2:$K$20000,DATOS!$A$2:$A$20000,A55,DATOS!$G$2:$G$20000,CONFIG_METADATA!$B$4,DATOS!$I$2:$I$20000,"Coro"),""))</f>
        <v/>
      </c>
      <c r="D55" t="str">
        <f>IF(A55="","",IFERROR(AVERAGEIFS(DATOS!$K$2:$K$20000,DATOS!$A$2:$A$20000,A55,DATOS!$G$2:$G$20000,CONFIG_METADATA!$B$4,DATOS!$I$2:$I$20000,"Conjunto"),""))</f>
        <v/>
      </c>
      <c r="E55" t="str" cm="1">
        <f t="array" ref="E55">IF(A55="","",IFERROR(AVERAGE(IF((DATOS!$A$2:$A$20000=A55)*(DATOS!$G$2:$G$20000=CONFIG_METADATA!$B$4)*(DATOS!$I$2:$I$20000&lt;&gt;"Lenguaje Musical")*(DATOS!$I$2:$I$20000&lt;&gt;"Coro")*(DATOS!$I$2:$I$20000&lt;&gt;"Conjunto"),DATOS!$K$2:$K$20000)),""))</f>
        <v/>
      </c>
      <c r="H55" t="str">
        <f>IF(G55="","",IFERROR(AVERAGEIFS(DATOS!$K$2:$K$20000,DATOS!$A$2:$A$20000,G55,DATOS!$G$2:$G$20000,CONFIG_METADATA!$B$4,DATOS!$I$2:$I$20000,"Lenguaje Musical"),""))</f>
        <v/>
      </c>
      <c r="I55" t="str">
        <f>IF(G55="","",IFERROR(AVERAGEIFS(DATOS!$K$2:$K$20000,DATOS!$A$2:$A$20000,G55,DATOS!$G$2:$G$20000,CONFIG_METADATA!$B$4,DATOS!$I$2:$I$20000,"Coro"),""))</f>
        <v/>
      </c>
      <c r="J55" t="str">
        <f>IF(G55="","",IFERROR(AVERAGEIFS(DATOS!$K$2:$K$20000,DATOS!$A$2:$A$20000,G55,DATOS!$G$2:$G$20000,CONFIG_METADATA!$B$4,DATOS!$I$2:$I$20000,"Conjunto"),""))</f>
        <v/>
      </c>
      <c r="K55" t="str" cm="1">
        <f t="array" ref="K55">IF(G55="","",IFERROR(AVERAGE(IF((DATOS!$A$2:$A$20000=G55)*(DATOS!$G$2:$G$20000=CONFIG_METADATA!$B$4)*(DATOS!$I$2:$I$20000&lt;&gt;"Lenguaje Musical")*(DATOS!$I$2:$I$20000&lt;&gt;"Coro")*(DATOS!$I$2:$I$20000&lt;&gt;"Conjunto"),DATOS!$K$2:$K$20000)),""))</f>
        <v/>
      </c>
      <c r="N55" t="str">
        <f>IF(M55="","",IFERROR(AVERAGEIFS(DATOS!$K$2:$K$20000,DATOS!$A$2:$A$20000,M55,DATOS!$G$2:$G$20000,CONFIG_METADATA!$B$4,DATOS!$I$2:$I$20000,"Lenguaje Musical"),""))</f>
        <v/>
      </c>
      <c r="O55" t="str">
        <f>IF(M55="","",IFERROR(AVERAGEIFS(DATOS!$K$2:$K$20000,DATOS!$A$2:$A$20000,M55,DATOS!$G$2:$G$20000,CONFIG_METADATA!$B$4,DATOS!$I$2:$I$20000,"Coro"),""))</f>
        <v/>
      </c>
      <c r="P55" t="str">
        <f>IF(M55="","",IFERROR(AVERAGEIFS(DATOS!$K$2:$K$20000,DATOS!$A$2:$A$20000,M55,DATOS!$G$2:$G$20000,CONFIG_METADATA!$B$4,DATOS!$I$2:$I$20000,"Conjunto"),""))</f>
        <v/>
      </c>
      <c r="Q55" t="str" cm="1">
        <f t="array" ref="Q55">IF(M55="","",IFERROR(AVERAGE(IF((DATOS!$A$2:$A$20000=M55)*(DATOS!$G$2:$G$20000=CONFIG_METADATA!$B$4)*(DATOS!$I$2:$I$20000&lt;&gt;"Lenguaje Musical")*(DATOS!$I$2:$I$20000&lt;&gt;"Coro")*(DATOS!$I$2:$I$20000&lt;&gt;"Conjunto"),DATOS!$K$2:$K$20000)),""))</f>
        <v/>
      </c>
      <c r="T55" t="str">
        <f>IF(S55="","",IFERROR(AVERAGEIFS(DATOS!$K$2:$K$20000,DATOS!$A$2:$A$20000,S55,DATOS!$G$2:$G$20000,CONFIG_METADATA!$B$4,DATOS!$I$2:$I$20000,"Lenguaje Musical"),""))</f>
        <v/>
      </c>
      <c r="U55" t="str">
        <f>IF(S55="","",IFERROR(AVERAGEIFS(DATOS!$K$2:$K$20000,DATOS!$A$2:$A$20000,S55,DATOS!$G$2:$G$20000,CONFIG_METADATA!$B$4,DATOS!$I$2:$I$20000,"Coro"),""))</f>
        <v/>
      </c>
      <c r="V55" t="str">
        <f>IF(S55="","",IFERROR(AVERAGEIFS(DATOS!$K$2:$K$20000,DATOS!$A$2:$A$20000,S55,DATOS!$G$2:$G$20000,CONFIG_METADATA!$B$4,DATOS!$I$2:$I$20000,"Conjunto"),""))</f>
        <v/>
      </c>
      <c r="W55" t="str" cm="1">
        <f t="array" ref="W55">IF(S55="","",IFERROR(AVERAGE(IF((DATOS!$A$2:$A$20000=S55)*(DATOS!$G$2:$G$20000=CONFIG_METADATA!$B$4)*(DATOS!$I$2:$I$20000&lt;&gt;"Lenguaje Musical")*(DATOS!$I$2:$I$20000&lt;&gt;"Coro")*(DATOS!$I$2:$I$20000&lt;&gt;"Conjunto"),DATOS!$K$2:$K$20000)),""))</f>
        <v/>
      </c>
    </row>
    <row r="56" spans="2:23" ht="15" customHeight="1" x14ac:dyDescent="0.2">
      <c r="B56" t="str">
        <f>IF(A56="","",IFERROR(AVERAGEIFS(DATOS!$K$2:$K$20000,DATOS!$A$2:$A$20000,A56,DATOS!$G$2:$G$20000,CONFIG_METADATA!$B$4,DATOS!$I$2:$I$20000,"Lenguaje Musical"),""))</f>
        <v/>
      </c>
      <c r="C56" t="str">
        <f>IF(A56="","",IFERROR(AVERAGEIFS(DATOS!$K$2:$K$20000,DATOS!$A$2:$A$20000,A56,DATOS!$G$2:$G$20000,CONFIG_METADATA!$B$4,DATOS!$I$2:$I$20000,"Coro"),""))</f>
        <v/>
      </c>
      <c r="D56" t="str">
        <f>IF(A56="","",IFERROR(AVERAGEIFS(DATOS!$K$2:$K$20000,DATOS!$A$2:$A$20000,A56,DATOS!$G$2:$G$20000,CONFIG_METADATA!$B$4,DATOS!$I$2:$I$20000,"Conjunto"),""))</f>
        <v/>
      </c>
      <c r="E56" t="str" cm="1">
        <f t="array" ref="E56">IF(A56="","",IFERROR(AVERAGE(IF((DATOS!$A$2:$A$20000=A56)*(DATOS!$G$2:$G$20000=CONFIG_METADATA!$B$4)*(DATOS!$I$2:$I$20000&lt;&gt;"Lenguaje Musical")*(DATOS!$I$2:$I$20000&lt;&gt;"Coro")*(DATOS!$I$2:$I$20000&lt;&gt;"Conjunto"),DATOS!$K$2:$K$20000)),""))</f>
        <v/>
      </c>
      <c r="H56" t="str">
        <f>IF(G56="","",IFERROR(AVERAGEIFS(DATOS!$K$2:$K$20000,DATOS!$A$2:$A$20000,G56,DATOS!$G$2:$G$20000,CONFIG_METADATA!$B$4,DATOS!$I$2:$I$20000,"Lenguaje Musical"),""))</f>
        <v/>
      </c>
      <c r="I56" t="str">
        <f>IF(G56="","",IFERROR(AVERAGEIFS(DATOS!$K$2:$K$20000,DATOS!$A$2:$A$20000,G56,DATOS!$G$2:$G$20000,CONFIG_METADATA!$B$4,DATOS!$I$2:$I$20000,"Coro"),""))</f>
        <v/>
      </c>
      <c r="J56" t="str">
        <f>IF(G56="","",IFERROR(AVERAGEIFS(DATOS!$K$2:$K$20000,DATOS!$A$2:$A$20000,G56,DATOS!$G$2:$G$20000,CONFIG_METADATA!$B$4,DATOS!$I$2:$I$20000,"Conjunto"),""))</f>
        <v/>
      </c>
      <c r="K56" t="str" cm="1">
        <f t="array" ref="K56">IF(G56="","",IFERROR(AVERAGE(IF((DATOS!$A$2:$A$20000=G56)*(DATOS!$G$2:$G$20000=CONFIG_METADATA!$B$4)*(DATOS!$I$2:$I$20000&lt;&gt;"Lenguaje Musical")*(DATOS!$I$2:$I$20000&lt;&gt;"Coro")*(DATOS!$I$2:$I$20000&lt;&gt;"Conjunto"),DATOS!$K$2:$K$20000)),""))</f>
        <v/>
      </c>
      <c r="N56" t="str">
        <f>IF(M56="","",IFERROR(AVERAGEIFS(DATOS!$K$2:$K$20000,DATOS!$A$2:$A$20000,M56,DATOS!$G$2:$G$20000,CONFIG_METADATA!$B$4,DATOS!$I$2:$I$20000,"Lenguaje Musical"),""))</f>
        <v/>
      </c>
      <c r="O56" t="str">
        <f>IF(M56="","",IFERROR(AVERAGEIFS(DATOS!$K$2:$K$20000,DATOS!$A$2:$A$20000,M56,DATOS!$G$2:$G$20000,CONFIG_METADATA!$B$4,DATOS!$I$2:$I$20000,"Coro"),""))</f>
        <v/>
      </c>
      <c r="P56" t="str">
        <f>IF(M56="","",IFERROR(AVERAGEIFS(DATOS!$K$2:$K$20000,DATOS!$A$2:$A$20000,M56,DATOS!$G$2:$G$20000,CONFIG_METADATA!$B$4,DATOS!$I$2:$I$20000,"Conjunto"),""))</f>
        <v/>
      </c>
      <c r="Q56" t="str" cm="1">
        <f t="array" ref="Q56">IF(M56="","",IFERROR(AVERAGE(IF((DATOS!$A$2:$A$20000=M56)*(DATOS!$G$2:$G$20000=CONFIG_METADATA!$B$4)*(DATOS!$I$2:$I$20000&lt;&gt;"Lenguaje Musical")*(DATOS!$I$2:$I$20000&lt;&gt;"Coro")*(DATOS!$I$2:$I$20000&lt;&gt;"Conjunto"),DATOS!$K$2:$K$20000)),""))</f>
        <v/>
      </c>
      <c r="T56" t="str">
        <f>IF(S56="","",IFERROR(AVERAGEIFS(DATOS!$K$2:$K$20000,DATOS!$A$2:$A$20000,S56,DATOS!$G$2:$G$20000,CONFIG_METADATA!$B$4,DATOS!$I$2:$I$20000,"Lenguaje Musical"),""))</f>
        <v/>
      </c>
      <c r="U56" t="str">
        <f>IF(S56="","",IFERROR(AVERAGEIFS(DATOS!$K$2:$K$20000,DATOS!$A$2:$A$20000,S56,DATOS!$G$2:$G$20000,CONFIG_METADATA!$B$4,DATOS!$I$2:$I$20000,"Coro"),""))</f>
        <v/>
      </c>
      <c r="V56" t="str">
        <f>IF(S56="","",IFERROR(AVERAGEIFS(DATOS!$K$2:$K$20000,DATOS!$A$2:$A$20000,S56,DATOS!$G$2:$G$20000,CONFIG_METADATA!$B$4,DATOS!$I$2:$I$20000,"Conjunto"),""))</f>
        <v/>
      </c>
      <c r="W56" t="str" cm="1">
        <f t="array" ref="W56">IF(S56="","",IFERROR(AVERAGE(IF((DATOS!$A$2:$A$20000=S56)*(DATOS!$G$2:$G$20000=CONFIG_METADATA!$B$4)*(DATOS!$I$2:$I$20000&lt;&gt;"Lenguaje Musical")*(DATOS!$I$2:$I$20000&lt;&gt;"Coro")*(DATOS!$I$2:$I$20000&lt;&gt;"Conjunto"),DATOS!$K$2:$K$20000)),""))</f>
        <v/>
      </c>
    </row>
    <row r="57" spans="2:23" ht="15" customHeight="1" x14ac:dyDescent="0.2">
      <c r="B57" t="str">
        <f>IF(A57="","",IFERROR(AVERAGEIFS(DATOS!$K$2:$K$20000,DATOS!$A$2:$A$20000,A57,DATOS!$G$2:$G$20000,CONFIG_METADATA!$B$4,DATOS!$I$2:$I$20000,"Lenguaje Musical"),""))</f>
        <v/>
      </c>
      <c r="C57" t="str">
        <f>IF(A57="","",IFERROR(AVERAGEIFS(DATOS!$K$2:$K$20000,DATOS!$A$2:$A$20000,A57,DATOS!$G$2:$G$20000,CONFIG_METADATA!$B$4,DATOS!$I$2:$I$20000,"Coro"),""))</f>
        <v/>
      </c>
      <c r="D57" t="str">
        <f>IF(A57="","",IFERROR(AVERAGEIFS(DATOS!$K$2:$K$20000,DATOS!$A$2:$A$20000,A57,DATOS!$G$2:$G$20000,CONFIG_METADATA!$B$4,DATOS!$I$2:$I$20000,"Conjunto"),""))</f>
        <v/>
      </c>
      <c r="E57" t="str" cm="1">
        <f t="array" ref="E57">IF(A57="","",IFERROR(AVERAGE(IF((DATOS!$A$2:$A$20000=A57)*(DATOS!$G$2:$G$20000=CONFIG_METADATA!$B$4)*(DATOS!$I$2:$I$20000&lt;&gt;"Lenguaje Musical")*(DATOS!$I$2:$I$20000&lt;&gt;"Coro")*(DATOS!$I$2:$I$20000&lt;&gt;"Conjunto"),DATOS!$K$2:$K$20000)),""))</f>
        <v/>
      </c>
      <c r="H57" t="str">
        <f>IF(G57="","",IFERROR(AVERAGEIFS(DATOS!$K$2:$K$20000,DATOS!$A$2:$A$20000,G57,DATOS!$G$2:$G$20000,CONFIG_METADATA!$B$4,DATOS!$I$2:$I$20000,"Lenguaje Musical"),""))</f>
        <v/>
      </c>
      <c r="I57" t="str">
        <f>IF(G57="","",IFERROR(AVERAGEIFS(DATOS!$K$2:$K$20000,DATOS!$A$2:$A$20000,G57,DATOS!$G$2:$G$20000,CONFIG_METADATA!$B$4,DATOS!$I$2:$I$20000,"Coro"),""))</f>
        <v/>
      </c>
      <c r="J57" t="str">
        <f>IF(G57="","",IFERROR(AVERAGEIFS(DATOS!$K$2:$K$20000,DATOS!$A$2:$A$20000,G57,DATOS!$G$2:$G$20000,CONFIG_METADATA!$B$4,DATOS!$I$2:$I$20000,"Conjunto"),""))</f>
        <v/>
      </c>
      <c r="K57" t="str" cm="1">
        <f t="array" ref="K57">IF(G57="","",IFERROR(AVERAGE(IF((DATOS!$A$2:$A$20000=G57)*(DATOS!$G$2:$G$20000=CONFIG_METADATA!$B$4)*(DATOS!$I$2:$I$20000&lt;&gt;"Lenguaje Musical")*(DATOS!$I$2:$I$20000&lt;&gt;"Coro")*(DATOS!$I$2:$I$20000&lt;&gt;"Conjunto"),DATOS!$K$2:$K$20000)),""))</f>
        <v/>
      </c>
      <c r="N57" t="str">
        <f>IF(M57="","",IFERROR(AVERAGEIFS(DATOS!$K$2:$K$20000,DATOS!$A$2:$A$20000,M57,DATOS!$G$2:$G$20000,CONFIG_METADATA!$B$4,DATOS!$I$2:$I$20000,"Lenguaje Musical"),""))</f>
        <v/>
      </c>
      <c r="O57" t="str">
        <f>IF(M57="","",IFERROR(AVERAGEIFS(DATOS!$K$2:$K$20000,DATOS!$A$2:$A$20000,M57,DATOS!$G$2:$G$20000,CONFIG_METADATA!$B$4,DATOS!$I$2:$I$20000,"Coro"),""))</f>
        <v/>
      </c>
      <c r="P57" t="str">
        <f>IF(M57="","",IFERROR(AVERAGEIFS(DATOS!$K$2:$K$20000,DATOS!$A$2:$A$20000,M57,DATOS!$G$2:$G$20000,CONFIG_METADATA!$B$4,DATOS!$I$2:$I$20000,"Conjunto"),""))</f>
        <v/>
      </c>
      <c r="Q57" t="str" cm="1">
        <f t="array" ref="Q57">IF(M57="","",IFERROR(AVERAGE(IF((DATOS!$A$2:$A$20000=M57)*(DATOS!$G$2:$G$20000=CONFIG_METADATA!$B$4)*(DATOS!$I$2:$I$20000&lt;&gt;"Lenguaje Musical")*(DATOS!$I$2:$I$20000&lt;&gt;"Coro")*(DATOS!$I$2:$I$20000&lt;&gt;"Conjunto"),DATOS!$K$2:$K$20000)),""))</f>
        <v/>
      </c>
      <c r="T57" t="str">
        <f>IF(S57="","",IFERROR(AVERAGEIFS(DATOS!$K$2:$K$20000,DATOS!$A$2:$A$20000,S57,DATOS!$G$2:$G$20000,CONFIG_METADATA!$B$4,DATOS!$I$2:$I$20000,"Lenguaje Musical"),""))</f>
        <v/>
      </c>
      <c r="U57" t="str">
        <f>IF(S57="","",IFERROR(AVERAGEIFS(DATOS!$K$2:$K$20000,DATOS!$A$2:$A$20000,S57,DATOS!$G$2:$G$20000,CONFIG_METADATA!$B$4,DATOS!$I$2:$I$20000,"Coro"),""))</f>
        <v/>
      </c>
      <c r="V57" t="str">
        <f>IF(S57="","",IFERROR(AVERAGEIFS(DATOS!$K$2:$K$20000,DATOS!$A$2:$A$20000,S57,DATOS!$G$2:$G$20000,CONFIG_METADATA!$B$4,DATOS!$I$2:$I$20000,"Conjunto"),""))</f>
        <v/>
      </c>
      <c r="W57" t="str" cm="1">
        <f t="array" ref="W57">IF(S57="","",IFERROR(AVERAGE(IF((DATOS!$A$2:$A$20000=S57)*(DATOS!$G$2:$G$20000=CONFIG_METADATA!$B$4)*(DATOS!$I$2:$I$20000&lt;&gt;"Lenguaje Musical")*(DATOS!$I$2:$I$20000&lt;&gt;"Coro")*(DATOS!$I$2:$I$20000&lt;&gt;"Conjunto"),DATOS!$K$2:$K$20000)),""))</f>
        <v/>
      </c>
    </row>
    <row r="58" spans="2:23" ht="15" customHeight="1" x14ac:dyDescent="0.2">
      <c r="B58" t="str">
        <f>IF(A58="","",IFERROR(AVERAGEIFS(DATOS!$K$2:$K$20000,DATOS!$A$2:$A$20000,A58,DATOS!$G$2:$G$20000,CONFIG_METADATA!$B$4,DATOS!$I$2:$I$20000,"Lenguaje Musical"),""))</f>
        <v/>
      </c>
      <c r="C58" t="str">
        <f>IF(A58="","",IFERROR(AVERAGEIFS(DATOS!$K$2:$K$20000,DATOS!$A$2:$A$20000,A58,DATOS!$G$2:$G$20000,CONFIG_METADATA!$B$4,DATOS!$I$2:$I$20000,"Coro"),""))</f>
        <v/>
      </c>
      <c r="D58" t="str">
        <f>IF(A58="","",IFERROR(AVERAGEIFS(DATOS!$K$2:$K$20000,DATOS!$A$2:$A$20000,A58,DATOS!$G$2:$G$20000,CONFIG_METADATA!$B$4,DATOS!$I$2:$I$20000,"Conjunto"),""))</f>
        <v/>
      </c>
      <c r="E58" t="str" cm="1">
        <f t="array" ref="E58">IF(A58="","",IFERROR(AVERAGE(IF((DATOS!$A$2:$A$20000=A58)*(DATOS!$G$2:$G$20000=CONFIG_METADATA!$B$4)*(DATOS!$I$2:$I$20000&lt;&gt;"Lenguaje Musical")*(DATOS!$I$2:$I$20000&lt;&gt;"Coro")*(DATOS!$I$2:$I$20000&lt;&gt;"Conjunto"),DATOS!$K$2:$K$20000)),""))</f>
        <v/>
      </c>
      <c r="H58" t="str">
        <f>IF(G58="","",IFERROR(AVERAGEIFS(DATOS!$K$2:$K$20000,DATOS!$A$2:$A$20000,G58,DATOS!$G$2:$G$20000,CONFIG_METADATA!$B$4,DATOS!$I$2:$I$20000,"Lenguaje Musical"),""))</f>
        <v/>
      </c>
      <c r="I58" t="str">
        <f>IF(G58="","",IFERROR(AVERAGEIFS(DATOS!$K$2:$K$20000,DATOS!$A$2:$A$20000,G58,DATOS!$G$2:$G$20000,CONFIG_METADATA!$B$4,DATOS!$I$2:$I$20000,"Coro"),""))</f>
        <v/>
      </c>
      <c r="J58" t="str">
        <f>IF(G58="","",IFERROR(AVERAGEIFS(DATOS!$K$2:$K$20000,DATOS!$A$2:$A$20000,G58,DATOS!$G$2:$G$20000,CONFIG_METADATA!$B$4,DATOS!$I$2:$I$20000,"Conjunto"),""))</f>
        <v/>
      </c>
      <c r="K58" t="str" cm="1">
        <f t="array" ref="K58">IF(G58="","",IFERROR(AVERAGE(IF((DATOS!$A$2:$A$20000=G58)*(DATOS!$G$2:$G$20000=CONFIG_METADATA!$B$4)*(DATOS!$I$2:$I$20000&lt;&gt;"Lenguaje Musical")*(DATOS!$I$2:$I$20000&lt;&gt;"Coro")*(DATOS!$I$2:$I$20000&lt;&gt;"Conjunto"),DATOS!$K$2:$K$20000)),""))</f>
        <v/>
      </c>
      <c r="N58" t="str">
        <f>IF(M58="","",IFERROR(AVERAGEIFS(DATOS!$K$2:$K$20000,DATOS!$A$2:$A$20000,M58,DATOS!$G$2:$G$20000,CONFIG_METADATA!$B$4,DATOS!$I$2:$I$20000,"Lenguaje Musical"),""))</f>
        <v/>
      </c>
      <c r="O58" t="str">
        <f>IF(M58="","",IFERROR(AVERAGEIFS(DATOS!$K$2:$K$20000,DATOS!$A$2:$A$20000,M58,DATOS!$G$2:$G$20000,CONFIG_METADATA!$B$4,DATOS!$I$2:$I$20000,"Coro"),""))</f>
        <v/>
      </c>
      <c r="P58" t="str">
        <f>IF(M58="","",IFERROR(AVERAGEIFS(DATOS!$K$2:$K$20000,DATOS!$A$2:$A$20000,M58,DATOS!$G$2:$G$20000,CONFIG_METADATA!$B$4,DATOS!$I$2:$I$20000,"Conjunto"),""))</f>
        <v/>
      </c>
      <c r="Q58" t="str" cm="1">
        <f t="array" ref="Q58">IF(M58="","",IFERROR(AVERAGE(IF((DATOS!$A$2:$A$20000=M58)*(DATOS!$G$2:$G$20000=CONFIG_METADATA!$B$4)*(DATOS!$I$2:$I$20000&lt;&gt;"Lenguaje Musical")*(DATOS!$I$2:$I$20000&lt;&gt;"Coro")*(DATOS!$I$2:$I$20000&lt;&gt;"Conjunto"),DATOS!$K$2:$K$20000)),""))</f>
        <v/>
      </c>
      <c r="T58" t="str">
        <f>IF(S58="","",IFERROR(AVERAGEIFS(DATOS!$K$2:$K$20000,DATOS!$A$2:$A$20000,S58,DATOS!$G$2:$G$20000,CONFIG_METADATA!$B$4,DATOS!$I$2:$I$20000,"Lenguaje Musical"),""))</f>
        <v/>
      </c>
      <c r="U58" t="str">
        <f>IF(S58="","",IFERROR(AVERAGEIFS(DATOS!$K$2:$K$20000,DATOS!$A$2:$A$20000,S58,DATOS!$G$2:$G$20000,CONFIG_METADATA!$B$4,DATOS!$I$2:$I$20000,"Coro"),""))</f>
        <v/>
      </c>
      <c r="V58" t="str">
        <f>IF(S58="","",IFERROR(AVERAGEIFS(DATOS!$K$2:$K$20000,DATOS!$A$2:$A$20000,S58,DATOS!$G$2:$G$20000,CONFIG_METADATA!$B$4,DATOS!$I$2:$I$20000,"Conjunto"),""))</f>
        <v/>
      </c>
      <c r="W58" t="str" cm="1">
        <f t="array" ref="W58">IF(S58="","",IFERROR(AVERAGE(IF((DATOS!$A$2:$A$20000=S58)*(DATOS!$G$2:$G$20000=CONFIG_METADATA!$B$4)*(DATOS!$I$2:$I$20000&lt;&gt;"Lenguaje Musical")*(DATOS!$I$2:$I$20000&lt;&gt;"Coro")*(DATOS!$I$2:$I$20000&lt;&gt;"Conjunto"),DATOS!$K$2:$K$20000)),""))</f>
        <v/>
      </c>
    </row>
    <row r="59" spans="2:23" ht="15" customHeight="1" x14ac:dyDescent="0.2">
      <c r="B59" t="str">
        <f>IF(A59="","",IFERROR(AVERAGEIFS(DATOS!$K$2:$K$20000,DATOS!$A$2:$A$20000,A59,DATOS!$G$2:$G$20000,CONFIG_METADATA!$B$4,DATOS!$I$2:$I$20000,"Lenguaje Musical"),""))</f>
        <v/>
      </c>
      <c r="C59" t="str">
        <f>IF(A59="","",IFERROR(AVERAGEIFS(DATOS!$K$2:$K$20000,DATOS!$A$2:$A$20000,A59,DATOS!$G$2:$G$20000,CONFIG_METADATA!$B$4,DATOS!$I$2:$I$20000,"Coro"),""))</f>
        <v/>
      </c>
      <c r="D59" t="str">
        <f>IF(A59="","",IFERROR(AVERAGEIFS(DATOS!$K$2:$K$20000,DATOS!$A$2:$A$20000,A59,DATOS!$G$2:$G$20000,CONFIG_METADATA!$B$4,DATOS!$I$2:$I$20000,"Conjunto"),""))</f>
        <v/>
      </c>
      <c r="E59" t="str" cm="1">
        <f t="array" ref="E59">IF(A59="","",IFERROR(AVERAGE(IF((DATOS!$A$2:$A$20000=A59)*(DATOS!$G$2:$G$20000=CONFIG_METADATA!$B$4)*(DATOS!$I$2:$I$20000&lt;&gt;"Lenguaje Musical")*(DATOS!$I$2:$I$20000&lt;&gt;"Coro")*(DATOS!$I$2:$I$20000&lt;&gt;"Conjunto"),DATOS!$K$2:$K$20000)),""))</f>
        <v/>
      </c>
      <c r="H59" t="str">
        <f>IF(G59="","",IFERROR(AVERAGEIFS(DATOS!$K$2:$K$20000,DATOS!$A$2:$A$20000,G59,DATOS!$G$2:$G$20000,CONFIG_METADATA!$B$4,DATOS!$I$2:$I$20000,"Lenguaje Musical"),""))</f>
        <v/>
      </c>
      <c r="I59" t="str">
        <f>IF(G59="","",IFERROR(AVERAGEIFS(DATOS!$K$2:$K$20000,DATOS!$A$2:$A$20000,G59,DATOS!$G$2:$G$20000,CONFIG_METADATA!$B$4,DATOS!$I$2:$I$20000,"Coro"),""))</f>
        <v/>
      </c>
      <c r="J59" t="str">
        <f>IF(G59="","",IFERROR(AVERAGEIFS(DATOS!$K$2:$K$20000,DATOS!$A$2:$A$20000,G59,DATOS!$G$2:$G$20000,CONFIG_METADATA!$B$4,DATOS!$I$2:$I$20000,"Conjunto"),""))</f>
        <v/>
      </c>
      <c r="K59" t="str" cm="1">
        <f t="array" ref="K59">IF(G59="","",IFERROR(AVERAGE(IF((DATOS!$A$2:$A$20000=G59)*(DATOS!$G$2:$G$20000=CONFIG_METADATA!$B$4)*(DATOS!$I$2:$I$20000&lt;&gt;"Lenguaje Musical")*(DATOS!$I$2:$I$20000&lt;&gt;"Coro")*(DATOS!$I$2:$I$20000&lt;&gt;"Conjunto"),DATOS!$K$2:$K$20000)),""))</f>
        <v/>
      </c>
      <c r="N59" t="str">
        <f>IF(M59="","",IFERROR(AVERAGEIFS(DATOS!$K$2:$K$20000,DATOS!$A$2:$A$20000,M59,DATOS!$G$2:$G$20000,CONFIG_METADATA!$B$4,DATOS!$I$2:$I$20000,"Lenguaje Musical"),""))</f>
        <v/>
      </c>
      <c r="O59" t="str">
        <f>IF(M59="","",IFERROR(AVERAGEIFS(DATOS!$K$2:$K$20000,DATOS!$A$2:$A$20000,M59,DATOS!$G$2:$G$20000,CONFIG_METADATA!$B$4,DATOS!$I$2:$I$20000,"Coro"),""))</f>
        <v/>
      </c>
      <c r="P59" t="str">
        <f>IF(M59="","",IFERROR(AVERAGEIFS(DATOS!$K$2:$K$20000,DATOS!$A$2:$A$20000,M59,DATOS!$G$2:$G$20000,CONFIG_METADATA!$B$4,DATOS!$I$2:$I$20000,"Conjunto"),""))</f>
        <v/>
      </c>
      <c r="Q59" t="str" cm="1">
        <f t="array" ref="Q59">IF(M59="","",IFERROR(AVERAGE(IF((DATOS!$A$2:$A$20000=M59)*(DATOS!$G$2:$G$20000=CONFIG_METADATA!$B$4)*(DATOS!$I$2:$I$20000&lt;&gt;"Lenguaje Musical")*(DATOS!$I$2:$I$20000&lt;&gt;"Coro")*(DATOS!$I$2:$I$20000&lt;&gt;"Conjunto"),DATOS!$K$2:$K$20000)),""))</f>
        <v/>
      </c>
      <c r="T59" t="str">
        <f>IF(S59="","",IFERROR(AVERAGEIFS(DATOS!$K$2:$K$20000,DATOS!$A$2:$A$20000,S59,DATOS!$G$2:$G$20000,CONFIG_METADATA!$B$4,DATOS!$I$2:$I$20000,"Lenguaje Musical"),""))</f>
        <v/>
      </c>
      <c r="U59" t="str">
        <f>IF(S59="","",IFERROR(AVERAGEIFS(DATOS!$K$2:$K$20000,DATOS!$A$2:$A$20000,S59,DATOS!$G$2:$G$20000,CONFIG_METADATA!$B$4,DATOS!$I$2:$I$20000,"Coro"),""))</f>
        <v/>
      </c>
      <c r="V59" t="str">
        <f>IF(S59="","",IFERROR(AVERAGEIFS(DATOS!$K$2:$K$20000,DATOS!$A$2:$A$20000,S59,DATOS!$G$2:$G$20000,CONFIG_METADATA!$B$4,DATOS!$I$2:$I$20000,"Conjunto"),""))</f>
        <v/>
      </c>
      <c r="W59" t="str" cm="1">
        <f t="array" ref="W59">IF(S59="","",IFERROR(AVERAGE(IF((DATOS!$A$2:$A$20000=S59)*(DATOS!$G$2:$G$20000=CONFIG_METADATA!$B$4)*(DATOS!$I$2:$I$20000&lt;&gt;"Lenguaje Musical")*(DATOS!$I$2:$I$20000&lt;&gt;"Coro")*(DATOS!$I$2:$I$20000&lt;&gt;"Conjunto"),DATOS!$K$2:$K$20000)),""))</f>
        <v/>
      </c>
    </row>
    <row r="60" spans="2:23" ht="15" customHeight="1" x14ac:dyDescent="0.2">
      <c r="B60" t="str">
        <f>IF(A60="","",IFERROR(AVERAGEIFS(DATOS!$K$2:$K$20000,DATOS!$A$2:$A$20000,A60,DATOS!$G$2:$G$20000,CONFIG_METADATA!$B$4,DATOS!$I$2:$I$20000,"Lenguaje Musical"),""))</f>
        <v/>
      </c>
      <c r="C60" t="str">
        <f>IF(A60="","",IFERROR(AVERAGEIFS(DATOS!$K$2:$K$20000,DATOS!$A$2:$A$20000,A60,DATOS!$G$2:$G$20000,CONFIG_METADATA!$B$4,DATOS!$I$2:$I$20000,"Coro"),""))</f>
        <v/>
      </c>
      <c r="D60" t="str">
        <f>IF(A60="","",IFERROR(AVERAGEIFS(DATOS!$K$2:$K$20000,DATOS!$A$2:$A$20000,A60,DATOS!$G$2:$G$20000,CONFIG_METADATA!$B$4,DATOS!$I$2:$I$20000,"Conjunto"),""))</f>
        <v/>
      </c>
      <c r="E60" t="str" cm="1">
        <f t="array" ref="E60">IF(A60="","",IFERROR(AVERAGE(IF((DATOS!$A$2:$A$20000=A60)*(DATOS!$G$2:$G$20000=CONFIG_METADATA!$B$4)*(DATOS!$I$2:$I$20000&lt;&gt;"Lenguaje Musical")*(DATOS!$I$2:$I$20000&lt;&gt;"Coro")*(DATOS!$I$2:$I$20000&lt;&gt;"Conjunto"),DATOS!$K$2:$K$20000)),""))</f>
        <v/>
      </c>
      <c r="H60" t="str">
        <f>IF(G60="","",IFERROR(AVERAGEIFS(DATOS!$K$2:$K$20000,DATOS!$A$2:$A$20000,G60,DATOS!$G$2:$G$20000,CONFIG_METADATA!$B$4,DATOS!$I$2:$I$20000,"Lenguaje Musical"),""))</f>
        <v/>
      </c>
      <c r="I60" t="str">
        <f>IF(G60="","",IFERROR(AVERAGEIFS(DATOS!$K$2:$K$20000,DATOS!$A$2:$A$20000,G60,DATOS!$G$2:$G$20000,CONFIG_METADATA!$B$4,DATOS!$I$2:$I$20000,"Coro"),""))</f>
        <v/>
      </c>
      <c r="J60" t="str">
        <f>IF(G60="","",IFERROR(AVERAGEIFS(DATOS!$K$2:$K$20000,DATOS!$A$2:$A$20000,G60,DATOS!$G$2:$G$20000,CONFIG_METADATA!$B$4,DATOS!$I$2:$I$20000,"Conjunto"),""))</f>
        <v/>
      </c>
      <c r="K60" t="str" cm="1">
        <f t="array" ref="K60">IF(G60="","",IFERROR(AVERAGE(IF((DATOS!$A$2:$A$20000=G60)*(DATOS!$G$2:$G$20000=CONFIG_METADATA!$B$4)*(DATOS!$I$2:$I$20000&lt;&gt;"Lenguaje Musical")*(DATOS!$I$2:$I$20000&lt;&gt;"Coro")*(DATOS!$I$2:$I$20000&lt;&gt;"Conjunto"),DATOS!$K$2:$K$20000)),""))</f>
        <v/>
      </c>
      <c r="N60" t="str">
        <f>IF(M60="","",IFERROR(AVERAGEIFS(DATOS!$K$2:$K$20000,DATOS!$A$2:$A$20000,M60,DATOS!$G$2:$G$20000,CONFIG_METADATA!$B$4,DATOS!$I$2:$I$20000,"Lenguaje Musical"),""))</f>
        <v/>
      </c>
      <c r="O60" t="str">
        <f>IF(M60="","",IFERROR(AVERAGEIFS(DATOS!$K$2:$K$20000,DATOS!$A$2:$A$20000,M60,DATOS!$G$2:$G$20000,CONFIG_METADATA!$B$4,DATOS!$I$2:$I$20000,"Coro"),""))</f>
        <v/>
      </c>
      <c r="P60" t="str">
        <f>IF(M60="","",IFERROR(AVERAGEIFS(DATOS!$K$2:$K$20000,DATOS!$A$2:$A$20000,M60,DATOS!$G$2:$G$20000,CONFIG_METADATA!$B$4,DATOS!$I$2:$I$20000,"Conjunto"),""))</f>
        <v/>
      </c>
      <c r="Q60" t="str" cm="1">
        <f t="array" ref="Q60">IF(M60="","",IFERROR(AVERAGE(IF((DATOS!$A$2:$A$20000=M60)*(DATOS!$G$2:$G$20000=CONFIG_METADATA!$B$4)*(DATOS!$I$2:$I$20000&lt;&gt;"Lenguaje Musical")*(DATOS!$I$2:$I$20000&lt;&gt;"Coro")*(DATOS!$I$2:$I$20000&lt;&gt;"Conjunto"),DATOS!$K$2:$K$20000)),""))</f>
        <v/>
      </c>
      <c r="T60" t="str">
        <f>IF(S60="","",IFERROR(AVERAGEIFS(DATOS!$K$2:$K$20000,DATOS!$A$2:$A$20000,S60,DATOS!$G$2:$G$20000,CONFIG_METADATA!$B$4,DATOS!$I$2:$I$20000,"Lenguaje Musical"),""))</f>
        <v/>
      </c>
      <c r="U60" t="str">
        <f>IF(S60="","",IFERROR(AVERAGEIFS(DATOS!$K$2:$K$20000,DATOS!$A$2:$A$20000,S60,DATOS!$G$2:$G$20000,CONFIG_METADATA!$B$4,DATOS!$I$2:$I$20000,"Coro"),""))</f>
        <v/>
      </c>
      <c r="V60" t="str">
        <f>IF(S60="","",IFERROR(AVERAGEIFS(DATOS!$K$2:$K$20000,DATOS!$A$2:$A$20000,S60,DATOS!$G$2:$G$20000,CONFIG_METADATA!$B$4,DATOS!$I$2:$I$20000,"Conjunto"),""))</f>
        <v/>
      </c>
      <c r="W60" t="str" cm="1">
        <f t="array" ref="W60">IF(S60="","",IFERROR(AVERAGE(IF((DATOS!$A$2:$A$20000=S60)*(DATOS!$G$2:$G$20000=CONFIG_METADATA!$B$4)*(DATOS!$I$2:$I$20000&lt;&gt;"Lenguaje Musical")*(DATOS!$I$2:$I$20000&lt;&gt;"Coro")*(DATOS!$I$2:$I$20000&lt;&gt;"Conjunto"),DATOS!$K$2:$K$20000)),""))</f>
        <v/>
      </c>
    </row>
    <row r="61" spans="2:23" ht="15" customHeight="1" x14ac:dyDescent="0.2">
      <c r="B61" t="str">
        <f>IF(A61="","",IFERROR(AVERAGEIFS(DATOS!$K$2:$K$20000,DATOS!$A$2:$A$20000,A61,DATOS!$G$2:$G$20000,CONFIG_METADATA!$B$4,DATOS!$I$2:$I$20000,"Lenguaje Musical"),""))</f>
        <v/>
      </c>
      <c r="C61" t="str">
        <f>IF(A61="","",IFERROR(AVERAGEIFS(DATOS!$K$2:$K$20000,DATOS!$A$2:$A$20000,A61,DATOS!$G$2:$G$20000,CONFIG_METADATA!$B$4,DATOS!$I$2:$I$20000,"Coro"),""))</f>
        <v/>
      </c>
      <c r="D61" t="str">
        <f>IF(A61="","",IFERROR(AVERAGEIFS(DATOS!$K$2:$K$20000,DATOS!$A$2:$A$20000,A61,DATOS!$G$2:$G$20000,CONFIG_METADATA!$B$4,DATOS!$I$2:$I$20000,"Conjunto"),""))</f>
        <v/>
      </c>
      <c r="E61" t="str" cm="1">
        <f t="array" ref="E61">IF(A61="","",IFERROR(AVERAGE(IF((DATOS!$A$2:$A$20000=A61)*(DATOS!$G$2:$G$20000=CONFIG_METADATA!$B$4)*(DATOS!$I$2:$I$20000&lt;&gt;"Lenguaje Musical")*(DATOS!$I$2:$I$20000&lt;&gt;"Coro")*(DATOS!$I$2:$I$20000&lt;&gt;"Conjunto"),DATOS!$K$2:$K$20000)),""))</f>
        <v/>
      </c>
      <c r="H61" t="str">
        <f>IF(G61="","",IFERROR(AVERAGEIFS(DATOS!$K$2:$K$20000,DATOS!$A$2:$A$20000,G61,DATOS!$G$2:$G$20000,CONFIG_METADATA!$B$4,DATOS!$I$2:$I$20000,"Lenguaje Musical"),""))</f>
        <v/>
      </c>
      <c r="I61" t="str">
        <f>IF(G61="","",IFERROR(AVERAGEIFS(DATOS!$K$2:$K$20000,DATOS!$A$2:$A$20000,G61,DATOS!$G$2:$G$20000,CONFIG_METADATA!$B$4,DATOS!$I$2:$I$20000,"Coro"),""))</f>
        <v/>
      </c>
      <c r="J61" t="str">
        <f>IF(G61="","",IFERROR(AVERAGEIFS(DATOS!$K$2:$K$20000,DATOS!$A$2:$A$20000,G61,DATOS!$G$2:$G$20000,CONFIG_METADATA!$B$4,DATOS!$I$2:$I$20000,"Conjunto"),""))</f>
        <v/>
      </c>
      <c r="K61" t="str" cm="1">
        <f t="array" ref="K61">IF(G61="","",IFERROR(AVERAGE(IF((DATOS!$A$2:$A$20000=G61)*(DATOS!$G$2:$G$20000=CONFIG_METADATA!$B$4)*(DATOS!$I$2:$I$20000&lt;&gt;"Lenguaje Musical")*(DATOS!$I$2:$I$20000&lt;&gt;"Coro")*(DATOS!$I$2:$I$20000&lt;&gt;"Conjunto"),DATOS!$K$2:$K$20000)),""))</f>
        <v/>
      </c>
      <c r="N61" t="str">
        <f>IF(M61="","",IFERROR(AVERAGEIFS(DATOS!$K$2:$K$20000,DATOS!$A$2:$A$20000,M61,DATOS!$G$2:$G$20000,CONFIG_METADATA!$B$4,DATOS!$I$2:$I$20000,"Lenguaje Musical"),""))</f>
        <v/>
      </c>
      <c r="O61" t="str">
        <f>IF(M61="","",IFERROR(AVERAGEIFS(DATOS!$K$2:$K$20000,DATOS!$A$2:$A$20000,M61,DATOS!$G$2:$G$20000,CONFIG_METADATA!$B$4,DATOS!$I$2:$I$20000,"Coro"),""))</f>
        <v/>
      </c>
      <c r="P61" t="str">
        <f>IF(M61="","",IFERROR(AVERAGEIFS(DATOS!$K$2:$K$20000,DATOS!$A$2:$A$20000,M61,DATOS!$G$2:$G$20000,CONFIG_METADATA!$B$4,DATOS!$I$2:$I$20000,"Conjunto"),""))</f>
        <v/>
      </c>
      <c r="Q61" t="str" cm="1">
        <f t="array" ref="Q61">IF(M61="","",IFERROR(AVERAGE(IF((DATOS!$A$2:$A$20000=M61)*(DATOS!$G$2:$G$20000=CONFIG_METADATA!$B$4)*(DATOS!$I$2:$I$20000&lt;&gt;"Lenguaje Musical")*(DATOS!$I$2:$I$20000&lt;&gt;"Coro")*(DATOS!$I$2:$I$20000&lt;&gt;"Conjunto"),DATOS!$K$2:$K$20000)),""))</f>
        <v/>
      </c>
      <c r="T61" t="str">
        <f>IF(S61="","",IFERROR(AVERAGEIFS(DATOS!$K$2:$K$20000,DATOS!$A$2:$A$20000,S61,DATOS!$G$2:$G$20000,CONFIG_METADATA!$B$4,DATOS!$I$2:$I$20000,"Lenguaje Musical"),""))</f>
        <v/>
      </c>
      <c r="U61" t="str">
        <f>IF(S61="","",IFERROR(AVERAGEIFS(DATOS!$K$2:$K$20000,DATOS!$A$2:$A$20000,S61,DATOS!$G$2:$G$20000,CONFIG_METADATA!$B$4,DATOS!$I$2:$I$20000,"Coro"),""))</f>
        <v/>
      </c>
      <c r="V61" t="str">
        <f>IF(S61="","",IFERROR(AVERAGEIFS(DATOS!$K$2:$K$20000,DATOS!$A$2:$A$20000,S61,DATOS!$G$2:$G$20000,CONFIG_METADATA!$B$4,DATOS!$I$2:$I$20000,"Conjunto"),""))</f>
        <v/>
      </c>
      <c r="W61" t="str" cm="1">
        <f t="array" ref="W61">IF(S61="","",IFERROR(AVERAGE(IF((DATOS!$A$2:$A$20000=S61)*(DATOS!$G$2:$G$20000=CONFIG_METADATA!$B$4)*(DATOS!$I$2:$I$20000&lt;&gt;"Lenguaje Musical")*(DATOS!$I$2:$I$20000&lt;&gt;"Coro")*(DATOS!$I$2:$I$20000&lt;&gt;"Conjunto"),DATOS!$K$2:$K$20000)),""))</f>
        <v/>
      </c>
    </row>
    <row r="62" spans="2:23" ht="15" customHeight="1" x14ac:dyDescent="0.2">
      <c r="B62" t="str">
        <f>IF(A62="","",IFERROR(AVERAGEIFS(DATOS!$K$2:$K$20000,DATOS!$A$2:$A$20000,A62,DATOS!$G$2:$G$20000,CONFIG_METADATA!$B$4,DATOS!$I$2:$I$20000,"Lenguaje Musical"),""))</f>
        <v/>
      </c>
      <c r="C62" t="str">
        <f>IF(A62="","",IFERROR(AVERAGEIFS(DATOS!$K$2:$K$20000,DATOS!$A$2:$A$20000,A62,DATOS!$G$2:$G$20000,CONFIG_METADATA!$B$4,DATOS!$I$2:$I$20000,"Coro"),""))</f>
        <v/>
      </c>
      <c r="D62" t="str">
        <f>IF(A62="","",IFERROR(AVERAGEIFS(DATOS!$K$2:$K$20000,DATOS!$A$2:$A$20000,A62,DATOS!$G$2:$G$20000,CONFIG_METADATA!$B$4,DATOS!$I$2:$I$20000,"Conjunto"),""))</f>
        <v/>
      </c>
      <c r="E62" t="str" cm="1">
        <f t="array" ref="E62">IF(A62="","",IFERROR(AVERAGE(IF((DATOS!$A$2:$A$20000=A62)*(DATOS!$G$2:$G$20000=CONFIG_METADATA!$B$4)*(DATOS!$I$2:$I$20000&lt;&gt;"Lenguaje Musical")*(DATOS!$I$2:$I$20000&lt;&gt;"Coro")*(DATOS!$I$2:$I$20000&lt;&gt;"Conjunto"),DATOS!$K$2:$K$20000)),""))</f>
        <v/>
      </c>
      <c r="H62" t="str">
        <f>IF(G62="","",IFERROR(AVERAGEIFS(DATOS!$K$2:$K$20000,DATOS!$A$2:$A$20000,G62,DATOS!$G$2:$G$20000,CONFIG_METADATA!$B$4,DATOS!$I$2:$I$20000,"Lenguaje Musical"),""))</f>
        <v/>
      </c>
      <c r="I62" t="str">
        <f>IF(G62="","",IFERROR(AVERAGEIFS(DATOS!$K$2:$K$20000,DATOS!$A$2:$A$20000,G62,DATOS!$G$2:$G$20000,CONFIG_METADATA!$B$4,DATOS!$I$2:$I$20000,"Coro"),""))</f>
        <v/>
      </c>
      <c r="J62" t="str">
        <f>IF(G62="","",IFERROR(AVERAGEIFS(DATOS!$K$2:$K$20000,DATOS!$A$2:$A$20000,G62,DATOS!$G$2:$G$20000,CONFIG_METADATA!$B$4,DATOS!$I$2:$I$20000,"Conjunto"),""))</f>
        <v/>
      </c>
      <c r="K62" t="str" cm="1">
        <f t="array" ref="K62">IF(G62="","",IFERROR(AVERAGE(IF((DATOS!$A$2:$A$20000=G62)*(DATOS!$G$2:$G$20000=CONFIG_METADATA!$B$4)*(DATOS!$I$2:$I$20000&lt;&gt;"Lenguaje Musical")*(DATOS!$I$2:$I$20000&lt;&gt;"Coro")*(DATOS!$I$2:$I$20000&lt;&gt;"Conjunto"),DATOS!$K$2:$K$20000)),""))</f>
        <v/>
      </c>
      <c r="N62" t="str">
        <f>IF(M62="","",IFERROR(AVERAGEIFS(DATOS!$K$2:$K$20000,DATOS!$A$2:$A$20000,M62,DATOS!$G$2:$G$20000,CONFIG_METADATA!$B$4,DATOS!$I$2:$I$20000,"Lenguaje Musical"),""))</f>
        <v/>
      </c>
      <c r="O62" t="str">
        <f>IF(M62="","",IFERROR(AVERAGEIFS(DATOS!$K$2:$K$20000,DATOS!$A$2:$A$20000,M62,DATOS!$G$2:$G$20000,CONFIG_METADATA!$B$4,DATOS!$I$2:$I$20000,"Coro"),""))</f>
        <v/>
      </c>
      <c r="P62" t="str">
        <f>IF(M62="","",IFERROR(AVERAGEIFS(DATOS!$K$2:$K$20000,DATOS!$A$2:$A$20000,M62,DATOS!$G$2:$G$20000,CONFIG_METADATA!$B$4,DATOS!$I$2:$I$20000,"Conjunto"),""))</f>
        <v/>
      </c>
      <c r="Q62" t="str" cm="1">
        <f t="array" ref="Q62">IF(M62="","",IFERROR(AVERAGE(IF((DATOS!$A$2:$A$20000=M62)*(DATOS!$G$2:$G$20000=CONFIG_METADATA!$B$4)*(DATOS!$I$2:$I$20000&lt;&gt;"Lenguaje Musical")*(DATOS!$I$2:$I$20000&lt;&gt;"Coro")*(DATOS!$I$2:$I$20000&lt;&gt;"Conjunto"),DATOS!$K$2:$K$20000)),""))</f>
        <v/>
      </c>
      <c r="T62" t="str">
        <f>IF(S62="","",IFERROR(AVERAGEIFS(DATOS!$K$2:$K$20000,DATOS!$A$2:$A$20000,S62,DATOS!$G$2:$G$20000,CONFIG_METADATA!$B$4,DATOS!$I$2:$I$20000,"Lenguaje Musical"),""))</f>
        <v/>
      </c>
      <c r="U62" t="str">
        <f>IF(S62="","",IFERROR(AVERAGEIFS(DATOS!$K$2:$K$20000,DATOS!$A$2:$A$20000,S62,DATOS!$G$2:$G$20000,CONFIG_METADATA!$B$4,DATOS!$I$2:$I$20000,"Coro"),""))</f>
        <v/>
      </c>
      <c r="V62" t="str">
        <f>IF(S62="","",IFERROR(AVERAGEIFS(DATOS!$K$2:$K$20000,DATOS!$A$2:$A$20000,S62,DATOS!$G$2:$G$20000,CONFIG_METADATA!$B$4,DATOS!$I$2:$I$20000,"Conjunto"),""))</f>
        <v/>
      </c>
      <c r="W62" t="str" cm="1">
        <f t="array" ref="W62">IF(S62="","",IFERROR(AVERAGE(IF((DATOS!$A$2:$A$20000=S62)*(DATOS!$G$2:$G$20000=CONFIG_METADATA!$B$4)*(DATOS!$I$2:$I$20000&lt;&gt;"Lenguaje Musical")*(DATOS!$I$2:$I$20000&lt;&gt;"Coro")*(DATOS!$I$2:$I$20000&lt;&gt;"Conjunto"),DATOS!$K$2:$K$20000)),""))</f>
        <v/>
      </c>
    </row>
    <row r="63" spans="2:23" ht="15" customHeight="1" x14ac:dyDescent="0.2">
      <c r="B63" t="str">
        <f>IF(A63="","",IFERROR(AVERAGEIFS(DATOS!$K$2:$K$20000,DATOS!$A$2:$A$20000,A63,DATOS!$G$2:$G$20000,CONFIG_METADATA!$B$4,DATOS!$I$2:$I$20000,"Lenguaje Musical"),""))</f>
        <v/>
      </c>
      <c r="C63" t="str">
        <f>IF(A63="","",IFERROR(AVERAGEIFS(DATOS!$K$2:$K$20000,DATOS!$A$2:$A$20000,A63,DATOS!$G$2:$G$20000,CONFIG_METADATA!$B$4,DATOS!$I$2:$I$20000,"Coro"),""))</f>
        <v/>
      </c>
      <c r="D63" t="str">
        <f>IF(A63="","",IFERROR(AVERAGEIFS(DATOS!$K$2:$K$20000,DATOS!$A$2:$A$20000,A63,DATOS!$G$2:$G$20000,CONFIG_METADATA!$B$4,DATOS!$I$2:$I$20000,"Conjunto"),""))</f>
        <v/>
      </c>
      <c r="E63" t="str" cm="1">
        <f t="array" ref="E63">IF(A63="","",IFERROR(AVERAGE(IF((DATOS!$A$2:$A$20000=A63)*(DATOS!$G$2:$G$20000=CONFIG_METADATA!$B$4)*(DATOS!$I$2:$I$20000&lt;&gt;"Lenguaje Musical")*(DATOS!$I$2:$I$20000&lt;&gt;"Coro")*(DATOS!$I$2:$I$20000&lt;&gt;"Conjunto"),DATOS!$K$2:$K$20000)),""))</f>
        <v/>
      </c>
      <c r="H63" t="str">
        <f>IF(G63="","",IFERROR(AVERAGEIFS(DATOS!$K$2:$K$20000,DATOS!$A$2:$A$20000,G63,DATOS!$G$2:$G$20000,CONFIG_METADATA!$B$4,DATOS!$I$2:$I$20000,"Lenguaje Musical"),""))</f>
        <v/>
      </c>
      <c r="I63" t="str">
        <f>IF(G63="","",IFERROR(AVERAGEIFS(DATOS!$K$2:$K$20000,DATOS!$A$2:$A$20000,G63,DATOS!$G$2:$G$20000,CONFIG_METADATA!$B$4,DATOS!$I$2:$I$20000,"Coro"),""))</f>
        <v/>
      </c>
      <c r="J63" t="str">
        <f>IF(G63="","",IFERROR(AVERAGEIFS(DATOS!$K$2:$K$20000,DATOS!$A$2:$A$20000,G63,DATOS!$G$2:$G$20000,CONFIG_METADATA!$B$4,DATOS!$I$2:$I$20000,"Conjunto"),""))</f>
        <v/>
      </c>
      <c r="K63" t="str" cm="1">
        <f t="array" ref="K63">IF(G63="","",IFERROR(AVERAGE(IF((DATOS!$A$2:$A$20000=G63)*(DATOS!$G$2:$G$20000=CONFIG_METADATA!$B$4)*(DATOS!$I$2:$I$20000&lt;&gt;"Lenguaje Musical")*(DATOS!$I$2:$I$20000&lt;&gt;"Coro")*(DATOS!$I$2:$I$20000&lt;&gt;"Conjunto"),DATOS!$K$2:$K$20000)),""))</f>
        <v/>
      </c>
      <c r="N63" t="str">
        <f>IF(M63="","",IFERROR(AVERAGEIFS(DATOS!$K$2:$K$20000,DATOS!$A$2:$A$20000,M63,DATOS!$G$2:$G$20000,CONFIG_METADATA!$B$4,DATOS!$I$2:$I$20000,"Lenguaje Musical"),""))</f>
        <v/>
      </c>
      <c r="O63" t="str">
        <f>IF(M63="","",IFERROR(AVERAGEIFS(DATOS!$K$2:$K$20000,DATOS!$A$2:$A$20000,M63,DATOS!$G$2:$G$20000,CONFIG_METADATA!$B$4,DATOS!$I$2:$I$20000,"Coro"),""))</f>
        <v/>
      </c>
      <c r="P63" t="str">
        <f>IF(M63="","",IFERROR(AVERAGEIFS(DATOS!$K$2:$K$20000,DATOS!$A$2:$A$20000,M63,DATOS!$G$2:$G$20000,CONFIG_METADATA!$B$4,DATOS!$I$2:$I$20000,"Conjunto"),""))</f>
        <v/>
      </c>
      <c r="Q63" t="str" cm="1">
        <f t="array" ref="Q63">IF(M63="","",IFERROR(AVERAGE(IF((DATOS!$A$2:$A$20000=M63)*(DATOS!$G$2:$G$20000=CONFIG_METADATA!$B$4)*(DATOS!$I$2:$I$20000&lt;&gt;"Lenguaje Musical")*(DATOS!$I$2:$I$20000&lt;&gt;"Coro")*(DATOS!$I$2:$I$20000&lt;&gt;"Conjunto"),DATOS!$K$2:$K$20000)),""))</f>
        <v/>
      </c>
      <c r="T63" t="str">
        <f>IF(S63="","",IFERROR(AVERAGEIFS(DATOS!$K$2:$K$20000,DATOS!$A$2:$A$20000,S63,DATOS!$G$2:$G$20000,CONFIG_METADATA!$B$4,DATOS!$I$2:$I$20000,"Lenguaje Musical"),""))</f>
        <v/>
      </c>
      <c r="U63" t="str">
        <f>IF(S63="","",IFERROR(AVERAGEIFS(DATOS!$K$2:$K$20000,DATOS!$A$2:$A$20000,S63,DATOS!$G$2:$G$20000,CONFIG_METADATA!$B$4,DATOS!$I$2:$I$20000,"Coro"),""))</f>
        <v/>
      </c>
      <c r="V63" t="str">
        <f>IF(S63="","",IFERROR(AVERAGEIFS(DATOS!$K$2:$K$20000,DATOS!$A$2:$A$20000,S63,DATOS!$G$2:$G$20000,CONFIG_METADATA!$B$4,DATOS!$I$2:$I$20000,"Conjunto"),""))</f>
        <v/>
      </c>
      <c r="W63" t="str" cm="1">
        <f t="array" ref="W63">IF(S63="","",IFERROR(AVERAGE(IF((DATOS!$A$2:$A$20000=S63)*(DATOS!$G$2:$G$20000=CONFIG_METADATA!$B$4)*(DATOS!$I$2:$I$20000&lt;&gt;"Lenguaje Musical")*(DATOS!$I$2:$I$20000&lt;&gt;"Coro")*(DATOS!$I$2:$I$20000&lt;&gt;"Conjunto"),DATOS!$K$2:$K$20000)),""))</f>
        <v/>
      </c>
    </row>
    <row r="64" spans="2:23" ht="15" customHeight="1" x14ac:dyDescent="0.2">
      <c r="B64" t="str">
        <f>IF(A64="","",IFERROR(AVERAGEIFS(DATOS!$K$2:$K$20000,DATOS!$A$2:$A$20000,A64,DATOS!$G$2:$G$20000,CONFIG_METADATA!$B$4,DATOS!$I$2:$I$20000,"Lenguaje Musical"),""))</f>
        <v/>
      </c>
      <c r="C64" t="str">
        <f>IF(A64="","",IFERROR(AVERAGEIFS(DATOS!$K$2:$K$20000,DATOS!$A$2:$A$20000,A64,DATOS!$G$2:$G$20000,CONFIG_METADATA!$B$4,DATOS!$I$2:$I$20000,"Coro"),""))</f>
        <v/>
      </c>
      <c r="D64" t="str">
        <f>IF(A64="","",IFERROR(AVERAGEIFS(DATOS!$K$2:$K$20000,DATOS!$A$2:$A$20000,A64,DATOS!$G$2:$G$20000,CONFIG_METADATA!$B$4,DATOS!$I$2:$I$20000,"Conjunto"),""))</f>
        <v/>
      </c>
      <c r="E64" t="str" cm="1">
        <f t="array" ref="E64">IF(A64="","",IFERROR(AVERAGE(IF((DATOS!$A$2:$A$20000=A64)*(DATOS!$G$2:$G$20000=CONFIG_METADATA!$B$4)*(DATOS!$I$2:$I$20000&lt;&gt;"Lenguaje Musical")*(DATOS!$I$2:$I$20000&lt;&gt;"Coro")*(DATOS!$I$2:$I$20000&lt;&gt;"Conjunto"),DATOS!$K$2:$K$20000)),""))</f>
        <v/>
      </c>
      <c r="H64" t="str">
        <f>IF(G64="","",IFERROR(AVERAGEIFS(DATOS!$K$2:$K$20000,DATOS!$A$2:$A$20000,G64,DATOS!$G$2:$G$20000,CONFIG_METADATA!$B$4,DATOS!$I$2:$I$20000,"Lenguaje Musical"),""))</f>
        <v/>
      </c>
      <c r="I64" t="str">
        <f>IF(G64="","",IFERROR(AVERAGEIFS(DATOS!$K$2:$K$20000,DATOS!$A$2:$A$20000,G64,DATOS!$G$2:$G$20000,CONFIG_METADATA!$B$4,DATOS!$I$2:$I$20000,"Coro"),""))</f>
        <v/>
      </c>
      <c r="J64" t="str">
        <f>IF(G64="","",IFERROR(AVERAGEIFS(DATOS!$K$2:$K$20000,DATOS!$A$2:$A$20000,G64,DATOS!$G$2:$G$20000,CONFIG_METADATA!$B$4,DATOS!$I$2:$I$20000,"Conjunto"),""))</f>
        <v/>
      </c>
      <c r="K64" t="str" cm="1">
        <f t="array" ref="K64">IF(G64="","",IFERROR(AVERAGE(IF((DATOS!$A$2:$A$20000=G64)*(DATOS!$G$2:$G$20000=CONFIG_METADATA!$B$4)*(DATOS!$I$2:$I$20000&lt;&gt;"Lenguaje Musical")*(DATOS!$I$2:$I$20000&lt;&gt;"Coro")*(DATOS!$I$2:$I$20000&lt;&gt;"Conjunto"),DATOS!$K$2:$K$20000)),""))</f>
        <v/>
      </c>
      <c r="N64" t="str">
        <f>IF(M64="","",IFERROR(AVERAGEIFS(DATOS!$K$2:$K$20000,DATOS!$A$2:$A$20000,M64,DATOS!$G$2:$G$20000,CONFIG_METADATA!$B$4,DATOS!$I$2:$I$20000,"Lenguaje Musical"),""))</f>
        <v/>
      </c>
      <c r="O64" t="str">
        <f>IF(M64="","",IFERROR(AVERAGEIFS(DATOS!$K$2:$K$20000,DATOS!$A$2:$A$20000,M64,DATOS!$G$2:$G$20000,CONFIG_METADATA!$B$4,DATOS!$I$2:$I$20000,"Coro"),""))</f>
        <v/>
      </c>
      <c r="P64" t="str">
        <f>IF(M64="","",IFERROR(AVERAGEIFS(DATOS!$K$2:$K$20000,DATOS!$A$2:$A$20000,M64,DATOS!$G$2:$G$20000,CONFIG_METADATA!$B$4,DATOS!$I$2:$I$20000,"Conjunto"),""))</f>
        <v/>
      </c>
      <c r="Q64" t="str" cm="1">
        <f t="array" ref="Q64">IF(M64="","",IFERROR(AVERAGE(IF((DATOS!$A$2:$A$20000=M64)*(DATOS!$G$2:$G$20000=CONFIG_METADATA!$B$4)*(DATOS!$I$2:$I$20000&lt;&gt;"Lenguaje Musical")*(DATOS!$I$2:$I$20000&lt;&gt;"Coro")*(DATOS!$I$2:$I$20000&lt;&gt;"Conjunto"),DATOS!$K$2:$K$20000)),""))</f>
        <v/>
      </c>
      <c r="T64" t="str">
        <f>IF(S64="","",IFERROR(AVERAGEIFS(DATOS!$K$2:$K$20000,DATOS!$A$2:$A$20000,S64,DATOS!$G$2:$G$20000,CONFIG_METADATA!$B$4,DATOS!$I$2:$I$20000,"Lenguaje Musical"),""))</f>
        <v/>
      </c>
      <c r="U64" t="str">
        <f>IF(S64="","",IFERROR(AVERAGEIFS(DATOS!$K$2:$K$20000,DATOS!$A$2:$A$20000,S64,DATOS!$G$2:$G$20000,CONFIG_METADATA!$B$4,DATOS!$I$2:$I$20000,"Coro"),""))</f>
        <v/>
      </c>
      <c r="V64" t="str">
        <f>IF(S64="","",IFERROR(AVERAGEIFS(DATOS!$K$2:$K$20000,DATOS!$A$2:$A$20000,S64,DATOS!$G$2:$G$20000,CONFIG_METADATA!$B$4,DATOS!$I$2:$I$20000,"Conjunto"),""))</f>
        <v/>
      </c>
      <c r="W64" t="str" cm="1">
        <f t="array" ref="W64">IF(S64="","",IFERROR(AVERAGE(IF((DATOS!$A$2:$A$20000=S64)*(DATOS!$G$2:$G$20000=CONFIG_METADATA!$B$4)*(DATOS!$I$2:$I$20000&lt;&gt;"Lenguaje Musical")*(DATOS!$I$2:$I$20000&lt;&gt;"Coro")*(DATOS!$I$2:$I$20000&lt;&gt;"Conjunto"),DATOS!$K$2:$K$20000)),""))</f>
        <v/>
      </c>
    </row>
    <row r="65" spans="2:23" ht="15" customHeight="1" x14ac:dyDescent="0.2">
      <c r="B65" t="str">
        <f>IF(A65="","",IFERROR(AVERAGEIFS(DATOS!$K$2:$K$20000,DATOS!$A$2:$A$20000,A65,DATOS!$G$2:$G$20000,CONFIG_METADATA!$B$4,DATOS!$I$2:$I$20000,"Lenguaje Musical"),""))</f>
        <v/>
      </c>
      <c r="C65" t="str">
        <f>IF(A65="","",IFERROR(AVERAGEIFS(DATOS!$K$2:$K$20000,DATOS!$A$2:$A$20000,A65,DATOS!$G$2:$G$20000,CONFIG_METADATA!$B$4,DATOS!$I$2:$I$20000,"Coro"),""))</f>
        <v/>
      </c>
      <c r="D65" t="str">
        <f>IF(A65="","",IFERROR(AVERAGEIFS(DATOS!$K$2:$K$20000,DATOS!$A$2:$A$20000,A65,DATOS!$G$2:$G$20000,CONFIG_METADATA!$B$4,DATOS!$I$2:$I$20000,"Conjunto"),""))</f>
        <v/>
      </c>
      <c r="E65" t="str" cm="1">
        <f t="array" ref="E65">IF(A65="","",IFERROR(AVERAGE(IF((DATOS!$A$2:$A$20000=A65)*(DATOS!$G$2:$G$20000=CONFIG_METADATA!$B$4)*(DATOS!$I$2:$I$20000&lt;&gt;"Lenguaje Musical")*(DATOS!$I$2:$I$20000&lt;&gt;"Coro")*(DATOS!$I$2:$I$20000&lt;&gt;"Conjunto"),DATOS!$K$2:$K$20000)),""))</f>
        <v/>
      </c>
      <c r="H65" t="str">
        <f>IF(G65="","",IFERROR(AVERAGEIFS(DATOS!$K$2:$K$20000,DATOS!$A$2:$A$20000,G65,DATOS!$G$2:$G$20000,CONFIG_METADATA!$B$4,DATOS!$I$2:$I$20000,"Lenguaje Musical"),""))</f>
        <v/>
      </c>
      <c r="I65" t="str">
        <f>IF(G65="","",IFERROR(AVERAGEIFS(DATOS!$K$2:$K$20000,DATOS!$A$2:$A$20000,G65,DATOS!$G$2:$G$20000,CONFIG_METADATA!$B$4,DATOS!$I$2:$I$20000,"Coro"),""))</f>
        <v/>
      </c>
      <c r="J65" t="str">
        <f>IF(G65="","",IFERROR(AVERAGEIFS(DATOS!$K$2:$K$20000,DATOS!$A$2:$A$20000,G65,DATOS!$G$2:$G$20000,CONFIG_METADATA!$B$4,DATOS!$I$2:$I$20000,"Conjunto"),""))</f>
        <v/>
      </c>
      <c r="K65" t="str" cm="1">
        <f t="array" ref="K65">IF(G65="","",IFERROR(AVERAGE(IF((DATOS!$A$2:$A$20000=G65)*(DATOS!$G$2:$G$20000=CONFIG_METADATA!$B$4)*(DATOS!$I$2:$I$20000&lt;&gt;"Lenguaje Musical")*(DATOS!$I$2:$I$20000&lt;&gt;"Coro")*(DATOS!$I$2:$I$20000&lt;&gt;"Conjunto"),DATOS!$K$2:$K$20000)),""))</f>
        <v/>
      </c>
      <c r="N65" t="str">
        <f>IF(M65="","",IFERROR(AVERAGEIFS(DATOS!$K$2:$K$20000,DATOS!$A$2:$A$20000,M65,DATOS!$G$2:$G$20000,CONFIG_METADATA!$B$4,DATOS!$I$2:$I$20000,"Lenguaje Musical"),""))</f>
        <v/>
      </c>
      <c r="O65" t="str">
        <f>IF(M65="","",IFERROR(AVERAGEIFS(DATOS!$K$2:$K$20000,DATOS!$A$2:$A$20000,M65,DATOS!$G$2:$G$20000,CONFIG_METADATA!$B$4,DATOS!$I$2:$I$20000,"Coro"),""))</f>
        <v/>
      </c>
      <c r="P65" t="str">
        <f>IF(M65="","",IFERROR(AVERAGEIFS(DATOS!$K$2:$K$20000,DATOS!$A$2:$A$20000,M65,DATOS!$G$2:$G$20000,CONFIG_METADATA!$B$4,DATOS!$I$2:$I$20000,"Conjunto"),""))</f>
        <v/>
      </c>
      <c r="Q65" t="str" cm="1">
        <f t="array" ref="Q65">IF(M65="","",IFERROR(AVERAGE(IF((DATOS!$A$2:$A$20000=M65)*(DATOS!$G$2:$G$20000=CONFIG_METADATA!$B$4)*(DATOS!$I$2:$I$20000&lt;&gt;"Lenguaje Musical")*(DATOS!$I$2:$I$20000&lt;&gt;"Coro")*(DATOS!$I$2:$I$20000&lt;&gt;"Conjunto"),DATOS!$K$2:$K$20000)),""))</f>
        <v/>
      </c>
      <c r="T65" t="str">
        <f>IF(S65="","",IFERROR(AVERAGEIFS(DATOS!$K$2:$K$20000,DATOS!$A$2:$A$20000,S65,DATOS!$G$2:$G$20000,CONFIG_METADATA!$B$4,DATOS!$I$2:$I$20000,"Lenguaje Musical"),""))</f>
        <v/>
      </c>
      <c r="U65" t="str">
        <f>IF(S65="","",IFERROR(AVERAGEIFS(DATOS!$K$2:$K$20000,DATOS!$A$2:$A$20000,S65,DATOS!$G$2:$G$20000,CONFIG_METADATA!$B$4,DATOS!$I$2:$I$20000,"Coro"),""))</f>
        <v/>
      </c>
      <c r="V65" t="str">
        <f>IF(S65="","",IFERROR(AVERAGEIFS(DATOS!$K$2:$K$20000,DATOS!$A$2:$A$20000,S65,DATOS!$G$2:$G$20000,CONFIG_METADATA!$B$4,DATOS!$I$2:$I$20000,"Conjunto"),""))</f>
        <v/>
      </c>
      <c r="W65" t="str" cm="1">
        <f t="array" ref="W65">IF(S65="","",IFERROR(AVERAGE(IF((DATOS!$A$2:$A$20000=S65)*(DATOS!$G$2:$G$20000=CONFIG_METADATA!$B$4)*(DATOS!$I$2:$I$20000&lt;&gt;"Lenguaje Musical")*(DATOS!$I$2:$I$20000&lt;&gt;"Coro")*(DATOS!$I$2:$I$20000&lt;&gt;"Conjunto"),DATOS!$K$2:$K$20000)),""))</f>
        <v/>
      </c>
    </row>
    <row r="66" spans="2:23" ht="15" customHeight="1" x14ac:dyDescent="0.2">
      <c r="B66" t="str">
        <f>IF(A66="","",IFERROR(AVERAGEIFS(DATOS!$K$2:$K$20000,DATOS!$A$2:$A$20000,A66,DATOS!$G$2:$G$20000,CONFIG_METADATA!$B$4,DATOS!$I$2:$I$20000,"Lenguaje Musical"),""))</f>
        <v/>
      </c>
      <c r="C66" t="str">
        <f>IF(A66="","",IFERROR(AVERAGEIFS(DATOS!$K$2:$K$20000,DATOS!$A$2:$A$20000,A66,DATOS!$G$2:$G$20000,CONFIG_METADATA!$B$4,DATOS!$I$2:$I$20000,"Coro"),""))</f>
        <v/>
      </c>
      <c r="D66" t="str">
        <f>IF(A66="","",IFERROR(AVERAGEIFS(DATOS!$K$2:$K$20000,DATOS!$A$2:$A$20000,A66,DATOS!$G$2:$G$20000,CONFIG_METADATA!$B$4,DATOS!$I$2:$I$20000,"Conjunto"),""))</f>
        <v/>
      </c>
      <c r="E66" t="str" cm="1">
        <f t="array" ref="E66">IF(A66="","",IFERROR(AVERAGE(IF((DATOS!$A$2:$A$20000=A66)*(DATOS!$G$2:$G$20000=CONFIG_METADATA!$B$4)*(DATOS!$I$2:$I$20000&lt;&gt;"Lenguaje Musical")*(DATOS!$I$2:$I$20000&lt;&gt;"Coro")*(DATOS!$I$2:$I$20000&lt;&gt;"Conjunto"),DATOS!$K$2:$K$20000)),""))</f>
        <v/>
      </c>
      <c r="H66" t="str">
        <f>IF(G66="","",IFERROR(AVERAGEIFS(DATOS!$K$2:$K$20000,DATOS!$A$2:$A$20000,G66,DATOS!$G$2:$G$20000,CONFIG_METADATA!$B$4,DATOS!$I$2:$I$20000,"Lenguaje Musical"),""))</f>
        <v/>
      </c>
      <c r="I66" t="str">
        <f>IF(G66="","",IFERROR(AVERAGEIFS(DATOS!$K$2:$K$20000,DATOS!$A$2:$A$20000,G66,DATOS!$G$2:$G$20000,CONFIG_METADATA!$B$4,DATOS!$I$2:$I$20000,"Coro"),""))</f>
        <v/>
      </c>
      <c r="J66" t="str">
        <f>IF(G66="","",IFERROR(AVERAGEIFS(DATOS!$K$2:$K$20000,DATOS!$A$2:$A$20000,G66,DATOS!$G$2:$G$20000,CONFIG_METADATA!$B$4,DATOS!$I$2:$I$20000,"Conjunto"),""))</f>
        <v/>
      </c>
      <c r="K66" t="str" cm="1">
        <f t="array" ref="K66">IF(G66="","",IFERROR(AVERAGE(IF((DATOS!$A$2:$A$20000=G66)*(DATOS!$G$2:$G$20000=CONFIG_METADATA!$B$4)*(DATOS!$I$2:$I$20000&lt;&gt;"Lenguaje Musical")*(DATOS!$I$2:$I$20000&lt;&gt;"Coro")*(DATOS!$I$2:$I$20000&lt;&gt;"Conjunto"),DATOS!$K$2:$K$20000)),""))</f>
        <v/>
      </c>
      <c r="N66" t="str">
        <f>IF(M66="","",IFERROR(AVERAGEIFS(DATOS!$K$2:$K$20000,DATOS!$A$2:$A$20000,M66,DATOS!$G$2:$G$20000,CONFIG_METADATA!$B$4,DATOS!$I$2:$I$20000,"Lenguaje Musical"),""))</f>
        <v/>
      </c>
      <c r="O66" t="str">
        <f>IF(M66="","",IFERROR(AVERAGEIFS(DATOS!$K$2:$K$20000,DATOS!$A$2:$A$20000,M66,DATOS!$G$2:$G$20000,CONFIG_METADATA!$B$4,DATOS!$I$2:$I$20000,"Coro"),""))</f>
        <v/>
      </c>
      <c r="P66" t="str">
        <f>IF(M66="","",IFERROR(AVERAGEIFS(DATOS!$K$2:$K$20000,DATOS!$A$2:$A$20000,M66,DATOS!$G$2:$G$20000,CONFIG_METADATA!$B$4,DATOS!$I$2:$I$20000,"Conjunto"),""))</f>
        <v/>
      </c>
      <c r="Q66" t="str" cm="1">
        <f t="array" ref="Q66">IF(M66="","",IFERROR(AVERAGE(IF((DATOS!$A$2:$A$20000=M66)*(DATOS!$G$2:$G$20000=CONFIG_METADATA!$B$4)*(DATOS!$I$2:$I$20000&lt;&gt;"Lenguaje Musical")*(DATOS!$I$2:$I$20000&lt;&gt;"Coro")*(DATOS!$I$2:$I$20000&lt;&gt;"Conjunto"),DATOS!$K$2:$K$20000)),""))</f>
        <v/>
      </c>
      <c r="T66" t="str">
        <f>IF(S66="","",IFERROR(AVERAGEIFS(DATOS!$K$2:$K$20000,DATOS!$A$2:$A$20000,S66,DATOS!$G$2:$G$20000,CONFIG_METADATA!$B$4,DATOS!$I$2:$I$20000,"Lenguaje Musical"),""))</f>
        <v/>
      </c>
      <c r="U66" t="str">
        <f>IF(S66="","",IFERROR(AVERAGEIFS(DATOS!$K$2:$K$20000,DATOS!$A$2:$A$20000,S66,DATOS!$G$2:$G$20000,CONFIG_METADATA!$B$4,DATOS!$I$2:$I$20000,"Coro"),""))</f>
        <v/>
      </c>
      <c r="V66" t="str">
        <f>IF(S66="","",IFERROR(AVERAGEIFS(DATOS!$K$2:$K$20000,DATOS!$A$2:$A$20000,S66,DATOS!$G$2:$G$20000,CONFIG_METADATA!$B$4,DATOS!$I$2:$I$20000,"Conjunto"),""))</f>
        <v/>
      </c>
      <c r="W66" t="str" cm="1">
        <f t="array" ref="W66">IF(S66="","",IFERROR(AVERAGE(IF((DATOS!$A$2:$A$20000=S66)*(DATOS!$G$2:$G$20000=CONFIG_METADATA!$B$4)*(DATOS!$I$2:$I$20000&lt;&gt;"Lenguaje Musical")*(DATOS!$I$2:$I$20000&lt;&gt;"Coro")*(DATOS!$I$2:$I$20000&lt;&gt;"Conjunto"),DATOS!$K$2:$K$20000)),""))</f>
        <v/>
      </c>
    </row>
    <row r="67" spans="2:23" ht="15" customHeight="1" x14ac:dyDescent="0.2">
      <c r="B67" t="str">
        <f>IF(A67="","",IFERROR(AVERAGEIFS(DATOS!$K$2:$K$20000,DATOS!$A$2:$A$20000,A67,DATOS!$G$2:$G$20000,CONFIG_METADATA!$B$4,DATOS!$I$2:$I$20000,"Lenguaje Musical"),""))</f>
        <v/>
      </c>
      <c r="C67" t="str">
        <f>IF(A67="","",IFERROR(AVERAGEIFS(DATOS!$K$2:$K$20000,DATOS!$A$2:$A$20000,A67,DATOS!$G$2:$G$20000,CONFIG_METADATA!$B$4,DATOS!$I$2:$I$20000,"Coro"),""))</f>
        <v/>
      </c>
      <c r="D67" t="str">
        <f>IF(A67="","",IFERROR(AVERAGEIFS(DATOS!$K$2:$K$20000,DATOS!$A$2:$A$20000,A67,DATOS!$G$2:$G$20000,CONFIG_METADATA!$B$4,DATOS!$I$2:$I$20000,"Conjunto"),""))</f>
        <v/>
      </c>
      <c r="E67" t="str" cm="1">
        <f t="array" ref="E67">IF(A67="","",IFERROR(AVERAGE(IF((DATOS!$A$2:$A$20000=A67)*(DATOS!$G$2:$G$20000=CONFIG_METADATA!$B$4)*(DATOS!$I$2:$I$20000&lt;&gt;"Lenguaje Musical")*(DATOS!$I$2:$I$20000&lt;&gt;"Coro")*(DATOS!$I$2:$I$20000&lt;&gt;"Conjunto"),DATOS!$K$2:$K$20000)),""))</f>
        <v/>
      </c>
      <c r="H67" t="str">
        <f>IF(G67="","",IFERROR(AVERAGEIFS(DATOS!$K$2:$K$20000,DATOS!$A$2:$A$20000,G67,DATOS!$G$2:$G$20000,CONFIG_METADATA!$B$4,DATOS!$I$2:$I$20000,"Lenguaje Musical"),""))</f>
        <v/>
      </c>
      <c r="I67" t="str">
        <f>IF(G67="","",IFERROR(AVERAGEIFS(DATOS!$K$2:$K$20000,DATOS!$A$2:$A$20000,G67,DATOS!$G$2:$G$20000,CONFIG_METADATA!$B$4,DATOS!$I$2:$I$20000,"Coro"),""))</f>
        <v/>
      </c>
      <c r="J67" t="str">
        <f>IF(G67="","",IFERROR(AVERAGEIFS(DATOS!$K$2:$K$20000,DATOS!$A$2:$A$20000,G67,DATOS!$G$2:$G$20000,CONFIG_METADATA!$B$4,DATOS!$I$2:$I$20000,"Conjunto"),""))</f>
        <v/>
      </c>
      <c r="K67" t="str" cm="1">
        <f t="array" ref="K67">IF(G67="","",IFERROR(AVERAGE(IF((DATOS!$A$2:$A$20000=G67)*(DATOS!$G$2:$G$20000=CONFIG_METADATA!$B$4)*(DATOS!$I$2:$I$20000&lt;&gt;"Lenguaje Musical")*(DATOS!$I$2:$I$20000&lt;&gt;"Coro")*(DATOS!$I$2:$I$20000&lt;&gt;"Conjunto"),DATOS!$K$2:$K$20000)),""))</f>
        <v/>
      </c>
      <c r="N67" t="str">
        <f>IF(M67="","",IFERROR(AVERAGEIFS(DATOS!$K$2:$K$20000,DATOS!$A$2:$A$20000,M67,DATOS!$G$2:$G$20000,CONFIG_METADATA!$B$4,DATOS!$I$2:$I$20000,"Lenguaje Musical"),""))</f>
        <v/>
      </c>
      <c r="O67" t="str">
        <f>IF(M67="","",IFERROR(AVERAGEIFS(DATOS!$K$2:$K$20000,DATOS!$A$2:$A$20000,M67,DATOS!$G$2:$G$20000,CONFIG_METADATA!$B$4,DATOS!$I$2:$I$20000,"Coro"),""))</f>
        <v/>
      </c>
      <c r="P67" t="str">
        <f>IF(M67="","",IFERROR(AVERAGEIFS(DATOS!$K$2:$K$20000,DATOS!$A$2:$A$20000,M67,DATOS!$G$2:$G$20000,CONFIG_METADATA!$B$4,DATOS!$I$2:$I$20000,"Conjunto"),""))</f>
        <v/>
      </c>
      <c r="Q67" t="str" cm="1">
        <f t="array" ref="Q67">IF(M67="","",IFERROR(AVERAGE(IF((DATOS!$A$2:$A$20000=M67)*(DATOS!$G$2:$G$20000=CONFIG_METADATA!$B$4)*(DATOS!$I$2:$I$20000&lt;&gt;"Lenguaje Musical")*(DATOS!$I$2:$I$20000&lt;&gt;"Coro")*(DATOS!$I$2:$I$20000&lt;&gt;"Conjunto"),DATOS!$K$2:$K$20000)),""))</f>
        <v/>
      </c>
      <c r="T67" t="str">
        <f>IF(S67="","",IFERROR(AVERAGEIFS(DATOS!$K$2:$K$20000,DATOS!$A$2:$A$20000,S67,DATOS!$G$2:$G$20000,CONFIG_METADATA!$B$4,DATOS!$I$2:$I$20000,"Lenguaje Musical"),""))</f>
        <v/>
      </c>
      <c r="U67" t="str">
        <f>IF(S67="","",IFERROR(AVERAGEIFS(DATOS!$K$2:$K$20000,DATOS!$A$2:$A$20000,S67,DATOS!$G$2:$G$20000,CONFIG_METADATA!$B$4,DATOS!$I$2:$I$20000,"Coro"),""))</f>
        <v/>
      </c>
      <c r="V67" t="str">
        <f>IF(S67="","",IFERROR(AVERAGEIFS(DATOS!$K$2:$K$20000,DATOS!$A$2:$A$20000,S67,DATOS!$G$2:$G$20000,CONFIG_METADATA!$B$4,DATOS!$I$2:$I$20000,"Conjunto"),""))</f>
        <v/>
      </c>
      <c r="W67" t="str" cm="1">
        <f t="array" ref="W67">IF(S67="","",IFERROR(AVERAGE(IF((DATOS!$A$2:$A$20000=S67)*(DATOS!$G$2:$G$20000=CONFIG_METADATA!$B$4)*(DATOS!$I$2:$I$20000&lt;&gt;"Lenguaje Musical")*(DATOS!$I$2:$I$20000&lt;&gt;"Coro")*(DATOS!$I$2:$I$20000&lt;&gt;"Conjunto"),DATOS!$K$2:$K$20000)),""))</f>
        <v/>
      </c>
    </row>
    <row r="68" spans="2:23" ht="15" customHeight="1" x14ac:dyDescent="0.2">
      <c r="B68" t="str">
        <f>IF(A68="","",IFERROR(AVERAGEIFS(DATOS!$K$2:$K$20000,DATOS!$A$2:$A$20000,A68,DATOS!$G$2:$G$20000,CONFIG_METADATA!$B$4,DATOS!$I$2:$I$20000,"Lenguaje Musical"),""))</f>
        <v/>
      </c>
      <c r="C68" t="str">
        <f>IF(A68="","",IFERROR(AVERAGEIFS(DATOS!$K$2:$K$20000,DATOS!$A$2:$A$20000,A68,DATOS!$G$2:$G$20000,CONFIG_METADATA!$B$4,DATOS!$I$2:$I$20000,"Coro"),""))</f>
        <v/>
      </c>
      <c r="D68" t="str">
        <f>IF(A68="","",IFERROR(AVERAGEIFS(DATOS!$K$2:$K$20000,DATOS!$A$2:$A$20000,A68,DATOS!$G$2:$G$20000,CONFIG_METADATA!$B$4,DATOS!$I$2:$I$20000,"Conjunto"),""))</f>
        <v/>
      </c>
      <c r="E68" t="str" cm="1">
        <f t="array" ref="E68">IF(A68="","",IFERROR(AVERAGE(IF((DATOS!$A$2:$A$20000=A68)*(DATOS!$G$2:$G$20000=CONFIG_METADATA!$B$4)*(DATOS!$I$2:$I$20000&lt;&gt;"Lenguaje Musical")*(DATOS!$I$2:$I$20000&lt;&gt;"Coro")*(DATOS!$I$2:$I$20000&lt;&gt;"Conjunto"),DATOS!$K$2:$K$20000)),""))</f>
        <v/>
      </c>
      <c r="H68" t="str">
        <f>IF(G68="","",IFERROR(AVERAGEIFS(DATOS!$K$2:$K$20000,DATOS!$A$2:$A$20000,G68,DATOS!$G$2:$G$20000,CONFIG_METADATA!$B$4,DATOS!$I$2:$I$20000,"Lenguaje Musical"),""))</f>
        <v/>
      </c>
      <c r="I68" t="str">
        <f>IF(G68="","",IFERROR(AVERAGEIFS(DATOS!$K$2:$K$20000,DATOS!$A$2:$A$20000,G68,DATOS!$G$2:$G$20000,CONFIG_METADATA!$B$4,DATOS!$I$2:$I$20000,"Coro"),""))</f>
        <v/>
      </c>
      <c r="J68" t="str">
        <f>IF(G68="","",IFERROR(AVERAGEIFS(DATOS!$K$2:$K$20000,DATOS!$A$2:$A$20000,G68,DATOS!$G$2:$G$20000,CONFIG_METADATA!$B$4,DATOS!$I$2:$I$20000,"Conjunto"),""))</f>
        <v/>
      </c>
      <c r="K68" t="str" cm="1">
        <f t="array" ref="K68">IF(G68="","",IFERROR(AVERAGE(IF((DATOS!$A$2:$A$20000=G68)*(DATOS!$G$2:$G$20000=CONFIG_METADATA!$B$4)*(DATOS!$I$2:$I$20000&lt;&gt;"Lenguaje Musical")*(DATOS!$I$2:$I$20000&lt;&gt;"Coro")*(DATOS!$I$2:$I$20000&lt;&gt;"Conjunto"),DATOS!$K$2:$K$20000)),""))</f>
        <v/>
      </c>
      <c r="N68" t="str">
        <f>IF(M68="","",IFERROR(AVERAGEIFS(DATOS!$K$2:$K$20000,DATOS!$A$2:$A$20000,M68,DATOS!$G$2:$G$20000,CONFIG_METADATA!$B$4,DATOS!$I$2:$I$20000,"Lenguaje Musical"),""))</f>
        <v/>
      </c>
      <c r="O68" t="str">
        <f>IF(M68="","",IFERROR(AVERAGEIFS(DATOS!$K$2:$K$20000,DATOS!$A$2:$A$20000,M68,DATOS!$G$2:$G$20000,CONFIG_METADATA!$B$4,DATOS!$I$2:$I$20000,"Coro"),""))</f>
        <v/>
      </c>
      <c r="P68" t="str">
        <f>IF(M68="","",IFERROR(AVERAGEIFS(DATOS!$K$2:$K$20000,DATOS!$A$2:$A$20000,M68,DATOS!$G$2:$G$20000,CONFIG_METADATA!$B$4,DATOS!$I$2:$I$20000,"Conjunto"),""))</f>
        <v/>
      </c>
      <c r="Q68" t="str" cm="1">
        <f t="array" ref="Q68">IF(M68="","",IFERROR(AVERAGE(IF((DATOS!$A$2:$A$20000=M68)*(DATOS!$G$2:$G$20000=CONFIG_METADATA!$B$4)*(DATOS!$I$2:$I$20000&lt;&gt;"Lenguaje Musical")*(DATOS!$I$2:$I$20000&lt;&gt;"Coro")*(DATOS!$I$2:$I$20000&lt;&gt;"Conjunto"),DATOS!$K$2:$K$20000)),""))</f>
        <v/>
      </c>
      <c r="T68" t="str">
        <f>IF(S68="","",IFERROR(AVERAGEIFS(DATOS!$K$2:$K$20000,DATOS!$A$2:$A$20000,S68,DATOS!$G$2:$G$20000,CONFIG_METADATA!$B$4,DATOS!$I$2:$I$20000,"Lenguaje Musical"),""))</f>
        <v/>
      </c>
      <c r="U68" t="str">
        <f>IF(S68="","",IFERROR(AVERAGEIFS(DATOS!$K$2:$K$20000,DATOS!$A$2:$A$20000,S68,DATOS!$G$2:$G$20000,CONFIG_METADATA!$B$4,DATOS!$I$2:$I$20000,"Coro"),""))</f>
        <v/>
      </c>
      <c r="V68" t="str">
        <f>IF(S68="","",IFERROR(AVERAGEIFS(DATOS!$K$2:$K$20000,DATOS!$A$2:$A$20000,S68,DATOS!$G$2:$G$20000,CONFIG_METADATA!$B$4,DATOS!$I$2:$I$20000,"Conjunto"),""))</f>
        <v/>
      </c>
      <c r="W68" t="str" cm="1">
        <f t="array" ref="W68">IF(S68="","",IFERROR(AVERAGE(IF((DATOS!$A$2:$A$20000=S68)*(DATOS!$G$2:$G$20000=CONFIG_METADATA!$B$4)*(DATOS!$I$2:$I$20000&lt;&gt;"Lenguaje Musical")*(DATOS!$I$2:$I$20000&lt;&gt;"Coro")*(DATOS!$I$2:$I$20000&lt;&gt;"Conjunto"),DATOS!$K$2:$K$20000)),""))</f>
        <v/>
      </c>
    </row>
    <row r="69" spans="2:23" ht="15" customHeight="1" x14ac:dyDescent="0.2">
      <c r="B69" t="str">
        <f>IF(A69="","",IFERROR(AVERAGEIFS(DATOS!$K$2:$K$20000,DATOS!$A$2:$A$20000,A69,DATOS!$G$2:$G$20000,CONFIG_METADATA!$B$4,DATOS!$I$2:$I$20000,"Lenguaje Musical"),""))</f>
        <v/>
      </c>
      <c r="C69" t="str">
        <f>IF(A69="","",IFERROR(AVERAGEIFS(DATOS!$K$2:$K$20000,DATOS!$A$2:$A$20000,A69,DATOS!$G$2:$G$20000,CONFIG_METADATA!$B$4,DATOS!$I$2:$I$20000,"Coro"),""))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    <c r="E69" t="str" cm="1">
        <f t="array" ref="E69">IF(A69="","",IFERROR(AVERAGE(IF((DATOS!$A$2:$A$20000=A69)*(DATOS!$G$2:$G$20000=CONFIG_METADATA!$B$4)*(DATOS!$I$2:$I$20000&lt;&gt;"Lenguaje Musical")*(DATOS!$I$2:$I$20000&lt;&gt;"Coro")*(DATOS!$I$2:$I$20000&lt;&gt;"Conjunto"),DATOS!$K$2:$K$20000)),""))</f>
        <v/>
      </c>
      <c r="H69" t="str">
        <f>IF(G69="","",IFERROR(AVERAGEIFS(DATOS!$K$2:$K$20000,DATOS!$A$2:$A$20000,G69,DATOS!$G$2:$G$20000,CONFIG_METADATA!$B$4,DATOS!$I$2:$I$20000,"Lenguaje Musical"),""))</f>
        <v/>
      </c>
      <c r="I69" t="str">
        <f>IF(G69="","",IFERROR(AVERAGEIFS(DATOS!$K$2:$K$20000,DATOS!$A$2:$A$20000,G69,DATOS!$G$2:$G$20000,CONFIG_METADATA!$B$4,DATOS!$I$2:$I$20000,"Coro"),""))</f>
        <v/>
      </c>
      <c r="J69" t="str">
        <f>IF(G69="","",IFERROR(AVERAGEIFS(DATOS!$K$2:$K$20000,DATOS!$A$2:$A$20000,G69,DATOS!$G$2:$G$20000,CONFIG_METADATA!$B$4,DATOS!$I$2:$I$20000,"Conjunto"),""))</f>
        <v/>
      </c>
      <c r="K69" t="str" cm="1">
        <f t="array" ref="K69">IF(G69="","",IFERROR(AVERAGE(IF((DATOS!$A$2:$A$20000=G69)*(DATOS!$G$2:$G$20000=CONFIG_METADATA!$B$4)*(DATOS!$I$2:$I$20000&lt;&gt;"Lenguaje Musical")*(DATOS!$I$2:$I$20000&lt;&gt;"Coro")*(DATOS!$I$2:$I$20000&lt;&gt;"Conjunto"),DATOS!$K$2:$K$20000)),""))</f>
        <v/>
      </c>
      <c r="N69" t="str">
        <f>IF(M69="","",IFERROR(AVERAGEIFS(DATOS!$K$2:$K$20000,DATOS!$A$2:$A$20000,M69,DATOS!$G$2:$G$20000,CONFIG_METADATA!$B$4,DATOS!$I$2:$I$20000,"Lenguaje Musical"),""))</f>
        <v/>
      </c>
      <c r="O69" t="str">
        <f>IF(M69="","",IFERROR(AVERAGEIFS(DATOS!$K$2:$K$20000,DATOS!$A$2:$A$20000,M69,DATOS!$G$2:$G$20000,CONFIG_METADATA!$B$4,DATOS!$I$2:$I$20000,"Coro"),""))</f>
        <v/>
      </c>
      <c r="P69" t="str">
        <f>IF(M69="","",IFERROR(AVERAGEIFS(DATOS!$K$2:$K$20000,DATOS!$A$2:$A$20000,M69,DATOS!$G$2:$G$20000,CONFIG_METADATA!$B$4,DATOS!$I$2:$I$20000,"Conjunto"),""))</f>
        <v/>
      </c>
      <c r="Q69" t="str" cm="1">
        <f t="array" ref="Q69">IF(M69="","",IFERROR(AVERAGE(IF((DATOS!$A$2:$A$20000=M69)*(DATOS!$G$2:$G$20000=CONFIG_METADATA!$B$4)*(DATOS!$I$2:$I$20000&lt;&gt;"Lenguaje Musical")*(DATOS!$I$2:$I$20000&lt;&gt;"Coro")*(DATOS!$I$2:$I$20000&lt;&gt;"Conjunto"),DATOS!$K$2:$K$20000)),""))</f>
        <v/>
      </c>
      <c r="T69" t="str">
        <f>IF(S69="","",IFERROR(AVERAGEIFS(DATOS!$K$2:$K$20000,DATOS!$A$2:$A$20000,S69,DATOS!$G$2:$G$20000,CONFIG_METADATA!$B$4,DATOS!$I$2:$I$20000,"Lenguaje Musical"),""))</f>
        <v/>
      </c>
      <c r="U69" t="str">
        <f>IF(S69="","",IFERROR(AVERAGEIFS(DATOS!$K$2:$K$20000,DATOS!$A$2:$A$20000,S69,DATOS!$G$2:$G$20000,CONFIG_METADATA!$B$4,DATOS!$I$2:$I$20000,"Coro"),""))</f>
        <v/>
      </c>
      <c r="V69" t="str">
        <f>IF(S69="","",IFERROR(AVERAGEIFS(DATOS!$K$2:$K$20000,DATOS!$A$2:$A$20000,S69,DATOS!$G$2:$G$20000,CONFIG_METADATA!$B$4,DATOS!$I$2:$I$20000,"Conjunto"),""))</f>
        <v/>
      </c>
      <c r="W69" t="str" cm="1">
        <f t="array" ref="W69">IF(S69="","",IFERROR(AVERAGE(IF((DATOS!$A$2:$A$20000=S69)*(DATOS!$G$2:$G$20000=CONFIG_METADATA!$B$4)*(DATOS!$I$2:$I$20000&lt;&gt;"Lenguaje Musical")*(DATOS!$I$2:$I$20000&lt;&gt;"Coro")*(DATOS!$I$2:$I$20000&lt;&gt;"Conjunto"),DATOS!$K$2:$K$20000)),""))</f>
        <v/>
      </c>
    </row>
    <row r="70" spans="2:23" ht="15" customHeight="1" x14ac:dyDescent="0.2">
      <c r="B70" t="str">
        <f>IF(A70="","",IFERROR(AVERAGEIFS(DATOS!$K$2:$K$20000,DATOS!$A$2:$A$20000,A70,DATOS!$G$2:$G$20000,CONFIG_METADATA!$B$4,DATOS!$I$2:$I$20000,"Lenguaje Musical"),""))</f>
        <v/>
      </c>
      <c r="C70" t="str">
        <f>IF(A70="","",IFERROR(AVERAGEIFS(DATOS!$K$2:$K$20000,DATOS!$A$2:$A$20000,A70,DATOS!$G$2:$G$20000,CONFIG_METADATA!$B$4,DATOS!$I$2:$I$20000,"Coro"),""))</f>
        <v/>
      </c>
      <c r="D70" t="str">
        <f>IF(A70="","",IFERROR(AVERAGEIFS(DATOS!$K$2:$K$20000,DATOS!$A$2:$A$20000,A70,DATOS!$G$2:$G$20000,CONFIG_METADATA!$B$4,DATOS!$I$2:$I$20000,"Conjunto"),""))</f>
        <v/>
      </c>
      <c r="E70" t="str" cm="1">
        <f t="array" ref="E70">IF(A70="","",IFERROR(AVERAGE(IF((DATOS!$A$2:$A$20000=A70)*(DATOS!$G$2:$G$20000=CONFIG_METADATA!$B$4)*(DATOS!$I$2:$I$20000&lt;&gt;"Lenguaje Musical")*(DATOS!$I$2:$I$20000&lt;&gt;"Coro")*(DATOS!$I$2:$I$20000&lt;&gt;"Conjunto"),DATOS!$K$2:$K$20000)),""))</f>
        <v/>
      </c>
      <c r="H70" t="str">
        <f>IF(G70="","",IFERROR(AVERAGEIFS(DATOS!$K$2:$K$20000,DATOS!$A$2:$A$20000,G70,DATOS!$G$2:$G$20000,CONFIG_METADATA!$B$4,DATOS!$I$2:$I$20000,"Lenguaje Musical"),""))</f>
        <v/>
      </c>
      <c r="I70" t="str">
        <f>IF(G70="","",IFERROR(AVERAGEIFS(DATOS!$K$2:$K$20000,DATOS!$A$2:$A$20000,G70,DATOS!$G$2:$G$20000,CONFIG_METADATA!$B$4,DATOS!$I$2:$I$20000,"Coro"),""))</f>
        <v/>
      </c>
      <c r="J70" t="str">
        <f>IF(G70="","",IFERROR(AVERAGEIFS(DATOS!$K$2:$K$20000,DATOS!$A$2:$A$20000,G70,DATOS!$G$2:$G$20000,CONFIG_METADATA!$B$4,DATOS!$I$2:$I$20000,"Conjunto"),""))</f>
        <v/>
      </c>
      <c r="K70" t="str" cm="1">
        <f t="array" ref="K70">IF(G70="","",IFERROR(AVERAGE(IF((DATOS!$A$2:$A$20000=G70)*(DATOS!$G$2:$G$20000=CONFIG_METADATA!$B$4)*(DATOS!$I$2:$I$20000&lt;&gt;"Lenguaje Musical")*(DATOS!$I$2:$I$20000&lt;&gt;"Coro")*(DATOS!$I$2:$I$20000&lt;&gt;"Conjunto"),DATOS!$K$2:$K$20000)),""))</f>
        <v/>
      </c>
      <c r="N70" t="str">
        <f>IF(M70="","",IFERROR(AVERAGEIFS(DATOS!$K$2:$K$20000,DATOS!$A$2:$A$20000,M70,DATOS!$G$2:$G$20000,CONFIG_METADATA!$B$4,DATOS!$I$2:$I$20000,"Lenguaje Musical"),""))</f>
        <v/>
      </c>
      <c r="O70" t="str">
        <f>IF(M70="","",IFERROR(AVERAGEIFS(DATOS!$K$2:$K$20000,DATOS!$A$2:$A$20000,M70,DATOS!$G$2:$G$20000,CONFIG_METADATA!$B$4,DATOS!$I$2:$I$20000,"Coro"),""))</f>
        <v/>
      </c>
      <c r="P70" t="str">
        <f>IF(M70="","",IFERROR(AVERAGEIFS(DATOS!$K$2:$K$20000,DATOS!$A$2:$A$20000,M70,DATOS!$G$2:$G$20000,CONFIG_METADATA!$B$4,DATOS!$I$2:$I$20000,"Conjunto"),""))</f>
        <v/>
      </c>
      <c r="Q70" t="str" cm="1">
        <f t="array" ref="Q70">IF(M70="","",IFERROR(AVERAGE(IF((DATOS!$A$2:$A$20000=M70)*(DATOS!$G$2:$G$20000=CONFIG_METADATA!$B$4)*(DATOS!$I$2:$I$20000&lt;&gt;"Lenguaje Musical")*(DATOS!$I$2:$I$20000&lt;&gt;"Coro")*(DATOS!$I$2:$I$20000&lt;&gt;"Conjunto"),DATOS!$K$2:$K$20000)),""))</f>
        <v/>
      </c>
      <c r="T70" t="str">
        <f>IF(S70="","",IFERROR(AVERAGEIFS(DATOS!$K$2:$K$20000,DATOS!$A$2:$A$20000,S70,DATOS!$G$2:$G$20000,CONFIG_METADATA!$B$4,DATOS!$I$2:$I$20000,"Lenguaje Musical"),""))</f>
        <v/>
      </c>
      <c r="U70" t="str">
        <f>IF(S70="","",IFERROR(AVERAGEIFS(DATOS!$K$2:$K$20000,DATOS!$A$2:$A$20000,S70,DATOS!$G$2:$G$20000,CONFIG_METADATA!$B$4,DATOS!$I$2:$I$20000,"Coro"),""))</f>
        <v/>
      </c>
      <c r="V70" t="str">
        <f>IF(S70="","",IFERROR(AVERAGEIFS(DATOS!$K$2:$K$20000,DATOS!$A$2:$A$20000,S70,DATOS!$G$2:$G$20000,CONFIG_METADATA!$B$4,DATOS!$I$2:$I$20000,"Conjunto"),""))</f>
        <v/>
      </c>
      <c r="W70" t="str" cm="1">
        <f t="array" ref="W70">IF(S70="","",IFERROR(AVERAGE(IF((DATOS!$A$2:$A$20000=S70)*(DATOS!$G$2:$G$20000=CONFIG_METADATA!$B$4)*(DATOS!$I$2:$I$20000&lt;&gt;"Lenguaje Musical")*(DATOS!$I$2:$I$20000&lt;&gt;"Coro")*(DATOS!$I$2:$I$20000&lt;&gt;"Conjunto"),DATOS!$K$2:$K$20000)),""))</f>
        <v/>
      </c>
    </row>
    <row r="71" spans="2:23" ht="15" customHeight="1" x14ac:dyDescent="0.2">
      <c r="B71" t="str">
        <f>IF(A71="","",IFERROR(AVERAGEIFS(DATOS!$K$2:$K$20000,DATOS!$A$2:$A$20000,A71,DATOS!$G$2:$G$20000,CONFIG_METADATA!$B$4,DATOS!$I$2:$I$20000,"Lenguaje Musical"),""))</f>
        <v/>
      </c>
      <c r="C71" t="str">
        <f>IF(A71="","",IFERROR(AVERAGEIFS(DATOS!$K$2:$K$20000,DATOS!$A$2:$A$20000,A71,DATOS!$G$2:$G$20000,CONFIG_METADATA!$B$4,DATOS!$I$2:$I$20000,"Coro"),""))</f>
        <v/>
      </c>
      <c r="D71" t="str">
        <f>IF(A71="","",IFERROR(AVERAGEIFS(DATOS!$K$2:$K$20000,DATOS!$A$2:$A$20000,A71,DATOS!$G$2:$G$20000,CONFIG_METADATA!$B$4,DATOS!$I$2:$I$20000,"Conjunto"),""))</f>
        <v/>
      </c>
      <c r="E71" t="str" cm="1">
        <f t="array" ref="E71">IF(A71="","",IFERROR(AVERAGE(IF((DATOS!$A$2:$A$20000=A71)*(DATOS!$G$2:$G$20000=CONFIG_METADATA!$B$4)*(DATOS!$I$2:$I$20000&lt;&gt;"Lenguaje Musical")*(DATOS!$I$2:$I$20000&lt;&gt;"Coro")*(DATOS!$I$2:$I$20000&lt;&gt;"Conjunto"),DATOS!$K$2:$K$20000)),""))</f>
        <v/>
      </c>
      <c r="H71" t="str">
        <f>IF(G71="","",IFERROR(AVERAGEIFS(DATOS!$K$2:$K$20000,DATOS!$A$2:$A$20000,G71,DATOS!$G$2:$G$20000,CONFIG_METADATA!$B$4,DATOS!$I$2:$I$20000,"Lenguaje Musical"),""))</f>
        <v/>
      </c>
      <c r="I71" t="str">
        <f>IF(G71="","",IFERROR(AVERAGEIFS(DATOS!$K$2:$K$20000,DATOS!$A$2:$A$20000,G71,DATOS!$G$2:$G$20000,CONFIG_METADATA!$B$4,DATOS!$I$2:$I$20000,"Coro"),""))</f>
        <v/>
      </c>
      <c r="J71" t="str">
        <f>IF(G71="","",IFERROR(AVERAGEIFS(DATOS!$K$2:$K$20000,DATOS!$A$2:$A$20000,G71,DATOS!$G$2:$G$20000,CONFIG_METADATA!$B$4,DATOS!$I$2:$I$20000,"Conjunto"),""))</f>
        <v/>
      </c>
      <c r="K71" t="str" cm="1">
        <f t="array" ref="K71">IF(G71="","",IFERROR(AVERAGE(IF((DATOS!$A$2:$A$20000=G71)*(DATOS!$G$2:$G$20000=CONFIG_METADATA!$B$4)*(DATOS!$I$2:$I$20000&lt;&gt;"Lenguaje Musical")*(DATOS!$I$2:$I$20000&lt;&gt;"Coro")*(DATOS!$I$2:$I$20000&lt;&gt;"Conjunto"),DATOS!$K$2:$K$20000)),""))</f>
        <v/>
      </c>
      <c r="N71" t="str">
        <f>IF(M71="","",IFERROR(AVERAGEIFS(DATOS!$K$2:$K$20000,DATOS!$A$2:$A$20000,M71,DATOS!$G$2:$G$20000,CONFIG_METADATA!$B$4,DATOS!$I$2:$I$20000,"Lenguaje Musical"),""))</f>
        <v/>
      </c>
      <c r="O71" t="str">
        <f>IF(M71="","",IFERROR(AVERAGEIFS(DATOS!$K$2:$K$20000,DATOS!$A$2:$A$20000,M71,DATOS!$G$2:$G$20000,CONFIG_METADATA!$B$4,DATOS!$I$2:$I$20000,"Coro"),""))</f>
        <v/>
      </c>
      <c r="P71" t="str">
        <f>IF(M71="","",IFERROR(AVERAGEIFS(DATOS!$K$2:$K$20000,DATOS!$A$2:$A$20000,M71,DATOS!$G$2:$G$20000,CONFIG_METADATA!$B$4,DATOS!$I$2:$I$20000,"Conjunto"),""))</f>
        <v/>
      </c>
      <c r="Q71" t="str" cm="1">
        <f t="array" ref="Q71">IF(M71="","",IFERROR(AVERAGE(IF((DATOS!$A$2:$A$20000=M71)*(DATOS!$G$2:$G$20000=CONFIG_METADATA!$B$4)*(DATOS!$I$2:$I$20000&lt;&gt;"Lenguaje Musical")*(DATOS!$I$2:$I$20000&lt;&gt;"Coro")*(DATOS!$I$2:$I$20000&lt;&gt;"Conjunto"),DATOS!$K$2:$K$20000)),""))</f>
        <v/>
      </c>
      <c r="T71" t="str">
        <f>IF(S71="","",IFERROR(AVERAGEIFS(DATOS!$K$2:$K$20000,DATOS!$A$2:$A$20000,S71,DATOS!$G$2:$G$20000,CONFIG_METADATA!$B$4,DATOS!$I$2:$I$20000,"Lenguaje Musical"),""))</f>
        <v/>
      </c>
      <c r="U71" t="str">
        <f>IF(S71="","",IFERROR(AVERAGEIFS(DATOS!$K$2:$K$20000,DATOS!$A$2:$A$20000,S71,DATOS!$G$2:$G$20000,CONFIG_METADATA!$B$4,DATOS!$I$2:$I$20000,"Coro"),""))</f>
        <v/>
      </c>
      <c r="V71" t="str">
        <f>IF(S71="","",IFERROR(AVERAGEIFS(DATOS!$K$2:$K$20000,DATOS!$A$2:$A$20000,S71,DATOS!$G$2:$G$20000,CONFIG_METADATA!$B$4,DATOS!$I$2:$I$20000,"Conjunto"),""))</f>
        <v/>
      </c>
      <c r="W71" t="str" cm="1">
        <f t="array" ref="W71">IF(S71="","",IFERROR(AVERAGE(IF((DATOS!$A$2:$A$20000=S71)*(DATOS!$G$2:$G$20000=CONFIG_METADATA!$B$4)*(DATOS!$I$2:$I$20000&lt;&gt;"Lenguaje Musical")*(DATOS!$I$2:$I$20000&lt;&gt;"Coro")*(DATOS!$I$2:$I$20000&lt;&gt;"Conjunto"),DATOS!$K$2:$K$20000)),""))</f>
        <v/>
      </c>
    </row>
    <row r="72" spans="2:23" ht="15" customHeight="1" x14ac:dyDescent="0.2">
      <c r="B72" t="str">
        <f>IF(A72="","",IFERROR(AVERAGEIFS(DATOS!$K$2:$K$20000,DATOS!$A$2:$A$20000,A72,DATOS!$G$2:$G$20000,CONFIG_METADATA!$B$4,DATOS!$I$2:$I$20000,"Lenguaje Musical"),""))</f>
        <v/>
      </c>
      <c r="C72" t="str">
        <f>IF(A72="","",IFERROR(AVERAGEIFS(DATOS!$K$2:$K$20000,DATOS!$A$2:$A$20000,A72,DATOS!$G$2:$G$20000,CONFIG_METADATA!$B$4,DATOS!$I$2:$I$20000,"Coro"),""))</f>
        <v/>
      </c>
      <c r="D72" t="str">
        <f>IF(A72="","",IFERROR(AVERAGEIFS(DATOS!$K$2:$K$20000,DATOS!$A$2:$A$20000,A72,DATOS!$G$2:$G$20000,CONFIG_METADATA!$B$4,DATOS!$I$2:$I$20000,"Conjunto"),""))</f>
        <v/>
      </c>
      <c r="E72" t="str" cm="1">
        <f t="array" ref="E72">IF(A72="","",IFERROR(AVERAGE(IF((DATOS!$A$2:$A$20000=A72)*(DATOS!$G$2:$G$20000=CONFIG_METADATA!$B$4)*(DATOS!$I$2:$I$20000&lt;&gt;"Lenguaje Musical")*(DATOS!$I$2:$I$20000&lt;&gt;"Coro")*(DATOS!$I$2:$I$20000&lt;&gt;"Conjunto"),DATOS!$K$2:$K$20000)),""))</f>
        <v/>
      </c>
      <c r="H72" t="str">
        <f>IF(G72="","",IFERROR(AVERAGEIFS(DATOS!$K$2:$K$20000,DATOS!$A$2:$A$20000,G72,DATOS!$G$2:$G$20000,CONFIG_METADATA!$B$4,DATOS!$I$2:$I$20000,"Lenguaje Musical"),""))</f>
        <v/>
      </c>
      <c r="I72" t="str">
        <f>IF(G72="","",IFERROR(AVERAGEIFS(DATOS!$K$2:$K$20000,DATOS!$A$2:$A$20000,G72,DATOS!$G$2:$G$20000,CONFIG_METADATA!$B$4,DATOS!$I$2:$I$20000,"Coro"),""))</f>
        <v/>
      </c>
      <c r="J72" t="str">
        <f>IF(G72="","",IFERROR(AVERAGEIFS(DATOS!$K$2:$K$20000,DATOS!$A$2:$A$20000,G72,DATOS!$G$2:$G$20000,CONFIG_METADATA!$B$4,DATOS!$I$2:$I$20000,"Conjunto"),""))</f>
        <v/>
      </c>
      <c r="K72" t="str" cm="1">
        <f t="array" ref="K72">IF(G72="","",IFERROR(AVERAGE(IF((DATOS!$A$2:$A$20000=G72)*(DATOS!$G$2:$G$20000=CONFIG_METADATA!$B$4)*(DATOS!$I$2:$I$20000&lt;&gt;"Lenguaje Musical")*(DATOS!$I$2:$I$20000&lt;&gt;"Coro")*(DATOS!$I$2:$I$20000&lt;&gt;"Conjunto"),DATOS!$K$2:$K$20000)),""))</f>
        <v/>
      </c>
      <c r="N72" t="str">
        <f>IF(M72="","",IFERROR(AVERAGEIFS(DATOS!$K$2:$K$20000,DATOS!$A$2:$A$20000,M72,DATOS!$G$2:$G$20000,CONFIG_METADATA!$B$4,DATOS!$I$2:$I$20000,"Lenguaje Musical"),""))</f>
        <v/>
      </c>
      <c r="O72" t="str">
        <f>IF(M72="","",IFERROR(AVERAGEIFS(DATOS!$K$2:$K$20000,DATOS!$A$2:$A$20000,M72,DATOS!$G$2:$G$20000,CONFIG_METADATA!$B$4,DATOS!$I$2:$I$20000,"Coro"),""))</f>
        <v/>
      </c>
      <c r="P72" t="str">
        <f>IF(M72="","",IFERROR(AVERAGEIFS(DATOS!$K$2:$K$20000,DATOS!$A$2:$A$20000,M72,DATOS!$G$2:$G$20000,CONFIG_METADATA!$B$4,DATOS!$I$2:$I$20000,"Conjunto"),""))</f>
        <v/>
      </c>
      <c r="Q72" t="str" cm="1">
        <f t="array" ref="Q72">IF(M72="","",IFERROR(AVERAGE(IF((DATOS!$A$2:$A$20000=M72)*(DATOS!$G$2:$G$20000=CONFIG_METADATA!$B$4)*(DATOS!$I$2:$I$20000&lt;&gt;"Lenguaje Musical")*(DATOS!$I$2:$I$20000&lt;&gt;"Coro")*(DATOS!$I$2:$I$20000&lt;&gt;"Conjunto"),DATOS!$K$2:$K$20000)),""))</f>
        <v/>
      </c>
      <c r="T72" t="str">
        <f>IF(S72="","",IFERROR(AVERAGEIFS(DATOS!$K$2:$K$20000,DATOS!$A$2:$A$20000,S72,DATOS!$G$2:$G$20000,CONFIG_METADATA!$B$4,DATOS!$I$2:$I$20000,"Lenguaje Musical"),""))</f>
        <v/>
      </c>
      <c r="U72" t="str">
        <f>IF(S72="","",IFERROR(AVERAGEIFS(DATOS!$K$2:$K$20000,DATOS!$A$2:$A$20000,S72,DATOS!$G$2:$G$20000,CONFIG_METADATA!$B$4,DATOS!$I$2:$I$20000,"Coro"),""))</f>
        <v/>
      </c>
      <c r="V72" t="str">
        <f>IF(S72="","",IFERROR(AVERAGEIFS(DATOS!$K$2:$K$20000,DATOS!$A$2:$A$20000,S72,DATOS!$G$2:$G$20000,CONFIG_METADATA!$B$4,DATOS!$I$2:$I$20000,"Conjunto"),""))</f>
        <v/>
      </c>
      <c r="W72" t="str" cm="1">
        <f t="array" ref="W72">IF(S72="","",IFERROR(AVERAGE(IF((DATOS!$A$2:$A$20000=S72)*(DATOS!$G$2:$G$20000=CONFIG_METADATA!$B$4)*(DATOS!$I$2:$I$20000&lt;&gt;"Lenguaje Musical")*(DATOS!$I$2:$I$20000&lt;&gt;"Coro")*(DATOS!$I$2:$I$20000&lt;&gt;"Conjunto"),DATOS!$K$2:$K$20000)),""))</f>
        <v/>
      </c>
    </row>
    <row r="73" spans="2:23" ht="15" customHeight="1" x14ac:dyDescent="0.2">
      <c r="B73" t="str">
        <f>IF(A73="","",IFERROR(AVERAGEIFS(DATOS!$K$2:$K$20000,DATOS!$A$2:$A$20000,A73,DATOS!$G$2:$G$20000,CONFIG_METADATA!$B$4,DATOS!$I$2:$I$20000,"Lenguaje Musical"),""))</f>
        <v/>
      </c>
      <c r="C73" t="str">
        <f>IF(A73="","",IFERROR(AVERAGEIFS(DATOS!$K$2:$K$20000,DATOS!$A$2:$A$20000,A73,DATOS!$G$2:$G$20000,CONFIG_METADATA!$B$4,DATOS!$I$2:$I$20000,"Coro"),""))</f>
        <v/>
      </c>
      <c r="D73" t="str">
        <f>IF(A73="","",IFERROR(AVERAGEIFS(DATOS!$K$2:$K$20000,DATOS!$A$2:$A$20000,A73,DATOS!$G$2:$G$20000,CONFIG_METADATA!$B$4,DATOS!$I$2:$I$20000,"Conjunto"),""))</f>
        <v/>
      </c>
      <c r="E73" t="str" cm="1">
        <f t="array" ref="E73">IF(A73="","",IFERROR(AVERAGE(IF((DATOS!$A$2:$A$20000=A73)*(DATOS!$G$2:$G$20000=CONFIG_METADATA!$B$4)*(DATOS!$I$2:$I$20000&lt;&gt;"Lenguaje Musical")*(DATOS!$I$2:$I$20000&lt;&gt;"Coro")*(DATOS!$I$2:$I$20000&lt;&gt;"Conjunto"),DATOS!$K$2:$K$20000)),""))</f>
        <v/>
      </c>
      <c r="H73" t="str">
        <f>IF(G73="","",IFERROR(AVERAGEIFS(DATOS!$K$2:$K$20000,DATOS!$A$2:$A$20000,G73,DATOS!$G$2:$G$20000,CONFIG_METADATA!$B$4,DATOS!$I$2:$I$20000,"Lenguaje Musical"),""))</f>
        <v/>
      </c>
      <c r="I73" t="str">
        <f>IF(G73="","",IFERROR(AVERAGEIFS(DATOS!$K$2:$K$20000,DATOS!$A$2:$A$20000,G73,DATOS!$G$2:$G$20000,CONFIG_METADATA!$B$4,DATOS!$I$2:$I$20000,"Coro"),""))</f>
        <v/>
      </c>
      <c r="J73" t="str">
        <f>IF(G73="","",IFERROR(AVERAGEIFS(DATOS!$K$2:$K$20000,DATOS!$A$2:$A$20000,G73,DATOS!$G$2:$G$20000,CONFIG_METADATA!$B$4,DATOS!$I$2:$I$20000,"Conjunto"),""))</f>
        <v/>
      </c>
      <c r="K73" t="str" cm="1">
        <f t="array" ref="K73">IF(G73="","",IFERROR(AVERAGE(IF((DATOS!$A$2:$A$20000=G73)*(DATOS!$G$2:$G$20000=CONFIG_METADATA!$B$4)*(DATOS!$I$2:$I$20000&lt;&gt;"Lenguaje Musical")*(DATOS!$I$2:$I$20000&lt;&gt;"Coro")*(DATOS!$I$2:$I$20000&lt;&gt;"Conjunto"),DATOS!$K$2:$K$20000)),""))</f>
        <v/>
      </c>
      <c r="N73" t="str">
        <f>IF(M73="","",IFERROR(AVERAGEIFS(DATOS!$K$2:$K$20000,DATOS!$A$2:$A$20000,M73,DATOS!$G$2:$G$20000,CONFIG_METADATA!$B$4,DATOS!$I$2:$I$20000,"Lenguaje Musical"),""))</f>
        <v/>
      </c>
      <c r="O73" t="str">
        <f>IF(M73="","",IFERROR(AVERAGEIFS(DATOS!$K$2:$K$20000,DATOS!$A$2:$A$20000,M73,DATOS!$G$2:$G$20000,CONFIG_METADATA!$B$4,DATOS!$I$2:$I$20000,"Coro"),""))</f>
        <v/>
      </c>
      <c r="P73" t="str">
        <f>IF(M73="","",IFERROR(AVERAGEIFS(DATOS!$K$2:$K$20000,DATOS!$A$2:$A$20000,M73,DATOS!$G$2:$G$20000,CONFIG_METADATA!$B$4,DATOS!$I$2:$I$20000,"Conjunto"),""))</f>
        <v/>
      </c>
      <c r="Q73" t="str" cm="1">
        <f t="array" ref="Q73">IF(M73="","",IFERROR(AVERAGE(IF((DATOS!$A$2:$A$20000=M73)*(DATOS!$G$2:$G$20000=CONFIG_METADATA!$B$4)*(DATOS!$I$2:$I$20000&lt;&gt;"Lenguaje Musical")*(DATOS!$I$2:$I$20000&lt;&gt;"Coro")*(DATOS!$I$2:$I$20000&lt;&gt;"Conjunto"),DATOS!$K$2:$K$20000)),""))</f>
        <v/>
      </c>
      <c r="T73" t="str">
        <f>IF(S73="","",IFERROR(AVERAGEIFS(DATOS!$K$2:$K$20000,DATOS!$A$2:$A$20000,S73,DATOS!$G$2:$G$20000,CONFIG_METADATA!$B$4,DATOS!$I$2:$I$20000,"Lenguaje Musical"),""))</f>
        <v/>
      </c>
      <c r="U73" t="str">
        <f>IF(S73="","",IFERROR(AVERAGEIFS(DATOS!$K$2:$K$20000,DATOS!$A$2:$A$20000,S73,DATOS!$G$2:$G$20000,CONFIG_METADATA!$B$4,DATOS!$I$2:$I$20000,"Coro"),""))</f>
        <v/>
      </c>
      <c r="V73" t="str">
        <f>IF(S73="","",IFERROR(AVERAGEIFS(DATOS!$K$2:$K$20000,DATOS!$A$2:$A$20000,S73,DATOS!$G$2:$G$20000,CONFIG_METADATA!$B$4,DATOS!$I$2:$I$20000,"Conjunto"),""))</f>
        <v/>
      </c>
      <c r="W73" t="str" cm="1">
        <f t="array" ref="W73">IF(S73="","",IFERROR(AVERAGE(IF((DATOS!$A$2:$A$20000=S73)*(DATOS!$G$2:$G$20000=CONFIG_METADATA!$B$4)*(DATOS!$I$2:$I$20000&lt;&gt;"Lenguaje Musical")*(DATOS!$I$2:$I$20000&lt;&gt;"Coro")*(DATOS!$I$2:$I$20000&lt;&gt;"Conjunto"),DATOS!$K$2:$K$20000)),""))</f>
        <v/>
      </c>
    </row>
    <row r="74" spans="2:23" ht="15" customHeight="1" x14ac:dyDescent="0.2">
      <c r="B74" t="str">
        <f>IF(A74="","",IFERROR(AVERAGEIFS(DATOS!$K$2:$K$20000,DATOS!$A$2:$A$20000,A74,DATOS!$G$2:$G$20000,CONFIG_METADATA!$B$4,DATOS!$I$2:$I$20000,"Lenguaje Musical"),""))</f>
        <v/>
      </c>
      <c r="C74" t="str">
        <f>IF(A74="","",IFERROR(AVERAGEIFS(DATOS!$K$2:$K$20000,DATOS!$A$2:$A$20000,A74,DATOS!$G$2:$G$20000,CONFIG_METADATA!$B$4,DATOS!$I$2:$I$20000,"Coro"),""))</f>
        <v/>
      </c>
      <c r="D74" t="str">
        <f>IF(A74="","",IFERROR(AVERAGEIFS(DATOS!$K$2:$K$20000,DATOS!$A$2:$A$20000,A74,DATOS!$G$2:$G$20000,CONFIG_METADATA!$B$4,DATOS!$I$2:$I$20000,"Conjunto"),""))</f>
        <v/>
      </c>
      <c r="E74" t="str" cm="1">
        <f t="array" ref="E74">IF(A74="","",IFERROR(AVERAGE(IF((DATOS!$A$2:$A$20000=A74)*(DATOS!$G$2:$G$20000=CONFIG_METADATA!$B$4)*(DATOS!$I$2:$I$20000&lt;&gt;"Lenguaje Musical")*(DATOS!$I$2:$I$20000&lt;&gt;"Coro")*(DATOS!$I$2:$I$20000&lt;&gt;"Conjunto"),DATOS!$K$2:$K$20000)),""))</f>
        <v/>
      </c>
      <c r="H74" t="str">
        <f>IF(G74="","",IFERROR(AVERAGEIFS(DATOS!$K$2:$K$20000,DATOS!$A$2:$A$20000,G74,DATOS!$G$2:$G$20000,CONFIG_METADATA!$B$4,DATOS!$I$2:$I$20000,"Lenguaje Musical"),""))</f>
        <v/>
      </c>
      <c r="I74" t="str">
        <f>IF(G74="","",IFERROR(AVERAGEIFS(DATOS!$K$2:$K$20000,DATOS!$A$2:$A$20000,G74,DATOS!$G$2:$G$20000,CONFIG_METADATA!$B$4,DATOS!$I$2:$I$20000,"Coro"),""))</f>
        <v/>
      </c>
      <c r="J74" t="str">
        <f>IF(G74="","",IFERROR(AVERAGEIFS(DATOS!$K$2:$K$20000,DATOS!$A$2:$A$20000,G74,DATOS!$G$2:$G$20000,CONFIG_METADATA!$B$4,DATOS!$I$2:$I$20000,"Conjunto"),""))</f>
        <v/>
      </c>
      <c r="K74" t="str" cm="1">
        <f t="array" ref="K74">IF(G74="","",IFERROR(AVERAGE(IF((DATOS!$A$2:$A$20000=G74)*(DATOS!$G$2:$G$20000=CONFIG_METADATA!$B$4)*(DATOS!$I$2:$I$20000&lt;&gt;"Lenguaje Musical")*(DATOS!$I$2:$I$20000&lt;&gt;"Coro")*(DATOS!$I$2:$I$20000&lt;&gt;"Conjunto"),DATOS!$K$2:$K$20000)),""))</f>
        <v/>
      </c>
      <c r="N74" t="str">
        <f>IF(M74="","",IFERROR(AVERAGEIFS(DATOS!$K$2:$K$20000,DATOS!$A$2:$A$20000,M74,DATOS!$G$2:$G$20000,CONFIG_METADATA!$B$4,DATOS!$I$2:$I$20000,"Lenguaje Musical"),""))</f>
        <v/>
      </c>
      <c r="O74" t="str">
        <f>IF(M74="","",IFERROR(AVERAGEIFS(DATOS!$K$2:$K$20000,DATOS!$A$2:$A$20000,M74,DATOS!$G$2:$G$20000,CONFIG_METADATA!$B$4,DATOS!$I$2:$I$20000,"Coro"),""))</f>
        <v/>
      </c>
      <c r="P74" t="str">
        <f>IF(M74="","",IFERROR(AVERAGEIFS(DATOS!$K$2:$K$20000,DATOS!$A$2:$A$20000,M74,DATOS!$G$2:$G$20000,CONFIG_METADATA!$B$4,DATOS!$I$2:$I$20000,"Conjunto"),""))</f>
        <v/>
      </c>
      <c r="Q74" t="str" cm="1">
        <f t="array" ref="Q74">IF(M74="","",IFERROR(AVERAGE(IF((DATOS!$A$2:$A$20000=M74)*(DATOS!$G$2:$G$20000=CONFIG_METADATA!$B$4)*(DATOS!$I$2:$I$20000&lt;&gt;"Lenguaje Musical")*(DATOS!$I$2:$I$20000&lt;&gt;"Coro")*(DATOS!$I$2:$I$20000&lt;&gt;"Conjunto"),DATOS!$K$2:$K$20000)),""))</f>
        <v/>
      </c>
      <c r="T74" t="str">
        <f>IF(S74="","",IFERROR(AVERAGEIFS(DATOS!$K$2:$K$20000,DATOS!$A$2:$A$20000,S74,DATOS!$G$2:$G$20000,CONFIG_METADATA!$B$4,DATOS!$I$2:$I$20000,"Lenguaje Musical"),""))</f>
        <v/>
      </c>
      <c r="U74" t="str">
        <f>IF(S74="","",IFERROR(AVERAGEIFS(DATOS!$K$2:$K$20000,DATOS!$A$2:$A$20000,S74,DATOS!$G$2:$G$20000,CONFIG_METADATA!$B$4,DATOS!$I$2:$I$20000,"Coro"),""))</f>
        <v/>
      </c>
      <c r="V74" t="str">
        <f>IF(S74="","",IFERROR(AVERAGEIFS(DATOS!$K$2:$K$20000,DATOS!$A$2:$A$20000,S74,DATOS!$G$2:$G$20000,CONFIG_METADATA!$B$4,DATOS!$I$2:$I$20000,"Conjunto"),""))</f>
        <v/>
      </c>
      <c r="W74" t="str" cm="1">
        <f t="array" ref="W74">IF(S74="","",IFERROR(AVERAGE(IF((DATOS!$A$2:$A$20000=S74)*(DATOS!$G$2:$G$20000=CONFIG_METADATA!$B$4)*(DATOS!$I$2:$I$20000&lt;&gt;"Lenguaje Musical")*(DATOS!$I$2:$I$20000&lt;&gt;"Coro")*(DATOS!$I$2:$I$20000&lt;&gt;"Conjunto"),DATOS!$K$2:$K$20000)),""))</f>
        <v/>
      </c>
    </row>
    <row r="75" spans="2:23" ht="15" customHeight="1" x14ac:dyDescent="0.2">
      <c r="B75" t="str">
        <f>IF(A75="","",IFERROR(AVERAGEIFS(DATOS!$K$2:$K$20000,DATOS!$A$2:$A$20000,A75,DATOS!$G$2:$G$20000,CONFIG_METADATA!$B$4,DATOS!$I$2:$I$20000,"Lenguaje Musical"),""))</f>
        <v/>
      </c>
      <c r="C75" t="str">
        <f>IF(A75="","",IFERROR(AVERAGEIFS(DATOS!$K$2:$K$20000,DATOS!$A$2:$A$20000,A75,DATOS!$G$2:$G$20000,CONFIG_METADATA!$B$4,DATOS!$I$2:$I$20000,"Coro"),""))</f>
        <v/>
      </c>
      <c r="D75" t="str">
        <f>IF(A75="","",IFERROR(AVERAGEIFS(DATOS!$K$2:$K$20000,DATOS!$A$2:$A$20000,A75,DATOS!$G$2:$G$20000,CONFIG_METADATA!$B$4,DATOS!$I$2:$I$20000,"Conjunto"),""))</f>
        <v/>
      </c>
      <c r="E75" t="str" cm="1">
        <f t="array" ref="E75">IF(A75="","",IFERROR(AVERAGE(IF((DATOS!$A$2:$A$20000=A75)*(DATOS!$G$2:$G$20000=CONFIG_METADATA!$B$4)*(DATOS!$I$2:$I$20000&lt;&gt;"Lenguaje Musical")*(DATOS!$I$2:$I$20000&lt;&gt;"Coro")*(DATOS!$I$2:$I$20000&lt;&gt;"Conjunto"),DATOS!$K$2:$K$20000)),""))</f>
        <v/>
      </c>
      <c r="H75" t="str">
        <f>IF(G75="","",IFERROR(AVERAGEIFS(DATOS!$K$2:$K$20000,DATOS!$A$2:$A$20000,G75,DATOS!$G$2:$G$20000,CONFIG_METADATA!$B$4,DATOS!$I$2:$I$20000,"Lenguaje Musical"),""))</f>
        <v/>
      </c>
      <c r="I75" t="str">
        <f>IF(G75="","",IFERROR(AVERAGEIFS(DATOS!$K$2:$K$20000,DATOS!$A$2:$A$20000,G75,DATOS!$G$2:$G$20000,CONFIG_METADATA!$B$4,DATOS!$I$2:$I$20000,"Coro"),""))</f>
        <v/>
      </c>
      <c r="J75" t="str">
        <f>IF(G75="","",IFERROR(AVERAGEIFS(DATOS!$K$2:$K$20000,DATOS!$A$2:$A$20000,G75,DATOS!$G$2:$G$20000,CONFIG_METADATA!$B$4,DATOS!$I$2:$I$20000,"Conjunto"),""))</f>
        <v/>
      </c>
      <c r="K75" t="str" cm="1">
        <f t="array" ref="K75">IF(G75="","",IFERROR(AVERAGE(IF((DATOS!$A$2:$A$20000=G75)*(DATOS!$G$2:$G$20000=CONFIG_METADATA!$B$4)*(DATOS!$I$2:$I$20000&lt;&gt;"Lenguaje Musical")*(DATOS!$I$2:$I$20000&lt;&gt;"Coro")*(DATOS!$I$2:$I$20000&lt;&gt;"Conjunto"),DATOS!$K$2:$K$20000)),""))</f>
        <v/>
      </c>
      <c r="N75" t="str">
        <f>IF(M75="","",IFERROR(AVERAGEIFS(DATOS!$K$2:$K$20000,DATOS!$A$2:$A$20000,M75,DATOS!$G$2:$G$20000,CONFIG_METADATA!$B$4,DATOS!$I$2:$I$20000,"Lenguaje Musical"),""))</f>
        <v/>
      </c>
      <c r="O75" t="str">
        <f>IF(M75="","",IFERROR(AVERAGEIFS(DATOS!$K$2:$K$20000,DATOS!$A$2:$A$20000,M75,DATOS!$G$2:$G$20000,CONFIG_METADATA!$B$4,DATOS!$I$2:$I$20000,"Coro"),""))</f>
        <v/>
      </c>
      <c r="P75" t="str">
        <f>IF(M75="","",IFERROR(AVERAGEIFS(DATOS!$K$2:$K$20000,DATOS!$A$2:$A$20000,M75,DATOS!$G$2:$G$20000,CONFIG_METADATA!$B$4,DATOS!$I$2:$I$20000,"Conjunto"),""))</f>
        <v/>
      </c>
      <c r="Q75" t="str" cm="1">
        <f t="array" ref="Q75">IF(M75="","",IFERROR(AVERAGE(IF((DATOS!$A$2:$A$20000=M75)*(DATOS!$G$2:$G$20000=CONFIG_METADATA!$B$4)*(DATOS!$I$2:$I$20000&lt;&gt;"Lenguaje Musical")*(DATOS!$I$2:$I$20000&lt;&gt;"Coro")*(DATOS!$I$2:$I$20000&lt;&gt;"Conjunto"),DATOS!$K$2:$K$20000)),""))</f>
        <v/>
      </c>
      <c r="T75" t="str">
        <f>IF(S75="","",IFERROR(AVERAGEIFS(DATOS!$K$2:$K$20000,DATOS!$A$2:$A$20000,S75,DATOS!$G$2:$G$20000,CONFIG_METADATA!$B$4,DATOS!$I$2:$I$20000,"Lenguaje Musical"),""))</f>
        <v/>
      </c>
      <c r="U75" t="str">
        <f>IF(S75="","",IFERROR(AVERAGEIFS(DATOS!$K$2:$K$20000,DATOS!$A$2:$A$20000,S75,DATOS!$G$2:$G$20000,CONFIG_METADATA!$B$4,DATOS!$I$2:$I$20000,"Coro"),""))</f>
        <v/>
      </c>
      <c r="V75" t="str">
        <f>IF(S75="","",IFERROR(AVERAGEIFS(DATOS!$K$2:$K$20000,DATOS!$A$2:$A$20000,S75,DATOS!$G$2:$G$20000,CONFIG_METADATA!$B$4,DATOS!$I$2:$I$20000,"Conjunto"),""))</f>
        <v/>
      </c>
      <c r="W75" t="str" cm="1">
        <f t="array" ref="W75">IF(S75="","",IFERROR(AVERAGE(IF((DATOS!$A$2:$A$20000=S75)*(DATOS!$G$2:$G$20000=CONFIG_METADATA!$B$4)*(DATOS!$I$2:$I$20000&lt;&gt;"Lenguaje Musical")*(DATOS!$I$2:$I$20000&lt;&gt;"Coro")*(DATOS!$I$2:$I$20000&lt;&gt;"Conjunto"),DATOS!$K$2:$K$20000)),""))</f>
        <v/>
      </c>
    </row>
    <row r="76" spans="2:23" ht="15" customHeight="1" x14ac:dyDescent="0.2">
      <c r="B76" t="str">
        <f>IF(A76="","",IFERROR(AVERAGEIFS(DATOS!$K$2:$K$20000,DATOS!$A$2:$A$20000,A76,DATOS!$G$2:$G$20000,CONFIG_METADATA!$B$4,DATOS!$I$2:$I$20000,"Lenguaje Musical"),""))</f>
        <v/>
      </c>
      <c r="C76" t="str">
        <f>IF(A76="","",IFERROR(AVERAGEIFS(DATOS!$K$2:$K$20000,DATOS!$A$2:$A$20000,A76,DATOS!$G$2:$G$20000,CONFIG_METADATA!$B$4,DATOS!$I$2:$I$20000,"Coro"),""))</f>
        <v/>
      </c>
      <c r="D76" t="str">
        <f>IF(A76="","",IFERROR(AVERAGEIFS(DATOS!$K$2:$K$20000,DATOS!$A$2:$A$20000,A76,DATOS!$G$2:$G$20000,CONFIG_METADATA!$B$4,DATOS!$I$2:$I$20000,"Conjunto"),""))</f>
        <v/>
      </c>
      <c r="E76" t="str" cm="1">
        <f t="array" ref="E76">IF(A76="","",IFERROR(AVERAGE(IF((DATOS!$A$2:$A$20000=A76)*(DATOS!$G$2:$G$20000=CONFIG_METADATA!$B$4)*(DATOS!$I$2:$I$20000&lt;&gt;"Lenguaje Musical")*(DATOS!$I$2:$I$20000&lt;&gt;"Coro")*(DATOS!$I$2:$I$20000&lt;&gt;"Conjunto"),DATOS!$K$2:$K$20000)),""))</f>
        <v/>
      </c>
      <c r="H76" t="str">
        <f>IF(G76="","",IFERROR(AVERAGEIFS(DATOS!$K$2:$K$20000,DATOS!$A$2:$A$20000,G76,DATOS!$G$2:$G$20000,CONFIG_METADATA!$B$4,DATOS!$I$2:$I$20000,"Lenguaje Musical"),""))</f>
        <v/>
      </c>
      <c r="I76" t="str">
        <f>IF(G76="","",IFERROR(AVERAGEIFS(DATOS!$K$2:$K$20000,DATOS!$A$2:$A$20000,G76,DATOS!$G$2:$G$20000,CONFIG_METADATA!$B$4,DATOS!$I$2:$I$20000,"Coro"),""))</f>
        <v/>
      </c>
      <c r="J76" t="str">
        <f>IF(G76="","",IFERROR(AVERAGEIFS(DATOS!$K$2:$K$20000,DATOS!$A$2:$A$20000,G76,DATOS!$G$2:$G$20000,CONFIG_METADATA!$B$4,DATOS!$I$2:$I$20000,"Conjunto"),""))</f>
        <v/>
      </c>
      <c r="K76" t="str" cm="1">
        <f t="array" ref="K76">IF(G76="","",IFERROR(AVERAGE(IF((DATOS!$A$2:$A$20000=G76)*(DATOS!$G$2:$G$20000=CONFIG_METADATA!$B$4)*(DATOS!$I$2:$I$20000&lt;&gt;"Lenguaje Musical")*(DATOS!$I$2:$I$20000&lt;&gt;"Coro")*(DATOS!$I$2:$I$20000&lt;&gt;"Conjunto"),DATOS!$K$2:$K$20000)),""))</f>
        <v/>
      </c>
      <c r="N76" t="str">
        <f>IF(M76="","",IFERROR(AVERAGEIFS(DATOS!$K$2:$K$20000,DATOS!$A$2:$A$20000,M76,DATOS!$G$2:$G$20000,CONFIG_METADATA!$B$4,DATOS!$I$2:$I$20000,"Lenguaje Musical"),""))</f>
        <v/>
      </c>
      <c r="O76" t="str">
        <f>IF(M76="","",IFERROR(AVERAGEIFS(DATOS!$K$2:$K$20000,DATOS!$A$2:$A$20000,M76,DATOS!$G$2:$G$20000,CONFIG_METADATA!$B$4,DATOS!$I$2:$I$20000,"Coro"),""))</f>
        <v/>
      </c>
      <c r="P76" t="str">
        <f>IF(M76="","",IFERROR(AVERAGEIFS(DATOS!$K$2:$K$20000,DATOS!$A$2:$A$20000,M76,DATOS!$G$2:$G$20000,CONFIG_METADATA!$B$4,DATOS!$I$2:$I$20000,"Conjunto"),""))</f>
        <v/>
      </c>
      <c r="Q76" t="str" cm="1">
        <f t="array" ref="Q76">IF(M76="","",IFERROR(AVERAGE(IF((DATOS!$A$2:$A$20000=M76)*(DATOS!$G$2:$G$20000=CONFIG_METADATA!$B$4)*(DATOS!$I$2:$I$20000&lt;&gt;"Lenguaje Musical")*(DATOS!$I$2:$I$20000&lt;&gt;"Coro")*(DATOS!$I$2:$I$20000&lt;&gt;"Conjunto"),DATOS!$K$2:$K$20000)),""))</f>
        <v/>
      </c>
      <c r="T76" t="str">
        <f>IF(S76="","",IFERROR(AVERAGEIFS(DATOS!$K$2:$K$20000,DATOS!$A$2:$A$20000,S76,DATOS!$G$2:$G$20000,CONFIG_METADATA!$B$4,DATOS!$I$2:$I$20000,"Lenguaje Musical"),""))</f>
        <v/>
      </c>
      <c r="U76" t="str">
        <f>IF(S76="","",IFERROR(AVERAGEIFS(DATOS!$K$2:$K$20000,DATOS!$A$2:$A$20000,S76,DATOS!$G$2:$G$20000,CONFIG_METADATA!$B$4,DATOS!$I$2:$I$20000,"Coro"),""))</f>
        <v/>
      </c>
      <c r="V76" t="str">
        <f>IF(S76="","",IFERROR(AVERAGEIFS(DATOS!$K$2:$K$20000,DATOS!$A$2:$A$20000,S76,DATOS!$G$2:$G$20000,CONFIG_METADATA!$B$4,DATOS!$I$2:$I$20000,"Conjunto"),""))</f>
        <v/>
      </c>
      <c r="W76" t="str" cm="1">
        <f t="array" ref="W76">IF(S76="","",IFERROR(AVERAGE(IF((DATOS!$A$2:$A$20000=S76)*(DATOS!$G$2:$G$20000=CONFIG_METADATA!$B$4)*(DATOS!$I$2:$I$20000&lt;&gt;"Lenguaje Musical")*(DATOS!$I$2:$I$20000&lt;&gt;"Coro")*(DATOS!$I$2:$I$20000&lt;&gt;"Conjunto"),DATOS!$K$2:$K$20000)),""))</f>
        <v/>
      </c>
    </row>
    <row r="77" spans="2:23" ht="15" customHeight="1" x14ac:dyDescent="0.2">
      <c r="B77" t="str">
        <f>IF(A77="","",IFERROR(AVERAGEIFS(DATOS!$K$2:$K$20000,DATOS!$A$2:$A$20000,A77,DATOS!$G$2:$G$20000,CONFIG_METADATA!$B$4,DATOS!$I$2:$I$20000,"Lenguaje Musical"),""))</f>
        <v/>
      </c>
      <c r="C77" t="str">
        <f>IF(A77="","",IFERROR(AVERAGEIFS(DATOS!$K$2:$K$20000,DATOS!$A$2:$A$20000,A77,DATOS!$G$2:$G$20000,CONFIG_METADATA!$B$4,DATOS!$I$2:$I$20000,"Coro"),""))</f>
        <v/>
      </c>
      <c r="D77" t="str">
        <f>IF(A77="","",IFERROR(AVERAGEIFS(DATOS!$K$2:$K$20000,DATOS!$A$2:$A$20000,A77,DATOS!$G$2:$G$20000,CONFIG_METADATA!$B$4,DATOS!$I$2:$I$20000,"Conjunto"),""))</f>
        <v/>
      </c>
      <c r="E77" t="str" cm="1">
        <f t="array" ref="E77">IF(A77="","",IFERROR(AVERAGE(IF((DATOS!$A$2:$A$20000=A77)*(DATOS!$G$2:$G$20000=CONFIG_METADATA!$B$4)*(DATOS!$I$2:$I$20000&lt;&gt;"Lenguaje Musical")*(DATOS!$I$2:$I$20000&lt;&gt;"Coro")*(DATOS!$I$2:$I$20000&lt;&gt;"Conjunto"),DATOS!$K$2:$K$20000)),""))</f>
        <v/>
      </c>
      <c r="H77" t="str">
        <f>IF(G77="","",IFERROR(AVERAGEIFS(DATOS!$K$2:$K$20000,DATOS!$A$2:$A$20000,G77,DATOS!$G$2:$G$20000,CONFIG_METADATA!$B$4,DATOS!$I$2:$I$20000,"Lenguaje Musical"),""))</f>
        <v/>
      </c>
      <c r="I77" t="str">
        <f>IF(G77="","",IFERROR(AVERAGEIFS(DATOS!$K$2:$K$20000,DATOS!$A$2:$A$20000,G77,DATOS!$G$2:$G$20000,CONFIG_METADATA!$B$4,DATOS!$I$2:$I$20000,"Coro"),""))</f>
        <v/>
      </c>
      <c r="J77" t="str">
        <f>IF(G77="","",IFERROR(AVERAGEIFS(DATOS!$K$2:$K$20000,DATOS!$A$2:$A$20000,G77,DATOS!$G$2:$G$20000,CONFIG_METADATA!$B$4,DATOS!$I$2:$I$20000,"Conjunto"),""))</f>
        <v/>
      </c>
      <c r="K77" t="str" cm="1">
        <f t="array" ref="K77">IF(G77="","",IFERROR(AVERAGE(IF((DATOS!$A$2:$A$20000=G77)*(DATOS!$G$2:$G$20000=CONFIG_METADATA!$B$4)*(DATOS!$I$2:$I$20000&lt;&gt;"Lenguaje Musical")*(DATOS!$I$2:$I$20000&lt;&gt;"Coro")*(DATOS!$I$2:$I$20000&lt;&gt;"Conjunto"),DATOS!$K$2:$K$20000)),""))</f>
        <v/>
      </c>
      <c r="N77" t="str">
        <f>IF(M77="","",IFERROR(AVERAGEIFS(DATOS!$K$2:$K$20000,DATOS!$A$2:$A$20000,M77,DATOS!$G$2:$G$20000,CONFIG_METADATA!$B$4,DATOS!$I$2:$I$20000,"Lenguaje Musical"),""))</f>
        <v/>
      </c>
      <c r="O77" t="str">
        <f>IF(M77="","",IFERROR(AVERAGEIFS(DATOS!$K$2:$K$20000,DATOS!$A$2:$A$20000,M77,DATOS!$G$2:$G$20000,CONFIG_METADATA!$B$4,DATOS!$I$2:$I$20000,"Coro"),""))</f>
        <v/>
      </c>
      <c r="P77" t="str">
        <f>IF(M77="","",IFERROR(AVERAGEIFS(DATOS!$K$2:$K$20000,DATOS!$A$2:$A$20000,M77,DATOS!$G$2:$G$20000,CONFIG_METADATA!$B$4,DATOS!$I$2:$I$20000,"Conjunto"),""))</f>
        <v/>
      </c>
      <c r="Q77" t="str" cm="1">
        <f t="array" ref="Q77">IF(M77="","",IFERROR(AVERAGE(IF((DATOS!$A$2:$A$20000=M77)*(DATOS!$G$2:$G$20000=CONFIG_METADATA!$B$4)*(DATOS!$I$2:$I$20000&lt;&gt;"Lenguaje Musical")*(DATOS!$I$2:$I$20000&lt;&gt;"Coro")*(DATOS!$I$2:$I$20000&lt;&gt;"Conjunto"),DATOS!$K$2:$K$20000)),""))</f>
        <v/>
      </c>
      <c r="T77" t="str">
        <f>IF(S77="","",IFERROR(AVERAGEIFS(DATOS!$K$2:$K$20000,DATOS!$A$2:$A$20000,S77,DATOS!$G$2:$G$20000,CONFIG_METADATA!$B$4,DATOS!$I$2:$I$20000,"Lenguaje Musical"),""))</f>
        <v/>
      </c>
      <c r="U77" t="str">
        <f>IF(S77="","",IFERROR(AVERAGEIFS(DATOS!$K$2:$K$20000,DATOS!$A$2:$A$20000,S77,DATOS!$G$2:$G$20000,CONFIG_METADATA!$B$4,DATOS!$I$2:$I$20000,"Coro"),""))</f>
        <v/>
      </c>
      <c r="V77" t="str">
        <f>IF(S77="","",IFERROR(AVERAGEIFS(DATOS!$K$2:$K$20000,DATOS!$A$2:$A$20000,S77,DATOS!$G$2:$G$20000,CONFIG_METADATA!$B$4,DATOS!$I$2:$I$20000,"Conjunto"),""))</f>
        <v/>
      </c>
      <c r="W77" t="str" cm="1">
        <f t="array" ref="W77">IF(S77="","",IFERROR(AVERAGE(IF((DATOS!$A$2:$A$20000=S77)*(DATOS!$G$2:$G$20000=CONFIG_METADATA!$B$4)*(DATOS!$I$2:$I$20000&lt;&gt;"Lenguaje Musical")*(DATOS!$I$2:$I$20000&lt;&gt;"Coro")*(DATOS!$I$2:$I$20000&lt;&gt;"Conjunto"),DATOS!$K$2:$K$20000)),""))</f>
        <v/>
      </c>
    </row>
    <row r="78" spans="2:23" ht="15" customHeight="1" x14ac:dyDescent="0.2">
      <c r="B78" t="str">
        <f>IF(A78="","",IFERROR(AVERAGEIFS(DATOS!$K$2:$K$20000,DATOS!$A$2:$A$20000,A78,DATOS!$G$2:$G$20000,CONFIG_METADATA!$B$4,DATOS!$I$2:$I$20000,"Lenguaje Musical"),""))</f>
        <v/>
      </c>
      <c r="C78" t="str">
        <f>IF(A78="","",IFERROR(AVERAGEIFS(DATOS!$K$2:$K$20000,DATOS!$A$2:$A$20000,A78,DATOS!$G$2:$G$20000,CONFIG_METADATA!$B$4,DATOS!$I$2:$I$20000,"Coro"),""))</f>
        <v/>
      </c>
      <c r="D78" t="str">
        <f>IF(A78="","",IFERROR(AVERAGEIFS(DATOS!$K$2:$K$20000,DATOS!$A$2:$A$20000,A78,DATOS!$G$2:$G$20000,CONFIG_METADATA!$B$4,DATOS!$I$2:$I$20000,"Conjunto"),""))</f>
        <v/>
      </c>
      <c r="E78" t="str" cm="1">
        <f t="array" ref="E78">IF(A78="","",IFERROR(AVERAGE(IF((DATOS!$A$2:$A$20000=A78)*(DATOS!$G$2:$G$20000=CONFIG_METADATA!$B$4)*(DATOS!$I$2:$I$20000&lt;&gt;"Lenguaje Musical")*(DATOS!$I$2:$I$20000&lt;&gt;"Coro")*(DATOS!$I$2:$I$20000&lt;&gt;"Conjunto"),DATOS!$K$2:$K$20000)),""))</f>
        <v/>
      </c>
      <c r="H78" t="str">
        <f>IF(G78="","",IFERROR(AVERAGEIFS(DATOS!$K$2:$K$20000,DATOS!$A$2:$A$20000,G78,DATOS!$G$2:$G$20000,CONFIG_METADATA!$B$4,DATOS!$I$2:$I$20000,"Lenguaje Musical"),""))</f>
        <v/>
      </c>
      <c r="I78" t="str">
        <f>IF(G78="","",IFERROR(AVERAGEIFS(DATOS!$K$2:$K$20000,DATOS!$A$2:$A$20000,G78,DATOS!$G$2:$G$20000,CONFIG_METADATA!$B$4,DATOS!$I$2:$I$20000,"Coro"),""))</f>
        <v/>
      </c>
      <c r="J78" t="str">
        <f>IF(G78="","",IFERROR(AVERAGEIFS(DATOS!$K$2:$K$20000,DATOS!$A$2:$A$20000,G78,DATOS!$G$2:$G$20000,CONFIG_METADATA!$B$4,DATOS!$I$2:$I$20000,"Conjunto"),""))</f>
        <v/>
      </c>
      <c r="K78" t="str" cm="1">
        <f t="array" ref="K78">IF(G78="","",IFERROR(AVERAGE(IF((DATOS!$A$2:$A$20000=G78)*(DATOS!$G$2:$G$20000=CONFIG_METADATA!$B$4)*(DATOS!$I$2:$I$20000&lt;&gt;"Lenguaje Musical")*(DATOS!$I$2:$I$20000&lt;&gt;"Coro")*(DATOS!$I$2:$I$20000&lt;&gt;"Conjunto"),DATOS!$K$2:$K$20000)),""))</f>
        <v/>
      </c>
      <c r="N78" t="str">
        <f>IF(M78="","",IFERROR(AVERAGEIFS(DATOS!$K$2:$K$20000,DATOS!$A$2:$A$20000,M78,DATOS!$G$2:$G$20000,CONFIG_METADATA!$B$4,DATOS!$I$2:$I$20000,"Lenguaje Musical"),""))</f>
        <v/>
      </c>
      <c r="O78" t="str">
        <f>IF(M78="","",IFERROR(AVERAGEIFS(DATOS!$K$2:$K$20000,DATOS!$A$2:$A$20000,M78,DATOS!$G$2:$G$20000,CONFIG_METADATA!$B$4,DATOS!$I$2:$I$20000,"Coro"),""))</f>
        <v/>
      </c>
      <c r="P78" t="str">
        <f>IF(M78="","",IFERROR(AVERAGEIFS(DATOS!$K$2:$K$20000,DATOS!$A$2:$A$20000,M78,DATOS!$G$2:$G$20000,CONFIG_METADATA!$B$4,DATOS!$I$2:$I$20000,"Conjunto"),""))</f>
        <v/>
      </c>
      <c r="Q78" t="str" cm="1">
        <f t="array" ref="Q78">IF(M78="","",IFERROR(AVERAGE(IF((DATOS!$A$2:$A$20000=M78)*(DATOS!$G$2:$G$20000=CONFIG_METADATA!$B$4)*(DATOS!$I$2:$I$20000&lt;&gt;"Lenguaje Musical")*(DATOS!$I$2:$I$20000&lt;&gt;"Coro")*(DATOS!$I$2:$I$20000&lt;&gt;"Conjunto"),DATOS!$K$2:$K$20000)),""))</f>
        <v/>
      </c>
      <c r="T78" t="str">
        <f>IF(S78="","",IFERROR(AVERAGEIFS(DATOS!$K$2:$K$20000,DATOS!$A$2:$A$20000,S78,DATOS!$G$2:$G$20000,CONFIG_METADATA!$B$4,DATOS!$I$2:$I$20000,"Lenguaje Musical"),""))</f>
        <v/>
      </c>
      <c r="U78" t="str">
        <f>IF(S78="","",IFERROR(AVERAGEIFS(DATOS!$K$2:$K$20000,DATOS!$A$2:$A$20000,S78,DATOS!$G$2:$G$20000,CONFIG_METADATA!$B$4,DATOS!$I$2:$I$20000,"Coro"),""))</f>
        <v/>
      </c>
      <c r="V78" t="str">
        <f>IF(S78="","",IFERROR(AVERAGEIFS(DATOS!$K$2:$K$20000,DATOS!$A$2:$A$20000,S78,DATOS!$G$2:$G$20000,CONFIG_METADATA!$B$4,DATOS!$I$2:$I$20000,"Conjunto"),""))</f>
        <v/>
      </c>
      <c r="W78" t="str" cm="1">
        <f t="array" ref="W78">IF(S78="","",IFERROR(AVERAGE(IF((DATOS!$A$2:$A$20000=S78)*(DATOS!$G$2:$G$20000=CONFIG_METADATA!$B$4)*(DATOS!$I$2:$I$20000&lt;&gt;"Lenguaje Musical")*(DATOS!$I$2:$I$20000&lt;&gt;"Coro")*(DATOS!$I$2:$I$20000&lt;&gt;"Conjunto"),DATOS!$K$2:$K$20000)),""))</f>
        <v/>
      </c>
    </row>
    <row r="79" spans="2:23" ht="15" customHeight="1" x14ac:dyDescent="0.2">
      <c r="B79" t="str">
        <f>IF(A79="","",IFERROR(AVERAGEIFS(DATOS!$K$2:$K$20000,DATOS!$A$2:$A$20000,A79,DATOS!$G$2:$G$20000,CONFIG_METADATA!$B$4,DATOS!$I$2:$I$20000,"Lenguaje Musical"),""))</f>
        <v/>
      </c>
      <c r="C79" t="str">
        <f>IF(A79="","",IFERROR(AVERAGEIFS(DATOS!$K$2:$K$20000,DATOS!$A$2:$A$20000,A79,DATOS!$G$2:$G$20000,CONFIG_METADATA!$B$4,DATOS!$I$2:$I$20000,"Coro"),""))</f>
        <v/>
      </c>
      <c r="D79" t="str">
        <f>IF(A79="","",IFERROR(AVERAGEIFS(DATOS!$K$2:$K$20000,DATOS!$A$2:$A$20000,A79,DATOS!$G$2:$G$20000,CONFIG_METADATA!$B$4,DATOS!$I$2:$I$20000,"Conjunto"),""))</f>
        <v/>
      </c>
      <c r="E79" t="str" cm="1">
        <f t="array" ref="E79">IF(A79="","",IFERROR(AVERAGE(IF((DATOS!$A$2:$A$20000=A79)*(DATOS!$G$2:$G$20000=CONFIG_METADATA!$B$4)*(DATOS!$I$2:$I$20000&lt;&gt;"Lenguaje Musical")*(DATOS!$I$2:$I$20000&lt;&gt;"Coro")*(DATOS!$I$2:$I$20000&lt;&gt;"Conjunto"),DATOS!$K$2:$K$20000)),""))</f>
        <v/>
      </c>
      <c r="H79" t="str">
        <f>IF(G79="","",IFERROR(AVERAGEIFS(DATOS!$K$2:$K$20000,DATOS!$A$2:$A$20000,G79,DATOS!$G$2:$G$20000,CONFIG_METADATA!$B$4,DATOS!$I$2:$I$20000,"Lenguaje Musical"),""))</f>
        <v/>
      </c>
      <c r="I79" t="str">
        <f>IF(G79="","",IFERROR(AVERAGEIFS(DATOS!$K$2:$K$20000,DATOS!$A$2:$A$20000,G79,DATOS!$G$2:$G$20000,CONFIG_METADATA!$B$4,DATOS!$I$2:$I$20000,"Coro"),""))</f>
        <v/>
      </c>
      <c r="J79" t="str">
        <f>IF(G79="","",IFERROR(AVERAGEIFS(DATOS!$K$2:$K$20000,DATOS!$A$2:$A$20000,G79,DATOS!$G$2:$G$20000,CONFIG_METADATA!$B$4,DATOS!$I$2:$I$20000,"Conjunto"),""))</f>
        <v/>
      </c>
      <c r="K79" t="str" cm="1">
        <f t="array" ref="K79">IF(G79="","",IFERROR(AVERAGE(IF((DATOS!$A$2:$A$20000=G79)*(DATOS!$G$2:$G$20000=CONFIG_METADATA!$B$4)*(DATOS!$I$2:$I$20000&lt;&gt;"Lenguaje Musical")*(DATOS!$I$2:$I$20000&lt;&gt;"Coro")*(DATOS!$I$2:$I$20000&lt;&gt;"Conjunto"),DATOS!$K$2:$K$20000)),""))</f>
        <v/>
      </c>
      <c r="N79" t="str">
        <f>IF(M79="","",IFERROR(AVERAGEIFS(DATOS!$K$2:$K$20000,DATOS!$A$2:$A$20000,M79,DATOS!$G$2:$G$20000,CONFIG_METADATA!$B$4,DATOS!$I$2:$I$20000,"Lenguaje Musical"),""))</f>
        <v/>
      </c>
      <c r="O79" t="str">
        <f>IF(M79="","",IFERROR(AVERAGEIFS(DATOS!$K$2:$K$20000,DATOS!$A$2:$A$20000,M79,DATOS!$G$2:$G$20000,CONFIG_METADATA!$B$4,DATOS!$I$2:$I$20000,"Coro"),""))</f>
        <v/>
      </c>
      <c r="P79" t="str">
        <f>IF(M79="","",IFERROR(AVERAGEIFS(DATOS!$K$2:$K$20000,DATOS!$A$2:$A$20000,M79,DATOS!$G$2:$G$20000,CONFIG_METADATA!$B$4,DATOS!$I$2:$I$20000,"Conjunto"),""))</f>
        <v/>
      </c>
      <c r="Q79" t="str" cm="1">
        <f t="array" ref="Q79">IF(M79="","",IFERROR(AVERAGE(IF((DATOS!$A$2:$A$20000=M79)*(DATOS!$G$2:$G$20000=CONFIG_METADATA!$B$4)*(DATOS!$I$2:$I$20000&lt;&gt;"Lenguaje Musical")*(DATOS!$I$2:$I$20000&lt;&gt;"Coro")*(DATOS!$I$2:$I$20000&lt;&gt;"Conjunto"),DATOS!$K$2:$K$20000)),""))</f>
        <v/>
      </c>
      <c r="T79" t="str">
        <f>IF(S79="","",IFERROR(AVERAGEIFS(DATOS!$K$2:$K$20000,DATOS!$A$2:$A$20000,S79,DATOS!$G$2:$G$20000,CONFIG_METADATA!$B$4,DATOS!$I$2:$I$20000,"Lenguaje Musical"),""))</f>
        <v/>
      </c>
      <c r="U79" t="str">
        <f>IF(S79="","",IFERROR(AVERAGEIFS(DATOS!$K$2:$K$20000,DATOS!$A$2:$A$20000,S79,DATOS!$G$2:$G$20000,CONFIG_METADATA!$B$4,DATOS!$I$2:$I$20000,"Coro"),""))</f>
        <v/>
      </c>
      <c r="V79" t="str">
        <f>IF(S79="","",IFERROR(AVERAGEIFS(DATOS!$K$2:$K$20000,DATOS!$A$2:$A$20000,S79,DATOS!$G$2:$G$20000,CONFIG_METADATA!$B$4,DATOS!$I$2:$I$20000,"Conjunto"),""))</f>
        <v/>
      </c>
      <c r="W79" t="str" cm="1">
        <f t="array" ref="W79">IF(S79="","",IFERROR(AVERAGE(IF((DATOS!$A$2:$A$20000=S79)*(DATOS!$G$2:$G$20000=CONFIG_METADATA!$B$4)*(DATOS!$I$2:$I$20000&lt;&gt;"Lenguaje Musical")*(DATOS!$I$2:$I$20000&lt;&gt;"Coro")*(DATOS!$I$2:$I$20000&lt;&gt;"Conjunto"),DATOS!$K$2:$K$20000)),""))</f>
        <v/>
      </c>
    </row>
    <row r="80" spans="2:23" ht="15" customHeight="1" x14ac:dyDescent="0.2">
      <c r="B80" t="str">
        <f>IF(A80="","",IFERROR(AVERAGEIFS(DATOS!$K$2:$K$20000,DATOS!$A$2:$A$20000,A80,DATOS!$G$2:$G$20000,CONFIG_METADATA!$B$4,DATOS!$I$2:$I$20000,"Lenguaje Musical"),""))</f>
        <v/>
      </c>
      <c r="C80" t="str">
        <f>IF(A80="","",IFERROR(AVERAGEIFS(DATOS!$K$2:$K$20000,DATOS!$A$2:$A$20000,A80,DATOS!$G$2:$G$20000,CONFIG_METADATA!$B$4,DATOS!$I$2:$I$20000,"Coro"),""))</f>
        <v/>
      </c>
      <c r="D80" t="str">
        <f>IF(A80="","",IFERROR(AVERAGEIFS(DATOS!$K$2:$K$20000,DATOS!$A$2:$A$20000,A80,DATOS!$G$2:$G$20000,CONFIG_METADATA!$B$4,DATOS!$I$2:$I$20000,"Conjunto"),""))</f>
        <v/>
      </c>
      <c r="E80" t="str" cm="1">
        <f t="array" ref="E80">IF(A80="","",IFERROR(AVERAGE(IF((DATOS!$A$2:$A$20000=A80)*(DATOS!$G$2:$G$20000=CONFIG_METADATA!$B$4)*(DATOS!$I$2:$I$20000&lt;&gt;"Lenguaje Musical")*(DATOS!$I$2:$I$20000&lt;&gt;"Coro")*(DATOS!$I$2:$I$20000&lt;&gt;"Conjunto"),DATOS!$K$2:$K$20000)),""))</f>
        <v/>
      </c>
      <c r="H80" t="str">
        <f>IF(G80="","",IFERROR(AVERAGEIFS(DATOS!$K$2:$K$20000,DATOS!$A$2:$A$20000,G80,DATOS!$G$2:$G$20000,CONFIG_METADATA!$B$4,DATOS!$I$2:$I$20000,"Lenguaje Musical"),""))</f>
        <v/>
      </c>
      <c r="I80" t="str">
        <f>IF(G80="","",IFERROR(AVERAGEIFS(DATOS!$K$2:$K$20000,DATOS!$A$2:$A$20000,G80,DATOS!$G$2:$G$20000,CONFIG_METADATA!$B$4,DATOS!$I$2:$I$20000,"Coro"),""))</f>
        <v/>
      </c>
      <c r="J80" t="str">
        <f>IF(G80="","",IFERROR(AVERAGEIFS(DATOS!$K$2:$K$20000,DATOS!$A$2:$A$20000,G80,DATOS!$G$2:$G$20000,CONFIG_METADATA!$B$4,DATOS!$I$2:$I$20000,"Conjunto"),""))</f>
        <v/>
      </c>
      <c r="K80" t="str" cm="1">
        <f t="array" ref="K80">IF(G80="","",IFERROR(AVERAGE(IF((DATOS!$A$2:$A$20000=G80)*(DATOS!$G$2:$G$20000=CONFIG_METADATA!$B$4)*(DATOS!$I$2:$I$20000&lt;&gt;"Lenguaje Musical")*(DATOS!$I$2:$I$20000&lt;&gt;"Coro")*(DATOS!$I$2:$I$20000&lt;&gt;"Conjunto"),DATOS!$K$2:$K$20000)),""))</f>
        <v/>
      </c>
      <c r="N80" t="str">
        <f>IF(M80="","",IFERROR(AVERAGEIFS(DATOS!$K$2:$K$20000,DATOS!$A$2:$A$20000,M80,DATOS!$G$2:$G$20000,CONFIG_METADATA!$B$4,DATOS!$I$2:$I$20000,"Lenguaje Musical"),""))</f>
        <v/>
      </c>
      <c r="O80" t="str">
        <f>IF(M80="","",IFERROR(AVERAGEIFS(DATOS!$K$2:$K$20000,DATOS!$A$2:$A$20000,M80,DATOS!$G$2:$G$20000,CONFIG_METADATA!$B$4,DATOS!$I$2:$I$20000,"Coro"),""))</f>
        <v/>
      </c>
      <c r="P80" t="str">
        <f>IF(M80="","",IFERROR(AVERAGEIFS(DATOS!$K$2:$K$20000,DATOS!$A$2:$A$20000,M80,DATOS!$G$2:$G$20000,CONFIG_METADATA!$B$4,DATOS!$I$2:$I$20000,"Conjunto"),""))</f>
        <v/>
      </c>
      <c r="Q80" t="str" cm="1">
        <f t="array" ref="Q80">IF(M80="","",IFERROR(AVERAGE(IF((DATOS!$A$2:$A$20000=M80)*(DATOS!$G$2:$G$20000=CONFIG_METADATA!$B$4)*(DATOS!$I$2:$I$20000&lt;&gt;"Lenguaje Musical")*(DATOS!$I$2:$I$20000&lt;&gt;"Coro")*(DATOS!$I$2:$I$20000&lt;&gt;"Conjunto"),DATOS!$K$2:$K$20000)),""))</f>
        <v/>
      </c>
      <c r="T80" t="str">
        <f>IF(S80="","",IFERROR(AVERAGEIFS(DATOS!$K$2:$K$20000,DATOS!$A$2:$A$20000,S80,DATOS!$G$2:$G$20000,CONFIG_METADATA!$B$4,DATOS!$I$2:$I$20000,"Lenguaje Musical"),""))</f>
        <v/>
      </c>
      <c r="U80" t="str">
        <f>IF(S80="","",IFERROR(AVERAGEIFS(DATOS!$K$2:$K$20000,DATOS!$A$2:$A$20000,S80,DATOS!$G$2:$G$20000,CONFIG_METADATA!$B$4,DATOS!$I$2:$I$20000,"Coro"),""))</f>
        <v/>
      </c>
      <c r="V80" t="str">
        <f>IF(S80="","",IFERROR(AVERAGEIFS(DATOS!$K$2:$K$20000,DATOS!$A$2:$A$20000,S80,DATOS!$G$2:$G$20000,CONFIG_METADATA!$B$4,DATOS!$I$2:$I$20000,"Conjunto"),""))</f>
        <v/>
      </c>
      <c r="W80" t="str" cm="1">
        <f t="array" ref="W80">IF(S80="","",IFERROR(AVERAGE(IF((DATOS!$A$2:$A$20000=S80)*(DATOS!$G$2:$G$20000=CONFIG_METADATA!$B$4)*(DATOS!$I$2:$I$20000&lt;&gt;"Lenguaje Musical")*(DATOS!$I$2:$I$20000&lt;&gt;"Coro")*(DATOS!$I$2:$I$20000&lt;&gt;"Conjunto"),DATOS!$K$2:$K$20000)),""))</f>
        <v/>
      </c>
    </row>
    <row r="81" spans="2:23" ht="15" customHeight="1" x14ac:dyDescent="0.2">
      <c r="B81" t="str">
        <f>IF(A81="","",IFERROR(AVERAGEIFS(DATOS!$K$2:$K$20000,DATOS!$A$2:$A$20000,A81,DATOS!$G$2:$G$20000,CONFIG_METADATA!$B$4,DATOS!$I$2:$I$20000,"Lenguaje Musical"),""))</f>
        <v/>
      </c>
      <c r="C81" t="str">
        <f>IF(A81="","",IFERROR(AVERAGEIFS(DATOS!$K$2:$K$20000,DATOS!$A$2:$A$20000,A81,DATOS!$G$2:$G$20000,CONFIG_METADATA!$B$4,DATOS!$I$2:$I$20000,"Coro"),""))</f>
        <v/>
      </c>
      <c r="D81" t="str">
        <f>IF(A81="","",IFERROR(AVERAGEIFS(DATOS!$K$2:$K$20000,DATOS!$A$2:$A$20000,A81,DATOS!$G$2:$G$20000,CONFIG_METADATA!$B$4,DATOS!$I$2:$I$20000,"Conjunto"),""))</f>
        <v/>
      </c>
      <c r="E81" t="str" cm="1">
        <f t="array" ref="E81">IF(A81="","",IFERROR(AVERAGE(IF((DATOS!$A$2:$A$20000=A81)*(DATOS!$G$2:$G$20000=CONFIG_METADATA!$B$4)*(DATOS!$I$2:$I$20000&lt;&gt;"Lenguaje Musical")*(DATOS!$I$2:$I$20000&lt;&gt;"Coro")*(DATOS!$I$2:$I$20000&lt;&gt;"Conjunto"),DATOS!$K$2:$K$20000)),""))</f>
        <v/>
      </c>
      <c r="H81" t="str">
        <f>IF(G81="","",IFERROR(AVERAGEIFS(DATOS!$K$2:$K$20000,DATOS!$A$2:$A$20000,G81,DATOS!$G$2:$G$20000,CONFIG_METADATA!$B$4,DATOS!$I$2:$I$20000,"Lenguaje Musical"),""))</f>
        <v/>
      </c>
      <c r="I81" t="str">
        <f>IF(G81="","",IFERROR(AVERAGEIFS(DATOS!$K$2:$K$20000,DATOS!$A$2:$A$20000,G81,DATOS!$G$2:$G$20000,CONFIG_METADATA!$B$4,DATOS!$I$2:$I$20000,"Coro"),""))</f>
        <v/>
      </c>
      <c r="J81" t="str">
        <f>IF(G81="","",IFERROR(AVERAGEIFS(DATOS!$K$2:$K$20000,DATOS!$A$2:$A$20000,G81,DATOS!$G$2:$G$20000,CONFIG_METADATA!$B$4,DATOS!$I$2:$I$20000,"Conjunto"),""))</f>
        <v/>
      </c>
      <c r="K81" t="str" cm="1">
        <f t="array" ref="K81">IF(G81="","",IFERROR(AVERAGE(IF((DATOS!$A$2:$A$20000=G81)*(DATOS!$G$2:$G$20000=CONFIG_METADATA!$B$4)*(DATOS!$I$2:$I$20000&lt;&gt;"Lenguaje Musical")*(DATOS!$I$2:$I$20000&lt;&gt;"Coro")*(DATOS!$I$2:$I$20000&lt;&gt;"Conjunto"),DATOS!$K$2:$K$20000)),""))</f>
        <v/>
      </c>
      <c r="N81" t="str">
        <f>IF(M81="","",IFERROR(AVERAGEIFS(DATOS!$K$2:$K$20000,DATOS!$A$2:$A$20000,M81,DATOS!$G$2:$G$20000,CONFIG_METADATA!$B$4,DATOS!$I$2:$I$20000,"Lenguaje Musical"),""))</f>
        <v/>
      </c>
      <c r="O81" t="str">
        <f>IF(M81="","",IFERROR(AVERAGEIFS(DATOS!$K$2:$K$20000,DATOS!$A$2:$A$20000,M81,DATOS!$G$2:$G$20000,CONFIG_METADATA!$B$4,DATOS!$I$2:$I$20000,"Coro"),""))</f>
        <v/>
      </c>
      <c r="P81" t="str">
        <f>IF(M81="","",IFERROR(AVERAGEIFS(DATOS!$K$2:$K$20000,DATOS!$A$2:$A$20000,M81,DATOS!$G$2:$G$20000,CONFIG_METADATA!$B$4,DATOS!$I$2:$I$20000,"Conjunto"),""))</f>
        <v/>
      </c>
      <c r="Q81" t="str" cm="1">
        <f t="array" ref="Q81">IF(M81="","",IFERROR(AVERAGE(IF((DATOS!$A$2:$A$20000=M81)*(DATOS!$G$2:$G$20000=CONFIG_METADATA!$B$4)*(DATOS!$I$2:$I$20000&lt;&gt;"Lenguaje Musical")*(DATOS!$I$2:$I$20000&lt;&gt;"Coro")*(DATOS!$I$2:$I$20000&lt;&gt;"Conjunto"),DATOS!$K$2:$K$20000)),""))</f>
        <v/>
      </c>
      <c r="T81" t="str">
        <f>IF(S81="","",IFERROR(AVERAGEIFS(DATOS!$K$2:$K$20000,DATOS!$A$2:$A$20000,S81,DATOS!$G$2:$G$20000,CONFIG_METADATA!$B$4,DATOS!$I$2:$I$20000,"Lenguaje Musical"),""))</f>
        <v/>
      </c>
      <c r="U81" t="str">
        <f>IF(S81="","",IFERROR(AVERAGEIFS(DATOS!$K$2:$K$20000,DATOS!$A$2:$A$20000,S81,DATOS!$G$2:$G$20000,CONFIG_METADATA!$B$4,DATOS!$I$2:$I$20000,"Coro"),""))</f>
        <v/>
      </c>
      <c r="V81" t="str">
        <f>IF(S81="","",IFERROR(AVERAGEIFS(DATOS!$K$2:$K$20000,DATOS!$A$2:$A$20000,S81,DATOS!$G$2:$G$20000,CONFIG_METADATA!$B$4,DATOS!$I$2:$I$20000,"Conjunto"),""))</f>
        <v/>
      </c>
      <c r="W81" t="str" cm="1">
        <f t="array" ref="W81">IF(S81="","",IFERROR(AVERAGE(IF((DATOS!$A$2:$A$20000=S81)*(DATOS!$G$2:$G$20000=CONFIG_METADATA!$B$4)*(DATOS!$I$2:$I$20000&lt;&gt;"Lenguaje Musical")*(DATOS!$I$2:$I$20000&lt;&gt;"Coro")*(DATOS!$I$2:$I$20000&lt;&gt;"Conjunto"),DATOS!$K$2:$K$20000)),""))</f>
        <v/>
      </c>
    </row>
    <row r="82" spans="2:23" ht="15" customHeight="1" x14ac:dyDescent="0.2">
      <c r="B82" t="str">
        <f>IF(A82="","",IFERROR(AVERAGEIFS(DATOS!$K$2:$K$20000,DATOS!$A$2:$A$20000,A82,DATOS!$G$2:$G$20000,CONFIG_METADATA!$B$4,DATOS!$I$2:$I$20000,"Lenguaje Musical"),""))</f>
        <v/>
      </c>
      <c r="C82" t="str">
        <f>IF(A82="","",IFERROR(AVERAGEIFS(DATOS!$K$2:$K$20000,DATOS!$A$2:$A$20000,A82,DATOS!$G$2:$G$20000,CONFIG_METADATA!$B$4,DATOS!$I$2:$I$20000,"Coro"),""))</f>
        <v/>
      </c>
      <c r="D82" t="str">
        <f>IF(A82="","",IFERROR(AVERAGEIFS(DATOS!$K$2:$K$20000,DATOS!$A$2:$A$20000,A82,DATOS!$G$2:$G$20000,CONFIG_METADATA!$B$4,DATOS!$I$2:$I$20000,"Conjunto"),""))</f>
        <v/>
      </c>
      <c r="E82" t="str" cm="1">
        <f t="array" ref="E82">IF(A82="","",IFERROR(AVERAGE(IF((DATOS!$A$2:$A$20000=A82)*(DATOS!$G$2:$G$20000=CONFIG_METADATA!$B$4)*(DATOS!$I$2:$I$20000&lt;&gt;"Lenguaje Musical")*(DATOS!$I$2:$I$20000&lt;&gt;"Coro")*(DATOS!$I$2:$I$20000&lt;&gt;"Conjunto"),DATOS!$K$2:$K$20000)),""))</f>
        <v/>
      </c>
      <c r="H82" t="str">
        <f>IF(G82="","",IFERROR(AVERAGEIFS(DATOS!$K$2:$K$20000,DATOS!$A$2:$A$20000,G82,DATOS!$G$2:$G$20000,CONFIG_METADATA!$B$4,DATOS!$I$2:$I$20000,"Lenguaje Musical"),""))</f>
        <v/>
      </c>
      <c r="I82" t="str">
        <f>IF(G82="","",IFERROR(AVERAGEIFS(DATOS!$K$2:$K$20000,DATOS!$A$2:$A$20000,G82,DATOS!$G$2:$G$20000,CONFIG_METADATA!$B$4,DATOS!$I$2:$I$20000,"Coro"),""))</f>
        <v/>
      </c>
      <c r="J82" t="str">
        <f>IF(G82="","",IFERROR(AVERAGEIFS(DATOS!$K$2:$K$20000,DATOS!$A$2:$A$20000,G82,DATOS!$G$2:$G$20000,CONFIG_METADATA!$B$4,DATOS!$I$2:$I$20000,"Conjunto"),""))</f>
        <v/>
      </c>
      <c r="K82" t="str" cm="1">
        <f t="array" ref="K82">IF(G82="","",IFERROR(AVERAGE(IF((DATOS!$A$2:$A$20000=G82)*(DATOS!$G$2:$G$20000=CONFIG_METADATA!$B$4)*(DATOS!$I$2:$I$20000&lt;&gt;"Lenguaje Musical")*(DATOS!$I$2:$I$20000&lt;&gt;"Coro")*(DATOS!$I$2:$I$20000&lt;&gt;"Conjunto"),DATOS!$K$2:$K$20000)),""))</f>
        <v/>
      </c>
      <c r="N82" t="str">
        <f>IF(M82="","",IFERROR(AVERAGEIFS(DATOS!$K$2:$K$20000,DATOS!$A$2:$A$20000,M82,DATOS!$G$2:$G$20000,CONFIG_METADATA!$B$4,DATOS!$I$2:$I$20000,"Lenguaje Musical"),""))</f>
        <v/>
      </c>
      <c r="O82" t="str">
        <f>IF(M82="","",IFERROR(AVERAGEIFS(DATOS!$K$2:$K$20000,DATOS!$A$2:$A$20000,M82,DATOS!$G$2:$G$20000,CONFIG_METADATA!$B$4,DATOS!$I$2:$I$20000,"Coro"),""))</f>
        <v/>
      </c>
      <c r="P82" t="str">
        <f>IF(M82="","",IFERROR(AVERAGEIFS(DATOS!$K$2:$K$20000,DATOS!$A$2:$A$20000,M82,DATOS!$G$2:$G$20000,CONFIG_METADATA!$B$4,DATOS!$I$2:$I$20000,"Conjunto"),""))</f>
        <v/>
      </c>
      <c r="Q82" t="str" cm="1">
        <f t="array" ref="Q82">IF(M82="","",IFERROR(AVERAGE(IF((DATOS!$A$2:$A$20000=M82)*(DATOS!$G$2:$G$20000=CONFIG_METADATA!$B$4)*(DATOS!$I$2:$I$20000&lt;&gt;"Lenguaje Musical")*(DATOS!$I$2:$I$20000&lt;&gt;"Coro")*(DATOS!$I$2:$I$20000&lt;&gt;"Conjunto"),DATOS!$K$2:$K$20000)),""))</f>
        <v/>
      </c>
      <c r="T82" t="str">
        <f>IF(S82="","",IFERROR(AVERAGEIFS(DATOS!$K$2:$K$20000,DATOS!$A$2:$A$20000,S82,DATOS!$G$2:$G$20000,CONFIG_METADATA!$B$4,DATOS!$I$2:$I$20000,"Lenguaje Musical"),""))</f>
        <v/>
      </c>
      <c r="U82" t="str">
        <f>IF(S82="","",IFERROR(AVERAGEIFS(DATOS!$K$2:$K$20000,DATOS!$A$2:$A$20000,S82,DATOS!$G$2:$G$20000,CONFIG_METADATA!$B$4,DATOS!$I$2:$I$20000,"Coro"),""))</f>
        <v/>
      </c>
      <c r="V82" t="str">
        <f>IF(S82="","",IFERROR(AVERAGEIFS(DATOS!$K$2:$K$20000,DATOS!$A$2:$A$20000,S82,DATOS!$G$2:$G$20000,CONFIG_METADATA!$B$4,DATOS!$I$2:$I$20000,"Conjunto"),""))</f>
        <v/>
      </c>
      <c r="W82" t="str" cm="1">
        <f t="array" ref="W82">IF(S82="","",IFERROR(AVERAGE(IF((DATOS!$A$2:$A$20000=S82)*(DATOS!$G$2:$G$20000=CONFIG_METADATA!$B$4)*(DATOS!$I$2:$I$20000&lt;&gt;"Lenguaje Musical")*(DATOS!$I$2:$I$20000&lt;&gt;"Coro")*(DATOS!$I$2:$I$20000&lt;&gt;"Conjunto"),DATOS!$K$2:$K$20000)),""))</f>
        <v/>
      </c>
    </row>
    <row r="83" spans="2:23" ht="15" customHeight="1" x14ac:dyDescent="0.2">
      <c r="B83" t="str">
        <f>IF(A83="","",IFERROR(AVERAGEIFS(DATOS!$K$2:$K$20000,DATOS!$A$2:$A$20000,A83,DATOS!$G$2:$G$20000,CONFIG_METADATA!$B$4,DATOS!$I$2:$I$20000,"Lenguaje Musical"),""))</f>
        <v/>
      </c>
      <c r="C83" t="str">
        <f>IF(A83="","",IFERROR(AVERAGEIFS(DATOS!$K$2:$K$20000,DATOS!$A$2:$A$20000,A83,DATOS!$G$2:$G$20000,CONFIG_METADATA!$B$4,DATOS!$I$2:$I$20000,"Coro"),""))</f>
        <v/>
      </c>
      <c r="D83" t="str">
        <f>IF(A83="","",IFERROR(AVERAGEIFS(DATOS!$K$2:$K$20000,DATOS!$A$2:$A$20000,A83,DATOS!$G$2:$G$20000,CONFIG_METADATA!$B$4,DATOS!$I$2:$I$20000,"Conjunto"),""))</f>
        <v/>
      </c>
      <c r="E83" t="str" cm="1">
        <f t="array" ref="E83">IF(A83="","",IFERROR(AVERAGE(IF((DATOS!$A$2:$A$20000=A83)*(DATOS!$G$2:$G$20000=CONFIG_METADATA!$B$4)*(DATOS!$I$2:$I$20000&lt;&gt;"Lenguaje Musical")*(DATOS!$I$2:$I$20000&lt;&gt;"Coro")*(DATOS!$I$2:$I$20000&lt;&gt;"Conjunto"),DATOS!$K$2:$K$20000)),""))</f>
        <v/>
      </c>
      <c r="H83" t="str">
        <f>IF(G83="","",IFERROR(AVERAGEIFS(DATOS!$K$2:$K$20000,DATOS!$A$2:$A$20000,G83,DATOS!$G$2:$G$20000,CONFIG_METADATA!$B$4,DATOS!$I$2:$I$20000,"Lenguaje Musical"),""))</f>
        <v/>
      </c>
      <c r="I83" t="str">
        <f>IF(G83="","",IFERROR(AVERAGEIFS(DATOS!$K$2:$K$20000,DATOS!$A$2:$A$20000,G83,DATOS!$G$2:$G$20000,CONFIG_METADATA!$B$4,DATOS!$I$2:$I$20000,"Coro"),""))</f>
        <v/>
      </c>
      <c r="J83" t="str">
        <f>IF(G83="","",IFERROR(AVERAGEIFS(DATOS!$K$2:$K$20000,DATOS!$A$2:$A$20000,G83,DATOS!$G$2:$G$20000,CONFIG_METADATA!$B$4,DATOS!$I$2:$I$20000,"Conjunto"),""))</f>
        <v/>
      </c>
      <c r="K83" t="str" cm="1">
        <f t="array" ref="K83">IF(G83="","",IFERROR(AVERAGE(IF((DATOS!$A$2:$A$20000=G83)*(DATOS!$G$2:$G$20000=CONFIG_METADATA!$B$4)*(DATOS!$I$2:$I$20000&lt;&gt;"Lenguaje Musical")*(DATOS!$I$2:$I$20000&lt;&gt;"Coro")*(DATOS!$I$2:$I$20000&lt;&gt;"Conjunto"),DATOS!$K$2:$K$20000)),""))</f>
        <v/>
      </c>
      <c r="N83" t="str">
        <f>IF(M83="","",IFERROR(AVERAGEIFS(DATOS!$K$2:$K$20000,DATOS!$A$2:$A$20000,M83,DATOS!$G$2:$G$20000,CONFIG_METADATA!$B$4,DATOS!$I$2:$I$20000,"Lenguaje Musical"),""))</f>
        <v/>
      </c>
      <c r="O83" t="str">
        <f>IF(M83="","",IFERROR(AVERAGEIFS(DATOS!$K$2:$K$20000,DATOS!$A$2:$A$20000,M83,DATOS!$G$2:$G$20000,CONFIG_METADATA!$B$4,DATOS!$I$2:$I$20000,"Coro"),""))</f>
        <v/>
      </c>
      <c r="P83" t="str">
        <f>IF(M83="","",IFERROR(AVERAGEIFS(DATOS!$K$2:$K$20000,DATOS!$A$2:$A$20000,M83,DATOS!$G$2:$G$20000,CONFIG_METADATA!$B$4,DATOS!$I$2:$I$20000,"Conjunto"),""))</f>
        <v/>
      </c>
      <c r="Q83" t="str" cm="1">
        <f t="array" ref="Q83">IF(M83="","",IFERROR(AVERAGE(IF((DATOS!$A$2:$A$20000=M83)*(DATOS!$G$2:$G$20000=CONFIG_METADATA!$B$4)*(DATOS!$I$2:$I$20000&lt;&gt;"Lenguaje Musical")*(DATOS!$I$2:$I$20000&lt;&gt;"Coro")*(DATOS!$I$2:$I$20000&lt;&gt;"Conjunto"),DATOS!$K$2:$K$20000)),""))</f>
        <v/>
      </c>
      <c r="T83" t="str">
        <f>IF(S83="","",IFERROR(AVERAGEIFS(DATOS!$K$2:$K$20000,DATOS!$A$2:$A$20000,S83,DATOS!$G$2:$G$20000,CONFIG_METADATA!$B$4,DATOS!$I$2:$I$20000,"Lenguaje Musical"),""))</f>
        <v/>
      </c>
      <c r="U83" t="str">
        <f>IF(S83="","",IFERROR(AVERAGEIFS(DATOS!$K$2:$K$20000,DATOS!$A$2:$A$20000,S83,DATOS!$G$2:$G$20000,CONFIG_METADATA!$B$4,DATOS!$I$2:$I$20000,"Coro"),""))</f>
        <v/>
      </c>
      <c r="V83" t="str">
        <f>IF(S83="","",IFERROR(AVERAGEIFS(DATOS!$K$2:$K$20000,DATOS!$A$2:$A$20000,S83,DATOS!$G$2:$G$20000,CONFIG_METADATA!$B$4,DATOS!$I$2:$I$20000,"Conjunto"),""))</f>
        <v/>
      </c>
      <c r="W83" t="str" cm="1">
        <f t="array" ref="W83">IF(S83="","",IFERROR(AVERAGE(IF((DATOS!$A$2:$A$20000=S83)*(DATOS!$G$2:$G$20000=CONFIG_METADATA!$B$4)*(DATOS!$I$2:$I$20000&lt;&gt;"Lenguaje Musical")*(DATOS!$I$2:$I$20000&lt;&gt;"Coro")*(DATOS!$I$2:$I$20000&lt;&gt;"Conjunto"),DATOS!$K$2:$K$20000)),""))</f>
        <v/>
      </c>
    </row>
    <row r="84" spans="2:23" ht="15" customHeight="1" x14ac:dyDescent="0.2">
      <c r="B84" t="str">
        <f>IF(A84="","",IFERROR(AVERAGEIFS(DATOS!$K$2:$K$20000,DATOS!$A$2:$A$20000,A84,DATOS!$G$2:$G$20000,CONFIG_METADATA!$B$4,DATOS!$I$2:$I$20000,"Lenguaje Musical"),""))</f>
        <v/>
      </c>
      <c r="C84" t="str">
        <f>IF(A84="","",IFERROR(AVERAGEIFS(DATOS!$K$2:$K$20000,DATOS!$A$2:$A$20000,A84,DATOS!$G$2:$G$20000,CONFIG_METADATA!$B$4,DATOS!$I$2:$I$20000,"Coro"),""))</f>
        <v/>
      </c>
      <c r="D84" t="str">
        <f>IF(A84="","",IFERROR(AVERAGEIFS(DATOS!$K$2:$K$20000,DATOS!$A$2:$A$20000,A84,DATOS!$G$2:$G$20000,CONFIG_METADATA!$B$4,DATOS!$I$2:$I$20000,"Conjunto"),""))</f>
        <v/>
      </c>
      <c r="E84" t="str" cm="1">
        <f t="array" ref="E84">IF(A84="","",IFERROR(AVERAGE(IF((DATOS!$A$2:$A$20000=A84)*(DATOS!$G$2:$G$20000=CONFIG_METADATA!$B$4)*(DATOS!$I$2:$I$20000&lt;&gt;"Lenguaje Musical")*(DATOS!$I$2:$I$20000&lt;&gt;"Coro")*(DATOS!$I$2:$I$20000&lt;&gt;"Conjunto"),DATOS!$K$2:$K$20000)),""))</f>
        <v/>
      </c>
      <c r="H84" t="str">
        <f>IF(G84="","",IFERROR(AVERAGEIFS(DATOS!$K$2:$K$20000,DATOS!$A$2:$A$20000,G84,DATOS!$G$2:$G$20000,CONFIG_METADATA!$B$4,DATOS!$I$2:$I$20000,"Lenguaje Musical"),""))</f>
        <v/>
      </c>
      <c r="I84" t="str">
        <f>IF(G84="","",IFERROR(AVERAGEIFS(DATOS!$K$2:$K$20000,DATOS!$A$2:$A$20000,G84,DATOS!$G$2:$G$20000,CONFIG_METADATA!$B$4,DATOS!$I$2:$I$20000,"Coro"),""))</f>
        <v/>
      </c>
      <c r="J84" t="str">
        <f>IF(G84="","",IFERROR(AVERAGEIFS(DATOS!$K$2:$K$20000,DATOS!$A$2:$A$20000,G84,DATOS!$G$2:$G$20000,CONFIG_METADATA!$B$4,DATOS!$I$2:$I$20000,"Conjunto"),""))</f>
        <v/>
      </c>
      <c r="K84" t="str" cm="1">
        <f t="array" ref="K84">IF(G84="","",IFERROR(AVERAGE(IF((DATOS!$A$2:$A$20000=G84)*(DATOS!$G$2:$G$20000=CONFIG_METADATA!$B$4)*(DATOS!$I$2:$I$20000&lt;&gt;"Lenguaje Musical")*(DATOS!$I$2:$I$20000&lt;&gt;"Coro")*(DATOS!$I$2:$I$20000&lt;&gt;"Conjunto"),DATOS!$K$2:$K$20000)),""))</f>
        <v/>
      </c>
      <c r="N84" t="str">
        <f>IF(M84="","",IFERROR(AVERAGEIFS(DATOS!$K$2:$K$20000,DATOS!$A$2:$A$20000,M84,DATOS!$G$2:$G$20000,CONFIG_METADATA!$B$4,DATOS!$I$2:$I$20000,"Lenguaje Musical"),""))</f>
        <v/>
      </c>
      <c r="O84" t="str">
        <f>IF(M84="","",IFERROR(AVERAGEIFS(DATOS!$K$2:$K$20000,DATOS!$A$2:$A$20000,M84,DATOS!$G$2:$G$20000,CONFIG_METADATA!$B$4,DATOS!$I$2:$I$20000,"Coro"),""))</f>
        <v/>
      </c>
      <c r="P84" t="str">
        <f>IF(M84="","",IFERROR(AVERAGEIFS(DATOS!$K$2:$K$20000,DATOS!$A$2:$A$20000,M84,DATOS!$G$2:$G$20000,CONFIG_METADATA!$B$4,DATOS!$I$2:$I$20000,"Conjunto"),""))</f>
        <v/>
      </c>
      <c r="Q84" t="str" cm="1">
        <f t="array" ref="Q84">IF(M84="","",IFERROR(AVERAGE(IF((DATOS!$A$2:$A$20000=M84)*(DATOS!$G$2:$G$20000=CONFIG_METADATA!$B$4)*(DATOS!$I$2:$I$20000&lt;&gt;"Lenguaje Musical")*(DATOS!$I$2:$I$20000&lt;&gt;"Coro")*(DATOS!$I$2:$I$20000&lt;&gt;"Conjunto"),DATOS!$K$2:$K$20000)),""))</f>
        <v/>
      </c>
      <c r="T84" t="str">
        <f>IF(S84="","",IFERROR(AVERAGEIFS(DATOS!$K$2:$K$20000,DATOS!$A$2:$A$20000,S84,DATOS!$G$2:$G$20000,CONFIG_METADATA!$B$4,DATOS!$I$2:$I$20000,"Lenguaje Musical"),""))</f>
        <v/>
      </c>
      <c r="U84" t="str">
        <f>IF(S84="","",IFERROR(AVERAGEIFS(DATOS!$K$2:$K$20000,DATOS!$A$2:$A$20000,S84,DATOS!$G$2:$G$20000,CONFIG_METADATA!$B$4,DATOS!$I$2:$I$20000,"Coro"),""))</f>
        <v/>
      </c>
      <c r="V84" t="str">
        <f>IF(S84="","",IFERROR(AVERAGEIFS(DATOS!$K$2:$K$20000,DATOS!$A$2:$A$20000,S84,DATOS!$G$2:$G$20000,CONFIG_METADATA!$B$4,DATOS!$I$2:$I$20000,"Conjunto"),""))</f>
        <v/>
      </c>
      <c r="W84" t="str" cm="1">
        <f t="array" ref="W84">IF(S84="","",IFERROR(AVERAGE(IF((DATOS!$A$2:$A$20000=S84)*(DATOS!$G$2:$G$20000=CONFIG_METADATA!$B$4)*(DATOS!$I$2:$I$20000&lt;&gt;"Lenguaje Musical")*(DATOS!$I$2:$I$20000&lt;&gt;"Coro")*(DATOS!$I$2:$I$20000&lt;&gt;"Conjunto"),DATOS!$K$2:$K$20000)),""))</f>
        <v/>
      </c>
    </row>
    <row r="85" spans="2:23" ht="15" customHeight="1" x14ac:dyDescent="0.2">
      <c r="B85" t="str">
        <f>IF(A85="","",IFERROR(AVERAGEIFS(DATOS!$K$2:$K$20000,DATOS!$A$2:$A$20000,A85,DATOS!$G$2:$G$20000,CONFIG_METADATA!$B$4,DATOS!$I$2:$I$20000,"Lenguaje Musical"),""))</f>
        <v/>
      </c>
      <c r="C85" t="str">
        <f>IF(A85="","",IFERROR(AVERAGEIFS(DATOS!$K$2:$K$20000,DATOS!$A$2:$A$20000,A85,DATOS!$G$2:$G$20000,CONFIG_METADATA!$B$4,DATOS!$I$2:$I$20000,"Coro"),""))</f>
        <v/>
      </c>
      <c r="D85" t="str">
        <f>IF(A85="","",IFERROR(AVERAGEIFS(DATOS!$K$2:$K$20000,DATOS!$A$2:$A$20000,A85,DATOS!$G$2:$G$20000,CONFIG_METADATA!$B$4,DATOS!$I$2:$I$20000,"Conjunto"),""))</f>
        <v/>
      </c>
      <c r="E85" t="str" cm="1">
        <f t="array" ref="E85">IF(A85="","",IFERROR(AVERAGE(IF((DATOS!$A$2:$A$20000=A85)*(DATOS!$G$2:$G$20000=CONFIG_METADATA!$B$4)*(DATOS!$I$2:$I$20000&lt;&gt;"Lenguaje Musical")*(DATOS!$I$2:$I$20000&lt;&gt;"Coro")*(DATOS!$I$2:$I$20000&lt;&gt;"Conjunto"),DATOS!$K$2:$K$20000)),""))</f>
        <v/>
      </c>
      <c r="H85" t="str">
        <f>IF(G85="","",IFERROR(AVERAGEIFS(DATOS!$K$2:$K$20000,DATOS!$A$2:$A$20000,G85,DATOS!$G$2:$G$20000,CONFIG_METADATA!$B$4,DATOS!$I$2:$I$20000,"Lenguaje Musical"),""))</f>
        <v/>
      </c>
      <c r="I85" t="str">
        <f>IF(G85="","",IFERROR(AVERAGEIFS(DATOS!$K$2:$K$20000,DATOS!$A$2:$A$20000,G85,DATOS!$G$2:$G$20000,CONFIG_METADATA!$B$4,DATOS!$I$2:$I$20000,"Coro"),""))</f>
        <v/>
      </c>
      <c r="J85" t="str">
        <f>IF(G85="","",IFERROR(AVERAGEIFS(DATOS!$K$2:$K$20000,DATOS!$A$2:$A$20000,G85,DATOS!$G$2:$G$20000,CONFIG_METADATA!$B$4,DATOS!$I$2:$I$20000,"Conjunto"),""))</f>
        <v/>
      </c>
      <c r="K85" t="str" cm="1">
        <f t="array" ref="K85">IF(G85="","",IFERROR(AVERAGE(IF((DATOS!$A$2:$A$20000=G85)*(DATOS!$G$2:$G$20000=CONFIG_METADATA!$B$4)*(DATOS!$I$2:$I$20000&lt;&gt;"Lenguaje Musical")*(DATOS!$I$2:$I$20000&lt;&gt;"Coro")*(DATOS!$I$2:$I$20000&lt;&gt;"Conjunto"),DATOS!$K$2:$K$20000)),""))</f>
        <v/>
      </c>
      <c r="N85" t="str">
        <f>IF(M85="","",IFERROR(AVERAGEIFS(DATOS!$K$2:$K$20000,DATOS!$A$2:$A$20000,M85,DATOS!$G$2:$G$20000,CONFIG_METADATA!$B$4,DATOS!$I$2:$I$20000,"Lenguaje Musical"),""))</f>
        <v/>
      </c>
      <c r="O85" t="str">
        <f>IF(M85="","",IFERROR(AVERAGEIFS(DATOS!$K$2:$K$20000,DATOS!$A$2:$A$20000,M85,DATOS!$G$2:$G$20000,CONFIG_METADATA!$B$4,DATOS!$I$2:$I$20000,"Coro"),""))</f>
        <v/>
      </c>
      <c r="P85" t="str">
        <f>IF(M85="","",IFERROR(AVERAGEIFS(DATOS!$K$2:$K$20000,DATOS!$A$2:$A$20000,M85,DATOS!$G$2:$G$20000,CONFIG_METADATA!$B$4,DATOS!$I$2:$I$20000,"Conjunto"),""))</f>
        <v/>
      </c>
      <c r="Q85" t="str" cm="1">
        <f t="array" ref="Q85">IF(M85="","",IFERROR(AVERAGE(IF((DATOS!$A$2:$A$20000=M85)*(DATOS!$G$2:$G$20000=CONFIG_METADATA!$B$4)*(DATOS!$I$2:$I$20000&lt;&gt;"Lenguaje Musical")*(DATOS!$I$2:$I$20000&lt;&gt;"Coro")*(DATOS!$I$2:$I$20000&lt;&gt;"Conjunto"),DATOS!$K$2:$K$20000)),""))</f>
        <v/>
      </c>
      <c r="T85" t="str">
        <f>IF(S85="","",IFERROR(AVERAGEIFS(DATOS!$K$2:$K$20000,DATOS!$A$2:$A$20000,S85,DATOS!$G$2:$G$20000,CONFIG_METADATA!$B$4,DATOS!$I$2:$I$20000,"Lenguaje Musical"),""))</f>
        <v/>
      </c>
      <c r="U85" t="str">
        <f>IF(S85="","",IFERROR(AVERAGEIFS(DATOS!$K$2:$K$20000,DATOS!$A$2:$A$20000,S85,DATOS!$G$2:$G$20000,CONFIG_METADATA!$B$4,DATOS!$I$2:$I$20000,"Coro"),""))</f>
        <v/>
      </c>
      <c r="V85" t="str">
        <f>IF(S85="","",IFERROR(AVERAGEIFS(DATOS!$K$2:$K$20000,DATOS!$A$2:$A$20000,S85,DATOS!$G$2:$G$20000,CONFIG_METADATA!$B$4,DATOS!$I$2:$I$20000,"Conjunto"),""))</f>
        <v/>
      </c>
      <c r="W85" t="str" cm="1">
        <f t="array" ref="W85">IF(S85="","",IFERROR(AVERAGE(IF((DATOS!$A$2:$A$20000=S85)*(DATOS!$G$2:$G$20000=CONFIG_METADATA!$B$4)*(DATOS!$I$2:$I$20000&lt;&gt;"Lenguaje Musical")*(DATOS!$I$2:$I$20000&lt;&gt;"Coro")*(DATOS!$I$2:$I$20000&lt;&gt;"Conjunto"),DATOS!$K$2:$K$20000)),""))</f>
        <v/>
      </c>
    </row>
    <row r="86" spans="2:23" ht="15" customHeight="1" x14ac:dyDescent="0.2">
      <c r="B86" t="str">
        <f>IF(A86="","",IFERROR(AVERAGEIFS(DATOS!$K$2:$K$20000,DATOS!$A$2:$A$20000,A86,DATOS!$G$2:$G$20000,CONFIG_METADATA!$B$4,DATOS!$I$2:$I$20000,"Lenguaje Musical"),""))</f>
        <v/>
      </c>
      <c r="C86" t="str">
        <f>IF(A86="","",IFERROR(AVERAGEIFS(DATOS!$K$2:$K$20000,DATOS!$A$2:$A$20000,A86,DATOS!$G$2:$G$20000,CONFIG_METADATA!$B$4,DATOS!$I$2:$I$20000,"Coro"),""))</f>
        <v/>
      </c>
      <c r="D86" t="str">
        <f>IF(A86="","",IFERROR(AVERAGEIFS(DATOS!$K$2:$K$20000,DATOS!$A$2:$A$20000,A86,DATOS!$G$2:$G$20000,CONFIG_METADATA!$B$4,DATOS!$I$2:$I$20000,"Conjunto"),""))</f>
        <v/>
      </c>
      <c r="E86" t="str" cm="1">
        <f t="array" ref="E86">IF(A86="","",IFERROR(AVERAGE(IF((DATOS!$A$2:$A$20000=A86)*(DATOS!$G$2:$G$20000=CONFIG_METADATA!$B$4)*(DATOS!$I$2:$I$20000&lt;&gt;"Lenguaje Musical")*(DATOS!$I$2:$I$20000&lt;&gt;"Coro")*(DATOS!$I$2:$I$20000&lt;&gt;"Conjunto"),DATOS!$K$2:$K$20000)),""))</f>
        <v/>
      </c>
      <c r="H86" t="str">
        <f>IF(G86="","",IFERROR(AVERAGEIFS(DATOS!$K$2:$K$20000,DATOS!$A$2:$A$20000,G86,DATOS!$G$2:$G$20000,CONFIG_METADATA!$B$4,DATOS!$I$2:$I$20000,"Lenguaje Musical"),""))</f>
        <v/>
      </c>
      <c r="I86" t="str">
        <f>IF(G86="","",IFERROR(AVERAGEIFS(DATOS!$K$2:$K$20000,DATOS!$A$2:$A$20000,G86,DATOS!$G$2:$G$20000,CONFIG_METADATA!$B$4,DATOS!$I$2:$I$20000,"Coro"),""))</f>
        <v/>
      </c>
      <c r="J86" t="str">
        <f>IF(G86="","",IFERROR(AVERAGEIFS(DATOS!$K$2:$K$20000,DATOS!$A$2:$A$20000,G86,DATOS!$G$2:$G$20000,CONFIG_METADATA!$B$4,DATOS!$I$2:$I$20000,"Conjunto"),""))</f>
        <v/>
      </c>
      <c r="K86" t="str" cm="1">
        <f t="array" ref="K86">IF(G86="","",IFERROR(AVERAGE(IF((DATOS!$A$2:$A$20000=G86)*(DATOS!$G$2:$G$20000=CONFIG_METADATA!$B$4)*(DATOS!$I$2:$I$20000&lt;&gt;"Lenguaje Musical")*(DATOS!$I$2:$I$20000&lt;&gt;"Coro")*(DATOS!$I$2:$I$20000&lt;&gt;"Conjunto"),DATOS!$K$2:$K$20000)),""))</f>
        <v/>
      </c>
      <c r="N86" t="str">
        <f>IF(M86="","",IFERROR(AVERAGEIFS(DATOS!$K$2:$K$20000,DATOS!$A$2:$A$20000,M86,DATOS!$G$2:$G$20000,CONFIG_METADATA!$B$4,DATOS!$I$2:$I$20000,"Lenguaje Musical"),""))</f>
        <v/>
      </c>
      <c r="O86" t="str">
        <f>IF(M86="","",IFERROR(AVERAGEIFS(DATOS!$K$2:$K$20000,DATOS!$A$2:$A$20000,M86,DATOS!$G$2:$G$20000,CONFIG_METADATA!$B$4,DATOS!$I$2:$I$20000,"Coro"),""))</f>
        <v/>
      </c>
      <c r="P86" t="str">
        <f>IF(M86="","",IFERROR(AVERAGEIFS(DATOS!$K$2:$K$20000,DATOS!$A$2:$A$20000,M86,DATOS!$G$2:$G$20000,CONFIG_METADATA!$B$4,DATOS!$I$2:$I$20000,"Conjunto"),""))</f>
        <v/>
      </c>
      <c r="Q86" t="str" cm="1">
        <f t="array" ref="Q86">IF(M86="","",IFERROR(AVERAGE(IF((DATOS!$A$2:$A$20000=M86)*(DATOS!$G$2:$G$20000=CONFIG_METADATA!$B$4)*(DATOS!$I$2:$I$20000&lt;&gt;"Lenguaje Musical")*(DATOS!$I$2:$I$20000&lt;&gt;"Coro")*(DATOS!$I$2:$I$20000&lt;&gt;"Conjunto"),DATOS!$K$2:$K$20000)),""))</f>
        <v/>
      </c>
      <c r="T86" t="str">
        <f>IF(S86="","",IFERROR(AVERAGEIFS(DATOS!$K$2:$K$20000,DATOS!$A$2:$A$20000,S86,DATOS!$G$2:$G$20000,CONFIG_METADATA!$B$4,DATOS!$I$2:$I$20000,"Lenguaje Musical"),""))</f>
        <v/>
      </c>
      <c r="U86" t="str">
        <f>IF(S86="","",IFERROR(AVERAGEIFS(DATOS!$K$2:$K$20000,DATOS!$A$2:$A$20000,S86,DATOS!$G$2:$G$20000,CONFIG_METADATA!$B$4,DATOS!$I$2:$I$20000,"Coro"),""))</f>
        <v/>
      </c>
      <c r="V86" t="str">
        <f>IF(S86="","",IFERROR(AVERAGEIFS(DATOS!$K$2:$K$20000,DATOS!$A$2:$A$20000,S86,DATOS!$G$2:$G$20000,CONFIG_METADATA!$B$4,DATOS!$I$2:$I$20000,"Conjunto"),""))</f>
        <v/>
      </c>
      <c r="W86" t="str" cm="1">
        <f t="array" ref="W86">IF(S86="","",IFERROR(AVERAGE(IF((DATOS!$A$2:$A$20000=S86)*(DATOS!$G$2:$G$20000=CONFIG_METADATA!$B$4)*(DATOS!$I$2:$I$20000&lt;&gt;"Lenguaje Musical")*(DATOS!$I$2:$I$20000&lt;&gt;"Coro")*(DATOS!$I$2:$I$20000&lt;&gt;"Conjunto"),DATOS!$K$2:$K$20000)),""))</f>
        <v/>
      </c>
    </row>
    <row r="87" spans="2:23" ht="15" customHeight="1" x14ac:dyDescent="0.2">
      <c r="B87" t="str">
        <f>IF(A87="","",IFERROR(AVERAGEIFS(DATOS!$K$2:$K$20000,DATOS!$A$2:$A$20000,A87,DATOS!$G$2:$G$20000,CONFIG_METADATA!$B$4,DATOS!$I$2:$I$20000,"Lenguaje Musical"),""))</f>
        <v/>
      </c>
      <c r="C87" t="str">
        <f>IF(A87="","",IFERROR(AVERAGEIFS(DATOS!$K$2:$K$20000,DATOS!$A$2:$A$20000,A87,DATOS!$G$2:$G$20000,CONFIG_METADATA!$B$4,DATOS!$I$2:$I$20000,"Coro"),""))</f>
        <v/>
      </c>
      <c r="D87" t="str">
        <f>IF(A87="","",IFERROR(AVERAGEIFS(DATOS!$K$2:$K$20000,DATOS!$A$2:$A$20000,A87,DATOS!$G$2:$G$20000,CONFIG_METADATA!$B$4,DATOS!$I$2:$I$20000,"Conjunto"),""))</f>
        <v/>
      </c>
      <c r="E87" t="str" cm="1">
        <f t="array" ref="E87">IF(A87="","",IFERROR(AVERAGE(IF((DATOS!$A$2:$A$20000=A87)*(DATOS!$G$2:$G$20000=CONFIG_METADATA!$B$4)*(DATOS!$I$2:$I$20000&lt;&gt;"Lenguaje Musical")*(DATOS!$I$2:$I$20000&lt;&gt;"Coro")*(DATOS!$I$2:$I$20000&lt;&gt;"Conjunto"),DATOS!$K$2:$K$20000)),""))</f>
        <v/>
      </c>
      <c r="H87" t="str">
        <f>IF(G87="","",IFERROR(AVERAGEIFS(DATOS!$K$2:$K$20000,DATOS!$A$2:$A$20000,G87,DATOS!$G$2:$G$20000,CONFIG_METADATA!$B$4,DATOS!$I$2:$I$20000,"Lenguaje Musical"),""))</f>
        <v/>
      </c>
      <c r="I87" t="str">
        <f>IF(G87="","",IFERROR(AVERAGEIFS(DATOS!$K$2:$K$20000,DATOS!$A$2:$A$20000,G87,DATOS!$G$2:$G$20000,CONFIG_METADATA!$B$4,DATOS!$I$2:$I$20000,"Coro"),""))</f>
        <v/>
      </c>
      <c r="J87" t="str">
        <f>IF(G87="","",IFERROR(AVERAGEIFS(DATOS!$K$2:$K$20000,DATOS!$A$2:$A$20000,G87,DATOS!$G$2:$G$20000,CONFIG_METADATA!$B$4,DATOS!$I$2:$I$20000,"Conjunto"),""))</f>
        <v/>
      </c>
      <c r="K87" t="str" cm="1">
        <f t="array" ref="K87">IF(G87="","",IFERROR(AVERAGE(IF((DATOS!$A$2:$A$20000=G87)*(DATOS!$G$2:$G$20000=CONFIG_METADATA!$B$4)*(DATOS!$I$2:$I$20000&lt;&gt;"Lenguaje Musical")*(DATOS!$I$2:$I$20000&lt;&gt;"Coro")*(DATOS!$I$2:$I$20000&lt;&gt;"Conjunto"),DATOS!$K$2:$K$20000)),""))</f>
        <v/>
      </c>
      <c r="N87" t="str">
        <f>IF(M87="","",IFERROR(AVERAGEIFS(DATOS!$K$2:$K$20000,DATOS!$A$2:$A$20000,M87,DATOS!$G$2:$G$20000,CONFIG_METADATA!$B$4,DATOS!$I$2:$I$20000,"Lenguaje Musical"),""))</f>
        <v/>
      </c>
      <c r="O87" t="str">
        <f>IF(M87="","",IFERROR(AVERAGEIFS(DATOS!$K$2:$K$20000,DATOS!$A$2:$A$20000,M87,DATOS!$G$2:$G$20000,CONFIG_METADATA!$B$4,DATOS!$I$2:$I$20000,"Coro"),""))</f>
        <v/>
      </c>
      <c r="P87" t="str">
        <f>IF(M87="","",IFERROR(AVERAGEIFS(DATOS!$K$2:$K$20000,DATOS!$A$2:$A$20000,M87,DATOS!$G$2:$G$20000,CONFIG_METADATA!$B$4,DATOS!$I$2:$I$20000,"Conjunto"),""))</f>
        <v/>
      </c>
      <c r="Q87" t="str" cm="1">
        <f t="array" ref="Q87">IF(M87="","",IFERROR(AVERAGE(IF((DATOS!$A$2:$A$20000=M87)*(DATOS!$G$2:$G$20000=CONFIG_METADATA!$B$4)*(DATOS!$I$2:$I$20000&lt;&gt;"Lenguaje Musical")*(DATOS!$I$2:$I$20000&lt;&gt;"Coro")*(DATOS!$I$2:$I$20000&lt;&gt;"Conjunto"),DATOS!$K$2:$K$20000)),""))</f>
        <v/>
      </c>
      <c r="T87" t="str">
        <f>IF(S87="","",IFERROR(AVERAGEIFS(DATOS!$K$2:$K$20000,DATOS!$A$2:$A$20000,S87,DATOS!$G$2:$G$20000,CONFIG_METADATA!$B$4,DATOS!$I$2:$I$20000,"Lenguaje Musical"),""))</f>
        <v/>
      </c>
      <c r="U87" t="str">
        <f>IF(S87="","",IFERROR(AVERAGEIFS(DATOS!$K$2:$K$20000,DATOS!$A$2:$A$20000,S87,DATOS!$G$2:$G$20000,CONFIG_METADATA!$B$4,DATOS!$I$2:$I$20000,"Coro"),""))</f>
        <v/>
      </c>
      <c r="V87" t="str">
        <f>IF(S87="","",IFERROR(AVERAGEIFS(DATOS!$K$2:$K$20000,DATOS!$A$2:$A$20000,S87,DATOS!$G$2:$G$20000,CONFIG_METADATA!$B$4,DATOS!$I$2:$I$20000,"Conjunto"),""))</f>
        <v/>
      </c>
      <c r="W87" t="str" cm="1">
        <f t="array" ref="W87">IF(S87="","",IFERROR(AVERAGE(IF((DATOS!$A$2:$A$20000=S87)*(DATOS!$G$2:$G$20000=CONFIG_METADATA!$B$4)*(DATOS!$I$2:$I$20000&lt;&gt;"Lenguaje Musical")*(DATOS!$I$2:$I$20000&lt;&gt;"Coro")*(DATOS!$I$2:$I$20000&lt;&gt;"Conjunto"),DATOS!$K$2:$K$20000)),""))</f>
        <v/>
      </c>
    </row>
    <row r="88" spans="2:23" ht="15" customHeight="1" x14ac:dyDescent="0.2">
      <c r="B88" t="str">
        <f>IF(A88="","",IFERROR(AVERAGEIFS(DATOS!$K$2:$K$20000,DATOS!$A$2:$A$20000,A88,DATOS!$G$2:$G$20000,CONFIG_METADATA!$B$4,DATOS!$I$2:$I$20000,"Lenguaje Musical"),""))</f>
        <v/>
      </c>
      <c r="C88" t="str">
        <f>IF(A88="","",IFERROR(AVERAGEIFS(DATOS!$K$2:$K$20000,DATOS!$A$2:$A$20000,A88,DATOS!$G$2:$G$20000,CONFIG_METADATA!$B$4,DATOS!$I$2:$I$20000,"Coro"),""))</f>
        <v/>
      </c>
      <c r="D88" t="str">
        <f>IF(A88="","",IFERROR(AVERAGEIFS(DATOS!$K$2:$K$20000,DATOS!$A$2:$A$20000,A88,DATOS!$G$2:$G$20000,CONFIG_METADATA!$B$4,DATOS!$I$2:$I$20000,"Conjunto"),""))</f>
        <v/>
      </c>
      <c r="E88" t="str" cm="1">
        <f t="array" ref="E88">IF(A88="","",IFERROR(AVERAGE(IF((DATOS!$A$2:$A$20000=A88)*(DATOS!$G$2:$G$20000=CONFIG_METADATA!$B$4)*(DATOS!$I$2:$I$20000&lt;&gt;"Lenguaje Musical")*(DATOS!$I$2:$I$20000&lt;&gt;"Coro")*(DATOS!$I$2:$I$20000&lt;&gt;"Conjunto"),DATOS!$K$2:$K$20000)),""))</f>
        <v/>
      </c>
      <c r="H88" t="str">
        <f>IF(G88="","",IFERROR(AVERAGEIFS(DATOS!$K$2:$K$20000,DATOS!$A$2:$A$20000,G88,DATOS!$G$2:$G$20000,CONFIG_METADATA!$B$4,DATOS!$I$2:$I$20000,"Lenguaje Musical"),""))</f>
        <v/>
      </c>
      <c r="I88" t="str">
        <f>IF(G88="","",IFERROR(AVERAGEIFS(DATOS!$K$2:$K$20000,DATOS!$A$2:$A$20000,G88,DATOS!$G$2:$G$20000,CONFIG_METADATA!$B$4,DATOS!$I$2:$I$20000,"Coro"),""))</f>
        <v/>
      </c>
      <c r="J88" t="str">
        <f>IF(G88="","",IFERROR(AVERAGEIFS(DATOS!$K$2:$K$20000,DATOS!$A$2:$A$20000,G88,DATOS!$G$2:$G$20000,CONFIG_METADATA!$B$4,DATOS!$I$2:$I$20000,"Conjunto"),""))</f>
        <v/>
      </c>
      <c r="K88" t="str" cm="1">
        <f t="array" ref="K88">IF(G88="","",IFERROR(AVERAGE(IF((DATOS!$A$2:$A$20000=G88)*(DATOS!$G$2:$G$20000=CONFIG_METADATA!$B$4)*(DATOS!$I$2:$I$20000&lt;&gt;"Lenguaje Musical")*(DATOS!$I$2:$I$20000&lt;&gt;"Coro")*(DATOS!$I$2:$I$20000&lt;&gt;"Conjunto"),DATOS!$K$2:$K$20000)),""))</f>
        <v/>
      </c>
      <c r="N88" t="str">
        <f>IF(M88="","",IFERROR(AVERAGEIFS(DATOS!$K$2:$K$20000,DATOS!$A$2:$A$20000,M88,DATOS!$G$2:$G$20000,CONFIG_METADATA!$B$4,DATOS!$I$2:$I$20000,"Lenguaje Musical"),""))</f>
        <v/>
      </c>
      <c r="O88" t="str">
        <f>IF(M88="","",IFERROR(AVERAGEIFS(DATOS!$K$2:$K$20000,DATOS!$A$2:$A$20000,M88,DATOS!$G$2:$G$20000,CONFIG_METADATA!$B$4,DATOS!$I$2:$I$20000,"Coro"),""))</f>
        <v/>
      </c>
      <c r="P88" t="str">
        <f>IF(M88="","",IFERROR(AVERAGEIFS(DATOS!$K$2:$K$20000,DATOS!$A$2:$A$20000,M88,DATOS!$G$2:$G$20000,CONFIG_METADATA!$B$4,DATOS!$I$2:$I$20000,"Conjunto"),""))</f>
        <v/>
      </c>
      <c r="Q88" t="str" cm="1">
        <f t="array" ref="Q88">IF(M88="","",IFERROR(AVERAGE(IF((DATOS!$A$2:$A$20000=M88)*(DATOS!$G$2:$G$20000=CONFIG_METADATA!$B$4)*(DATOS!$I$2:$I$20000&lt;&gt;"Lenguaje Musical")*(DATOS!$I$2:$I$20000&lt;&gt;"Coro")*(DATOS!$I$2:$I$20000&lt;&gt;"Conjunto"),DATOS!$K$2:$K$20000)),""))</f>
        <v/>
      </c>
      <c r="T88" t="str">
        <f>IF(S88="","",IFERROR(AVERAGEIFS(DATOS!$K$2:$K$20000,DATOS!$A$2:$A$20000,S88,DATOS!$G$2:$G$20000,CONFIG_METADATA!$B$4,DATOS!$I$2:$I$20000,"Lenguaje Musical"),""))</f>
        <v/>
      </c>
      <c r="U88" t="str">
        <f>IF(S88="","",IFERROR(AVERAGEIFS(DATOS!$K$2:$K$20000,DATOS!$A$2:$A$20000,S88,DATOS!$G$2:$G$20000,CONFIG_METADATA!$B$4,DATOS!$I$2:$I$20000,"Coro"),""))</f>
        <v/>
      </c>
      <c r="V88" t="str">
        <f>IF(S88="","",IFERROR(AVERAGEIFS(DATOS!$K$2:$K$20000,DATOS!$A$2:$A$20000,S88,DATOS!$G$2:$G$20000,CONFIG_METADATA!$B$4,DATOS!$I$2:$I$20000,"Conjunto"),""))</f>
        <v/>
      </c>
      <c r="W88" t="str" cm="1">
        <f t="array" ref="W88">IF(S88="","",IFERROR(AVERAGE(IF((DATOS!$A$2:$A$20000=S88)*(DATOS!$G$2:$G$20000=CONFIG_METADATA!$B$4)*(DATOS!$I$2:$I$20000&lt;&gt;"Lenguaje Musical")*(DATOS!$I$2:$I$20000&lt;&gt;"Coro")*(DATOS!$I$2:$I$20000&lt;&gt;"Conjunto"),DATOS!$K$2:$K$20000)),""))</f>
        <v/>
      </c>
    </row>
    <row r="89" spans="2:23" ht="15" customHeight="1" x14ac:dyDescent="0.2">
      <c r="B89" t="str">
        <f>IF(A89="","",IFERROR(AVERAGEIFS(DATOS!$K$2:$K$20000,DATOS!$A$2:$A$20000,A89,DATOS!$G$2:$G$20000,CONFIG_METADATA!$B$4,DATOS!$I$2:$I$20000,"Lenguaje Musical"),""))</f>
        <v/>
      </c>
      <c r="C89" t="str">
        <f>IF(A89="","",IFERROR(AVERAGEIFS(DATOS!$K$2:$K$20000,DATOS!$A$2:$A$20000,A89,DATOS!$G$2:$G$20000,CONFIG_METADATA!$B$4,DATOS!$I$2:$I$20000,"Coro"),""))</f>
        <v/>
      </c>
      <c r="D89" t="str">
        <f>IF(A89="","",IFERROR(AVERAGEIFS(DATOS!$K$2:$K$20000,DATOS!$A$2:$A$20000,A89,DATOS!$G$2:$G$20000,CONFIG_METADATA!$B$4,DATOS!$I$2:$I$20000,"Conjunto"),""))</f>
        <v/>
      </c>
      <c r="E89" t="str" cm="1">
        <f t="array" ref="E89">IF(A89="","",IFERROR(AVERAGE(IF((DATOS!$A$2:$A$20000=A89)*(DATOS!$G$2:$G$20000=CONFIG_METADATA!$B$4)*(DATOS!$I$2:$I$20000&lt;&gt;"Lenguaje Musical")*(DATOS!$I$2:$I$20000&lt;&gt;"Coro")*(DATOS!$I$2:$I$20000&lt;&gt;"Conjunto"),DATOS!$K$2:$K$20000)),""))</f>
        <v/>
      </c>
      <c r="H89" t="str">
        <f>IF(G89="","",IFERROR(AVERAGEIFS(DATOS!$K$2:$K$20000,DATOS!$A$2:$A$20000,G89,DATOS!$G$2:$G$20000,CONFIG_METADATA!$B$4,DATOS!$I$2:$I$20000,"Lenguaje Musical"),""))</f>
        <v/>
      </c>
      <c r="I89" t="str">
        <f>IF(G89="","",IFERROR(AVERAGEIFS(DATOS!$K$2:$K$20000,DATOS!$A$2:$A$20000,G89,DATOS!$G$2:$G$20000,CONFIG_METADATA!$B$4,DATOS!$I$2:$I$20000,"Coro"),""))</f>
        <v/>
      </c>
      <c r="J89" t="str">
        <f>IF(G89="","",IFERROR(AVERAGEIFS(DATOS!$K$2:$K$20000,DATOS!$A$2:$A$20000,G89,DATOS!$G$2:$G$20000,CONFIG_METADATA!$B$4,DATOS!$I$2:$I$20000,"Conjunto"),""))</f>
        <v/>
      </c>
      <c r="K89" t="str" cm="1">
        <f t="array" ref="K89">IF(G89="","",IFERROR(AVERAGE(IF((DATOS!$A$2:$A$20000=G89)*(DATOS!$G$2:$G$20000=CONFIG_METADATA!$B$4)*(DATOS!$I$2:$I$20000&lt;&gt;"Lenguaje Musical")*(DATOS!$I$2:$I$20000&lt;&gt;"Coro")*(DATOS!$I$2:$I$20000&lt;&gt;"Conjunto"),DATOS!$K$2:$K$20000)),""))</f>
        <v/>
      </c>
      <c r="N89" t="str">
        <f>IF(M89="","",IFERROR(AVERAGEIFS(DATOS!$K$2:$K$20000,DATOS!$A$2:$A$20000,M89,DATOS!$G$2:$G$20000,CONFIG_METADATA!$B$4,DATOS!$I$2:$I$20000,"Lenguaje Musical"),""))</f>
        <v/>
      </c>
      <c r="O89" t="str">
        <f>IF(M89="","",IFERROR(AVERAGEIFS(DATOS!$K$2:$K$20000,DATOS!$A$2:$A$20000,M89,DATOS!$G$2:$G$20000,CONFIG_METADATA!$B$4,DATOS!$I$2:$I$20000,"Coro"),""))</f>
        <v/>
      </c>
      <c r="P89" t="str">
        <f>IF(M89="","",IFERROR(AVERAGEIFS(DATOS!$K$2:$K$20000,DATOS!$A$2:$A$20000,M89,DATOS!$G$2:$G$20000,CONFIG_METADATA!$B$4,DATOS!$I$2:$I$20000,"Conjunto"),""))</f>
        <v/>
      </c>
      <c r="Q89" t="str" cm="1">
        <f t="array" ref="Q89">IF(M89="","",IFERROR(AVERAGE(IF((DATOS!$A$2:$A$20000=M89)*(DATOS!$G$2:$G$20000=CONFIG_METADATA!$B$4)*(DATOS!$I$2:$I$20000&lt;&gt;"Lenguaje Musical")*(DATOS!$I$2:$I$20000&lt;&gt;"Coro")*(DATOS!$I$2:$I$20000&lt;&gt;"Conjunto"),DATOS!$K$2:$K$20000)),""))</f>
        <v/>
      </c>
      <c r="T89" t="str">
        <f>IF(S89="","",IFERROR(AVERAGEIFS(DATOS!$K$2:$K$20000,DATOS!$A$2:$A$20000,S89,DATOS!$G$2:$G$20000,CONFIG_METADATA!$B$4,DATOS!$I$2:$I$20000,"Lenguaje Musical"),""))</f>
        <v/>
      </c>
      <c r="U89" t="str">
        <f>IF(S89="","",IFERROR(AVERAGEIFS(DATOS!$K$2:$K$20000,DATOS!$A$2:$A$20000,S89,DATOS!$G$2:$G$20000,CONFIG_METADATA!$B$4,DATOS!$I$2:$I$20000,"Coro"),""))</f>
        <v/>
      </c>
      <c r="V89" t="str">
        <f>IF(S89="","",IFERROR(AVERAGEIFS(DATOS!$K$2:$K$20000,DATOS!$A$2:$A$20000,S89,DATOS!$G$2:$G$20000,CONFIG_METADATA!$B$4,DATOS!$I$2:$I$20000,"Conjunto"),""))</f>
        <v/>
      </c>
      <c r="W89" t="str" cm="1">
        <f t="array" ref="W89">IF(S89="","",IFERROR(AVERAGE(IF((DATOS!$A$2:$A$20000=S89)*(DATOS!$G$2:$G$20000=CONFIG_METADATA!$B$4)*(DATOS!$I$2:$I$20000&lt;&gt;"Lenguaje Musical")*(DATOS!$I$2:$I$20000&lt;&gt;"Coro")*(DATOS!$I$2:$I$20000&lt;&gt;"Conjunto"),DATOS!$K$2:$K$20000)),""))</f>
        <v/>
      </c>
    </row>
    <row r="90" spans="2:23" ht="15" customHeight="1" x14ac:dyDescent="0.2">
      <c r="B90" t="str">
        <f>IF(A90="","",IFERROR(AVERAGEIFS(DATOS!$K$2:$K$20000,DATOS!$A$2:$A$20000,A90,DATOS!$G$2:$G$20000,CONFIG_METADATA!$B$4,DATOS!$I$2:$I$20000,"Lenguaje Musical"),""))</f>
        <v/>
      </c>
      <c r="C90" t="str">
        <f>IF(A90="","",IFERROR(AVERAGEIFS(DATOS!$K$2:$K$20000,DATOS!$A$2:$A$20000,A90,DATOS!$G$2:$G$20000,CONFIG_METADATA!$B$4,DATOS!$I$2:$I$20000,"Coro"),""))</f>
        <v/>
      </c>
      <c r="D90" t="str">
        <f>IF(A90="","",IFERROR(AVERAGEIFS(DATOS!$K$2:$K$20000,DATOS!$A$2:$A$20000,A90,DATOS!$G$2:$G$20000,CONFIG_METADATA!$B$4,DATOS!$I$2:$I$20000,"Conjunto"),""))</f>
        <v/>
      </c>
      <c r="E90" t="str" cm="1">
        <f t="array" ref="E90">IF(A90="","",IFERROR(AVERAGE(IF((DATOS!$A$2:$A$20000=A90)*(DATOS!$G$2:$G$20000=CONFIG_METADATA!$B$4)*(DATOS!$I$2:$I$20000&lt;&gt;"Lenguaje Musical")*(DATOS!$I$2:$I$20000&lt;&gt;"Coro")*(DATOS!$I$2:$I$20000&lt;&gt;"Conjunto"),DATOS!$K$2:$K$20000)),""))</f>
        <v/>
      </c>
      <c r="H90" t="str">
        <f>IF(G90="","",IFERROR(AVERAGEIFS(DATOS!$K$2:$K$20000,DATOS!$A$2:$A$20000,G90,DATOS!$G$2:$G$20000,CONFIG_METADATA!$B$4,DATOS!$I$2:$I$20000,"Lenguaje Musical"),""))</f>
        <v/>
      </c>
      <c r="I90" t="str">
        <f>IF(G90="","",IFERROR(AVERAGEIFS(DATOS!$K$2:$K$20000,DATOS!$A$2:$A$20000,G90,DATOS!$G$2:$G$20000,CONFIG_METADATA!$B$4,DATOS!$I$2:$I$20000,"Coro"),""))</f>
        <v/>
      </c>
      <c r="J90" t="str">
        <f>IF(G90="","",IFERROR(AVERAGEIFS(DATOS!$K$2:$K$20000,DATOS!$A$2:$A$20000,G90,DATOS!$G$2:$G$20000,CONFIG_METADATA!$B$4,DATOS!$I$2:$I$20000,"Conjunto"),""))</f>
        <v/>
      </c>
      <c r="K90" t="str" cm="1">
        <f t="array" ref="K90">IF(G90="","",IFERROR(AVERAGE(IF((DATOS!$A$2:$A$20000=G90)*(DATOS!$G$2:$G$20000=CONFIG_METADATA!$B$4)*(DATOS!$I$2:$I$20000&lt;&gt;"Lenguaje Musical")*(DATOS!$I$2:$I$20000&lt;&gt;"Coro")*(DATOS!$I$2:$I$20000&lt;&gt;"Conjunto"),DATOS!$K$2:$K$20000)),""))</f>
        <v/>
      </c>
      <c r="N90" t="str">
        <f>IF(M90="","",IFERROR(AVERAGEIFS(DATOS!$K$2:$K$20000,DATOS!$A$2:$A$20000,M90,DATOS!$G$2:$G$20000,CONFIG_METADATA!$B$4,DATOS!$I$2:$I$20000,"Lenguaje Musical"),""))</f>
        <v/>
      </c>
      <c r="O90" t="str">
        <f>IF(M90="","",IFERROR(AVERAGEIFS(DATOS!$K$2:$K$20000,DATOS!$A$2:$A$20000,M90,DATOS!$G$2:$G$20000,CONFIG_METADATA!$B$4,DATOS!$I$2:$I$20000,"Coro"),""))</f>
        <v/>
      </c>
      <c r="P90" t="str">
        <f>IF(M90="","",IFERROR(AVERAGEIFS(DATOS!$K$2:$K$20000,DATOS!$A$2:$A$20000,M90,DATOS!$G$2:$G$20000,CONFIG_METADATA!$B$4,DATOS!$I$2:$I$20000,"Conjunto"),""))</f>
        <v/>
      </c>
      <c r="Q90" t="str" cm="1">
        <f t="array" ref="Q90">IF(M90="","",IFERROR(AVERAGE(IF((DATOS!$A$2:$A$20000=M90)*(DATOS!$G$2:$G$20000=CONFIG_METADATA!$B$4)*(DATOS!$I$2:$I$20000&lt;&gt;"Lenguaje Musical")*(DATOS!$I$2:$I$20000&lt;&gt;"Coro")*(DATOS!$I$2:$I$20000&lt;&gt;"Conjunto"),DATOS!$K$2:$K$20000)),""))</f>
        <v/>
      </c>
      <c r="T90" t="str">
        <f>IF(S90="","",IFERROR(AVERAGEIFS(DATOS!$K$2:$K$20000,DATOS!$A$2:$A$20000,S90,DATOS!$G$2:$G$20000,CONFIG_METADATA!$B$4,DATOS!$I$2:$I$20000,"Lenguaje Musical"),""))</f>
        <v/>
      </c>
      <c r="U90" t="str">
        <f>IF(S90="","",IFERROR(AVERAGEIFS(DATOS!$K$2:$K$20000,DATOS!$A$2:$A$20000,S90,DATOS!$G$2:$G$20000,CONFIG_METADATA!$B$4,DATOS!$I$2:$I$20000,"Coro"),""))</f>
        <v/>
      </c>
      <c r="V90" t="str">
        <f>IF(S90="","",IFERROR(AVERAGEIFS(DATOS!$K$2:$K$20000,DATOS!$A$2:$A$20000,S90,DATOS!$G$2:$G$20000,CONFIG_METADATA!$B$4,DATOS!$I$2:$I$20000,"Conjunto"),""))</f>
        <v/>
      </c>
      <c r="W90" t="str" cm="1">
        <f t="array" ref="W90">IF(S90="","",IFERROR(AVERAGE(IF((DATOS!$A$2:$A$20000=S90)*(DATOS!$G$2:$G$20000=CONFIG_METADATA!$B$4)*(DATOS!$I$2:$I$20000&lt;&gt;"Lenguaje Musical")*(DATOS!$I$2:$I$20000&lt;&gt;"Coro")*(DATOS!$I$2:$I$20000&lt;&gt;"Conjunto"),DATOS!$K$2:$K$20000)),""))</f>
        <v/>
      </c>
    </row>
    <row r="91" spans="2:23" ht="15" customHeight="1" x14ac:dyDescent="0.2">
      <c r="B91" t="str">
        <f>IF(A91="","",IFERROR(AVERAGEIFS(DATOS!$K$2:$K$20000,DATOS!$A$2:$A$20000,A91,DATOS!$G$2:$G$20000,CONFIG_METADATA!$B$4,DATOS!$I$2:$I$20000,"Lenguaje Musical"),""))</f>
        <v/>
      </c>
      <c r="C91" t="str">
        <f>IF(A91="","",IFERROR(AVERAGEIFS(DATOS!$K$2:$K$20000,DATOS!$A$2:$A$20000,A91,DATOS!$G$2:$G$20000,CONFIG_METADATA!$B$4,DATOS!$I$2:$I$20000,"Coro"),""))</f>
        <v/>
      </c>
      <c r="D91" t="str">
        <f>IF(A91="","",IFERROR(AVERAGEIFS(DATOS!$K$2:$K$20000,DATOS!$A$2:$A$20000,A91,DATOS!$G$2:$G$20000,CONFIG_METADATA!$B$4,DATOS!$I$2:$I$20000,"Conjunto"),""))</f>
        <v/>
      </c>
      <c r="E91" t="str" cm="1">
        <f t="array" ref="E91">IF(A91="","",IFERROR(AVERAGE(IF((DATOS!$A$2:$A$20000=A91)*(DATOS!$G$2:$G$20000=CONFIG_METADATA!$B$4)*(DATOS!$I$2:$I$20000&lt;&gt;"Lenguaje Musical")*(DATOS!$I$2:$I$20000&lt;&gt;"Coro")*(DATOS!$I$2:$I$20000&lt;&gt;"Conjunto"),DATOS!$K$2:$K$20000)),""))</f>
        <v/>
      </c>
      <c r="H91" t="str">
        <f>IF(G91="","",IFERROR(AVERAGEIFS(DATOS!$K$2:$K$20000,DATOS!$A$2:$A$20000,G91,DATOS!$G$2:$G$20000,CONFIG_METADATA!$B$4,DATOS!$I$2:$I$20000,"Lenguaje Musical"),""))</f>
        <v/>
      </c>
      <c r="I91" t="str">
        <f>IF(G91="","",IFERROR(AVERAGEIFS(DATOS!$K$2:$K$20000,DATOS!$A$2:$A$20000,G91,DATOS!$G$2:$G$20000,CONFIG_METADATA!$B$4,DATOS!$I$2:$I$20000,"Coro"),""))</f>
        <v/>
      </c>
      <c r="J91" t="str">
        <f>IF(G91="","",IFERROR(AVERAGEIFS(DATOS!$K$2:$K$20000,DATOS!$A$2:$A$20000,G91,DATOS!$G$2:$G$20000,CONFIG_METADATA!$B$4,DATOS!$I$2:$I$20000,"Conjunto"),""))</f>
        <v/>
      </c>
      <c r="K91" t="str" cm="1">
        <f t="array" ref="K91">IF(G91="","",IFERROR(AVERAGE(IF((DATOS!$A$2:$A$20000=G91)*(DATOS!$G$2:$G$20000=CONFIG_METADATA!$B$4)*(DATOS!$I$2:$I$20000&lt;&gt;"Lenguaje Musical")*(DATOS!$I$2:$I$20000&lt;&gt;"Coro")*(DATOS!$I$2:$I$20000&lt;&gt;"Conjunto"),DATOS!$K$2:$K$20000)),""))</f>
        <v/>
      </c>
      <c r="N91" t="str">
        <f>IF(M91="","",IFERROR(AVERAGEIFS(DATOS!$K$2:$K$20000,DATOS!$A$2:$A$20000,M91,DATOS!$G$2:$G$20000,CONFIG_METADATA!$B$4,DATOS!$I$2:$I$20000,"Lenguaje Musical"),""))</f>
        <v/>
      </c>
      <c r="O91" t="str">
        <f>IF(M91="","",IFERROR(AVERAGEIFS(DATOS!$K$2:$K$20000,DATOS!$A$2:$A$20000,M91,DATOS!$G$2:$G$20000,CONFIG_METADATA!$B$4,DATOS!$I$2:$I$20000,"Coro"),""))</f>
        <v/>
      </c>
      <c r="P91" t="str">
        <f>IF(M91="","",IFERROR(AVERAGEIFS(DATOS!$K$2:$K$20000,DATOS!$A$2:$A$20000,M91,DATOS!$G$2:$G$20000,CONFIG_METADATA!$B$4,DATOS!$I$2:$I$20000,"Conjunto"),""))</f>
        <v/>
      </c>
      <c r="Q91" t="str" cm="1">
        <f t="array" ref="Q91">IF(M91="","",IFERROR(AVERAGE(IF((DATOS!$A$2:$A$20000=M91)*(DATOS!$G$2:$G$20000=CONFIG_METADATA!$B$4)*(DATOS!$I$2:$I$20000&lt;&gt;"Lenguaje Musical")*(DATOS!$I$2:$I$20000&lt;&gt;"Coro")*(DATOS!$I$2:$I$20000&lt;&gt;"Conjunto"),DATOS!$K$2:$K$20000)),""))</f>
        <v/>
      </c>
      <c r="T91" t="str">
        <f>IF(S91="","",IFERROR(AVERAGEIFS(DATOS!$K$2:$K$20000,DATOS!$A$2:$A$20000,S91,DATOS!$G$2:$G$20000,CONFIG_METADATA!$B$4,DATOS!$I$2:$I$20000,"Lenguaje Musical"),""))</f>
        <v/>
      </c>
      <c r="U91" t="str">
        <f>IF(S91="","",IFERROR(AVERAGEIFS(DATOS!$K$2:$K$20000,DATOS!$A$2:$A$20000,S91,DATOS!$G$2:$G$20000,CONFIG_METADATA!$B$4,DATOS!$I$2:$I$20000,"Coro"),""))</f>
        <v/>
      </c>
      <c r="V91" t="str">
        <f>IF(S91="","",IFERROR(AVERAGEIFS(DATOS!$K$2:$K$20000,DATOS!$A$2:$A$20000,S91,DATOS!$G$2:$G$20000,CONFIG_METADATA!$B$4,DATOS!$I$2:$I$20000,"Conjunto"),""))</f>
        <v/>
      </c>
      <c r="W91" t="str" cm="1">
        <f t="array" ref="W91">IF(S91="","",IFERROR(AVERAGE(IF((DATOS!$A$2:$A$20000=S91)*(DATOS!$G$2:$G$20000=CONFIG_METADATA!$B$4)*(DATOS!$I$2:$I$20000&lt;&gt;"Lenguaje Musical")*(DATOS!$I$2:$I$20000&lt;&gt;"Coro")*(DATOS!$I$2:$I$20000&lt;&gt;"Conjunto"),DATOS!$K$2:$K$20000)),""))</f>
        <v/>
      </c>
    </row>
    <row r="92" spans="2:23" ht="15" customHeight="1" x14ac:dyDescent="0.2">
      <c r="B92" t="str">
        <f>IF(A92="","",IFERROR(AVERAGEIFS(DATOS!$K$2:$K$20000,DATOS!$A$2:$A$20000,A92,DATOS!$G$2:$G$20000,CONFIG_METADATA!$B$4,DATOS!$I$2:$I$20000,"Lenguaje Musical"),""))</f>
        <v/>
      </c>
      <c r="C92" t="str">
        <f>IF(A92="","",IFERROR(AVERAGEIFS(DATOS!$K$2:$K$20000,DATOS!$A$2:$A$20000,A92,DATOS!$G$2:$G$20000,CONFIG_METADATA!$B$4,DATOS!$I$2:$I$20000,"Coro"),""))</f>
        <v/>
      </c>
      <c r="D92" t="str">
        <f>IF(A92="","",IFERROR(AVERAGEIFS(DATOS!$K$2:$K$20000,DATOS!$A$2:$A$20000,A92,DATOS!$G$2:$G$20000,CONFIG_METADATA!$B$4,DATOS!$I$2:$I$20000,"Conjunto"),""))</f>
        <v/>
      </c>
      <c r="E92" t="str" cm="1">
        <f t="array" ref="E92">IF(A92="","",IFERROR(AVERAGE(IF((DATOS!$A$2:$A$20000=A92)*(DATOS!$G$2:$G$20000=CONFIG_METADATA!$B$4)*(DATOS!$I$2:$I$20000&lt;&gt;"Lenguaje Musical")*(DATOS!$I$2:$I$20000&lt;&gt;"Coro")*(DATOS!$I$2:$I$20000&lt;&gt;"Conjunto"),DATOS!$K$2:$K$20000)),""))</f>
        <v/>
      </c>
      <c r="H92" t="str">
        <f>IF(G92="","",IFERROR(AVERAGEIFS(DATOS!$K$2:$K$20000,DATOS!$A$2:$A$20000,G92,DATOS!$G$2:$G$20000,CONFIG_METADATA!$B$4,DATOS!$I$2:$I$20000,"Lenguaje Musical"),""))</f>
        <v/>
      </c>
      <c r="I92" t="str">
        <f>IF(G92="","",IFERROR(AVERAGEIFS(DATOS!$K$2:$K$20000,DATOS!$A$2:$A$20000,G92,DATOS!$G$2:$G$20000,CONFIG_METADATA!$B$4,DATOS!$I$2:$I$20000,"Coro"),""))</f>
        <v/>
      </c>
      <c r="J92" t="str">
        <f>IF(G92="","",IFERROR(AVERAGEIFS(DATOS!$K$2:$K$20000,DATOS!$A$2:$A$20000,G92,DATOS!$G$2:$G$20000,CONFIG_METADATA!$B$4,DATOS!$I$2:$I$20000,"Conjunto"),""))</f>
        <v/>
      </c>
      <c r="K92" t="str" cm="1">
        <f t="array" ref="K92">IF(G92="","",IFERROR(AVERAGE(IF((DATOS!$A$2:$A$20000=G92)*(DATOS!$G$2:$G$20000=CONFIG_METADATA!$B$4)*(DATOS!$I$2:$I$20000&lt;&gt;"Lenguaje Musical")*(DATOS!$I$2:$I$20000&lt;&gt;"Coro")*(DATOS!$I$2:$I$20000&lt;&gt;"Conjunto"),DATOS!$K$2:$K$20000)),""))</f>
        <v/>
      </c>
      <c r="N92" t="str">
        <f>IF(M92="","",IFERROR(AVERAGEIFS(DATOS!$K$2:$K$20000,DATOS!$A$2:$A$20000,M92,DATOS!$G$2:$G$20000,CONFIG_METADATA!$B$4,DATOS!$I$2:$I$20000,"Lenguaje Musical"),""))</f>
        <v/>
      </c>
      <c r="O92" t="str">
        <f>IF(M92="","",IFERROR(AVERAGEIFS(DATOS!$K$2:$K$20000,DATOS!$A$2:$A$20000,M92,DATOS!$G$2:$G$20000,CONFIG_METADATA!$B$4,DATOS!$I$2:$I$20000,"Coro"),""))</f>
        <v/>
      </c>
      <c r="P92" t="str">
        <f>IF(M92="","",IFERROR(AVERAGEIFS(DATOS!$K$2:$K$20000,DATOS!$A$2:$A$20000,M92,DATOS!$G$2:$G$20000,CONFIG_METADATA!$B$4,DATOS!$I$2:$I$20000,"Conjunto"),""))</f>
        <v/>
      </c>
      <c r="Q92" t="str" cm="1">
        <f t="array" ref="Q92">IF(M92="","",IFERROR(AVERAGE(IF((DATOS!$A$2:$A$20000=M92)*(DATOS!$G$2:$G$20000=CONFIG_METADATA!$B$4)*(DATOS!$I$2:$I$20000&lt;&gt;"Lenguaje Musical")*(DATOS!$I$2:$I$20000&lt;&gt;"Coro")*(DATOS!$I$2:$I$20000&lt;&gt;"Conjunto"),DATOS!$K$2:$K$20000)),""))</f>
        <v/>
      </c>
      <c r="T92" t="str">
        <f>IF(S92="","",IFERROR(AVERAGEIFS(DATOS!$K$2:$K$20000,DATOS!$A$2:$A$20000,S92,DATOS!$G$2:$G$20000,CONFIG_METADATA!$B$4,DATOS!$I$2:$I$20000,"Lenguaje Musical"),""))</f>
        <v/>
      </c>
      <c r="U92" t="str">
        <f>IF(S92="","",IFERROR(AVERAGEIFS(DATOS!$K$2:$K$20000,DATOS!$A$2:$A$20000,S92,DATOS!$G$2:$G$20000,CONFIG_METADATA!$B$4,DATOS!$I$2:$I$20000,"Coro"),""))</f>
        <v/>
      </c>
      <c r="V92" t="str">
        <f>IF(S92="","",IFERROR(AVERAGEIFS(DATOS!$K$2:$K$20000,DATOS!$A$2:$A$20000,S92,DATOS!$G$2:$G$20000,CONFIG_METADATA!$B$4,DATOS!$I$2:$I$20000,"Conjunto"),""))</f>
        <v/>
      </c>
      <c r="W92" t="str" cm="1">
        <f t="array" ref="W92">IF(S92="","",IFERROR(AVERAGE(IF((DATOS!$A$2:$A$20000=S92)*(DATOS!$G$2:$G$20000=CONFIG_METADATA!$B$4)*(DATOS!$I$2:$I$20000&lt;&gt;"Lenguaje Musical")*(DATOS!$I$2:$I$20000&lt;&gt;"Coro")*(DATOS!$I$2:$I$20000&lt;&gt;"Conjunto"),DATOS!$K$2:$K$20000)),""))</f>
        <v/>
      </c>
    </row>
    <row r="93" spans="2:23" ht="15" customHeight="1" x14ac:dyDescent="0.2">
      <c r="B93" t="str">
        <f>IF(A93="","",IFERROR(AVERAGEIFS(DATOS!$K$2:$K$20000,DATOS!$A$2:$A$20000,A93,DATOS!$G$2:$G$20000,CONFIG_METADATA!$B$4,DATOS!$I$2:$I$20000,"Lenguaje Musical"),""))</f>
        <v/>
      </c>
      <c r="C93" t="str">
        <f>IF(A93="","",IFERROR(AVERAGEIFS(DATOS!$K$2:$K$20000,DATOS!$A$2:$A$20000,A93,DATOS!$G$2:$G$20000,CONFIG_METADATA!$B$4,DATOS!$I$2:$I$20000,"Coro"),""))</f>
        <v/>
      </c>
      <c r="D93" t="str">
        <f>IF(A93="","",IFERROR(AVERAGEIFS(DATOS!$K$2:$K$20000,DATOS!$A$2:$A$20000,A93,DATOS!$G$2:$G$20000,CONFIG_METADATA!$B$4,DATOS!$I$2:$I$20000,"Conjunto"),""))</f>
        <v/>
      </c>
      <c r="E93" t="str" cm="1">
        <f t="array" ref="E93">IF(A93="","",IFERROR(AVERAGE(IF((DATOS!$A$2:$A$20000=A93)*(DATOS!$G$2:$G$20000=CONFIG_METADATA!$B$4)*(DATOS!$I$2:$I$20000&lt;&gt;"Lenguaje Musical")*(DATOS!$I$2:$I$20000&lt;&gt;"Coro")*(DATOS!$I$2:$I$20000&lt;&gt;"Conjunto"),DATOS!$K$2:$K$20000)),""))</f>
        <v/>
      </c>
      <c r="H93" t="str">
        <f>IF(G93="","",IFERROR(AVERAGEIFS(DATOS!$K$2:$K$20000,DATOS!$A$2:$A$20000,G93,DATOS!$G$2:$G$20000,CONFIG_METADATA!$B$4,DATOS!$I$2:$I$20000,"Lenguaje Musical"),""))</f>
        <v/>
      </c>
      <c r="I93" t="str">
        <f>IF(G93="","",IFERROR(AVERAGEIFS(DATOS!$K$2:$K$20000,DATOS!$A$2:$A$20000,G93,DATOS!$G$2:$G$20000,CONFIG_METADATA!$B$4,DATOS!$I$2:$I$20000,"Coro"),""))</f>
        <v/>
      </c>
      <c r="J93" t="str">
        <f>IF(G93="","",IFERROR(AVERAGEIFS(DATOS!$K$2:$K$20000,DATOS!$A$2:$A$20000,G93,DATOS!$G$2:$G$20000,CONFIG_METADATA!$B$4,DATOS!$I$2:$I$20000,"Conjunto"),""))</f>
        <v/>
      </c>
      <c r="K93" t="str" cm="1">
        <f t="array" ref="K93">IF(G93="","",IFERROR(AVERAGE(IF((DATOS!$A$2:$A$20000=G93)*(DATOS!$G$2:$G$20000=CONFIG_METADATA!$B$4)*(DATOS!$I$2:$I$20000&lt;&gt;"Lenguaje Musical")*(DATOS!$I$2:$I$20000&lt;&gt;"Coro")*(DATOS!$I$2:$I$20000&lt;&gt;"Conjunto"),DATOS!$K$2:$K$20000)),""))</f>
        <v/>
      </c>
      <c r="N93" t="str">
        <f>IF(M93="","",IFERROR(AVERAGEIFS(DATOS!$K$2:$K$20000,DATOS!$A$2:$A$20000,M93,DATOS!$G$2:$G$20000,CONFIG_METADATA!$B$4,DATOS!$I$2:$I$20000,"Lenguaje Musical"),""))</f>
        <v/>
      </c>
      <c r="O93" t="str">
        <f>IF(M93="","",IFERROR(AVERAGEIFS(DATOS!$K$2:$K$20000,DATOS!$A$2:$A$20000,M93,DATOS!$G$2:$G$20000,CONFIG_METADATA!$B$4,DATOS!$I$2:$I$20000,"Coro"),""))</f>
        <v/>
      </c>
      <c r="P93" t="str">
        <f>IF(M93="","",IFERROR(AVERAGEIFS(DATOS!$K$2:$K$20000,DATOS!$A$2:$A$20000,M93,DATOS!$G$2:$G$20000,CONFIG_METADATA!$B$4,DATOS!$I$2:$I$20000,"Conjunto"),""))</f>
        <v/>
      </c>
      <c r="Q93" t="str" cm="1">
        <f t="array" ref="Q93">IF(M93="","",IFERROR(AVERAGE(IF((DATOS!$A$2:$A$20000=M93)*(DATOS!$G$2:$G$20000=CONFIG_METADATA!$B$4)*(DATOS!$I$2:$I$20000&lt;&gt;"Lenguaje Musical")*(DATOS!$I$2:$I$20000&lt;&gt;"Coro")*(DATOS!$I$2:$I$20000&lt;&gt;"Conjunto"),DATOS!$K$2:$K$20000)),""))</f>
        <v/>
      </c>
      <c r="T93" t="str">
        <f>IF(S93="","",IFERROR(AVERAGEIFS(DATOS!$K$2:$K$20000,DATOS!$A$2:$A$20000,S93,DATOS!$G$2:$G$20000,CONFIG_METADATA!$B$4,DATOS!$I$2:$I$20000,"Lenguaje Musical"),""))</f>
        <v/>
      </c>
      <c r="U93" t="str">
        <f>IF(S93="","",IFERROR(AVERAGEIFS(DATOS!$K$2:$K$20000,DATOS!$A$2:$A$20000,S93,DATOS!$G$2:$G$20000,CONFIG_METADATA!$B$4,DATOS!$I$2:$I$20000,"Coro"),""))</f>
        <v/>
      </c>
      <c r="V93" t="str">
        <f>IF(S93="","",IFERROR(AVERAGEIFS(DATOS!$K$2:$K$20000,DATOS!$A$2:$A$20000,S93,DATOS!$G$2:$G$20000,CONFIG_METADATA!$B$4,DATOS!$I$2:$I$20000,"Conjunto"),""))</f>
        <v/>
      </c>
      <c r="W93" t="str" cm="1">
        <f t="array" ref="W93">IF(S93="","",IFERROR(AVERAGE(IF((DATOS!$A$2:$A$20000=S93)*(DATOS!$G$2:$G$20000=CONFIG_METADATA!$B$4)*(DATOS!$I$2:$I$20000&lt;&gt;"Lenguaje Musical")*(DATOS!$I$2:$I$20000&lt;&gt;"Coro")*(DATOS!$I$2:$I$20000&lt;&gt;"Conjunto"),DATOS!$K$2:$K$20000)),""))</f>
        <v/>
      </c>
    </row>
    <row r="94" spans="2:23" ht="15" customHeight="1" x14ac:dyDescent="0.2">
      <c r="B94" t="str">
        <f>IF(A94="","",IFERROR(AVERAGEIFS(DATOS!$K$2:$K$20000,DATOS!$A$2:$A$20000,A94,DATOS!$G$2:$G$20000,CONFIG_METADATA!$B$4,DATOS!$I$2:$I$20000,"Lenguaje Musical"),""))</f>
        <v/>
      </c>
      <c r="C94" t="str">
        <f>IF(A94="","",IFERROR(AVERAGEIFS(DATOS!$K$2:$K$20000,DATOS!$A$2:$A$20000,A94,DATOS!$G$2:$G$20000,CONFIG_METADATA!$B$4,DATOS!$I$2:$I$20000,"Coro"),""))</f>
        <v/>
      </c>
      <c r="D94" t="str">
        <f>IF(A94="","",IFERROR(AVERAGEIFS(DATOS!$K$2:$K$20000,DATOS!$A$2:$A$20000,A94,DATOS!$G$2:$G$20000,CONFIG_METADATA!$B$4,DATOS!$I$2:$I$20000,"Conjunto"),""))</f>
        <v/>
      </c>
      <c r="E94" t="str" cm="1">
        <f t="array" ref="E94">IF(A94="","",IFERROR(AVERAGE(IF((DATOS!$A$2:$A$20000=A94)*(DATOS!$G$2:$G$20000=CONFIG_METADATA!$B$4)*(DATOS!$I$2:$I$20000&lt;&gt;"Lenguaje Musical")*(DATOS!$I$2:$I$20000&lt;&gt;"Coro")*(DATOS!$I$2:$I$20000&lt;&gt;"Conjunto"),DATOS!$K$2:$K$20000)),""))</f>
        <v/>
      </c>
      <c r="H94" t="str">
        <f>IF(G94="","",IFERROR(AVERAGEIFS(DATOS!$K$2:$K$20000,DATOS!$A$2:$A$20000,G94,DATOS!$G$2:$G$20000,CONFIG_METADATA!$B$4,DATOS!$I$2:$I$20000,"Lenguaje Musical"),""))</f>
        <v/>
      </c>
      <c r="I94" t="str">
        <f>IF(G94="","",IFERROR(AVERAGEIFS(DATOS!$K$2:$K$20000,DATOS!$A$2:$A$20000,G94,DATOS!$G$2:$G$20000,CONFIG_METADATA!$B$4,DATOS!$I$2:$I$20000,"Coro"),""))</f>
        <v/>
      </c>
      <c r="J94" t="str">
        <f>IF(G94="","",IFERROR(AVERAGEIFS(DATOS!$K$2:$K$20000,DATOS!$A$2:$A$20000,G94,DATOS!$G$2:$G$20000,CONFIG_METADATA!$B$4,DATOS!$I$2:$I$20000,"Conjunto"),""))</f>
        <v/>
      </c>
      <c r="K94" t="str" cm="1">
        <f t="array" ref="K94">IF(G94="","",IFERROR(AVERAGE(IF((DATOS!$A$2:$A$20000=G94)*(DATOS!$G$2:$G$20000=CONFIG_METADATA!$B$4)*(DATOS!$I$2:$I$20000&lt;&gt;"Lenguaje Musical")*(DATOS!$I$2:$I$20000&lt;&gt;"Coro")*(DATOS!$I$2:$I$20000&lt;&gt;"Conjunto"),DATOS!$K$2:$K$20000)),""))</f>
        <v/>
      </c>
      <c r="N94" t="str">
        <f>IF(M94="","",IFERROR(AVERAGEIFS(DATOS!$K$2:$K$20000,DATOS!$A$2:$A$20000,M94,DATOS!$G$2:$G$20000,CONFIG_METADATA!$B$4,DATOS!$I$2:$I$20000,"Lenguaje Musical"),""))</f>
        <v/>
      </c>
      <c r="O94" t="str">
        <f>IF(M94="","",IFERROR(AVERAGEIFS(DATOS!$K$2:$K$20000,DATOS!$A$2:$A$20000,M94,DATOS!$G$2:$G$20000,CONFIG_METADATA!$B$4,DATOS!$I$2:$I$20000,"Coro"),""))</f>
        <v/>
      </c>
      <c r="P94" t="str">
        <f>IF(M94="","",IFERROR(AVERAGEIFS(DATOS!$K$2:$K$20000,DATOS!$A$2:$A$20000,M94,DATOS!$G$2:$G$20000,CONFIG_METADATA!$B$4,DATOS!$I$2:$I$20000,"Conjunto"),""))</f>
        <v/>
      </c>
      <c r="Q94" t="str" cm="1">
        <f t="array" ref="Q94">IF(M94="","",IFERROR(AVERAGE(IF((DATOS!$A$2:$A$20000=M94)*(DATOS!$G$2:$G$20000=CONFIG_METADATA!$B$4)*(DATOS!$I$2:$I$20000&lt;&gt;"Lenguaje Musical")*(DATOS!$I$2:$I$20000&lt;&gt;"Coro")*(DATOS!$I$2:$I$20000&lt;&gt;"Conjunto"),DATOS!$K$2:$K$20000)),""))</f>
        <v/>
      </c>
      <c r="T94" t="str">
        <f>IF(S94="","",IFERROR(AVERAGEIFS(DATOS!$K$2:$K$20000,DATOS!$A$2:$A$20000,S94,DATOS!$G$2:$G$20000,CONFIG_METADATA!$B$4,DATOS!$I$2:$I$20000,"Lenguaje Musical"),""))</f>
        <v/>
      </c>
      <c r="U94" t="str">
        <f>IF(S94="","",IFERROR(AVERAGEIFS(DATOS!$K$2:$K$20000,DATOS!$A$2:$A$20000,S94,DATOS!$G$2:$G$20000,CONFIG_METADATA!$B$4,DATOS!$I$2:$I$20000,"Coro"),""))</f>
        <v/>
      </c>
      <c r="V94" t="str">
        <f>IF(S94="","",IFERROR(AVERAGEIFS(DATOS!$K$2:$K$20000,DATOS!$A$2:$A$20000,S94,DATOS!$G$2:$G$20000,CONFIG_METADATA!$B$4,DATOS!$I$2:$I$20000,"Conjunto"),""))</f>
        <v/>
      </c>
      <c r="W94" t="str" cm="1">
        <f t="array" ref="W94">IF(S94="","",IFERROR(AVERAGE(IF((DATOS!$A$2:$A$20000=S94)*(DATOS!$G$2:$G$20000=CONFIG_METADATA!$B$4)*(DATOS!$I$2:$I$20000&lt;&gt;"Lenguaje Musical")*(DATOS!$I$2:$I$20000&lt;&gt;"Coro")*(DATOS!$I$2:$I$20000&lt;&gt;"Conjunto"),DATOS!$K$2:$K$20000)),""))</f>
        <v/>
      </c>
    </row>
    <row r="95" spans="2:23" ht="15" customHeight="1" x14ac:dyDescent="0.2">
      <c r="B95" t="str">
        <f>IF(A95="","",IFERROR(AVERAGEIFS(DATOS!$K$2:$K$20000,DATOS!$A$2:$A$20000,A95,DATOS!$G$2:$G$20000,CONFIG_METADATA!$B$4,DATOS!$I$2:$I$20000,"Lenguaje Musical"),""))</f>
        <v/>
      </c>
      <c r="C95" t="str">
        <f>IF(A95="","",IFERROR(AVERAGEIFS(DATOS!$K$2:$K$20000,DATOS!$A$2:$A$20000,A95,DATOS!$G$2:$G$20000,CONFIG_METADATA!$B$4,DATOS!$I$2:$I$20000,"Coro"),""))</f>
        <v/>
      </c>
      <c r="D95" t="str">
        <f>IF(A95="","",IFERROR(AVERAGEIFS(DATOS!$K$2:$K$20000,DATOS!$A$2:$A$20000,A95,DATOS!$G$2:$G$20000,CONFIG_METADATA!$B$4,DATOS!$I$2:$I$20000,"Conjunto"),""))</f>
        <v/>
      </c>
      <c r="E95" t="str" cm="1">
        <f t="array" ref="E95">IF(A95="","",IFERROR(AVERAGE(IF((DATOS!$A$2:$A$20000=A95)*(DATOS!$G$2:$G$20000=CONFIG_METADATA!$B$4)*(DATOS!$I$2:$I$20000&lt;&gt;"Lenguaje Musical")*(DATOS!$I$2:$I$20000&lt;&gt;"Coro")*(DATOS!$I$2:$I$20000&lt;&gt;"Conjunto"),DATOS!$K$2:$K$20000)),""))</f>
        <v/>
      </c>
      <c r="H95" t="str">
        <f>IF(G95="","",IFERROR(AVERAGEIFS(DATOS!$K$2:$K$20000,DATOS!$A$2:$A$20000,G95,DATOS!$G$2:$G$20000,CONFIG_METADATA!$B$4,DATOS!$I$2:$I$20000,"Lenguaje Musical"),""))</f>
        <v/>
      </c>
      <c r="I95" t="str">
        <f>IF(G95="","",IFERROR(AVERAGEIFS(DATOS!$K$2:$K$20000,DATOS!$A$2:$A$20000,G95,DATOS!$G$2:$G$20000,CONFIG_METADATA!$B$4,DATOS!$I$2:$I$20000,"Coro"),""))</f>
        <v/>
      </c>
      <c r="J95" t="str">
        <f>IF(G95="","",IFERROR(AVERAGEIFS(DATOS!$K$2:$K$20000,DATOS!$A$2:$A$20000,G95,DATOS!$G$2:$G$20000,CONFIG_METADATA!$B$4,DATOS!$I$2:$I$20000,"Conjunto"),""))</f>
        <v/>
      </c>
      <c r="K95" t="str" cm="1">
        <f t="array" ref="K95">IF(G95="","",IFERROR(AVERAGE(IF((DATOS!$A$2:$A$20000=G95)*(DATOS!$G$2:$G$20000=CONFIG_METADATA!$B$4)*(DATOS!$I$2:$I$20000&lt;&gt;"Lenguaje Musical")*(DATOS!$I$2:$I$20000&lt;&gt;"Coro")*(DATOS!$I$2:$I$20000&lt;&gt;"Conjunto"),DATOS!$K$2:$K$20000)),""))</f>
        <v/>
      </c>
      <c r="N95" t="str">
        <f>IF(M95="","",IFERROR(AVERAGEIFS(DATOS!$K$2:$K$20000,DATOS!$A$2:$A$20000,M95,DATOS!$G$2:$G$20000,CONFIG_METADATA!$B$4,DATOS!$I$2:$I$20000,"Lenguaje Musical"),""))</f>
        <v/>
      </c>
      <c r="O95" t="str">
        <f>IF(M95="","",IFERROR(AVERAGEIFS(DATOS!$K$2:$K$20000,DATOS!$A$2:$A$20000,M95,DATOS!$G$2:$G$20000,CONFIG_METADATA!$B$4,DATOS!$I$2:$I$20000,"Coro"),""))</f>
        <v/>
      </c>
      <c r="P95" t="str">
        <f>IF(M95="","",IFERROR(AVERAGEIFS(DATOS!$K$2:$K$20000,DATOS!$A$2:$A$20000,M95,DATOS!$G$2:$G$20000,CONFIG_METADATA!$B$4,DATOS!$I$2:$I$20000,"Conjunto"),""))</f>
        <v/>
      </c>
      <c r="Q95" t="str" cm="1">
        <f t="array" ref="Q95">IF(M95="","",IFERROR(AVERAGE(IF((DATOS!$A$2:$A$20000=M95)*(DATOS!$G$2:$G$20000=CONFIG_METADATA!$B$4)*(DATOS!$I$2:$I$20000&lt;&gt;"Lenguaje Musical")*(DATOS!$I$2:$I$20000&lt;&gt;"Coro")*(DATOS!$I$2:$I$20000&lt;&gt;"Conjunto"),DATOS!$K$2:$K$20000)),""))</f>
        <v/>
      </c>
      <c r="T95" t="str">
        <f>IF(S95="","",IFERROR(AVERAGEIFS(DATOS!$K$2:$K$20000,DATOS!$A$2:$A$20000,S95,DATOS!$G$2:$G$20000,CONFIG_METADATA!$B$4,DATOS!$I$2:$I$20000,"Lenguaje Musical"),""))</f>
        <v/>
      </c>
      <c r="U95" t="str">
        <f>IF(S95="","",IFERROR(AVERAGEIFS(DATOS!$K$2:$K$20000,DATOS!$A$2:$A$20000,S95,DATOS!$G$2:$G$20000,CONFIG_METADATA!$B$4,DATOS!$I$2:$I$20000,"Coro"),""))</f>
        <v/>
      </c>
      <c r="V95" t="str">
        <f>IF(S95="","",IFERROR(AVERAGEIFS(DATOS!$K$2:$K$20000,DATOS!$A$2:$A$20000,S95,DATOS!$G$2:$G$20000,CONFIG_METADATA!$B$4,DATOS!$I$2:$I$20000,"Conjunto"),""))</f>
        <v/>
      </c>
      <c r="W95" t="str" cm="1">
        <f t="array" ref="W95">IF(S95="","",IFERROR(AVERAGE(IF((DATOS!$A$2:$A$20000=S95)*(DATOS!$G$2:$G$20000=CONFIG_METADATA!$B$4)*(DATOS!$I$2:$I$20000&lt;&gt;"Lenguaje Musical")*(DATOS!$I$2:$I$20000&lt;&gt;"Coro")*(DATOS!$I$2:$I$20000&lt;&gt;"Conjunto"),DATOS!$K$2:$K$20000)),""))</f>
        <v/>
      </c>
    </row>
    <row r="96" spans="2:23" ht="15" customHeight="1" x14ac:dyDescent="0.2">
      <c r="B96" t="str">
        <f>IF(A96="","",IFERROR(AVERAGEIFS(DATOS!$K$2:$K$20000,DATOS!$A$2:$A$20000,A96,DATOS!$G$2:$G$20000,CONFIG_METADATA!$B$4,DATOS!$I$2:$I$20000,"Lenguaje Musical"),""))</f>
        <v/>
      </c>
      <c r="C96" t="str">
        <f>IF(A96="","",IFERROR(AVERAGEIFS(DATOS!$K$2:$K$20000,DATOS!$A$2:$A$20000,A96,DATOS!$G$2:$G$20000,CONFIG_METADATA!$B$4,DATOS!$I$2:$I$20000,"Coro"),""))</f>
        <v/>
      </c>
      <c r="D96" t="str">
        <f>IF(A96="","",IFERROR(AVERAGEIFS(DATOS!$K$2:$K$20000,DATOS!$A$2:$A$20000,A96,DATOS!$G$2:$G$20000,CONFIG_METADATA!$B$4,DATOS!$I$2:$I$20000,"Conjunto"),""))</f>
        <v/>
      </c>
      <c r="E96" t="str" cm="1">
        <f t="array" ref="E96">IF(A96="","",IFERROR(AVERAGE(IF((DATOS!$A$2:$A$20000=A96)*(DATOS!$G$2:$G$20000=CONFIG_METADATA!$B$4)*(DATOS!$I$2:$I$20000&lt;&gt;"Lenguaje Musical")*(DATOS!$I$2:$I$20000&lt;&gt;"Coro")*(DATOS!$I$2:$I$20000&lt;&gt;"Conjunto"),DATOS!$K$2:$K$20000)),""))</f>
        <v/>
      </c>
      <c r="H96" t="str">
        <f>IF(G96="","",IFERROR(AVERAGEIFS(DATOS!$K$2:$K$20000,DATOS!$A$2:$A$20000,G96,DATOS!$G$2:$G$20000,CONFIG_METADATA!$B$4,DATOS!$I$2:$I$20000,"Lenguaje Musical"),""))</f>
        <v/>
      </c>
      <c r="I96" t="str">
        <f>IF(G96="","",IFERROR(AVERAGEIFS(DATOS!$K$2:$K$20000,DATOS!$A$2:$A$20000,G96,DATOS!$G$2:$G$20000,CONFIG_METADATA!$B$4,DATOS!$I$2:$I$20000,"Coro"),""))</f>
        <v/>
      </c>
      <c r="J96" t="str">
        <f>IF(G96="","",IFERROR(AVERAGEIFS(DATOS!$K$2:$K$20000,DATOS!$A$2:$A$20000,G96,DATOS!$G$2:$G$20000,CONFIG_METADATA!$B$4,DATOS!$I$2:$I$20000,"Conjunto"),""))</f>
        <v/>
      </c>
      <c r="K96" t="str" cm="1">
        <f t="array" ref="K96">IF(G96="","",IFERROR(AVERAGE(IF((DATOS!$A$2:$A$20000=G96)*(DATOS!$G$2:$G$20000=CONFIG_METADATA!$B$4)*(DATOS!$I$2:$I$20000&lt;&gt;"Lenguaje Musical")*(DATOS!$I$2:$I$20000&lt;&gt;"Coro")*(DATOS!$I$2:$I$20000&lt;&gt;"Conjunto"),DATOS!$K$2:$K$20000)),""))</f>
        <v/>
      </c>
      <c r="N96" t="str">
        <f>IF(M96="","",IFERROR(AVERAGEIFS(DATOS!$K$2:$K$20000,DATOS!$A$2:$A$20000,M96,DATOS!$G$2:$G$20000,CONFIG_METADATA!$B$4,DATOS!$I$2:$I$20000,"Lenguaje Musical"),""))</f>
        <v/>
      </c>
      <c r="O96" t="str">
        <f>IF(M96="","",IFERROR(AVERAGEIFS(DATOS!$K$2:$K$20000,DATOS!$A$2:$A$20000,M96,DATOS!$G$2:$G$20000,CONFIG_METADATA!$B$4,DATOS!$I$2:$I$20000,"Coro"),""))</f>
        <v/>
      </c>
      <c r="P96" t="str">
        <f>IF(M96="","",IFERROR(AVERAGEIFS(DATOS!$K$2:$K$20000,DATOS!$A$2:$A$20000,M96,DATOS!$G$2:$G$20000,CONFIG_METADATA!$B$4,DATOS!$I$2:$I$20000,"Conjunto"),""))</f>
        <v/>
      </c>
      <c r="Q96" t="str" cm="1">
        <f t="array" ref="Q96">IF(M96="","",IFERROR(AVERAGE(IF((DATOS!$A$2:$A$20000=M96)*(DATOS!$G$2:$G$20000=CONFIG_METADATA!$B$4)*(DATOS!$I$2:$I$20000&lt;&gt;"Lenguaje Musical")*(DATOS!$I$2:$I$20000&lt;&gt;"Coro")*(DATOS!$I$2:$I$20000&lt;&gt;"Conjunto"),DATOS!$K$2:$K$20000)),""))</f>
        <v/>
      </c>
      <c r="T96" t="str">
        <f>IF(S96="","",IFERROR(AVERAGEIFS(DATOS!$K$2:$K$20000,DATOS!$A$2:$A$20000,S96,DATOS!$G$2:$G$20000,CONFIG_METADATA!$B$4,DATOS!$I$2:$I$20000,"Lenguaje Musical"),""))</f>
        <v/>
      </c>
      <c r="U96" t="str">
        <f>IF(S96="","",IFERROR(AVERAGEIFS(DATOS!$K$2:$K$20000,DATOS!$A$2:$A$20000,S96,DATOS!$G$2:$G$20000,CONFIG_METADATA!$B$4,DATOS!$I$2:$I$20000,"Coro"),""))</f>
        <v/>
      </c>
      <c r="V96" t="str">
        <f>IF(S96="","",IFERROR(AVERAGEIFS(DATOS!$K$2:$K$20000,DATOS!$A$2:$A$20000,S96,DATOS!$G$2:$G$20000,CONFIG_METADATA!$B$4,DATOS!$I$2:$I$20000,"Conjunto"),""))</f>
        <v/>
      </c>
      <c r="W96" t="str" cm="1">
        <f t="array" ref="W96">IF(S96="","",IFERROR(AVERAGE(IF((DATOS!$A$2:$A$20000=S96)*(DATOS!$G$2:$G$20000=CONFIG_METADATA!$B$4)*(DATOS!$I$2:$I$20000&lt;&gt;"Lenguaje Musical")*(DATOS!$I$2:$I$20000&lt;&gt;"Coro")*(DATOS!$I$2:$I$20000&lt;&gt;"Conjunto"),DATOS!$K$2:$K$20000)),""))</f>
        <v/>
      </c>
    </row>
    <row r="97" spans="2:23" ht="15" customHeight="1" x14ac:dyDescent="0.2">
      <c r="B97" t="str">
        <f>IF(A97="","",IFERROR(AVERAGEIFS(DATOS!$K$2:$K$20000,DATOS!$A$2:$A$20000,A97,DATOS!$G$2:$G$20000,CONFIG_METADATA!$B$4,DATOS!$I$2:$I$20000,"Lenguaje Musical"),""))</f>
        <v/>
      </c>
      <c r="C97" t="str">
        <f>IF(A97="","",IFERROR(AVERAGEIFS(DATOS!$K$2:$K$20000,DATOS!$A$2:$A$20000,A97,DATOS!$G$2:$G$20000,CONFIG_METADATA!$B$4,DATOS!$I$2:$I$20000,"Coro"),""))</f>
        <v/>
      </c>
      <c r="D97" t="str">
        <f>IF(A97="","",IFERROR(AVERAGEIFS(DATOS!$K$2:$K$20000,DATOS!$A$2:$A$20000,A97,DATOS!$G$2:$G$20000,CONFIG_METADATA!$B$4,DATOS!$I$2:$I$20000,"Conjunto"),""))</f>
        <v/>
      </c>
      <c r="E97" t="str" cm="1">
        <f t="array" ref="E97">IF(A97="","",IFERROR(AVERAGE(IF((DATOS!$A$2:$A$20000=A97)*(DATOS!$G$2:$G$20000=CONFIG_METADATA!$B$4)*(DATOS!$I$2:$I$20000&lt;&gt;"Lenguaje Musical")*(DATOS!$I$2:$I$20000&lt;&gt;"Coro")*(DATOS!$I$2:$I$20000&lt;&gt;"Conjunto"),DATOS!$K$2:$K$20000)),""))</f>
        <v/>
      </c>
      <c r="H97" t="str">
        <f>IF(G97="","",IFERROR(AVERAGEIFS(DATOS!$K$2:$K$20000,DATOS!$A$2:$A$20000,G97,DATOS!$G$2:$G$20000,CONFIG_METADATA!$B$4,DATOS!$I$2:$I$20000,"Lenguaje Musical"),""))</f>
        <v/>
      </c>
      <c r="I97" t="str">
        <f>IF(G97="","",IFERROR(AVERAGEIFS(DATOS!$K$2:$K$20000,DATOS!$A$2:$A$20000,G97,DATOS!$G$2:$G$20000,CONFIG_METADATA!$B$4,DATOS!$I$2:$I$20000,"Coro"),""))</f>
        <v/>
      </c>
      <c r="J97" t="str">
        <f>IF(G97="","",IFERROR(AVERAGEIFS(DATOS!$K$2:$K$20000,DATOS!$A$2:$A$20000,G97,DATOS!$G$2:$G$20000,CONFIG_METADATA!$B$4,DATOS!$I$2:$I$20000,"Conjunto"),""))</f>
        <v/>
      </c>
      <c r="K97" t="str" cm="1">
        <f t="array" ref="K97">IF(G97="","",IFERROR(AVERAGE(IF((DATOS!$A$2:$A$20000=G97)*(DATOS!$G$2:$G$20000=CONFIG_METADATA!$B$4)*(DATOS!$I$2:$I$20000&lt;&gt;"Lenguaje Musical")*(DATOS!$I$2:$I$20000&lt;&gt;"Coro")*(DATOS!$I$2:$I$20000&lt;&gt;"Conjunto"),DATOS!$K$2:$K$20000)),""))</f>
        <v/>
      </c>
      <c r="N97" t="str">
        <f>IF(M97="","",IFERROR(AVERAGEIFS(DATOS!$K$2:$K$20000,DATOS!$A$2:$A$20000,M97,DATOS!$G$2:$G$20000,CONFIG_METADATA!$B$4,DATOS!$I$2:$I$20000,"Lenguaje Musical"),""))</f>
        <v/>
      </c>
      <c r="O97" t="str">
        <f>IF(M97="","",IFERROR(AVERAGEIFS(DATOS!$K$2:$K$20000,DATOS!$A$2:$A$20000,M97,DATOS!$G$2:$G$20000,CONFIG_METADATA!$B$4,DATOS!$I$2:$I$20000,"Coro"),""))</f>
        <v/>
      </c>
      <c r="P97" t="str">
        <f>IF(M97="","",IFERROR(AVERAGEIFS(DATOS!$K$2:$K$20000,DATOS!$A$2:$A$20000,M97,DATOS!$G$2:$G$20000,CONFIG_METADATA!$B$4,DATOS!$I$2:$I$20000,"Conjunto"),""))</f>
        <v/>
      </c>
      <c r="Q97" t="str" cm="1">
        <f t="array" ref="Q97">IF(M97="","",IFERROR(AVERAGE(IF((DATOS!$A$2:$A$20000=M97)*(DATOS!$G$2:$G$20000=CONFIG_METADATA!$B$4)*(DATOS!$I$2:$I$20000&lt;&gt;"Lenguaje Musical")*(DATOS!$I$2:$I$20000&lt;&gt;"Coro")*(DATOS!$I$2:$I$20000&lt;&gt;"Conjunto"),DATOS!$K$2:$K$20000)),""))</f>
        <v/>
      </c>
      <c r="T97" t="str">
        <f>IF(S97="","",IFERROR(AVERAGEIFS(DATOS!$K$2:$K$20000,DATOS!$A$2:$A$20000,S97,DATOS!$G$2:$G$20000,CONFIG_METADATA!$B$4,DATOS!$I$2:$I$20000,"Lenguaje Musical"),""))</f>
        <v/>
      </c>
      <c r="U97" t="str">
        <f>IF(S97="","",IFERROR(AVERAGEIFS(DATOS!$K$2:$K$20000,DATOS!$A$2:$A$20000,S97,DATOS!$G$2:$G$20000,CONFIG_METADATA!$B$4,DATOS!$I$2:$I$20000,"Coro"),""))</f>
        <v/>
      </c>
      <c r="V97" t="str">
        <f>IF(S97="","",IFERROR(AVERAGEIFS(DATOS!$K$2:$K$20000,DATOS!$A$2:$A$20000,S97,DATOS!$G$2:$G$20000,CONFIG_METADATA!$B$4,DATOS!$I$2:$I$20000,"Conjunto"),""))</f>
        <v/>
      </c>
      <c r="W97" t="str" cm="1">
        <f t="array" ref="W97">IF(S97="","",IFERROR(AVERAGE(IF((DATOS!$A$2:$A$20000=S97)*(DATOS!$G$2:$G$20000=CONFIG_METADATA!$B$4)*(DATOS!$I$2:$I$20000&lt;&gt;"Lenguaje Musical")*(DATOS!$I$2:$I$20000&lt;&gt;"Coro")*(DATOS!$I$2:$I$20000&lt;&gt;"Conjunto"),DATOS!$K$2:$K$20000)),""))</f>
        <v/>
      </c>
    </row>
    <row r="98" spans="2:23" ht="15" customHeight="1" x14ac:dyDescent="0.2">
      <c r="B98" t="str">
        <f>IF(A98="","",IFERROR(AVERAGEIFS(DATOS!$K$2:$K$20000,DATOS!$A$2:$A$20000,A98,DATOS!$G$2:$G$20000,CONFIG_METADATA!$B$4,DATOS!$I$2:$I$20000,"Lenguaje Musical"),""))</f>
        <v/>
      </c>
      <c r="C98" t="str">
        <f>IF(A98="","",IFERROR(AVERAGEIFS(DATOS!$K$2:$K$20000,DATOS!$A$2:$A$20000,A98,DATOS!$G$2:$G$20000,CONFIG_METADATA!$B$4,DATOS!$I$2:$I$20000,"Coro"),""))</f>
        <v/>
      </c>
      <c r="D98" t="str">
        <f>IF(A98="","",IFERROR(AVERAGEIFS(DATOS!$K$2:$K$20000,DATOS!$A$2:$A$20000,A98,DATOS!$G$2:$G$20000,CONFIG_METADATA!$B$4,DATOS!$I$2:$I$20000,"Conjunto"),""))</f>
        <v/>
      </c>
      <c r="E98" t="str" cm="1">
        <f t="array" ref="E98">IF(A98="","",IFERROR(AVERAGE(IF((DATOS!$A$2:$A$20000=A98)*(DATOS!$G$2:$G$20000=CONFIG_METADATA!$B$4)*(DATOS!$I$2:$I$20000&lt;&gt;"Lenguaje Musical")*(DATOS!$I$2:$I$20000&lt;&gt;"Coro")*(DATOS!$I$2:$I$20000&lt;&gt;"Conjunto"),DATOS!$K$2:$K$20000)),""))</f>
        <v/>
      </c>
      <c r="H98" t="str">
        <f>IF(G98="","",IFERROR(AVERAGEIFS(DATOS!$K$2:$K$20000,DATOS!$A$2:$A$20000,G98,DATOS!$G$2:$G$20000,CONFIG_METADATA!$B$4,DATOS!$I$2:$I$20000,"Lenguaje Musical"),""))</f>
        <v/>
      </c>
      <c r="I98" t="str">
        <f>IF(G98="","",IFERROR(AVERAGEIFS(DATOS!$K$2:$K$20000,DATOS!$A$2:$A$20000,G98,DATOS!$G$2:$G$20000,CONFIG_METADATA!$B$4,DATOS!$I$2:$I$20000,"Coro"),""))</f>
        <v/>
      </c>
      <c r="J98" t="str">
        <f>IF(G98="","",IFERROR(AVERAGEIFS(DATOS!$K$2:$K$20000,DATOS!$A$2:$A$20000,G98,DATOS!$G$2:$G$20000,CONFIG_METADATA!$B$4,DATOS!$I$2:$I$20000,"Conjunto"),""))</f>
        <v/>
      </c>
      <c r="K98" t="str" cm="1">
        <f t="array" ref="K98">IF(G98="","",IFERROR(AVERAGE(IF((DATOS!$A$2:$A$20000=G98)*(DATOS!$G$2:$G$20000=CONFIG_METADATA!$B$4)*(DATOS!$I$2:$I$20000&lt;&gt;"Lenguaje Musical")*(DATOS!$I$2:$I$20000&lt;&gt;"Coro")*(DATOS!$I$2:$I$20000&lt;&gt;"Conjunto"),DATOS!$K$2:$K$20000)),""))</f>
        <v/>
      </c>
      <c r="N98" t="str">
        <f>IF(M98="","",IFERROR(AVERAGEIFS(DATOS!$K$2:$K$20000,DATOS!$A$2:$A$20000,M98,DATOS!$G$2:$G$20000,CONFIG_METADATA!$B$4,DATOS!$I$2:$I$20000,"Lenguaje Musical"),""))</f>
        <v/>
      </c>
      <c r="O98" t="str">
        <f>IF(M98="","",IFERROR(AVERAGEIFS(DATOS!$K$2:$K$20000,DATOS!$A$2:$A$20000,M98,DATOS!$G$2:$G$20000,CONFIG_METADATA!$B$4,DATOS!$I$2:$I$20000,"Coro"),""))</f>
        <v/>
      </c>
      <c r="P98" t="str">
        <f>IF(M98="","",IFERROR(AVERAGEIFS(DATOS!$K$2:$K$20000,DATOS!$A$2:$A$20000,M98,DATOS!$G$2:$G$20000,CONFIG_METADATA!$B$4,DATOS!$I$2:$I$20000,"Conjunto"),""))</f>
        <v/>
      </c>
      <c r="Q98" t="str" cm="1">
        <f t="array" ref="Q98">IF(M98="","",IFERROR(AVERAGE(IF((DATOS!$A$2:$A$20000=M98)*(DATOS!$G$2:$G$20000=CONFIG_METADATA!$B$4)*(DATOS!$I$2:$I$20000&lt;&gt;"Lenguaje Musical")*(DATOS!$I$2:$I$20000&lt;&gt;"Coro")*(DATOS!$I$2:$I$20000&lt;&gt;"Conjunto"),DATOS!$K$2:$K$20000)),""))</f>
        <v/>
      </c>
      <c r="T98" t="str">
        <f>IF(S98="","",IFERROR(AVERAGEIFS(DATOS!$K$2:$K$20000,DATOS!$A$2:$A$20000,S98,DATOS!$G$2:$G$20000,CONFIG_METADATA!$B$4,DATOS!$I$2:$I$20000,"Lenguaje Musical"),""))</f>
        <v/>
      </c>
      <c r="U98" t="str">
        <f>IF(S98="","",IFERROR(AVERAGEIFS(DATOS!$K$2:$K$20000,DATOS!$A$2:$A$20000,S98,DATOS!$G$2:$G$20000,CONFIG_METADATA!$B$4,DATOS!$I$2:$I$20000,"Coro"),""))</f>
        <v/>
      </c>
      <c r="V98" t="str">
        <f>IF(S98="","",IFERROR(AVERAGEIFS(DATOS!$K$2:$K$20000,DATOS!$A$2:$A$20000,S98,DATOS!$G$2:$G$20000,CONFIG_METADATA!$B$4,DATOS!$I$2:$I$20000,"Conjunto"),""))</f>
        <v/>
      </c>
      <c r="W98" t="str" cm="1">
        <f t="array" ref="W98">IF(S98="","",IFERROR(AVERAGE(IF((DATOS!$A$2:$A$20000=S98)*(DATOS!$G$2:$G$20000=CONFIG_METADATA!$B$4)*(DATOS!$I$2:$I$20000&lt;&gt;"Lenguaje Musical")*(DATOS!$I$2:$I$20000&lt;&gt;"Coro")*(DATOS!$I$2:$I$20000&lt;&gt;"Conjunto"),DATOS!$K$2:$K$20000)),""))</f>
        <v/>
      </c>
    </row>
    <row r="99" spans="2:23" ht="15" customHeight="1" x14ac:dyDescent="0.2">
      <c r="B99" t="str">
        <f>IF(A99="","",IFERROR(AVERAGEIFS(DATOS!$K$2:$K$20000,DATOS!$A$2:$A$20000,A99,DATOS!$G$2:$G$20000,CONFIG_METADATA!$B$4,DATOS!$I$2:$I$20000,"Lenguaje Musical"),""))</f>
        <v/>
      </c>
      <c r="C99" t="str">
        <f>IF(A99="","",IFERROR(AVERAGEIFS(DATOS!$K$2:$K$20000,DATOS!$A$2:$A$20000,A99,DATOS!$G$2:$G$20000,CONFIG_METADATA!$B$4,DATOS!$I$2:$I$20000,"Coro"),""))</f>
        <v/>
      </c>
      <c r="D99" t="str">
        <f>IF(A99="","",IFERROR(AVERAGEIFS(DATOS!$K$2:$K$20000,DATOS!$A$2:$A$20000,A99,DATOS!$G$2:$G$20000,CONFIG_METADATA!$B$4,DATOS!$I$2:$I$20000,"Conjunto"),""))</f>
        <v/>
      </c>
      <c r="E99" t="str" cm="1">
        <f t="array" ref="E99">IF(A99="","",IFERROR(AVERAGE(IF((DATOS!$A$2:$A$20000=A99)*(DATOS!$G$2:$G$20000=CONFIG_METADATA!$B$4)*(DATOS!$I$2:$I$20000&lt;&gt;"Lenguaje Musical")*(DATOS!$I$2:$I$20000&lt;&gt;"Coro")*(DATOS!$I$2:$I$20000&lt;&gt;"Conjunto"),DATOS!$K$2:$K$20000)),""))</f>
        <v/>
      </c>
      <c r="H99" t="str">
        <f>IF(G99="","",IFERROR(AVERAGEIFS(DATOS!$K$2:$K$20000,DATOS!$A$2:$A$20000,G99,DATOS!$G$2:$G$20000,CONFIG_METADATA!$B$4,DATOS!$I$2:$I$20000,"Lenguaje Musical"),""))</f>
        <v/>
      </c>
      <c r="I99" t="str">
        <f>IF(G99="","",IFERROR(AVERAGEIFS(DATOS!$K$2:$K$20000,DATOS!$A$2:$A$20000,G99,DATOS!$G$2:$G$20000,CONFIG_METADATA!$B$4,DATOS!$I$2:$I$20000,"Coro"),""))</f>
        <v/>
      </c>
      <c r="J99" t="str">
        <f>IF(G99="","",IFERROR(AVERAGEIFS(DATOS!$K$2:$K$20000,DATOS!$A$2:$A$20000,G99,DATOS!$G$2:$G$20000,CONFIG_METADATA!$B$4,DATOS!$I$2:$I$20000,"Conjunto"),""))</f>
        <v/>
      </c>
      <c r="K99" t="str" cm="1">
        <f t="array" ref="K99">IF(G99="","",IFERROR(AVERAGE(IF((DATOS!$A$2:$A$20000=G99)*(DATOS!$G$2:$G$20000=CONFIG_METADATA!$B$4)*(DATOS!$I$2:$I$20000&lt;&gt;"Lenguaje Musical")*(DATOS!$I$2:$I$20000&lt;&gt;"Coro")*(DATOS!$I$2:$I$20000&lt;&gt;"Conjunto"),DATOS!$K$2:$K$20000)),""))</f>
        <v/>
      </c>
      <c r="N99" t="str">
        <f>IF(M99="","",IFERROR(AVERAGEIFS(DATOS!$K$2:$K$20000,DATOS!$A$2:$A$20000,M99,DATOS!$G$2:$G$20000,CONFIG_METADATA!$B$4,DATOS!$I$2:$I$20000,"Lenguaje Musical"),""))</f>
        <v/>
      </c>
      <c r="O99" t="str">
        <f>IF(M99="","",IFERROR(AVERAGEIFS(DATOS!$K$2:$K$20000,DATOS!$A$2:$A$20000,M99,DATOS!$G$2:$G$20000,CONFIG_METADATA!$B$4,DATOS!$I$2:$I$20000,"Coro"),""))</f>
        <v/>
      </c>
      <c r="P99" t="str">
        <f>IF(M99="","",IFERROR(AVERAGEIFS(DATOS!$K$2:$K$20000,DATOS!$A$2:$A$20000,M99,DATOS!$G$2:$G$20000,CONFIG_METADATA!$B$4,DATOS!$I$2:$I$20000,"Conjunto"),""))</f>
        <v/>
      </c>
      <c r="Q99" t="str" cm="1">
        <f t="array" ref="Q99">IF(M99="","",IFERROR(AVERAGE(IF((DATOS!$A$2:$A$20000=M99)*(DATOS!$G$2:$G$20000=CONFIG_METADATA!$B$4)*(DATOS!$I$2:$I$20000&lt;&gt;"Lenguaje Musical")*(DATOS!$I$2:$I$20000&lt;&gt;"Coro")*(DATOS!$I$2:$I$20000&lt;&gt;"Conjunto"),DATOS!$K$2:$K$20000)),""))</f>
        <v/>
      </c>
      <c r="T99" t="str">
        <f>IF(S99="","",IFERROR(AVERAGEIFS(DATOS!$K$2:$K$20000,DATOS!$A$2:$A$20000,S99,DATOS!$G$2:$G$20000,CONFIG_METADATA!$B$4,DATOS!$I$2:$I$20000,"Lenguaje Musical"),""))</f>
        <v/>
      </c>
      <c r="U99" t="str">
        <f>IF(S99="","",IFERROR(AVERAGEIFS(DATOS!$K$2:$K$20000,DATOS!$A$2:$A$20000,S99,DATOS!$G$2:$G$20000,CONFIG_METADATA!$B$4,DATOS!$I$2:$I$20000,"Coro"),""))</f>
        <v/>
      </c>
      <c r="V99" t="str">
        <f>IF(S99="","",IFERROR(AVERAGEIFS(DATOS!$K$2:$K$20000,DATOS!$A$2:$A$20000,S99,DATOS!$G$2:$G$20000,CONFIG_METADATA!$B$4,DATOS!$I$2:$I$20000,"Conjunto"),""))</f>
        <v/>
      </c>
      <c r="W99" t="str" cm="1">
        <f t="array" ref="W99">IF(S99="","",IFERROR(AVERAGE(IF((DATOS!$A$2:$A$20000=S99)*(DATOS!$G$2:$G$20000=CONFIG_METADATA!$B$4)*(DATOS!$I$2:$I$20000&lt;&gt;"Lenguaje Musical")*(DATOS!$I$2:$I$20000&lt;&gt;"Coro")*(DATOS!$I$2:$I$20000&lt;&gt;"Conjunto"),DATOS!$K$2:$K$20000)),""))</f>
        <v/>
      </c>
    </row>
    <row r="100" spans="2:23" ht="15" customHeight="1" x14ac:dyDescent="0.2">
      <c r="B100" t="str">
        <f>IF(A100="","",IFERROR(AVERAGEIFS(DATOS!$K$2:$K$20000,DATOS!$A$2:$A$20000,A100,DATOS!$G$2:$G$20000,CONFIG_METADATA!$B$4,DATOS!$I$2:$I$20000,"Lenguaje Musical"),""))</f>
        <v/>
      </c>
      <c r="C100" t="str">
        <f>IF(A100="","",IFERROR(AVERAGEIFS(DATOS!$K$2:$K$20000,DATOS!$A$2:$A$20000,A100,DATOS!$G$2:$G$20000,CONFIG_METADATA!$B$4,DATOS!$I$2:$I$20000,"Coro"),""))</f>
        <v/>
      </c>
      <c r="D100" t="str">
        <f>IF(A100="","",IFERROR(AVERAGEIFS(DATOS!$K$2:$K$20000,DATOS!$A$2:$A$20000,A100,DATOS!$G$2:$G$20000,CONFIG_METADATA!$B$4,DATOS!$I$2:$I$20000,"Conjunto"),""))</f>
        <v/>
      </c>
      <c r="E100" t="str" cm="1">
        <f t="array" ref="E100">IF(A100="","",IFERROR(AVERAGE(IF((DATOS!$A$2:$A$20000=A100)*(DATOS!$G$2:$G$20000=CONFIG_METADATA!$B$4)*(DATOS!$I$2:$I$20000&lt;&gt;"Lenguaje Musical")*(DATOS!$I$2:$I$20000&lt;&gt;"Coro")*(DATOS!$I$2:$I$20000&lt;&gt;"Conjunto"),DATOS!$K$2:$K$20000)),""))</f>
        <v/>
      </c>
      <c r="H100" t="str">
        <f>IF(G100="","",IFERROR(AVERAGEIFS(DATOS!$K$2:$K$20000,DATOS!$A$2:$A$20000,G100,DATOS!$G$2:$G$20000,CONFIG_METADATA!$B$4,DATOS!$I$2:$I$20000,"Lenguaje Musical"),""))</f>
        <v/>
      </c>
      <c r="I100" t="str">
        <f>IF(G100="","",IFERROR(AVERAGEIFS(DATOS!$K$2:$K$20000,DATOS!$A$2:$A$20000,G100,DATOS!$G$2:$G$20000,CONFIG_METADATA!$B$4,DATOS!$I$2:$I$20000,"Coro"),""))</f>
        <v/>
      </c>
      <c r="J100" t="str">
        <f>IF(G100="","",IFERROR(AVERAGEIFS(DATOS!$K$2:$K$20000,DATOS!$A$2:$A$20000,G100,DATOS!$G$2:$G$20000,CONFIG_METADATA!$B$4,DATOS!$I$2:$I$20000,"Conjunto"),""))</f>
        <v/>
      </c>
      <c r="K100" t="str" cm="1">
        <f t="array" ref="K100">IF(G100="","",IFERROR(AVERAGE(IF((DATOS!$A$2:$A$20000=G100)*(DATOS!$G$2:$G$20000=CONFIG_METADATA!$B$4)*(DATOS!$I$2:$I$20000&lt;&gt;"Lenguaje Musical")*(DATOS!$I$2:$I$20000&lt;&gt;"Coro")*(DATOS!$I$2:$I$20000&lt;&gt;"Conjunto"),DATOS!$K$2:$K$20000)),""))</f>
        <v/>
      </c>
      <c r="N100" t="str">
        <f>IF(M100="","",IFERROR(AVERAGEIFS(DATOS!$K$2:$K$20000,DATOS!$A$2:$A$20000,M100,DATOS!$G$2:$G$20000,CONFIG_METADATA!$B$4,DATOS!$I$2:$I$20000,"Lenguaje Musical"),""))</f>
        <v/>
      </c>
      <c r="O100" t="str">
        <f>IF(M100="","",IFERROR(AVERAGEIFS(DATOS!$K$2:$K$20000,DATOS!$A$2:$A$20000,M100,DATOS!$G$2:$G$20000,CONFIG_METADATA!$B$4,DATOS!$I$2:$I$20000,"Coro"),""))</f>
        <v/>
      </c>
      <c r="P100" t="str">
        <f>IF(M100="","",IFERROR(AVERAGEIFS(DATOS!$K$2:$K$20000,DATOS!$A$2:$A$20000,M100,DATOS!$G$2:$G$20000,CONFIG_METADATA!$B$4,DATOS!$I$2:$I$20000,"Conjunto"),""))</f>
        <v/>
      </c>
      <c r="Q100" t="str" cm="1">
        <f t="array" ref="Q100">IF(M100="","",IFERROR(AVERAGE(IF((DATOS!$A$2:$A$20000=M100)*(DATOS!$G$2:$G$20000=CONFIG_METADATA!$B$4)*(DATOS!$I$2:$I$20000&lt;&gt;"Lenguaje Musical")*(DATOS!$I$2:$I$20000&lt;&gt;"Coro")*(DATOS!$I$2:$I$20000&lt;&gt;"Conjunto"),DATOS!$K$2:$K$20000)),""))</f>
        <v/>
      </c>
      <c r="T100" t="str">
        <f>IF(S100="","",IFERROR(AVERAGEIFS(DATOS!$K$2:$K$20000,DATOS!$A$2:$A$20000,S100,DATOS!$G$2:$G$20000,CONFIG_METADATA!$B$4,DATOS!$I$2:$I$20000,"Lenguaje Musical"),""))</f>
        <v/>
      </c>
      <c r="U100" t="str">
        <f>IF(S100="","",IFERROR(AVERAGEIFS(DATOS!$K$2:$K$20000,DATOS!$A$2:$A$20000,S100,DATOS!$G$2:$G$20000,CONFIG_METADATA!$B$4,DATOS!$I$2:$I$20000,"Coro"),""))</f>
        <v/>
      </c>
      <c r="V100" t="str">
        <f>IF(S100="","",IFERROR(AVERAGEIFS(DATOS!$K$2:$K$20000,DATOS!$A$2:$A$20000,S100,DATOS!$G$2:$G$20000,CONFIG_METADATA!$B$4,DATOS!$I$2:$I$20000,"Conjunto"),""))</f>
        <v/>
      </c>
      <c r="W100" t="str" cm="1">
        <f t="array" ref="W100">IF(S100="","",IFERROR(AVERAGE(IF((DATOS!$A$2:$A$20000=S100)*(DATOS!$G$2:$G$20000=CONFIG_METADATA!$B$4)*(DATOS!$I$2:$I$20000&lt;&gt;"Lenguaje Musical")*(DATOS!$I$2:$I$20000&lt;&gt;"Coro")*(DATOS!$I$2:$I$20000&lt;&gt;"Conjunto"),DATOS!$K$2:$K$20000)),""))</f>
        <v/>
      </c>
    </row>
    <row r="101" spans="2:23" ht="15" customHeight="1" x14ac:dyDescent="0.2">
      <c r="B101" t="str">
        <f>IF(A101="","",IFERROR(AVERAGEIFS(DATOS!$K$2:$K$20000,DATOS!$A$2:$A$20000,A101,DATOS!$G$2:$G$20000,CONFIG_METADATA!$B$4,DATOS!$I$2:$I$20000,"Lenguaje Musical"),""))</f>
        <v/>
      </c>
      <c r="C101" t="str">
        <f>IF(A101="","",IFERROR(AVERAGEIFS(DATOS!$K$2:$K$20000,DATOS!$A$2:$A$20000,A101,DATOS!$G$2:$G$20000,CONFIG_METADATA!$B$4,DATOS!$I$2:$I$20000,"Coro"),""))</f>
        <v/>
      </c>
      <c r="D101" t="str">
        <f>IF(A101="","",IFERROR(AVERAGEIFS(DATOS!$K$2:$K$20000,DATOS!$A$2:$A$20000,A101,DATOS!$G$2:$G$20000,CONFIG_METADATA!$B$4,DATOS!$I$2:$I$20000,"Conjunto"),""))</f>
        <v/>
      </c>
      <c r="E101" t="str" cm="1">
        <f t="array" ref="E101">IF(A101="","",IFERROR(AVERAGE(IF((DATOS!$A$2:$A$20000=A101)*(DATOS!$G$2:$G$20000=CONFIG_METADATA!$B$4)*(DATOS!$I$2:$I$20000&lt;&gt;"Lenguaje Musical")*(DATOS!$I$2:$I$20000&lt;&gt;"Coro")*(DATOS!$I$2:$I$20000&lt;&gt;"Conjunto"),DATOS!$K$2:$K$20000)),""))</f>
        <v/>
      </c>
      <c r="H101" t="str">
        <f>IF(G101="","",IFERROR(AVERAGEIFS(DATOS!$K$2:$K$20000,DATOS!$A$2:$A$20000,G101,DATOS!$G$2:$G$20000,CONFIG_METADATA!$B$4,DATOS!$I$2:$I$20000,"Lenguaje Musical"),""))</f>
        <v/>
      </c>
      <c r="I101" t="str">
        <f>IF(G101="","",IFERROR(AVERAGEIFS(DATOS!$K$2:$K$20000,DATOS!$A$2:$A$20000,G101,DATOS!$G$2:$G$20000,CONFIG_METADATA!$B$4,DATOS!$I$2:$I$20000,"Coro"),""))</f>
        <v/>
      </c>
      <c r="J101" t="str">
        <f>IF(G101="","",IFERROR(AVERAGEIFS(DATOS!$K$2:$K$20000,DATOS!$A$2:$A$20000,G101,DATOS!$G$2:$G$20000,CONFIG_METADATA!$B$4,DATOS!$I$2:$I$20000,"Conjunto"),""))</f>
        <v/>
      </c>
      <c r="K101" t="str" cm="1">
        <f t="array" ref="K101">IF(G101="","",IFERROR(AVERAGE(IF((DATOS!$A$2:$A$20000=G101)*(DATOS!$G$2:$G$20000=CONFIG_METADATA!$B$4)*(DATOS!$I$2:$I$20000&lt;&gt;"Lenguaje Musical")*(DATOS!$I$2:$I$20000&lt;&gt;"Coro")*(DATOS!$I$2:$I$20000&lt;&gt;"Conjunto"),DATOS!$K$2:$K$20000)),""))</f>
        <v/>
      </c>
      <c r="N101" t="str">
        <f>IF(M101="","",IFERROR(AVERAGEIFS(DATOS!$K$2:$K$20000,DATOS!$A$2:$A$20000,M101,DATOS!$G$2:$G$20000,CONFIG_METADATA!$B$4,DATOS!$I$2:$I$20000,"Lenguaje Musical"),""))</f>
        <v/>
      </c>
      <c r="O101" t="str">
        <f>IF(M101="","",IFERROR(AVERAGEIFS(DATOS!$K$2:$K$20000,DATOS!$A$2:$A$20000,M101,DATOS!$G$2:$G$20000,CONFIG_METADATA!$B$4,DATOS!$I$2:$I$20000,"Coro"),""))</f>
        <v/>
      </c>
      <c r="P101" t="str">
        <f>IF(M101="","",IFERROR(AVERAGEIFS(DATOS!$K$2:$K$20000,DATOS!$A$2:$A$20000,M101,DATOS!$G$2:$G$20000,CONFIG_METADATA!$B$4,DATOS!$I$2:$I$20000,"Conjunto"),""))</f>
        <v/>
      </c>
      <c r="Q101" t="str" cm="1">
        <f t="array" ref="Q101">IF(M101="","",IFERROR(AVERAGE(IF((DATOS!$A$2:$A$20000=M101)*(DATOS!$G$2:$G$20000=CONFIG_METADATA!$B$4)*(DATOS!$I$2:$I$20000&lt;&gt;"Lenguaje Musical")*(DATOS!$I$2:$I$20000&lt;&gt;"Coro")*(DATOS!$I$2:$I$20000&lt;&gt;"Conjunto"),DATOS!$K$2:$K$20000)),""))</f>
        <v/>
      </c>
      <c r="T101" t="str">
        <f>IF(S101="","",IFERROR(AVERAGEIFS(DATOS!$K$2:$K$20000,DATOS!$A$2:$A$20000,S101,DATOS!$G$2:$G$20000,CONFIG_METADATA!$B$4,DATOS!$I$2:$I$20000,"Lenguaje Musical"),""))</f>
        <v/>
      </c>
      <c r="U101" t="str">
        <f>IF(S101="","",IFERROR(AVERAGEIFS(DATOS!$K$2:$K$20000,DATOS!$A$2:$A$20000,S101,DATOS!$G$2:$G$20000,CONFIG_METADATA!$B$4,DATOS!$I$2:$I$20000,"Coro"),""))</f>
        <v/>
      </c>
      <c r="V101" t="str">
        <f>IF(S101="","",IFERROR(AVERAGEIFS(DATOS!$K$2:$K$20000,DATOS!$A$2:$A$20000,S101,DATOS!$G$2:$G$20000,CONFIG_METADATA!$B$4,DATOS!$I$2:$I$20000,"Conjunto"),""))</f>
        <v/>
      </c>
      <c r="W101" t="str" cm="1">
        <f t="array" ref="W101">IF(S101="","",IFERROR(AVERAGE(IF((DATOS!$A$2:$A$20000=S101)*(DATOS!$G$2:$G$20000=CONFIG_METADATA!$B$4)*(DATOS!$I$2:$I$20000&lt;&gt;"Lenguaje Musical")*(DATOS!$I$2:$I$20000&lt;&gt;"Coro")*(DATOS!$I$2:$I$20000&lt;&gt;"Conjunto"),DATOS!$K$2:$K$20000)),""))</f>
        <v/>
      </c>
    </row>
    <row r="102" spans="2:23" ht="15" customHeight="1" x14ac:dyDescent="0.2">
      <c r="B102" t="str">
        <f>IF(A102="","",IFERROR(AVERAGEIFS(DATOS!$K$2:$K$20000,DATOS!$A$2:$A$20000,A102,DATOS!$G$2:$G$20000,CONFIG_METADATA!$B$4,DATOS!$I$2:$I$20000,"Lenguaje Musical"),""))</f>
        <v/>
      </c>
      <c r="C102" t="str">
        <f>IF(A102="","",IFERROR(AVERAGEIFS(DATOS!$K$2:$K$20000,DATOS!$A$2:$A$20000,A102,DATOS!$G$2:$G$20000,CONFIG_METADATA!$B$4,DATOS!$I$2:$I$20000,"Coro"),""))</f>
        <v/>
      </c>
      <c r="D102" t="str">
        <f>IF(A102="","",IFERROR(AVERAGEIFS(DATOS!$K$2:$K$20000,DATOS!$A$2:$A$20000,A102,DATOS!$G$2:$G$20000,CONFIG_METADATA!$B$4,DATOS!$I$2:$I$20000,"Conjunto"),""))</f>
        <v/>
      </c>
      <c r="E102" t="str" cm="1">
        <f t="array" ref="E102">IF(A102="","",IFERROR(AVERAGE(IF((DATOS!$A$2:$A$20000=A102)*(DATOS!$G$2:$G$20000=CONFIG_METADATA!$B$4)*(DATOS!$I$2:$I$20000&lt;&gt;"Lenguaje Musical")*(DATOS!$I$2:$I$20000&lt;&gt;"Coro")*(DATOS!$I$2:$I$20000&lt;&gt;"Conjunto"),DATOS!$K$2:$K$20000)),""))</f>
        <v/>
      </c>
      <c r="H102" t="str">
        <f>IF(G102="","",IFERROR(AVERAGEIFS(DATOS!$K$2:$K$20000,DATOS!$A$2:$A$20000,G102,DATOS!$G$2:$G$20000,CONFIG_METADATA!$B$4,DATOS!$I$2:$I$20000,"Lenguaje Musical"),""))</f>
        <v/>
      </c>
      <c r="I102" t="str">
        <f>IF(G102="","",IFERROR(AVERAGEIFS(DATOS!$K$2:$K$20000,DATOS!$A$2:$A$20000,G102,DATOS!$G$2:$G$20000,CONFIG_METADATA!$B$4,DATOS!$I$2:$I$20000,"Coro"),""))</f>
        <v/>
      </c>
      <c r="J102" t="str">
        <f>IF(G102="","",IFERROR(AVERAGEIFS(DATOS!$K$2:$K$20000,DATOS!$A$2:$A$20000,G102,DATOS!$G$2:$G$20000,CONFIG_METADATA!$B$4,DATOS!$I$2:$I$20000,"Conjunto"),""))</f>
        <v/>
      </c>
      <c r="K102" t="str" cm="1">
        <f t="array" ref="K102">IF(G102="","",IFERROR(AVERAGE(IF((DATOS!$A$2:$A$20000=G102)*(DATOS!$G$2:$G$20000=CONFIG_METADATA!$B$4)*(DATOS!$I$2:$I$20000&lt;&gt;"Lenguaje Musical")*(DATOS!$I$2:$I$20000&lt;&gt;"Coro")*(DATOS!$I$2:$I$20000&lt;&gt;"Conjunto"),DATOS!$K$2:$K$20000)),""))</f>
        <v/>
      </c>
      <c r="N102" t="str">
        <f>IF(M102="","",IFERROR(AVERAGEIFS(DATOS!$K$2:$K$20000,DATOS!$A$2:$A$20000,M102,DATOS!$G$2:$G$20000,CONFIG_METADATA!$B$4,DATOS!$I$2:$I$20000,"Lenguaje Musical"),""))</f>
        <v/>
      </c>
      <c r="O102" t="str">
        <f>IF(M102="","",IFERROR(AVERAGEIFS(DATOS!$K$2:$K$20000,DATOS!$A$2:$A$20000,M102,DATOS!$G$2:$G$20000,CONFIG_METADATA!$B$4,DATOS!$I$2:$I$20000,"Coro"),""))</f>
        <v/>
      </c>
      <c r="P102" t="str">
        <f>IF(M102="","",IFERROR(AVERAGEIFS(DATOS!$K$2:$K$20000,DATOS!$A$2:$A$20000,M102,DATOS!$G$2:$G$20000,CONFIG_METADATA!$B$4,DATOS!$I$2:$I$20000,"Conjunto"),""))</f>
        <v/>
      </c>
      <c r="Q102" t="str" cm="1">
        <f t="array" ref="Q102">IF(M102="","",IFERROR(AVERAGE(IF((DATOS!$A$2:$A$20000=M102)*(DATOS!$G$2:$G$20000=CONFIG_METADATA!$B$4)*(DATOS!$I$2:$I$20000&lt;&gt;"Lenguaje Musical")*(DATOS!$I$2:$I$20000&lt;&gt;"Coro")*(DATOS!$I$2:$I$20000&lt;&gt;"Conjunto"),DATOS!$K$2:$K$20000)),""))</f>
        <v/>
      </c>
      <c r="T102" t="str">
        <f>IF(S102="","",IFERROR(AVERAGEIFS(DATOS!$K$2:$K$20000,DATOS!$A$2:$A$20000,S102,DATOS!$G$2:$G$20000,CONFIG_METADATA!$B$4,DATOS!$I$2:$I$20000,"Lenguaje Musical"),""))</f>
        <v/>
      </c>
      <c r="U102" t="str">
        <f>IF(S102="","",IFERROR(AVERAGEIFS(DATOS!$K$2:$K$20000,DATOS!$A$2:$A$20000,S102,DATOS!$G$2:$G$20000,CONFIG_METADATA!$B$4,DATOS!$I$2:$I$20000,"Coro"),""))</f>
        <v/>
      </c>
      <c r="V102" t="str">
        <f>IF(S102="","",IFERROR(AVERAGEIFS(DATOS!$K$2:$K$20000,DATOS!$A$2:$A$20000,S102,DATOS!$G$2:$G$20000,CONFIG_METADATA!$B$4,DATOS!$I$2:$I$20000,"Conjunto"),""))</f>
        <v/>
      </c>
      <c r="W102" t="str" cm="1">
        <f t="array" ref="W102">IF(S102="","",IFERROR(AVERAGE(IF((DATOS!$A$2:$A$20000=S102)*(DATOS!$G$2:$G$20000=CONFIG_METADATA!$B$4)*(DATOS!$I$2:$I$20000&lt;&gt;"Lenguaje Musical")*(DATOS!$I$2:$I$20000&lt;&gt;"Coro")*(DATOS!$I$2:$I$20000&lt;&gt;"Conjunto"),DATOS!$K$2:$K$20000)),""))</f>
        <v/>
      </c>
    </row>
    <row r="103" spans="2:23" ht="15" customHeight="1" x14ac:dyDescent="0.2">
      <c r="B103" t="str">
        <f>IF(A103="","",IFERROR(AVERAGEIFS(DATOS!$K$2:$K$20000,DATOS!$A$2:$A$20000,A103,DATOS!$G$2:$G$20000,CONFIG_METADATA!$B$4,DATOS!$I$2:$I$20000,"Lenguaje Musical"),""))</f>
        <v/>
      </c>
      <c r="C103" t="str">
        <f>IF(A103="","",IFERROR(AVERAGEIFS(DATOS!$K$2:$K$20000,DATOS!$A$2:$A$20000,A103,DATOS!$G$2:$G$20000,CONFIG_METADATA!$B$4,DATOS!$I$2:$I$20000,"Coro"),""))</f>
        <v/>
      </c>
      <c r="D103" t="str">
        <f>IF(A103="","",IFERROR(AVERAGEIFS(DATOS!$K$2:$K$20000,DATOS!$A$2:$A$20000,A103,DATOS!$G$2:$G$20000,CONFIG_METADATA!$B$4,DATOS!$I$2:$I$20000,"Conjunto"),""))</f>
        <v/>
      </c>
      <c r="E103" t="str" cm="1">
        <f t="array" ref="E103">IF(A103="","",IFERROR(AVERAGE(IF((DATOS!$A$2:$A$20000=A103)*(DATOS!$G$2:$G$20000=CONFIG_METADATA!$B$4)*(DATOS!$I$2:$I$20000&lt;&gt;"Lenguaje Musical")*(DATOS!$I$2:$I$20000&lt;&gt;"Coro")*(DATOS!$I$2:$I$20000&lt;&gt;"Conjunto"),DATOS!$K$2:$K$20000)),""))</f>
        <v/>
      </c>
      <c r="H103" t="str">
        <f>IF(G103="","",IFERROR(AVERAGEIFS(DATOS!$K$2:$K$20000,DATOS!$A$2:$A$20000,G103,DATOS!$G$2:$G$20000,CONFIG_METADATA!$B$4,DATOS!$I$2:$I$20000,"Lenguaje Musical"),""))</f>
        <v/>
      </c>
      <c r="I103" t="str">
        <f>IF(G103="","",IFERROR(AVERAGEIFS(DATOS!$K$2:$K$20000,DATOS!$A$2:$A$20000,G103,DATOS!$G$2:$G$20000,CONFIG_METADATA!$B$4,DATOS!$I$2:$I$20000,"Coro"),""))</f>
        <v/>
      </c>
      <c r="J103" t="str">
        <f>IF(G103="","",IFERROR(AVERAGEIFS(DATOS!$K$2:$K$20000,DATOS!$A$2:$A$20000,G103,DATOS!$G$2:$G$20000,CONFIG_METADATA!$B$4,DATOS!$I$2:$I$20000,"Conjunto"),""))</f>
        <v/>
      </c>
      <c r="K103" t="str" cm="1">
        <f t="array" ref="K103">IF(G103="","",IFERROR(AVERAGE(IF((DATOS!$A$2:$A$20000=G103)*(DATOS!$G$2:$G$20000=CONFIG_METADATA!$B$4)*(DATOS!$I$2:$I$20000&lt;&gt;"Lenguaje Musical")*(DATOS!$I$2:$I$20000&lt;&gt;"Coro")*(DATOS!$I$2:$I$20000&lt;&gt;"Conjunto"),DATOS!$K$2:$K$20000)),""))</f>
        <v/>
      </c>
      <c r="N103" t="str">
        <f>IF(M103="","",IFERROR(AVERAGEIFS(DATOS!$K$2:$K$20000,DATOS!$A$2:$A$20000,M103,DATOS!$G$2:$G$20000,CONFIG_METADATA!$B$4,DATOS!$I$2:$I$20000,"Lenguaje Musical"),""))</f>
        <v/>
      </c>
      <c r="O103" t="str">
        <f>IF(M103="","",IFERROR(AVERAGEIFS(DATOS!$K$2:$K$20000,DATOS!$A$2:$A$20000,M103,DATOS!$G$2:$G$20000,CONFIG_METADATA!$B$4,DATOS!$I$2:$I$20000,"Coro"),""))</f>
        <v/>
      </c>
      <c r="P103" t="str">
        <f>IF(M103="","",IFERROR(AVERAGEIFS(DATOS!$K$2:$K$20000,DATOS!$A$2:$A$20000,M103,DATOS!$G$2:$G$20000,CONFIG_METADATA!$B$4,DATOS!$I$2:$I$20000,"Conjunto"),""))</f>
        <v/>
      </c>
      <c r="Q103" t="str" cm="1">
        <f t="array" ref="Q103">IF(M103="","",IFERROR(AVERAGE(IF((DATOS!$A$2:$A$20000=M103)*(DATOS!$G$2:$G$20000=CONFIG_METADATA!$B$4)*(DATOS!$I$2:$I$20000&lt;&gt;"Lenguaje Musical")*(DATOS!$I$2:$I$20000&lt;&gt;"Coro")*(DATOS!$I$2:$I$20000&lt;&gt;"Conjunto"),DATOS!$K$2:$K$20000)),""))</f>
        <v/>
      </c>
      <c r="T103" t="str">
        <f>IF(S103="","",IFERROR(AVERAGEIFS(DATOS!$K$2:$K$20000,DATOS!$A$2:$A$20000,S103,DATOS!$G$2:$G$20000,CONFIG_METADATA!$B$4,DATOS!$I$2:$I$20000,"Lenguaje Musical"),""))</f>
        <v/>
      </c>
      <c r="U103" t="str">
        <f>IF(S103="","",IFERROR(AVERAGEIFS(DATOS!$K$2:$K$20000,DATOS!$A$2:$A$20000,S103,DATOS!$G$2:$G$20000,CONFIG_METADATA!$B$4,DATOS!$I$2:$I$20000,"Coro"),""))</f>
        <v/>
      </c>
      <c r="V103" t="str">
        <f>IF(S103="","",IFERROR(AVERAGEIFS(DATOS!$K$2:$K$20000,DATOS!$A$2:$A$20000,S103,DATOS!$G$2:$G$20000,CONFIG_METADATA!$B$4,DATOS!$I$2:$I$20000,"Conjunto"),""))</f>
        <v/>
      </c>
      <c r="W103" t="str" cm="1">
        <f t="array" ref="W103">IF(S103="","",IFERROR(AVERAGE(IF((DATOS!$A$2:$A$20000=S103)*(DATOS!$G$2:$G$20000=CONFIG_METADATA!$B$4)*(DATOS!$I$2:$I$20000&lt;&gt;"Lenguaje Musical")*(DATOS!$I$2:$I$20000&lt;&gt;"Coro")*(DATOS!$I$2:$I$20000&lt;&gt;"Conjunto"),DATOS!$K$2:$K$20000)),""))</f>
        <v/>
      </c>
    </row>
    <row r="104" spans="2:23" ht="15" customHeight="1" x14ac:dyDescent="0.2">
      <c r="B104" t="str">
        <f>IF(A104="","",IFERROR(AVERAGEIFS(DATOS!$K$2:$K$20000,DATOS!$A$2:$A$20000,A104,DATOS!$G$2:$G$20000,CONFIG_METADATA!$B$4,DATOS!$I$2:$I$20000,"Lenguaje Musical"),""))</f>
        <v/>
      </c>
      <c r="C104" t="str">
        <f>IF(A104="","",IFERROR(AVERAGEIFS(DATOS!$K$2:$K$20000,DATOS!$A$2:$A$20000,A104,DATOS!$G$2:$G$20000,CONFIG_METADATA!$B$4,DATOS!$I$2:$I$20000,"Coro"),""))</f>
        <v/>
      </c>
      <c r="D104" t="str">
        <f>IF(A104="","",IFERROR(AVERAGEIFS(DATOS!$K$2:$K$20000,DATOS!$A$2:$A$20000,A104,DATOS!$G$2:$G$20000,CONFIG_METADATA!$B$4,DATOS!$I$2:$I$20000,"Conjunto"),""))</f>
        <v/>
      </c>
      <c r="E104" t="str" cm="1">
        <f t="array" ref="E104">IF(A104="","",IFERROR(AVERAGE(IF((DATOS!$A$2:$A$20000=A104)*(DATOS!$G$2:$G$20000=CONFIG_METADATA!$B$4)*(DATOS!$I$2:$I$20000&lt;&gt;"Lenguaje Musical")*(DATOS!$I$2:$I$20000&lt;&gt;"Coro")*(DATOS!$I$2:$I$20000&lt;&gt;"Conjunto"),DATOS!$K$2:$K$20000)),""))</f>
        <v/>
      </c>
      <c r="H104" t="str">
        <f>IF(G104="","",IFERROR(AVERAGEIFS(DATOS!$K$2:$K$20000,DATOS!$A$2:$A$20000,G104,DATOS!$G$2:$G$20000,CONFIG_METADATA!$B$4,DATOS!$I$2:$I$20000,"Lenguaje Musical"),""))</f>
        <v/>
      </c>
      <c r="I104" t="str">
        <f>IF(G104="","",IFERROR(AVERAGEIFS(DATOS!$K$2:$K$20000,DATOS!$A$2:$A$20000,G104,DATOS!$G$2:$G$20000,CONFIG_METADATA!$B$4,DATOS!$I$2:$I$20000,"Coro"),""))</f>
        <v/>
      </c>
      <c r="J104" t="str">
        <f>IF(G104="","",IFERROR(AVERAGEIFS(DATOS!$K$2:$K$20000,DATOS!$A$2:$A$20000,G104,DATOS!$G$2:$G$20000,CONFIG_METADATA!$B$4,DATOS!$I$2:$I$20000,"Conjunto"),""))</f>
        <v/>
      </c>
      <c r="K104" t="str" cm="1">
        <f t="array" ref="K104">IF(G104="","",IFERROR(AVERAGE(IF((DATOS!$A$2:$A$20000=G104)*(DATOS!$G$2:$G$20000=CONFIG_METADATA!$B$4)*(DATOS!$I$2:$I$20000&lt;&gt;"Lenguaje Musical")*(DATOS!$I$2:$I$20000&lt;&gt;"Coro")*(DATOS!$I$2:$I$20000&lt;&gt;"Conjunto"),DATOS!$K$2:$K$20000)),""))</f>
        <v/>
      </c>
      <c r="N104" t="str">
        <f>IF(M104="","",IFERROR(AVERAGEIFS(DATOS!$K$2:$K$20000,DATOS!$A$2:$A$20000,M104,DATOS!$G$2:$G$20000,CONFIG_METADATA!$B$4,DATOS!$I$2:$I$20000,"Lenguaje Musical"),""))</f>
        <v/>
      </c>
      <c r="O104" t="str">
        <f>IF(M104="","",IFERROR(AVERAGEIFS(DATOS!$K$2:$K$20000,DATOS!$A$2:$A$20000,M104,DATOS!$G$2:$G$20000,CONFIG_METADATA!$B$4,DATOS!$I$2:$I$20000,"Coro"),""))</f>
        <v/>
      </c>
      <c r="P104" t="str">
        <f>IF(M104="","",IFERROR(AVERAGEIFS(DATOS!$K$2:$K$20000,DATOS!$A$2:$A$20000,M104,DATOS!$G$2:$G$20000,CONFIG_METADATA!$B$4,DATOS!$I$2:$I$20000,"Conjunto"),""))</f>
        <v/>
      </c>
      <c r="Q104" t="str" cm="1">
        <f t="array" ref="Q104">IF(M104="","",IFERROR(AVERAGE(IF((DATOS!$A$2:$A$20000=M104)*(DATOS!$G$2:$G$20000=CONFIG_METADATA!$B$4)*(DATOS!$I$2:$I$20000&lt;&gt;"Lenguaje Musical")*(DATOS!$I$2:$I$20000&lt;&gt;"Coro")*(DATOS!$I$2:$I$20000&lt;&gt;"Conjunto"),DATOS!$K$2:$K$20000)),""))</f>
        <v/>
      </c>
      <c r="T104" t="str">
        <f>IF(S104="","",IFERROR(AVERAGEIFS(DATOS!$K$2:$K$20000,DATOS!$A$2:$A$20000,S104,DATOS!$G$2:$G$20000,CONFIG_METADATA!$B$4,DATOS!$I$2:$I$20000,"Lenguaje Musical"),""))</f>
        <v/>
      </c>
      <c r="U104" t="str">
        <f>IF(S104="","",IFERROR(AVERAGEIFS(DATOS!$K$2:$K$20000,DATOS!$A$2:$A$20000,S104,DATOS!$G$2:$G$20000,CONFIG_METADATA!$B$4,DATOS!$I$2:$I$20000,"Coro"),""))</f>
        <v/>
      </c>
      <c r="V104" t="str">
        <f>IF(S104="","",IFERROR(AVERAGEIFS(DATOS!$K$2:$K$20000,DATOS!$A$2:$A$20000,S104,DATOS!$G$2:$G$20000,CONFIG_METADATA!$B$4,DATOS!$I$2:$I$20000,"Conjunto"),""))</f>
        <v/>
      </c>
      <c r="W104" t="str" cm="1">
        <f t="array" ref="W104">IF(S104="","",IFERROR(AVERAGE(IF((DATOS!$A$2:$A$20000=S104)*(DATOS!$G$2:$G$20000=CONFIG_METADATA!$B$4)*(DATOS!$I$2:$I$20000&lt;&gt;"Lenguaje Musical")*(DATOS!$I$2:$I$20000&lt;&gt;"Coro")*(DATOS!$I$2:$I$20000&lt;&gt;"Conjunto"),DATOS!$K$2:$K$20000)),""))</f>
        <v/>
      </c>
    </row>
    <row r="105" spans="2:23" ht="15" customHeight="1" x14ac:dyDescent="0.2">
      <c r="B105" t="str">
        <f>IF(A105="","",IFERROR(AVERAGEIFS(DATOS!$K$2:$K$20000,DATOS!$A$2:$A$20000,A105,DATOS!$G$2:$G$20000,CONFIG_METADATA!$B$4,DATOS!$I$2:$I$20000,"Lenguaje Musical"),""))</f>
        <v/>
      </c>
      <c r="C105" t="str">
        <f>IF(A105="","",IFERROR(AVERAGEIFS(DATOS!$K$2:$K$20000,DATOS!$A$2:$A$20000,A105,DATOS!$G$2:$G$20000,CONFIG_METADATA!$B$4,DATOS!$I$2:$I$20000,"Coro"),""))</f>
        <v/>
      </c>
      <c r="D105" t="str">
        <f>IF(A105="","",IFERROR(AVERAGEIFS(DATOS!$K$2:$K$20000,DATOS!$A$2:$A$20000,A105,DATOS!$G$2:$G$20000,CONFIG_METADATA!$B$4,DATOS!$I$2:$I$20000,"Conjunto"),""))</f>
        <v/>
      </c>
      <c r="E105" t="str" cm="1">
        <f t="array" ref="E105">IF(A105="","",IFERROR(AVERAGE(IF((DATOS!$A$2:$A$20000=A105)*(DATOS!$G$2:$G$20000=CONFIG_METADATA!$B$4)*(DATOS!$I$2:$I$20000&lt;&gt;"Lenguaje Musical")*(DATOS!$I$2:$I$20000&lt;&gt;"Coro")*(DATOS!$I$2:$I$20000&lt;&gt;"Conjunto"),DATOS!$K$2:$K$20000)),""))</f>
        <v/>
      </c>
      <c r="H105" t="str">
        <f>IF(G105="","",IFERROR(AVERAGEIFS(DATOS!$K$2:$K$20000,DATOS!$A$2:$A$20000,G105,DATOS!$G$2:$G$20000,CONFIG_METADATA!$B$4,DATOS!$I$2:$I$20000,"Lenguaje Musical"),""))</f>
        <v/>
      </c>
      <c r="I105" t="str">
        <f>IF(G105="","",IFERROR(AVERAGEIFS(DATOS!$K$2:$K$20000,DATOS!$A$2:$A$20000,G105,DATOS!$G$2:$G$20000,CONFIG_METADATA!$B$4,DATOS!$I$2:$I$20000,"Coro"),""))</f>
        <v/>
      </c>
      <c r="J105" t="str">
        <f>IF(G105="","",IFERROR(AVERAGEIFS(DATOS!$K$2:$K$20000,DATOS!$A$2:$A$20000,G105,DATOS!$G$2:$G$20000,CONFIG_METADATA!$B$4,DATOS!$I$2:$I$20000,"Conjunto"),""))</f>
        <v/>
      </c>
      <c r="K105" t="str" cm="1">
        <f t="array" ref="K105">IF(G105="","",IFERROR(AVERAGE(IF((DATOS!$A$2:$A$20000=G105)*(DATOS!$G$2:$G$20000=CONFIG_METADATA!$B$4)*(DATOS!$I$2:$I$20000&lt;&gt;"Lenguaje Musical")*(DATOS!$I$2:$I$20000&lt;&gt;"Coro")*(DATOS!$I$2:$I$20000&lt;&gt;"Conjunto"),DATOS!$K$2:$K$20000)),""))</f>
        <v/>
      </c>
      <c r="N105" t="str">
        <f>IF(M105="","",IFERROR(AVERAGEIFS(DATOS!$K$2:$K$20000,DATOS!$A$2:$A$20000,M105,DATOS!$G$2:$G$20000,CONFIG_METADATA!$B$4,DATOS!$I$2:$I$20000,"Lenguaje Musical"),""))</f>
        <v/>
      </c>
      <c r="O105" t="str">
        <f>IF(M105="","",IFERROR(AVERAGEIFS(DATOS!$K$2:$K$20000,DATOS!$A$2:$A$20000,M105,DATOS!$G$2:$G$20000,CONFIG_METADATA!$B$4,DATOS!$I$2:$I$20000,"Coro"),""))</f>
        <v/>
      </c>
      <c r="P105" t="str">
        <f>IF(M105="","",IFERROR(AVERAGEIFS(DATOS!$K$2:$K$20000,DATOS!$A$2:$A$20000,M105,DATOS!$G$2:$G$20000,CONFIG_METADATA!$B$4,DATOS!$I$2:$I$20000,"Conjunto"),""))</f>
        <v/>
      </c>
      <c r="Q105" t="str" cm="1">
        <f t="array" ref="Q105">IF(M105="","",IFERROR(AVERAGE(IF((DATOS!$A$2:$A$20000=M105)*(DATOS!$G$2:$G$20000=CONFIG_METADATA!$B$4)*(DATOS!$I$2:$I$20000&lt;&gt;"Lenguaje Musical")*(DATOS!$I$2:$I$20000&lt;&gt;"Coro")*(DATOS!$I$2:$I$20000&lt;&gt;"Conjunto"),DATOS!$K$2:$K$20000)),""))</f>
        <v/>
      </c>
      <c r="T105" t="str">
        <f>IF(S105="","",IFERROR(AVERAGEIFS(DATOS!$K$2:$K$20000,DATOS!$A$2:$A$20000,S105,DATOS!$G$2:$G$20000,CONFIG_METADATA!$B$4,DATOS!$I$2:$I$20000,"Lenguaje Musical"),""))</f>
        <v/>
      </c>
      <c r="U105" t="str">
        <f>IF(S105="","",IFERROR(AVERAGEIFS(DATOS!$K$2:$K$20000,DATOS!$A$2:$A$20000,S105,DATOS!$G$2:$G$20000,CONFIG_METADATA!$B$4,DATOS!$I$2:$I$20000,"Coro"),""))</f>
        <v/>
      </c>
      <c r="V105" t="str">
        <f>IF(S105="","",IFERROR(AVERAGEIFS(DATOS!$K$2:$K$20000,DATOS!$A$2:$A$20000,S105,DATOS!$G$2:$G$20000,CONFIG_METADATA!$B$4,DATOS!$I$2:$I$20000,"Conjunto"),""))</f>
        <v/>
      </c>
      <c r="W105" t="str" cm="1">
        <f t="array" ref="W105">IF(S105="","",IFERROR(AVERAGE(IF((DATOS!$A$2:$A$20000=S105)*(DATOS!$G$2:$G$20000=CONFIG_METADATA!$B$4)*(DATOS!$I$2:$I$20000&lt;&gt;"Lenguaje Musical")*(DATOS!$I$2:$I$20000&lt;&gt;"Coro")*(DATOS!$I$2:$I$20000&lt;&gt;"Conjunto"),DATOS!$K$2:$K$20000)),""))</f>
        <v/>
      </c>
    </row>
    <row r="106" spans="2:23" ht="15" customHeight="1" x14ac:dyDescent="0.2">
      <c r="B106" t="str">
        <f>IF(A106="","",IFERROR(AVERAGEIFS(DATOS!$K$2:$K$20000,DATOS!$A$2:$A$20000,A106,DATOS!$G$2:$G$20000,CONFIG_METADATA!$B$4,DATOS!$I$2:$I$20000,"Lenguaje Musical"),""))</f>
        <v/>
      </c>
      <c r="C106" t="str">
        <f>IF(A106="","",IFERROR(AVERAGEIFS(DATOS!$K$2:$K$20000,DATOS!$A$2:$A$20000,A106,DATOS!$G$2:$G$20000,CONFIG_METADATA!$B$4,DATOS!$I$2:$I$20000,"Coro"),""))</f>
        <v/>
      </c>
      <c r="D106" t="str">
        <f>IF(A106="","",IFERROR(AVERAGEIFS(DATOS!$K$2:$K$20000,DATOS!$A$2:$A$20000,A106,DATOS!$G$2:$G$20000,CONFIG_METADATA!$B$4,DATOS!$I$2:$I$20000,"Conjunto"),""))</f>
        <v/>
      </c>
      <c r="E106" t="str" cm="1">
        <f t="array" ref="E106">IF(A106="","",IFERROR(AVERAGE(IF((DATOS!$A$2:$A$20000=A106)*(DATOS!$G$2:$G$20000=CONFIG_METADATA!$B$4)*(DATOS!$I$2:$I$20000&lt;&gt;"Lenguaje Musical")*(DATOS!$I$2:$I$20000&lt;&gt;"Coro")*(DATOS!$I$2:$I$20000&lt;&gt;"Conjunto"),DATOS!$K$2:$K$20000)),""))</f>
        <v/>
      </c>
      <c r="H106" t="str">
        <f>IF(G106="","",IFERROR(AVERAGEIFS(DATOS!$K$2:$K$20000,DATOS!$A$2:$A$20000,G106,DATOS!$G$2:$G$20000,CONFIG_METADATA!$B$4,DATOS!$I$2:$I$20000,"Lenguaje Musical"),""))</f>
        <v/>
      </c>
      <c r="I106" t="str">
        <f>IF(G106="","",IFERROR(AVERAGEIFS(DATOS!$K$2:$K$20000,DATOS!$A$2:$A$20000,G106,DATOS!$G$2:$G$20000,CONFIG_METADATA!$B$4,DATOS!$I$2:$I$20000,"Coro"),""))</f>
        <v/>
      </c>
      <c r="J106" t="str">
        <f>IF(G106="","",IFERROR(AVERAGEIFS(DATOS!$K$2:$K$20000,DATOS!$A$2:$A$20000,G106,DATOS!$G$2:$G$20000,CONFIG_METADATA!$B$4,DATOS!$I$2:$I$20000,"Conjunto"),""))</f>
        <v/>
      </c>
      <c r="K106" t="str" cm="1">
        <f t="array" ref="K106">IF(G106="","",IFERROR(AVERAGE(IF((DATOS!$A$2:$A$20000=G106)*(DATOS!$G$2:$G$20000=CONFIG_METADATA!$B$4)*(DATOS!$I$2:$I$20000&lt;&gt;"Lenguaje Musical")*(DATOS!$I$2:$I$20000&lt;&gt;"Coro")*(DATOS!$I$2:$I$20000&lt;&gt;"Conjunto"),DATOS!$K$2:$K$20000)),""))</f>
        <v/>
      </c>
      <c r="N106" t="str">
        <f>IF(M106="","",IFERROR(AVERAGEIFS(DATOS!$K$2:$K$20000,DATOS!$A$2:$A$20000,M106,DATOS!$G$2:$G$20000,CONFIG_METADATA!$B$4,DATOS!$I$2:$I$20000,"Lenguaje Musical"),""))</f>
        <v/>
      </c>
      <c r="O106" t="str">
        <f>IF(M106="","",IFERROR(AVERAGEIFS(DATOS!$K$2:$K$20000,DATOS!$A$2:$A$20000,M106,DATOS!$G$2:$G$20000,CONFIG_METADATA!$B$4,DATOS!$I$2:$I$20000,"Coro"),""))</f>
        <v/>
      </c>
      <c r="P106" t="str">
        <f>IF(M106="","",IFERROR(AVERAGEIFS(DATOS!$K$2:$K$20000,DATOS!$A$2:$A$20000,M106,DATOS!$G$2:$G$20000,CONFIG_METADATA!$B$4,DATOS!$I$2:$I$20000,"Conjunto"),""))</f>
        <v/>
      </c>
      <c r="Q106" t="str" cm="1">
        <f t="array" ref="Q106">IF(M106="","",IFERROR(AVERAGE(IF((DATOS!$A$2:$A$20000=M106)*(DATOS!$G$2:$G$20000=CONFIG_METADATA!$B$4)*(DATOS!$I$2:$I$20000&lt;&gt;"Lenguaje Musical")*(DATOS!$I$2:$I$20000&lt;&gt;"Coro")*(DATOS!$I$2:$I$20000&lt;&gt;"Conjunto"),DATOS!$K$2:$K$20000)),""))</f>
        <v/>
      </c>
      <c r="T106" t="str">
        <f>IF(S106="","",IFERROR(AVERAGEIFS(DATOS!$K$2:$K$20000,DATOS!$A$2:$A$20000,S106,DATOS!$G$2:$G$20000,CONFIG_METADATA!$B$4,DATOS!$I$2:$I$20000,"Lenguaje Musical"),""))</f>
        <v/>
      </c>
      <c r="U106" t="str">
        <f>IF(S106="","",IFERROR(AVERAGEIFS(DATOS!$K$2:$K$20000,DATOS!$A$2:$A$20000,S106,DATOS!$G$2:$G$20000,CONFIG_METADATA!$B$4,DATOS!$I$2:$I$20000,"Coro"),""))</f>
        <v/>
      </c>
      <c r="V106" t="str">
        <f>IF(S106="","",IFERROR(AVERAGEIFS(DATOS!$K$2:$K$20000,DATOS!$A$2:$A$20000,S106,DATOS!$G$2:$G$20000,CONFIG_METADATA!$B$4,DATOS!$I$2:$I$20000,"Conjunto"),""))</f>
        <v/>
      </c>
      <c r="W106" t="str" cm="1">
        <f t="array" ref="W106">IF(S106="","",IFERROR(AVERAGE(IF((DATOS!$A$2:$A$20000=S106)*(DATOS!$G$2:$G$20000=CONFIG_METADATA!$B$4)*(DATOS!$I$2:$I$20000&lt;&gt;"Lenguaje Musical")*(DATOS!$I$2:$I$20000&lt;&gt;"Coro")*(DATOS!$I$2:$I$20000&lt;&gt;"Conjunto"),DATOS!$K$2:$K$20000)),""))</f>
        <v/>
      </c>
    </row>
    <row r="107" spans="2:23" x14ac:dyDescent="0.2">
      <c r="B107" t="str">
        <f>IF(A107="","",IFERROR(AVERAGEIFS(DATOS!$K$2:$K$20000,DATOS!$A$2:$A$20000,A107,DATOS!$G$2:$G$20000,CONFIG_METADATA!$B$4,DATOS!$I$2:$I$20000,"Lenguaje Musical"),""))</f>
        <v/>
      </c>
      <c r="C107" t="str">
        <f>IF(A107="","",IFERROR(AVERAGEIFS(DATOS!$K$2:$K$20000,DATOS!$A$2:$A$20000,A107,DATOS!$G$2:$G$20000,CONFIG_METADATA!$B$4,DATOS!$I$2:$I$20000,"Coro"),""))</f>
        <v/>
      </c>
      <c r="D107" t="str">
        <f>IF(A107="","",IFERROR(AVERAGEIFS(DATOS!$K$2:$K$20000,DATOS!$A$2:$A$20000,A107,DATOS!$G$2:$G$20000,CONFIG_METADATA!$B$4,DATOS!$I$2:$I$20000,"Conjunto"),""))</f>
        <v/>
      </c>
      <c r="E107" t="str" cm="1">
        <f t="array" ref="E107">IF(A107="","",IFERROR(AVERAGE(IF((DATOS!$A$2:$A$20000=A107)*(DATOS!$G$2:$G$20000=CONFIG_METADATA!$B$4)*(DATOS!$I$2:$I$20000&lt;&gt;"Lenguaje Musical")*(DATOS!$I$2:$I$20000&lt;&gt;"Coro")*(DATOS!$I$2:$I$20000&lt;&gt;"Conjunto"),DATOS!$K$2:$K$20000)),""))</f>
        <v/>
      </c>
      <c r="H107" t="str">
        <f>IF(G107="","",IFERROR(AVERAGEIFS(DATOS!$K$2:$K$20000,DATOS!$A$2:$A$20000,G107,DATOS!$G$2:$G$20000,CONFIG_METADATA!$B$4,DATOS!$I$2:$I$20000,"Lenguaje Musical"),""))</f>
        <v/>
      </c>
      <c r="I107" t="str">
        <f>IF(G107="","",IFERROR(AVERAGEIFS(DATOS!$K$2:$K$20000,DATOS!$A$2:$A$20000,G107,DATOS!$G$2:$G$20000,CONFIG_METADATA!$B$4,DATOS!$I$2:$I$20000,"Coro"),""))</f>
        <v/>
      </c>
      <c r="J107" t="str">
        <f>IF(G107="","",IFERROR(AVERAGEIFS(DATOS!$K$2:$K$20000,DATOS!$A$2:$A$20000,G107,DATOS!$G$2:$G$20000,CONFIG_METADATA!$B$4,DATOS!$I$2:$I$20000,"Conjunto"),""))</f>
        <v/>
      </c>
      <c r="K107" t="str" cm="1">
        <f t="array" ref="K107">IF(G107="","",IFERROR(AVERAGE(IF((DATOS!$A$2:$A$20000=G107)*(DATOS!$G$2:$G$20000=CONFIG_METADATA!$B$4)*(DATOS!$I$2:$I$20000&lt;&gt;"Lenguaje Musical")*(DATOS!$I$2:$I$20000&lt;&gt;"Coro")*(DATOS!$I$2:$I$20000&lt;&gt;"Conjunto"),DATOS!$K$2:$K$20000)),""))</f>
        <v/>
      </c>
      <c r="N107" t="str">
        <f>IF(M107="","",IFERROR(AVERAGEIFS(DATOS!$K$2:$K$20000,DATOS!$A$2:$A$20000,M107,DATOS!$G$2:$G$20000,CONFIG_METADATA!$B$4,DATOS!$I$2:$I$20000,"Lenguaje Musical"),""))</f>
        <v/>
      </c>
      <c r="O107" t="str">
        <f>IF(M107="","",IFERROR(AVERAGEIFS(DATOS!$K$2:$K$20000,DATOS!$A$2:$A$20000,M107,DATOS!$G$2:$G$20000,CONFIG_METADATA!$B$4,DATOS!$I$2:$I$20000,"Coro"),""))</f>
        <v/>
      </c>
      <c r="P107" t="str">
        <f>IF(M107="","",IFERROR(AVERAGEIFS(DATOS!$K$2:$K$20000,DATOS!$A$2:$A$20000,M107,DATOS!$G$2:$G$20000,CONFIG_METADATA!$B$4,DATOS!$I$2:$I$20000,"Conjunto"),""))</f>
        <v/>
      </c>
      <c r="Q107" t="str" cm="1">
        <f t="array" ref="Q107">IF(M107="","",IFERROR(AVERAGE(IF((DATOS!$A$2:$A$20000=M107)*(DATOS!$G$2:$G$20000=CONFIG_METADATA!$B$4)*(DATOS!$I$2:$I$20000&lt;&gt;"Lenguaje Musical")*(DATOS!$I$2:$I$20000&lt;&gt;"Coro")*(DATOS!$I$2:$I$20000&lt;&gt;"Conjunto"),DATOS!$K$2:$K$20000)),""))</f>
        <v/>
      </c>
      <c r="T107" t="str">
        <f>IF(S107="","",IFERROR(AVERAGEIFS(DATOS!$K$2:$K$20000,DATOS!$A$2:$A$20000,S107,DATOS!$G$2:$G$20000,CONFIG_METADATA!$B$4,DATOS!$I$2:$I$20000,"Lenguaje Musical"),""))</f>
        <v/>
      </c>
      <c r="U107" t="str">
        <f>IF(S107="","",IFERROR(AVERAGEIFS(DATOS!$K$2:$K$20000,DATOS!$A$2:$A$20000,S107,DATOS!$G$2:$G$20000,CONFIG_METADATA!$B$4,DATOS!$I$2:$I$20000,"Coro"),""))</f>
        <v/>
      </c>
      <c r="V107" t="str">
        <f>IF(S107="","",IFERROR(AVERAGEIFS(DATOS!$K$2:$K$20000,DATOS!$A$2:$A$20000,S107,DATOS!$G$2:$G$20000,CONFIG_METADATA!$B$4,DATOS!$I$2:$I$20000,"Conjunto"),""))</f>
        <v/>
      </c>
      <c r="W107" t="str" cm="1">
        <f t="array" ref="W107">IF(S107="","",IFERROR(AVERAGE(IF((DATOS!$A$2:$A$20000=S107)*(DATOS!$G$2:$G$20000=CONFIG_METADATA!$B$4)*(DATOS!$I$2:$I$20000&lt;&gt;"Lenguaje Musical")*(DATOS!$I$2:$I$20000&lt;&gt;"Coro")*(DATOS!$I$2:$I$20000&lt;&gt;"Conjunto"),DATOS!$K$2:$K$20000)),""))</f>
        <v/>
      </c>
    </row>
    <row r="108" spans="2:23" x14ac:dyDescent="0.2">
      <c r="B108" t="str">
        <f>IF(A108="","",IFERROR(AVERAGEIFS(DATOS!$K$2:$K$20000,DATOS!$A$2:$A$20000,A108,DATOS!$G$2:$G$20000,CONFIG_METADATA!$B$4,DATOS!$I$2:$I$20000,"Lenguaje Musical"),""))</f>
        <v/>
      </c>
      <c r="C108" t="str">
        <f>IF(A108="","",IFERROR(AVERAGEIFS(DATOS!$K$2:$K$20000,DATOS!$A$2:$A$20000,A108,DATOS!$G$2:$G$20000,CONFIG_METADATA!$B$4,DATOS!$I$2:$I$20000,"Coro"),""))</f>
        <v/>
      </c>
      <c r="D108" t="str">
        <f>IF(A108="","",IFERROR(AVERAGEIFS(DATOS!$K$2:$K$20000,DATOS!$A$2:$A$20000,A108,DATOS!$G$2:$G$20000,CONFIG_METADATA!$B$4,DATOS!$I$2:$I$20000,"Conjunto"),""))</f>
        <v/>
      </c>
      <c r="E108" t="str" cm="1">
        <f t="array" ref="E108">IF(A108="","",IFERROR(AVERAGE(IF((DATOS!$A$2:$A$20000=A108)*(DATOS!$G$2:$G$20000=CONFIG_METADATA!$B$4)*(DATOS!$I$2:$I$20000&lt;&gt;"Lenguaje Musical")*(DATOS!$I$2:$I$20000&lt;&gt;"Coro")*(DATOS!$I$2:$I$20000&lt;&gt;"Conjunto"),DATOS!$K$2:$K$20000)),""))</f>
        <v/>
      </c>
      <c r="H108" t="str">
        <f>IF(G108="","",IFERROR(AVERAGEIFS(DATOS!$K$2:$K$20000,DATOS!$A$2:$A$20000,G108,DATOS!$G$2:$G$20000,CONFIG_METADATA!$B$4,DATOS!$I$2:$I$20000,"Lenguaje Musical"),""))</f>
        <v/>
      </c>
      <c r="I108" t="str">
        <f>IF(G108="","",IFERROR(AVERAGEIFS(DATOS!$K$2:$K$20000,DATOS!$A$2:$A$20000,G108,DATOS!$G$2:$G$20000,CONFIG_METADATA!$B$4,DATOS!$I$2:$I$20000,"Coro"),""))</f>
        <v/>
      </c>
      <c r="J108" t="str">
        <f>IF(G108="","",IFERROR(AVERAGEIFS(DATOS!$K$2:$K$20000,DATOS!$A$2:$A$20000,G108,DATOS!$G$2:$G$20000,CONFIG_METADATA!$B$4,DATOS!$I$2:$I$20000,"Conjunto"),""))</f>
        <v/>
      </c>
      <c r="K108" t="str" cm="1">
        <f t="array" ref="K108">IF(G108="","",IFERROR(AVERAGE(IF((DATOS!$A$2:$A$20000=G108)*(DATOS!$G$2:$G$20000=CONFIG_METADATA!$B$4)*(DATOS!$I$2:$I$20000&lt;&gt;"Lenguaje Musical")*(DATOS!$I$2:$I$20000&lt;&gt;"Coro")*(DATOS!$I$2:$I$20000&lt;&gt;"Conjunto"),DATOS!$K$2:$K$20000)),""))</f>
        <v/>
      </c>
      <c r="N108" t="str">
        <f>IF(M108="","",IFERROR(AVERAGEIFS(DATOS!$K$2:$K$20000,DATOS!$A$2:$A$20000,M108,DATOS!$G$2:$G$20000,CONFIG_METADATA!$B$4,DATOS!$I$2:$I$20000,"Lenguaje Musical"),""))</f>
        <v/>
      </c>
      <c r="O108" t="str">
        <f>IF(M108="","",IFERROR(AVERAGEIFS(DATOS!$K$2:$K$20000,DATOS!$A$2:$A$20000,M108,DATOS!$G$2:$G$20000,CONFIG_METADATA!$B$4,DATOS!$I$2:$I$20000,"Coro"),""))</f>
        <v/>
      </c>
      <c r="P108" t="str">
        <f>IF(M108="","",IFERROR(AVERAGEIFS(DATOS!$K$2:$K$20000,DATOS!$A$2:$A$20000,M108,DATOS!$G$2:$G$20000,CONFIG_METADATA!$B$4,DATOS!$I$2:$I$20000,"Conjunto"),""))</f>
        <v/>
      </c>
      <c r="Q108" t="str" cm="1">
        <f t="array" ref="Q108">IF(M108="","",IFERROR(AVERAGE(IF((DATOS!$A$2:$A$20000=M108)*(DATOS!$G$2:$G$20000=CONFIG_METADATA!$B$4)*(DATOS!$I$2:$I$20000&lt;&gt;"Lenguaje Musical")*(DATOS!$I$2:$I$20000&lt;&gt;"Coro")*(DATOS!$I$2:$I$20000&lt;&gt;"Conjunto"),DATOS!$K$2:$K$20000)),""))</f>
        <v/>
      </c>
      <c r="T108" t="str">
        <f>IF(S108="","",IFERROR(AVERAGEIFS(DATOS!$K$2:$K$20000,DATOS!$A$2:$A$20000,S108,DATOS!$G$2:$G$20000,CONFIG_METADATA!$B$4,DATOS!$I$2:$I$20000,"Lenguaje Musical"),""))</f>
        <v/>
      </c>
      <c r="U108" t="str">
        <f>IF(S108="","",IFERROR(AVERAGEIFS(DATOS!$K$2:$K$20000,DATOS!$A$2:$A$20000,S108,DATOS!$G$2:$G$20000,CONFIG_METADATA!$B$4,DATOS!$I$2:$I$20000,"Coro"),""))</f>
        <v/>
      </c>
      <c r="V108" t="str">
        <f>IF(S108="","",IFERROR(AVERAGEIFS(DATOS!$K$2:$K$20000,DATOS!$A$2:$A$20000,S108,DATOS!$G$2:$G$20000,CONFIG_METADATA!$B$4,DATOS!$I$2:$I$20000,"Conjunto"),""))</f>
        <v/>
      </c>
      <c r="W108" t="str" cm="1">
        <f t="array" ref="W108">IF(S108="","",IFERROR(AVERAGE(IF((DATOS!$A$2:$A$20000=S108)*(DATOS!$G$2:$G$20000=CONFIG_METADATA!$B$4)*(DATOS!$I$2:$I$20000&lt;&gt;"Lenguaje Musical")*(DATOS!$I$2:$I$20000&lt;&gt;"Coro")*(DATOS!$I$2:$I$20000&lt;&gt;"Conjunto"),DATOS!$K$2:$K$20000)),""))</f>
        <v/>
      </c>
    </row>
    <row r="109" spans="2:23" x14ac:dyDescent="0.2">
      <c r="B109" t="str">
        <f>IF(A109="","",IFERROR(AVERAGEIFS(DATOS!$K$2:$K$20000,DATOS!$A$2:$A$20000,A109,DATOS!$G$2:$G$20000,CONFIG_METADATA!$B$4,DATOS!$I$2:$I$20000,"Lenguaje Musical"),""))</f>
        <v/>
      </c>
      <c r="C109" t="str">
        <f>IF(A109="","",IFERROR(AVERAGEIFS(DATOS!$K$2:$K$20000,DATOS!$A$2:$A$20000,A109,DATOS!$G$2:$G$20000,CONFIG_METADATA!$B$4,DATOS!$I$2:$I$20000,"Coro"),""))</f>
        <v/>
      </c>
      <c r="D109" t="str">
        <f>IF(A109="","",IFERROR(AVERAGEIFS(DATOS!$K$2:$K$20000,DATOS!$A$2:$A$20000,A109,DATOS!$G$2:$G$20000,CONFIG_METADATA!$B$4,DATOS!$I$2:$I$20000,"Conjunto"),""))</f>
        <v/>
      </c>
      <c r="E109" t="str" cm="1">
        <f t="array" ref="E109">IF(A109="","",IFERROR(AVERAGE(IF((DATOS!$A$2:$A$20000=A109)*(DATOS!$G$2:$G$20000=CONFIG_METADATA!$B$4)*(DATOS!$I$2:$I$20000&lt;&gt;"Lenguaje Musical")*(DATOS!$I$2:$I$20000&lt;&gt;"Coro")*(DATOS!$I$2:$I$20000&lt;&gt;"Conjunto"),DATOS!$K$2:$K$20000)),""))</f>
        <v/>
      </c>
      <c r="H109" t="str">
        <f>IF(G109="","",IFERROR(AVERAGEIFS(DATOS!$K$2:$K$20000,DATOS!$A$2:$A$20000,G109,DATOS!$G$2:$G$20000,CONFIG_METADATA!$B$4,DATOS!$I$2:$I$20000,"Lenguaje Musical"),""))</f>
        <v/>
      </c>
      <c r="I109" t="str">
        <f>IF(G109="","",IFERROR(AVERAGEIFS(DATOS!$K$2:$K$20000,DATOS!$A$2:$A$20000,G109,DATOS!$G$2:$G$20000,CONFIG_METADATA!$B$4,DATOS!$I$2:$I$20000,"Coro"),""))</f>
        <v/>
      </c>
      <c r="J109" t="str">
        <f>IF(G109="","",IFERROR(AVERAGEIFS(DATOS!$K$2:$K$20000,DATOS!$A$2:$A$20000,G109,DATOS!$G$2:$G$20000,CONFIG_METADATA!$B$4,DATOS!$I$2:$I$20000,"Conjunto"),""))</f>
        <v/>
      </c>
      <c r="K109" t="str" cm="1">
        <f t="array" ref="K109">IF(G109="","",IFERROR(AVERAGE(IF((DATOS!$A$2:$A$20000=G109)*(DATOS!$G$2:$G$20000=CONFIG_METADATA!$B$4)*(DATOS!$I$2:$I$20000&lt;&gt;"Lenguaje Musical")*(DATOS!$I$2:$I$20000&lt;&gt;"Coro")*(DATOS!$I$2:$I$20000&lt;&gt;"Conjunto"),DATOS!$K$2:$K$20000)),""))</f>
        <v/>
      </c>
      <c r="N109" t="str">
        <f>IF(M109="","",IFERROR(AVERAGEIFS(DATOS!$K$2:$K$20000,DATOS!$A$2:$A$20000,M109,DATOS!$G$2:$G$20000,CONFIG_METADATA!$B$4,DATOS!$I$2:$I$20000,"Lenguaje Musical"),""))</f>
        <v/>
      </c>
      <c r="O109" t="str">
        <f>IF(M109="","",IFERROR(AVERAGEIFS(DATOS!$K$2:$K$20000,DATOS!$A$2:$A$20000,M109,DATOS!$G$2:$G$20000,CONFIG_METADATA!$B$4,DATOS!$I$2:$I$20000,"Coro"),""))</f>
        <v/>
      </c>
      <c r="P109" t="str">
        <f>IF(M109="","",IFERROR(AVERAGEIFS(DATOS!$K$2:$K$20000,DATOS!$A$2:$A$20000,M109,DATOS!$G$2:$G$20000,CONFIG_METADATA!$B$4,DATOS!$I$2:$I$20000,"Conjunto"),""))</f>
        <v/>
      </c>
      <c r="Q109" t="str" cm="1">
        <f t="array" ref="Q109">IF(M109="","",IFERROR(AVERAGE(IF((DATOS!$A$2:$A$20000=M109)*(DATOS!$G$2:$G$20000=CONFIG_METADATA!$B$4)*(DATOS!$I$2:$I$20000&lt;&gt;"Lenguaje Musical")*(DATOS!$I$2:$I$20000&lt;&gt;"Coro")*(DATOS!$I$2:$I$20000&lt;&gt;"Conjunto"),DATOS!$K$2:$K$20000)),""))</f>
        <v/>
      </c>
      <c r="T109" t="str">
        <f>IF(S109="","",IFERROR(AVERAGEIFS(DATOS!$K$2:$K$20000,DATOS!$A$2:$A$20000,S109,DATOS!$G$2:$G$20000,CONFIG_METADATA!$B$4,DATOS!$I$2:$I$20000,"Lenguaje Musical"),""))</f>
        <v/>
      </c>
      <c r="U109" t="str">
        <f>IF(S109="","",IFERROR(AVERAGEIFS(DATOS!$K$2:$K$20000,DATOS!$A$2:$A$20000,S109,DATOS!$G$2:$G$20000,CONFIG_METADATA!$B$4,DATOS!$I$2:$I$20000,"Coro"),""))</f>
        <v/>
      </c>
      <c r="V109" t="str">
        <f>IF(S109="","",IFERROR(AVERAGEIFS(DATOS!$K$2:$K$20000,DATOS!$A$2:$A$20000,S109,DATOS!$G$2:$G$20000,CONFIG_METADATA!$B$4,DATOS!$I$2:$I$20000,"Conjunto"),""))</f>
        <v/>
      </c>
      <c r="W109" t="str" cm="1">
        <f t="array" ref="W109">IF(S109="","",IFERROR(AVERAGE(IF((DATOS!$A$2:$A$20000=S109)*(DATOS!$G$2:$G$20000=CONFIG_METADATA!$B$4)*(DATOS!$I$2:$I$20000&lt;&gt;"Lenguaje Musical")*(DATOS!$I$2:$I$20000&lt;&gt;"Coro")*(DATOS!$I$2:$I$20000&lt;&gt;"Conjunto"),DATOS!$K$2:$K$20000)),""))</f>
        <v/>
      </c>
    </row>
    <row r="110" spans="2:23" x14ac:dyDescent="0.2">
      <c r="B110" t="str">
        <f>IF(A110="","",IFERROR(AVERAGEIFS(DATOS!$K$2:$K$20000,DATOS!$A$2:$A$20000,A110,DATOS!$G$2:$G$20000,CONFIG_METADATA!$B$4,DATOS!$I$2:$I$20000,"Lenguaje Musical"),""))</f>
        <v/>
      </c>
      <c r="C110" t="str">
        <f>IF(A110="","",IFERROR(AVERAGEIFS(DATOS!$K$2:$K$20000,DATOS!$A$2:$A$20000,A110,DATOS!$G$2:$G$20000,CONFIG_METADATA!$B$4,DATOS!$I$2:$I$20000,"Coro"),""))</f>
        <v/>
      </c>
      <c r="D110" t="str">
        <f>IF(A110="","",IFERROR(AVERAGEIFS(DATOS!$K$2:$K$20000,DATOS!$A$2:$A$20000,A110,DATOS!$G$2:$G$20000,CONFIG_METADATA!$B$4,DATOS!$I$2:$I$20000,"Conjunto"),""))</f>
        <v/>
      </c>
      <c r="E110" t="str" cm="1">
        <f t="array" ref="E110">IF(A110="","",IFERROR(AVERAGE(IF((DATOS!$A$2:$A$20000=A110)*(DATOS!$G$2:$G$20000=CONFIG_METADATA!$B$4)*(DATOS!$I$2:$I$20000&lt;&gt;"Lenguaje Musical")*(DATOS!$I$2:$I$20000&lt;&gt;"Coro")*(DATOS!$I$2:$I$20000&lt;&gt;"Conjunto"),DATOS!$K$2:$K$20000)),""))</f>
        <v/>
      </c>
      <c r="H110" t="str">
        <f>IF(G110="","",IFERROR(AVERAGEIFS(DATOS!$K$2:$K$20000,DATOS!$A$2:$A$20000,G110,DATOS!$G$2:$G$20000,CONFIG_METADATA!$B$4,DATOS!$I$2:$I$20000,"Lenguaje Musical"),""))</f>
        <v/>
      </c>
      <c r="I110" t="str">
        <f>IF(G110="","",IFERROR(AVERAGEIFS(DATOS!$K$2:$K$20000,DATOS!$A$2:$A$20000,G110,DATOS!$G$2:$G$20000,CONFIG_METADATA!$B$4,DATOS!$I$2:$I$20000,"Coro"),""))</f>
        <v/>
      </c>
      <c r="J110" t="str">
        <f>IF(G110="","",IFERROR(AVERAGEIFS(DATOS!$K$2:$K$20000,DATOS!$A$2:$A$20000,G110,DATOS!$G$2:$G$20000,CONFIG_METADATA!$B$4,DATOS!$I$2:$I$20000,"Conjunto"),""))</f>
        <v/>
      </c>
      <c r="K110" t="str" cm="1">
        <f t="array" ref="K110">IF(G110="","",IFERROR(AVERAGE(IF((DATOS!$A$2:$A$20000=G110)*(DATOS!$G$2:$G$20000=CONFIG_METADATA!$B$4)*(DATOS!$I$2:$I$20000&lt;&gt;"Lenguaje Musical")*(DATOS!$I$2:$I$20000&lt;&gt;"Coro")*(DATOS!$I$2:$I$20000&lt;&gt;"Conjunto"),DATOS!$K$2:$K$20000)),""))</f>
        <v/>
      </c>
      <c r="N110" t="str">
        <f>IF(M110="","",IFERROR(AVERAGEIFS(DATOS!$K$2:$K$20000,DATOS!$A$2:$A$20000,M110,DATOS!$G$2:$G$20000,CONFIG_METADATA!$B$4,DATOS!$I$2:$I$20000,"Lenguaje Musical"),""))</f>
        <v/>
      </c>
      <c r="O110" t="str">
        <f>IF(M110="","",IFERROR(AVERAGEIFS(DATOS!$K$2:$K$20000,DATOS!$A$2:$A$20000,M110,DATOS!$G$2:$G$20000,CONFIG_METADATA!$B$4,DATOS!$I$2:$I$20000,"Coro"),""))</f>
        <v/>
      </c>
      <c r="P110" t="str">
        <f>IF(M110="","",IFERROR(AVERAGEIFS(DATOS!$K$2:$K$20000,DATOS!$A$2:$A$20000,M110,DATOS!$G$2:$G$20000,CONFIG_METADATA!$B$4,DATOS!$I$2:$I$20000,"Conjunto"),""))</f>
        <v/>
      </c>
      <c r="Q110" t="str" cm="1">
        <f t="array" ref="Q110">IF(M110="","",IFERROR(AVERAGE(IF((DATOS!$A$2:$A$20000=M110)*(DATOS!$G$2:$G$20000=CONFIG_METADATA!$B$4)*(DATOS!$I$2:$I$20000&lt;&gt;"Lenguaje Musical")*(DATOS!$I$2:$I$20000&lt;&gt;"Coro")*(DATOS!$I$2:$I$20000&lt;&gt;"Conjunto"),DATOS!$K$2:$K$20000)),""))</f>
        <v/>
      </c>
      <c r="T110" t="str">
        <f>IF(S110="","",IFERROR(AVERAGEIFS(DATOS!$K$2:$K$20000,DATOS!$A$2:$A$20000,S110,DATOS!$G$2:$G$20000,CONFIG_METADATA!$B$4,DATOS!$I$2:$I$20000,"Lenguaje Musical"),""))</f>
        <v/>
      </c>
      <c r="U110" t="str">
        <f>IF(S110="","",IFERROR(AVERAGEIFS(DATOS!$K$2:$K$20000,DATOS!$A$2:$A$20000,S110,DATOS!$G$2:$G$20000,CONFIG_METADATA!$B$4,DATOS!$I$2:$I$20000,"Coro"),""))</f>
        <v/>
      </c>
      <c r="V110" t="str">
        <f>IF(S110="","",IFERROR(AVERAGEIFS(DATOS!$K$2:$K$20000,DATOS!$A$2:$A$20000,S110,DATOS!$G$2:$G$20000,CONFIG_METADATA!$B$4,DATOS!$I$2:$I$20000,"Conjunto"),""))</f>
        <v/>
      </c>
      <c r="W110" t="str" cm="1">
        <f t="array" ref="W110">IF(S110="","",IFERROR(AVERAGE(IF((DATOS!$A$2:$A$20000=S110)*(DATOS!$G$2:$G$20000=CONFIG_METADATA!$B$4)*(DATOS!$I$2:$I$20000&lt;&gt;"Lenguaje Musical")*(DATOS!$I$2:$I$20000&lt;&gt;"Coro")*(DATOS!$I$2:$I$20000&lt;&gt;"Conjunto"),DATOS!$K$2:$K$20000)),""))</f>
        <v/>
      </c>
    </row>
    <row r="111" spans="2:23" x14ac:dyDescent="0.2">
      <c r="B111" t="str">
        <f>IF(A111="","",IFERROR(AVERAGEIFS(DATOS!$K$2:$K$20000,DATOS!$A$2:$A$20000,A111,DATOS!$G$2:$G$20000,CONFIG_METADATA!$B$4,DATOS!$I$2:$I$20000,"Lenguaje Musical"),""))</f>
        <v/>
      </c>
      <c r="C111" t="str">
        <f>IF(A111="","",IFERROR(AVERAGEIFS(DATOS!$K$2:$K$20000,DATOS!$A$2:$A$20000,A111,DATOS!$G$2:$G$20000,CONFIG_METADATA!$B$4,DATOS!$I$2:$I$20000,"Coro"),""))</f>
        <v/>
      </c>
      <c r="D111" t="str">
        <f>IF(A111="","",IFERROR(AVERAGEIFS(DATOS!$K$2:$K$20000,DATOS!$A$2:$A$20000,A111,DATOS!$G$2:$G$20000,CONFIG_METADATA!$B$4,DATOS!$I$2:$I$20000,"Conjunto"),""))</f>
        <v/>
      </c>
      <c r="E111" t="str" cm="1">
        <f t="array" ref="E111">IF(A111="","",IFERROR(AVERAGE(IF((DATOS!$A$2:$A$20000=A111)*(DATOS!$G$2:$G$20000=CONFIG_METADATA!$B$4)*(DATOS!$I$2:$I$20000&lt;&gt;"Lenguaje Musical")*(DATOS!$I$2:$I$20000&lt;&gt;"Coro")*(DATOS!$I$2:$I$20000&lt;&gt;"Conjunto"),DATOS!$K$2:$K$20000)),""))</f>
        <v/>
      </c>
      <c r="H111" t="str">
        <f>IF(G111="","",IFERROR(AVERAGEIFS(DATOS!$K$2:$K$20000,DATOS!$A$2:$A$20000,G111,DATOS!$G$2:$G$20000,CONFIG_METADATA!$B$4,DATOS!$I$2:$I$20000,"Lenguaje Musical"),""))</f>
        <v/>
      </c>
      <c r="I111" t="str">
        <f>IF(G111="","",IFERROR(AVERAGEIFS(DATOS!$K$2:$K$20000,DATOS!$A$2:$A$20000,G111,DATOS!$G$2:$G$20000,CONFIG_METADATA!$B$4,DATOS!$I$2:$I$20000,"Coro"),""))</f>
        <v/>
      </c>
      <c r="J111" t="str">
        <f>IF(G111="","",IFERROR(AVERAGEIFS(DATOS!$K$2:$K$20000,DATOS!$A$2:$A$20000,G111,DATOS!$G$2:$G$20000,CONFIG_METADATA!$B$4,DATOS!$I$2:$I$20000,"Conjunto"),""))</f>
        <v/>
      </c>
      <c r="K111" t="str" cm="1">
        <f t="array" ref="K111">IF(G111="","",IFERROR(AVERAGE(IF((DATOS!$A$2:$A$20000=G111)*(DATOS!$G$2:$G$20000=CONFIG_METADATA!$B$4)*(DATOS!$I$2:$I$20000&lt;&gt;"Lenguaje Musical")*(DATOS!$I$2:$I$20000&lt;&gt;"Coro")*(DATOS!$I$2:$I$20000&lt;&gt;"Conjunto"),DATOS!$K$2:$K$20000)),""))</f>
        <v/>
      </c>
      <c r="N111" t="str">
        <f>IF(M111="","",IFERROR(AVERAGEIFS(DATOS!$K$2:$K$20000,DATOS!$A$2:$A$20000,M111,DATOS!$G$2:$G$20000,CONFIG_METADATA!$B$4,DATOS!$I$2:$I$20000,"Lenguaje Musical"),""))</f>
        <v/>
      </c>
      <c r="O111" t="str">
        <f>IF(M111="","",IFERROR(AVERAGEIFS(DATOS!$K$2:$K$20000,DATOS!$A$2:$A$20000,M111,DATOS!$G$2:$G$20000,CONFIG_METADATA!$B$4,DATOS!$I$2:$I$20000,"Coro"),""))</f>
        <v/>
      </c>
      <c r="P111" t="str">
        <f>IF(M111="","",IFERROR(AVERAGEIFS(DATOS!$K$2:$K$20000,DATOS!$A$2:$A$20000,M111,DATOS!$G$2:$G$20000,CONFIG_METADATA!$B$4,DATOS!$I$2:$I$20000,"Conjunto"),""))</f>
        <v/>
      </c>
      <c r="Q111" t="str" cm="1">
        <f t="array" ref="Q111">IF(M111="","",IFERROR(AVERAGE(IF((DATOS!$A$2:$A$20000=M111)*(DATOS!$G$2:$G$20000=CONFIG_METADATA!$B$4)*(DATOS!$I$2:$I$20000&lt;&gt;"Lenguaje Musical")*(DATOS!$I$2:$I$20000&lt;&gt;"Coro")*(DATOS!$I$2:$I$20000&lt;&gt;"Conjunto"),DATOS!$K$2:$K$20000)),""))</f>
        <v/>
      </c>
      <c r="T111" t="str">
        <f>IF(S111="","",IFERROR(AVERAGEIFS(DATOS!$K$2:$K$20000,DATOS!$A$2:$A$20000,S111,DATOS!$G$2:$G$20000,CONFIG_METADATA!$B$4,DATOS!$I$2:$I$20000,"Lenguaje Musical"),""))</f>
        <v/>
      </c>
      <c r="U111" t="str">
        <f>IF(S111="","",IFERROR(AVERAGEIFS(DATOS!$K$2:$K$20000,DATOS!$A$2:$A$20000,S111,DATOS!$G$2:$G$20000,CONFIG_METADATA!$B$4,DATOS!$I$2:$I$20000,"Coro"),""))</f>
        <v/>
      </c>
      <c r="V111" t="str">
        <f>IF(S111="","",IFERROR(AVERAGEIFS(DATOS!$K$2:$K$20000,DATOS!$A$2:$A$20000,S111,DATOS!$G$2:$G$20000,CONFIG_METADATA!$B$4,DATOS!$I$2:$I$20000,"Conjunto"),""))</f>
        <v/>
      </c>
      <c r="W111" t="str" cm="1">
        <f t="array" ref="W111">IF(S111="","",IFERROR(AVERAGE(IF((DATOS!$A$2:$A$20000=S111)*(DATOS!$G$2:$G$20000=CONFIG_METADATA!$B$4)*(DATOS!$I$2:$I$20000&lt;&gt;"Lenguaje Musical")*(DATOS!$I$2:$I$20000&lt;&gt;"Coro")*(DATOS!$I$2:$I$20000&lt;&gt;"Conjunto"),DATOS!$K$2:$K$20000)),""))</f>
        <v/>
      </c>
    </row>
    <row r="112" spans="2:23" x14ac:dyDescent="0.2">
      <c r="B112" t="str">
        <f>IF(A112="","",IFERROR(AVERAGEIFS(DATOS!$K$2:$K$20000,DATOS!$A$2:$A$20000,A112,DATOS!$G$2:$G$20000,CONFIG_METADATA!$B$4,DATOS!$I$2:$I$20000,"Lenguaje Musical"),""))</f>
        <v/>
      </c>
      <c r="C112" t="str">
        <f>IF(A112="","",IFERROR(AVERAGEIFS(DATOS!$K$2:$K$20000,DATOS!$A$2:$A$20000,A112,DATOS!$G$2:$G$20000,CONFIG_METADATA!$B$4,DATOS!$I$2:$I$20000,"Coro"),""))</f>
        <v/>
      </c>
      <c r="D112" t="str">
        <f>IF(A112="","",IFERROR(AVERAGEIFS(DATOS!$K$2:$K$20000,DATOS!$A$2:$A$20000,A112,DATOS!$G$2:$G$20000,CONFIG_METADATA!$B$4,DATOS!$I$2:$I$20000,"Conjunto"),""))</f>
        <v/>
      </c>
      <c r="E112" t="str" cm="1">
        <f t="array" ref="E112">IF(A112="","",IFERROR(AVERAGE(IF((DATOS!$A$2:$A$20000=A112)*(DATOS!$G$2:$G$20000=CONFIG_METADATA!$B$4)*(DATOS!$I$2:$I$20000&lt;&gt;"Lenguaje Musical")*(DATOS!$I$2:$I$20000&lt;&gt;"Coro")*(DATOS!$I$2:$I$20000&lt;&gt;"Conjunto"),DATOS!$K$2:$K$20000)),""))</f>
        <v/>
      </c>
      <c r="H112" t="str">
        <f>IF(G112="","",IFERROR(AVERAGEIFS(DATOS!$K$2:$K$20000,DATOS!$A$2:$A$20000,G112,DATOS!$G$2:$G$20000,CONFIG_METADATA!$B$4,DATOS!$I$2:$I$20000,"Lenguaje Musical"),""))</f>
        <v/>
      </c>
      <c r="I112" t="str">
        <f>IF(G112="","",IFERROR(AVERAGEIFS(DATOS!$K$2:$K$20000,DATOS!$A$2:$A$20000,G112,DATOS!$G$2:$G$20000,CONFIG_METADATA!$B$4,DATOS!$I$2:$I$20000,"Coro"),""))</f>
        <v/>
      </c>
      <c r="J112" t="str">
        <f>IF(G112="","",IFERROR(AVERAGEIFS(DATOS!$K$2:$K$20000,DATOS!$A$2:$A$20000,G112,DATOS!$G$2:$G$20000,CONFIG_METADATA!$B$4,DATOS!$I$2:$I$20000,"Conjunto"),""))</f>
        <v/>
      </c>
      <c r="K112" t="str" cm="1">
        <f t="array" ref="K112">IF(G112="","",IFERROR(AVERAGE(IF((DATOS!$A$2:$A$20000=G112)*(DATOS!$G$2:$G$20000=CONFIG_METADATA!$B$4)*(DATOS!$I$2:$I$20000&lt;&gt;"Lenguaje Musical")*(DATOS!$I$2:$I$20000&lt;&gt;"Coro")*(DATOS!$I$2:$I$20000&lt;&gt;"Conjunto"),DATOS!$K$2:$K$20000)),""))</f>
        <v/>
      </c>
      <c r="N112" t="str">
        <f>IF(M112="","",IFERROR(AVERAGEIFS(DATOS!$K$2:$K$20000,DATOS!$A$2:$A$20000,M112,DATOS!$G$2:$G$20000,CONFIG_METADATA!$B$4,DATOS!$I$2:$I$20000,"Lenguaje Musical"),""))</f>
        <v/>
      </c>
      <c r="O112" t="str">
        <f>IF(M112="","",IFERROR(AVERAGEIFS(DATOS!$K$2:$K$20000,DATOS!$A$2:$A$20000,M112,DATOS!$G$2:$G$20000,CONFIG_METADATA!$B$4,DATOS!$I$2:$I$20000,"Coro"),""))</f>
        <v/>
      </c>
      <c r="P112" t="str">
        <f>IF(M112="","",IFERROR(AVERAGEIFS(DATOS!$K$2:$K$20000,DATOS!$A$2:$A$20000,M112,DATOS!$G$2:$G$20000,CONFIG_METADATA!$B$4,DATOS!$I$2:$I$20000,"Conjunto"),""))</f>
        <v/>
      </c>
      <c r="Q112" t="str" cm="1">
        <f t="array" ref="Q112">IF(M112="","",IFERROR(AVERAGE(IF((DATOS!$A$2:$A$20000=M112)*(DATOS!$G$2:$G$20000=CONFIG_METADATA!$B$4)*(DATOS!$I$2:$I$20000&lt;&gt;"Lenguaje Musical")*(DATOS!$I$2:$I$20000&lt;&gt;"Coro")*(DATOS!$I$2:$I$20000&lt;&gt;"Conjunto"),DATOS!$K$2:$K$20000)),""))</f>
        <v/>
      </c>
      <c r="T112" t="str">
        <f>IF(S112="","",IFERROR(AVERAGEIFS(DATOS!$K$2:$K$20000,DATOS!$A$2:$A$20000,S112,DATOS!$G$2:$G$20000,CONFIG_METADATA!$B$4,DATOS!$I$2:$I$20000,"Lenguaje Musical"),""))</f>
        <v/>
      </c>
      <c r="U112" t="str">
        <f>IF(S112="","",IFERROR(AVERAGEIFS(DATOS!$K$2:$K$20000,DATOS!$A$2:$A$20000,S112,DATOS!$G$2:$G$20000,CONFIG_METADATA!$B$4,DATOS!$I$2:$I$20000,"Coro"),""))</f>
        <v/>
      </c>
      <c r="V112" t="str">
        <f>IF(S112="","",IFERROR(AVERAGEIFS(DATOS!$K$2:$K$20000,DATOS!$A$2:$A$20000,S112,DATOS!$G$2:$G$20000,CONFIG_METADATA!$B$4,DATOS!$I$2:$I$20000,"Conjunto"),""))</f>
        <v/>
      </c>
      <c r="W112" t="str" cm="1">
        <f t="array" ref="W112">IF(S112="","",IFERROR(AVERAGE(IF((DATOS!$A$2:$A$20000=S112)*(DATOS!$G$2:$G$20000=CONFIG_METADATA!$B$4)*(DATOS!$I$2:$I$20000&lt;&gt;"Lenguaje Musical")*(DATOS!$I$2:$I$20000&lt;&gt;"Coro")*(DATOS!$I$2:$I$20000&lt;&gt;"Conjunto"),DATOS!$K$2:$K$20000)),""))</f>
        <v/>
      </c>
    </row>
    <row r="113" spans="2:23" x14ac:dyDescent="0.2">
      <c r="B113" t="str">
        <f>IF(A113="","",IFERROR(AVERAGEIFS(DATOS!$K$2:$K$20000,DATOS!$A$2:$A$20000,A113,DATOS!$G$2:$G$20000,CONFIG_METADATA!$B$4,DATOS!$I$2:$I$20000,"Lenguaje Musical"),""))</f>
        <v/>
      </c>
      <c r="C113" t="str">
        <f>IF(A113="","",IFERROR(AVERAGEIFS(DATOS!$K$2:$K$20000,DATOS!$A$2:$A$20000,A113,DATOS!$G$2:$G$20000,CONFIG_METADATA!$B$4,DATOS!$I$2:$I$20000,"Coro"),""))</f>
        <v/>
      </c>
      <c r="D113" t="str">
        <f>IF(A113="","",IFERROR(AVERAGEIFS(DATOS!$K$2:$K$20000,DATOS!$A$2:$A$20000,A113,DATOS!$G$2:$G$20000,CONFIG_METADATA!$B$4,DATOS!$I$2:$I$20000,"Conjunto"),""))</f>
        <v/>
      </c>
      <c r="E113" t="str" cm="1">
        <f t="array" ref="E113">IF(A113="","",IFERROR(AVERAGE(IF((DATOS!$A$2:$A$20000=A113)*(DATOS!$G$2:$G$20000=CONFIG_METADATA!$B$4)*(DATOS!$I$2:$I$20000&lt;&gt;"Lenguaje Musical")*(DATOS!$I$2:$I$20000&lt;&gt;"Coro")*(DATOS!$I$2:$I$20000&lt;&gt;"Conjunto"),DATOS!$K$2:$K$20000)),""))</f>
        <v/>
      </c>
      <c r="H113" t="str">
        <f>IF(G113="","",IFERROR(AVERAGEIFS(DATOS!$K$2:$K$20000,DATOS!$A$2:$A$20000,G113,DATOS!$G$2:$G$20000,CONFIG_METADATA!$B$4,DATOS!$I$2:$I$20000,"Lenguaje Musical"),""))</f>
        <v/>
      </c>
      <c r="I113" t="str">
        <f>IF(G113="","",IFERROR(AVERAGEIFS(DATOS!$K$2:$K$20000,DATOS!$A$2:$A$20000,G113,DATOS!$G$2:$G$20000,CONFIG_METADATA!$B$4,DATOS!$I$2:$I$20000,"Coro"),""))</f>
        <v/>
      </c>
      <c r="J113" t="str">
        <f>IF(G113="","",IFERROR(AVERAGEIFS(DATOS!$K$2:$K$20000,DATOS!$A$2:$A$20000,G113,DATOS!$G$2:$G$20000,CONFIG_METADATA!$B$4,DATOS!$I$2:$I$20000,"Conjunto"),""))</f>
        <v/>
      </c>
      <c r="K113" t="str" cm="1">
        <f t="array" ref="K113">IF(G113="","",IFERROR(AVERAGE(IF((DATOS!$A$2:$A$20000=G113)*(DATOS!$G$2:$G$20000=CONFIG_METADATA!$B$4)*(DATOS!$I$2:$I$20000&lt;&gt;"Lenguaje Musical")*(DATOS!$I$2:$I$20000&lt;&gt;"Coro")*(DATOS!$I$2:$I$20000&lt;&gt;"Conjunto"),DATOS!$K$2:$K$20000)),""))</f>
        <v/>
      </c>
      <c r="N113" t="str">
        <f>IF(M113="","",IFERROR(AVERAGEIFS(DATOS!$K$2:$K$20000,DATOS!$A$2:$A$20000,M113,DATOS!$G$2:$G$20000,CONFIG_METADATA!$B$4,DATOS!$I$2:$I$20000,"Lenguaje Musical"),""))</f>
        <v/>
      </c>
      <c r="O113" t="str">
        <f>IF(M113="","",IFERROR(AVERAGEIFS(DATOS!$K$2:$K$20000,DATOS!$A$2:$A$20000,M113,DATOS!$G$2:$G$20000,CONFIG_METADATA!$B$4,DATOS!$I$2:$I$20000,"Coro"),""))</f>
        <v/>
      </c>
      <c r="P113" t="str">
        <f>IF(M113="","",IFERROR(AVERAGEIFS(DATOS!$K$2:$K$20000,DATOS!$A$2:$A$20000,M113,DATOS!$G$2:$G$20000,CONFIG_METADATA!$B$4,DATOS!$I$2:$I$20000,"Conjunto"),""))</f>
        <v/>
      </c>
      <c r="Q113" t="str" cm="1">
        <f t="array" ref="Q113">IF(M113="","",IFERROR(AVERAGE(IF((DATOS!$A$2:$A$20000=M113)*(DATOS!$G$2:$G$20000=CONFIG_METADATA!$B$4)*(DATOS!$I$2:$I$20000&lt;&gt;"Lenguaje Musical")*(DATOS!$I$2:$I$20000&lt;&gt;"Coro")*(DATOS!$I$2:$I$20000&lt;&gt;"Conjunto"),DATOS!$K$2:$K$20000)),""))</f>
        <v/>
      </c>
      <c r="T113" t="str">
        <f>IF(S113="","",IFERROR(AVERAGEIFS(DATOS!$K$2:$K$20000,DATOS!$A$2:$A$20000,S113,DATOS!$G$2:$G$20000,CONFIG_METADATA!$B$4,DATOS!$I$2:$I$20000,"Lenguaje Musical"),""))</f>
        <v/>
      </c>
      <c r="U113" t="str">
        <f>IF(S113="","",IFERROR(AVERAGEIFS(DATOS!$K$2:$K$20000,DATOS!$A$2:$A$20000,S113,DATOS!$G$2:$G$20000,CONFIG_METADATA!$B$4,DATOS!$I$2:$I$20000,"Coro"),""))</f>
        <v/>
      </c>
      <c r="V113" t="str">
        <f>IF(S113="","",IFERROR(AVERAGEIFS(DATOS!$K$2:$K$20000,DATOS!$A$2:$A$20000,S113,DATOS!$G$2:$G$20000,CONFIG_METADATA!$B$4,DATOS!$I$2:$I$20000,"Conjunto"),""))</f>
        <v/>
      </c>
      <c r="W113" t="str" cm="1">
        <f t="array" ref="W113">IF(S113="","",IFERROR(AVERAGE(IF((DATOS!$A$2:$A$20000=S113)*(DATOS!$G$2:$G$20000=CONFIG_METADATA!$B$4)*(DATOS!$I$2:$I$20000&lt;&gt;"Lenguaje Musical")*(DATOS!$I$2:$I$20000&lt;&gt;"Coro")*(DATOS!$I$2:$I$20000&lt;&gt;"Conjunto"),DATOS!$K$2:$K$20000)),""))</f>
        <v/>
      </c>
    </row>
    <row r="114" spans="2:23" x14ac:dyDescent="0.2">
      <c r="B114" t="str">
        <f>IF(A114="","",IFERROR(AVERAGEIFS(DATOS!$K$2:$K$20000,DATOS!$A$2:$A$20000,A114,DATOS!$G$2:$G$20000,CONFIG_METADATA!$B$4,DATOS!$I$2:$I$20000,"Lenguaje Musical"),""))</f>
        <v/>
      </c>
      <c r="C114" t="str">
        <f>IF(A114="","",IFERROR(AVERAGEIFS(DATOS!$K$2:$K$20000,DATOS!$A$2:$A$20000,A114,DATOS!$G$2:$G$20000,CONFIG_METADATA!$B$4,DATOS!$I$2:$I$20000,"Coro"),""))</f>
        <v/>
      </c>
      <c r="D114" t="str">
        <f>IF(A114="","",IFERROR(AVERAGEIFS(DATOS!$K$2:$K$20000,DATOS!$A$2:$A$20000,A114,DATOS!$G$2:$G$20000,CONFIG_METADATA!$B$4,DATOS!$I$2:$I$20000,"Conjunto"),""))</f>
        <v/>
      </c>
      <c r="E114" t="str" cm="1">
        <f t="array" ref="E114">IF(A114="","",IFERROR(AVERAGE(IF((DATOS!$A$2:$A$20000=A114)*(DATOS!$G$2:$G$20000=CONFIG_METADATA!$B$4)*(DATOS!$I$2:$I$20000&lt;&gt;"Lenguaje Musical")*(DATOS!$I$2:$I$20000&lt;&gt;"Coro")*(DATOS!$I$2:$I$20000&lt;&gt;"Conjunto"),DATOS!$K$2:$K$20000)),""))</f>
        <v/>
      </c>
      <c r="H114" t="str">
        <f>IF(G114="","",IFERROR(AVERAGEIFS(DATOS!$K$2:$K$20000,DATOS!$A$2:$A$20000,G114,DATOS!$G$2:$G$20000,CONFIG_METADATA!$B$4,DATOS!$I$2:$I$20000,"Lenguaje Musical"),""))</f>
        <v/>
      </c>
      <c r="I114" t="str">
        <f>IF(G114="","",IFERROR(AVERAGEIFS(DATOS!$K$2:$K$20000,DATOS!$A$2:$A$20000,G114,DATOS!$G$2:$G$20000,CONFIG_METADATA!$B$4,DATOS!$I$2:$I$20000,"Coro"),""))</f>
        <v/>
      </c>
      <c r="J114" t="str">
        <f>IF(G114="","",IFERROR(AVERAGEIFS(DATOS!$K$2:$K$20000,DATOS!$A$2:$A$20000,G114,DATOS!$G$2:$G$20000,CONFIG_METADATA!$B$4,DATOS!$I$2:$I$20000,"Conjunto"),""))</f>
        <v/>
      </c>
      <c r="K114" t="str" cm="1">
        <f t="array" ref="K114">IF(G114="","",IFERROR(AVERAGE(IF((DATOS!$A$2:$A$20000=G114)*(DATOS!$G$2:$G$20000=CONFIG_METADATA!$B$4)*(DATOS!$I$2:$I$20000&lt;&gt;"Lenguaje Musical")*(DATOS!$I$2:$I$20000&lt;&gt;"Coro")*(DATOS!$I$2:$I$20000&lt;&gt;"Conjunto"),DATOS!$K$2:$K$20000)),""))</f>
        <v/>
      </c>
      <c r="N114" t="str">
        <f>IF(M114="","",IFERROR(AVERAGEIFS(DATOS!$K$2:$K$20000,DATOS!$A$2:$A$20000,M114,DATOS!$G$2:$G$20000,CONFIG_METADATA!$B$4,DATOS!$I$2:$I$20000,"Lenguaje Musical"),""))</f>
        <v/>
      </c>
      <c r="O114" t="str">
        <f>IF(M114="","",IFERROR(AVERAGEIFS(DATOS!$K$2:$K$20000,DATOS!$A$2:$A$20000,M114,DATOS!$G$2:$G$20000,CONFIG_METADATA!$B$4,DATOS!$I$2:$I$20000,"Coro"),""))</f>
        <v/>
      </c>
      <c r="P114" t="str">
        <f>IF(M114="","",IFERROR(AVERAGEIFS(DATOS!$K$2:$K$20000,DATOS!$A$2:$A$20000,M114,DATOS!$G$2:$G$20000,CONFIG_METADATA!$B$4,DATOS!$I$2:$I$20000,"Conjunto"),""))</f>
        <v/>
      </c>
      <c r="Q114" t="str" cm="1">
        <f t="array" ref="Q114">IF(M114="","",IFERROR(AVERAGE(IF((DATOS!$A$2:$A$20000=M114)*(DATOS!$G$2:$G$20000=CONFIG_METADATA!$B$4)*(DATOS!$I$2:$I$20000&lt;&gt;"Lenguaje Musical")*(DATOS!$I$2:$I$20000&lt;&gt;"Coro")*(DATOS!$I$2:$I$20000&lt;&gt;"Conjunto"),DATOS!$K$2:$K$20000)),""))</f>
        <v/>
      </c>
      <c r="T114" t="str">
        <f>IF(S114="","",IFERROR(AVERAGEIFS(DATOS!$K$2:$K$20000,DATOS!$A$2:$A$20000,S114,DATOS!$G$2:$G$20000,CONFIG_METADATA!$B$4,DATOS!$I$2:$I$20000,"Lenguaje Musical"),""))</f>
        <v/>
      </c>
      <c r="U114" t="str">
        <f>IF(S114="","",IFERROR(AVERAGEIFS(DATOS!$K$2:$K$20000,DATOS!$A$2:$A$20000,S114,DATOS!$G$2:$G$20000,CONFIG_METADATA!$B$4,DATOS!$I$2:$I$20000,"Coro"),""))</f>
        <v/>
      </c>
      <c r="V114" t="str">
        <f>IF(S114="","",IFERROR(AVERAGEIFS(DATOS!$K$2:$K$20000,DATOS!$A$2:$A$20000,S114,DATOS!$G$2:$G$20000,CONFIG_METADATA!$B$4,DATOS!$I$2:$I$20000,"Conjunto"),""))</f>
        <v/>
      </c>
      <c r="W114" t="str" cm="1">
        <f t="array" ref="W114">IF(S114="","",IFERROR(AVERAGE(IF((DATOS!$A$2:$A$20000=S114)*(DATOS!$G$2:$G$20000=CONFIG_METADATA!$B$4)*(DATOS!$I$2:$I$20000&lt;&gt;"Lenguaje Musical")*(DATOS!$I$2:$I$20000&lt;&gt;"Coro")*(DATOS!$I$2:$I$20000&lt;&gt;"Conjunto"),DATOS!$K$2:$K$20000)),""))</f>
        <v/>
      </c>
    </row>
    <row r="115" spans="2:23" x14ac:dyDescent="0.2">
      <c r="B115" t="str">
        <f>IF(A115="","",IFERROR(AVERAGEIFS(DATOS!$K$2:$K$20000,DATOS!$A$2:$A$20000,A115,DATOS!$G$2:$G$20000,CONFIG_METADATA!$B$4,DATOS!$I$2:$I$20000,"Lenguaje Musical"),""))</f>
        <v/>
      </c>
      <c r="C115" t="str">
        <f>IF(A115="","",IFERROR(AVERAGEIFS(DATOS!$K$2:$K$20000,DATOS!$A$2:$A$20000,A115,DATOS!$G$2:$G$20000,CONFIG_METADATA!$B$4,DATOS!$I$2:$I$20000,"Coro"),""))</f>
        <v/>
      </c>
      <c r="D115" t="str">
        <f>IF(A115="","",IFERROR(AVERAGEIFS(DATOS!$K$2:$K$20000,DATOS!$A$2:$A$20000,A115,DATOS!$G$2:$G$20000,CONFIG_METADATA!$B$4,DATOS!$I$2:$I$20000,"Conjunto"),""))</f>
        <v/>
      </c>
      <c r="E115" t="str" cm="1">
        <f t="array" ref="E115">IF(A115="","",IFERROR(AVERAGE(IF((DATOS!$A$2:$A$20000=A115)*(DATOS!$G$2:$G$20000=CONFIG_METADATA!$B$4)*(DATOS!$I$2:$I$20000&lt;&gt;"Lenguaje Musical")*(DATOS!$I$2:$I$20000&lt;&gt;"Coro")*(DATOS!$I$2:$I$20000&lt;&gt;"Conjunto"),DATOS!$K$2:$K$20000)),""))</f>
        <v/>
      </c>
      <c r="H115" t="str">
        <f>IF(G115="","",IFERROR(AVERAGEIFS(DATOS!$K$2:$K$20000,DATOS!$A$2:$A$20000,G115,DATOS!$G$2:$G$20000,CONFIG_METADATA!$B$4,DATOS!$I$2:$I$20000,"Lenguaje Musical"),""))</f>
        <v/>
      </c>
      <c r="I115" t="str">
        <f>IF(G115="","",IFERROR(AVERAGEIFS(DATOS!$K$2:$K$20000,DATOS!$A$2:$A$20000,G115,DATOS!$G$2:$G$20000,CONFIG_METADATA!$B$4,DATOS!$I$2:$I$20000,"Coro"),""))</f>
        <v/>
      </c>
      <c r="J115" t="str">
        <f>IF(G115="","",IFERROR(AVERAGEIFS(DATOS!$K$2:$K$20000,DATOS!$A$2:$A$20000,G115,DATOS!$G$2:$G$20000,CONFIG_METADATA!$B$4,DATOS!$I$2:$I$20000,"Conjunto"),""))</f>
        <v/>
      </c>
      <c r="K115" t="str" cm="1">
        <f t="array" ref="K115">IF(G115="","",IFERROR(AVERAGE(IF((DATOS!$A$2:$A$20000=G115)*(DATOS!$G$2:$G$20000=CONFIG_METADATA!$B$4)*(DATOS!$I$2:$I$20000&lt;&gt;"Lenguaje Musical")*(DATOS!$I$2:$I$20000&lt;&gt;"Coro")*(DATOS!$I$2:$I$20000&lt;&gt;"Conjunto"),DATOS!$K$2:$K$20000)),""))</f>
        <v/>
      </c>
      <c r="N115" t="str">
        <f>IF(M115="","",IFERROR(AVERAGEIFS(DATOS!$K$2:$K$20000,DATOS!$A$2:$A$20000,M115,DATOS!$G$2:$G$20000,CONFIG_METADATA!$B$4,DATOS!$I$2:$I$20000,"Lenguaje Musical"),""))</f>
        <v/>
      </c>
      <c r="O115" t="str">
        <f>IF(M115="","",IFERROR(AVERAGEIFS(DATOS!$K$2:$K$20000,DATOS!$A$2:$A$20000,M115,DATOS!$G$2:$G$20000,CONFIG_METADATA!$B$4,DATOS!$I$2:$I$20000,"Coro"),""))</f>
        <v/>
      </c>
      <c r="P115" t="str">
        <f>IF(M115="","",IFERROR(AVERAGEIFS(DATOS!$K$2:$K$20000,DATOS!$A$2:$A$20000,M115,DATOS!$G$2:$G$20000,CONFIG_METADATA!$B$4,DATOS!$I$2:$I$20000,"Conjunto"),""))</f>
        <v/>
      </c>
      <c r="Q115" t="str" cm="1">
        <f t="array" ref="Q115">IF(M115="","",IFERROR(AVERAGE(IF((DATOS!$A$2:$A$20000=M115)*(DATOS!$G$2:$G$20000=CONFIG_METADATA!$B$4)*(DATOS!$I$2:$I$20000&lt;&gt;"Lenguaje Musical")*(DATOS!$I$2:$I$20000&lt;&gt;"Coro")*(DATOS!$I$2:$I$20000&lt;&gt;"Conjunto"),DATOS!$K$2:$K$20000)),""))</f>
        <v/>
      </c>
      <c r="T115" t="str">
        <f>IF(S115="","",IFERROR(AVERAGEIFS(DATOS!$K$2:$K$20000,DATOS!$A$2:$A$20000,S115,DATOS!$G$2:$G$20000,CONFIG_METADATA!$B$4,DATOS!$I$2:$I$20000,"Lenguaje Musical"),""))</f>
        <v/>
      </c>
      <c r="U115" t="str">
        <f>IF(S115="","",IFERROR(AVERAGEIFS(DATOS!$K$2:$K$20000,DATOS!$A$2:$A$20000,S115,DATOS!$G$2:$G$20000,CONFIG_METADATA!$B$4,DATOS!$I$2:$I$20000,"Coro"),""))</f>
        <v/>
      </c>
      <c r="V115" t="str">
        <f>IF(S115="","",IFERROR(AVERAGEIFS(DATOS!$K$2:$K$20000,DATOS!$A$2:$A$20000,S115,DATOS!$G$2:$G$20000,CONFIG_METADATA!$B$4,DATOS!$I$2:$I$20000,"Conjunto"),""))</f>
        <v/>
      </c>
      <c r="W115" t="str" cm="1">
        <f t="array" ref="W115">IF(S115="","",IFERROR(AVERAGE(IF((DATOS!$A$2:$A$20000=S115)*(DATOS!$G$2:$G$20000=CONFIG_METADATA!$B$4)*(DATOS!$I$2:$I$20000&lt;&gt;"Lenguaje Musical")*(DATOS!$I$2:$I$20000&lt;&gt;"Coro")*(DATOS!$I$2:$I$20000&lt;&gt;"Conjunto"),DATOS!$K$2:$K$20000)),""))</f>
        <v/>
      </c>
    </row>
    <row r="116" spans="2:23" x14ac:dyDescent="0.2">
      <c r="B116" t="str">
        <f>IF(A116="","",IFERROR(AVERAGEIFS(DATOS!$K$2:$K$20000,DATOS!$A$2:$A$20000,A116,DATOS!$G$2:$G$20000,CONFIG_METADATA!$B$4,DATOS!$I$2:$I$20000,"Lenguaje Musical"),""))</f>
        <v/>
      </c>
      <c r="C116" t="str">
        <f>IF(A116="","",IFERROR(AVERAGEIFS(DATOS!$K$2:$K$20000,DATOS!$A$2:$A$20000,A116,DATOS!$G$2:$G$20000,CONFIG_METADATA!$B$4,DATOS!$I$2:$I$20000,"Coro"),""))</f>
        <v/>
      </c>
      <c r="D116" t="str">
        <f>IF(A116="","",IFERROR(AVERAGEIFS(DATOS!$K$2:$K$20000,DATOS!$A$2:$A$20000,A116,DATOS!$G$2:$G$20000,CONFIG_METADATA!$B$4,DATOS!$I$2:$I$20000,"Conjunto"),""))</f>
        <v/>
      </c>
      <c r="E116" t="str" cm="1">
        <f t="array" ref="E116">IF(A116="","",IFERROR(AVERAGE(IF((DATOS!$A$2:$A$20000=A116)*(DATOS!$G$2:$G$20000=CONFIG_METADATA!$B$4)*(DATOS!$I$2:$I$20000&lt;&gt;"Lenguaje Musical")*(DATOS!$I$2:$I$20000&lt;&gt;"Coro")*(DATOS!$I$2:$I$20000&lt;&gt;"Conjunto"),DATOS!$K$2:$K$20000)),""))</f>
        <v/>
      </c>
      <c r="H116" t="str">
        <f>IF(G116="","",IFERROR(AVERAGEIFS(DATOS!$K$2:$K$20000,DATOS!$A$2:$A$20000,G116,DATOS!$G$2:$G$20000,CONFIG_METADATA!$B$4,DATOS!$I$2:$I$20000,"Lenguaje Musical"),""))</f>
        <v/>
      </c>
      <c r="I116" t="str">
        <f>IF(G116="","",IFERROR(AVERAGEIFS(DATOS!$K$2:$K$20000,DATOS!$A$2:$A$20000,G116,DATOS!$G$2:$G$20000,CONFIG_METADATA!$B$4,DATOS!$I$2:$I$20000,"Coro"),""))</f>
        <v/>
      </c>
      <c r="J116" t="str">
        <f>IF(G116="","",IFERROR(AVERAGEIFS(DATOS!$K$2:$K$20000,DATOS!$A$2:$A$20000,G116,DATOS!$G$2:$G$20000,CONFIG_METADATA!$B$4,DATOS!$I$2:$I$20000,"Conjunto"),""))</f>
        <v/>
      </c>
      <c r="K116" t="str" cm="1">
        <f t="array" ref="K116">IF(G116="","",IFERROR(AVERAGE(IF((DATOS!$A$2:$A$20000=G116)*(DATOS!$G$2:$G$20000=CONFIG_METADATA!$B$4)*(DATOS!$I$2:$I$20000&lt;&gt;"Lenguaje Musical")*(DATOS!$I$2:$I$20000&lt;&gt;"Coro")*(DATOS!$I$2:$I$20000&lt;&gt;"Conjunto"),DATOS!$K$2:$K$20000)),""))</f>
        <v/>
      </c>
      <c r="N116" t="str">
        <f>IF(M116="","",IFERROR(AVERAGEIFS(DATOS!$K$2:$K$20000,DATOS!$A$2:$A$20000,M116,DATOS!$G$2:$G$20000,CONFIG_METADATA!$B$4,DATOS!$I$2:$I$20000,"Lenguaje Musical"),""))</f>
        <v/>
      </c>
      <c r="O116" t="str">
        <f>IF(M116="","",IFERROR(AVERAGEIFS(DATOS!$K$2:$K$20000,DATOS!$A$2:$A$20000,M116,DATOS!$G$2:$G$20000,CONFIG_METADATA!$B$4,DATOS!$I$2:$I$20000,"Coro"),""))</f>
        <v/>
      </c>
      <c r="P116" t="str">
        <f>IF(M116="","",IFERROR(AVERAGEIFS(DATOS!$K$2:$K$20000,DATOS!$A$2:$A$20000,M116,DATOS!$G$2:$G$20000,CONFIG_METADATA!$B$4,DATOS!$I$2:$I$20000,"Conjunto"),""))</f>
        <v/>
      </c>
      <c r="Q116" t="str" cm="1">
        <f t="array" ref="Q116">IF(M116="","",IFERROR(AVERAGE(IF((DATOS!$A$2:$A$20000=M116)*(DATOS!$G$2:$G$20000=CONFIG_METADATA!$B$4)*(DATOS!$I$2:$I$20000&lt;&gt;"Lenguaje Musical")*(DATOS!$I$2:$I$20000&lt;&gt;"Coro")*(DATOS!$I$2:$I$20000&lt;&gt;"Conjunto"),DATOS!$K$2:$K$20000)),""))</f>
        <v/>
      </c>
      <c r="T116" t="str">
        <f>IF(S116="","",IFERROR(AVERAGEIFS(DATOS!$K$2:$K$20000,DATOS!$A$2:$A$20000,S116,DATOS!$G$2:$G$20000,CONFIG_METADATA!$B$4,DATOS!$I$2:$I$20000,"Lenguaje Musical"),""))</f>
        <v/>
      </c>
      <c r="U116" t="str">
        <f>IF(S116="","",IFERROR(AVERAGEIFS(DATOS!$K$2:$K$20000,DATOS!$A$2:$A$20000,S116,DATOS!$G$2:$G$20000,CONFIG_METADATA!$B$4,DATOS!$I$2:$I$20000,"Coro"),""))</f>
        <v/>
      </c>
      <c r="V116" t="str">
        <f>IF(S116="","",IFERROR(AVERAGEIFS(DATOS!$K$2:$K$20000,DATOS!$A$2:$A$20000,S116,DATOS!$G$2:$G$20000,CONFIG_METADATA!$B$4,DATOS!$I$2:$I$20000,"Conjunto"),""))</f>
        <v/>
      </c>
      <c r="W116" t="str" cm="1">
        <f t="array" ref="W116">IF(S116="","",IFERROR(AVERAGE(IF((DATOS!$A$2:$A$20000=S116)*(DATOS!$G$2:$G$20000=CONFIG_METADATA!$B$4)*(DATOS!$I$2:$I$20000&lt;&gt;"Lenguaje Musical")*(DATOS!$I$2:$I$20000&lt;&gt;"Coro")*(DATOS!$I$2:$I$20000&lt;&gt;"Conjunto"),DATOS!$K$2:$K$20000)),""))</f>
        <v/>
      </c>
    </row>
    <row r="117" spans="2:23" x14ac:dyDescent="0.2">
      <c r="B117" t="str">
        <f>IF(A117="","",IFERROR(AVERAGEIFS(DATOS!$K$2:$K$20000,DATOS!$A$2:$A$20000,A117,DATOS!$G$2:$G$20000,CONFIG_METADATA!$B$4,DATOS!$I$2:$I$20000,"Lenguaje Musical"),""))</f>
        <v/>
      </c>
      <c r="C117" t="str">
        <f>IF(A117="","",IFERROR(AVERAGEIFS(DATOS!$K$2:$K$20000,DATOS!$A$2:$A$20000,A117,DATOS!$G$2:$G$20000,CONFIG_METADATA!$B$4,DATOS!$I$2:$I$20000,"Coro"),""))</f>
        <v/>
      </c>
      <c r="D117" t="str">
        <f>IF(A117="","",IFERROR(AVERAGEIFS(DATOS!$K$2:$K$20000,DATOS!$A$2:$A$20000,A117,DATOS!$G$2:$G$20000,CONFIG_METADATA!$B$4,DATOS!$I$2:$I$20000,"Conjunto"),""))</f>
        <v/>
      </c>
      <c r="E117" t="str" cm="1">
        <f t="array" ref="E117">IF(A117="","",IFERROR(AVERAGE(IF((DATOS!$A$2:$A$20000=A117)*(DATOS!$G$2:$G$20000=CONFIG_METADATA!$B$4)*(DATOS!$I$2:$I$20000&lt;&gt;"Lenguaje Musical")*(DATOS!$I$2:$I$20000&lt;&gt;"Coro")*(DATOS!$I$2:$I$20000&lt;&gt;"Conjunto"),DATOS!$K$2:$K$20000)),""))</f>
        <v/>
      </c>
      <c r="H117" t="str">
        <f>IF(G117="","",IFERROR(AVERAGEIFS(DATOS!$K$2:$K$20000,DATOS!$A$2:$A$20000,G117,DATOS!$G$2:$G$20000,CONFIG_METADATA!$B$4,DATOS!$I$2:$I$20000,"Lenguaje Musical"),""))</f>
        <v/>
      </c>
      <c r="I117" t="str">
        <f>IF(G117="","",IFERROR(AVERAGEIFS(DATOS!$K$2:$K$20000,DATOS!$A$2:$A$20000,G117,DATOS!$G$2:$G$20000,CONFIG_METADATA!$B$4,DATOS!$I$2:$I$20000,"Coro"),""))</f>
        <v/>
      </c>
      <c r="J117" t="str">
        <f>IF(G117="","",IFERROR(AVERAGEIFS(DATOS!$K$2:$K$20000,DATOS!$A$2:$A$20000,G117,DATOS!$G$2:$G$20000,CONFIG_METADATA!$B$4,DATOS!$I$2:$I$20000,"Conjunto"),""))</f>
        <v/>
      </c>
      <c r="K117" t="str" cm="1">
        <f t="array" ref="K117">IF(G117="","",IFERROR(AVERAGE(IF((DATOS!$A$2:$A$20000=G117)*(DATOS!$G$2:$G$20000=CONFIG_METADATA!$B$4)*(DATOS!$I$2:$I$20000&lt;&gt;"Lenguaje Musical")*(DATOS!$I$2:$I$20000&lt;&gt;"Coro")*(DATOS!$I$2:$I$20000&lt;&gt;"Conjunto"),DATOS!$K$2:$K$20000)),""))</f>
        <v/>
      </c>
      <c r="N117" t="str">
        <f>IF(M117="","",IFERROR(AVERAGEIFS(DATOS!$K$2:$K$20000,DATOS!$A$2:$A$20000,M117,DATOS!$G$2:$G$20000,CONFIG_METADATA!$B$4,DATOS!$I$2:$I$20000,"Lenguaje Musical"),""))</f>
        <v/>
      </c>
      <c r="O117" t="str">
        <f>IF(M117="","",IFERROR(AVERAGEIFS(DATOS!$K$2:$K$20000,DATOS!$A$2:$A$20000,M117,DATOS!$G$2:$G$20000,CONFIG_METADATA!$B$4,DATOS!$I$2:$I$20000,"Coro"),""))</f>
        <v/>
      </c>
      <c r="P117" t="str">
        <f>IF(M117="","",IFERROR(AVERAGEIFS(DATOS!$K$2:$K$20000,DATOS!$A$2:$A$20000,M117,DATOS!$G$2:$G$20000,CONFIG_METADATA!$B$4,DATOS!$I$2:$I$20000,"Conjunto"),""))</f>
        <v/>
      </c>
      <c r="Q117" t="str" cm="1">
        <f t="array" ref="Q117">IF(M117="","",IFERROR(AVERAGE(IF((DATOS!$A$2:$A$20000=M117)*(DATOS!$G$2:$G$20000=CONFIG_METADATA!$B$4)*(DATOS!$I$2:$I$20000&lt;&gt;"Lenguaje Musical")*(DATOS!$I$2:$I$20000&lt;&gt;"Coro")*(DATOS!$I$2:$I$20000&lt;&gt;"Conjunto"),DATOS!$K$2:$K$20000)),""))</f>
        <v/>
      </c>
      <c r="T117" t="str">
        <f>IF(S117="","",IFERROR(AVERAGEIFS(DATOS!$K$2:$K$20000,DATOS!$A$2:$A$20000,S117,DATOS!$G$2:$G$20000,CONFIG_METADATA!$B$4,DATOS!$I$2:$I$20000,"Lenguaje Musical"),""))</f>
        <v/>
      </c>
      <c r="U117" t="str">
        <f>IF(S117="","",IFERROR(AVERAGEIFS(DATOS!$K$2:$K$20000,DATOS!$A$2:$A$20000,S117,DATOS!$G$2:$G$20000,CONFIG_METADATA!$B$4,DATOS!$I$2:$I$20000,"Coro"),""))</f>
        <v/>
      </c>
      <c r="V117" t="str">
        <f>IF(S117="","",IFERROR(AVERAGEIFS(DATOS!$K$2:$K$20000,DATOS!$A$2:$A$20000,S117,DATOS!$G$2:$G$20000,CONFIG_METADATA!$B$4,DATOS!$I$2:$I$20000,"Conjunto"),""))</f>
        <v/>
      </c>
      <c r="W117" t="str" cm="1">
        <f t="array" ref="W117">IF(S117="","",IFERROR(AVERAGE(IF((DATOS!$A$2:$A$20000=S117)*(DATOS!$G$2:$G$20000=CONFIG_METADATA!$B$4)*(DATOS!$I$2:$I$20000&lt;&gt;"Lenguaje Musical")*(DATOS!$I$2:$I$20000&lt;&gt;"Coro")*(DATOS!$I$2:$I$20000&lt;&gt;"Conjunto"),DATOS!$K$2:$K$20000)),""))</f>
        <v/>
      </c>
    </row>
    <row r="118" spans="2:23" x14ac:dyDescent="0.2">
      <c r="B118" t="str">
        <f>IF(A118="","",IFERROR(AVERAGEIFS(DATOS!$K$2:$K$20000,DATOS!$A$2:$A$20000,A118,DATOS!$G$2:$G$20000,CONFIG_METADATA!$B$4,DATOS!$I$2:$I$20000,"Lenguaje Musical"),""))</f>
        <v/>
      </c>
      <c r="C118" t="str">
        <f>IF(A118="","",IFERROR(AVERAGEIFS(DATOS!$K$2:$K$20000,DATOS!$A$2:$A$20000,A118,DATOS!$G$2:$G$20000,CONFIG_METADATA!$B$4,DATOS!$I$2:$I$20000,"Coro"),""))</f>
        <v/>
      </c>
      <c r="D118" t="str">
        <f>IF(A118="","",IFERROR(AVERAGEIFS(DATOS!$K$2:$K$20000,DATOS!$A$2:$A$20000,A118,DATOS!$G$2:$G$20000,CONFIG_METADATA!$B$4,DATOS!$I$2:$I$20000,"Conjunto"),""))</f>
        <v/>
      </c>
      <c r="E118" t="str" cm="1">
        <f t="array" ref="E118">IF(A118="","",IFERROR(AVERAGE(IF((DATOS!$A$2:$A$20000=A118)*(DATOS!$G$2:$G$20000=CONFIG_METADATA!$B$4)*(DATOS!$I$2:$I$20000&lt;&gt;"Lenguaje Musical")*(DATOS!$I$2:$I$20000&lt;&gt;"Coro")*(DATOS!$I$2:$I$20000&lt;&gt;"Conjunto"),DATOS!$K$2:$K$20000)),""))</f>
        <v/>
      </c>
      <c r="H118" t="str">
        <f>IF(G118="","",IFERROR(AVERAGEIFS(DATOS!$K$2:$K$20000,DATOS!$A$2:$A$20000,G118,DATOS!$G$2:$G$20000,CONFIG_METADATA!$B$4,DATOS!$I$2:$I$20000,"Lenguaje Musical"),""))</f>
        <v/>
      </c>
      <c r="I118" t="str">
        <f>IF(G118="","",IFERROR(AVERAGEIFS(DATOS!$K$2:$K$20000,DATOS!$A$2:$A$20000,G118,DATOS!$G$2:$G$20000,CONFIG_METADATA!$B$4,DATOS!$I$2:$I$20000,"Coro"),""))</f>
        <v/>
      </c>
      <c r="J118" t="str">
        <f>IF(G118="","",IFERROR(AVERAGEIFS(DATOS!$K$2:$K$20000,DATOS!$A$2:$A$20000,G118,DATOS!$G$2:$G$20000,CONFIG_METADATA!$B$4,DATOS!$I$2:$I$20000,"Conjunto"),""))</f>
        <v/>
      </c>
      <c r="K118" t="str" cm="1">
        <f t="array" ref="K118">IF(G118="","",IFERROR(AVERAGE(IF((DATOS!$A$2:$A$20000=G118)*(DATOS!$G$2:$G$20000=CONFIG_METADATA!$B$4)*(DATOS!$I$2:$I$20000&lt;&gt;"Lenguaje Musical")*(DATOS!$I$2:$I$20000&lt;&gt;"Coro")*(DATOS!$I$2:$I$20000&lt;&gt;"Conjunto"),DATOS!$K$2:$K$20000)),""))</f>
        <v/>
      </c>
      <c r="N118" t="str">
        <f>IF(M118="","",IFERROR(AVERAGEIFS(DATOS!$K$2:$K$20000,DATOS!$A$2:$A$20000,M118,DATOS!$G$2:$G$20000,CONFIG_METADATA!$B$4,DATOS!$I$2:$I$20000,"Lenguaje Musical"),""))</f>
        <v/>
      </c>
      <c r="O118" t="str">
        <f>IF(M118="","",IFERROR(AVERAGEIFS(DATOS!$K$2:$K$20000,DATOS!$A$2:$A$20000,M118,DATOS!$G$2:$G$20000,CONFIG_METADATA!$B$4,DATOS!$I$2:$I$20000,"Coro"),""))</f>
        <v/>
      </c>
      <c r="P118" t="str">
        <f>IF(M118="","",IFERROR(AVERAGEIFS(DATOS!$K$2:$K$20000,DATOS!$A$2:$A$20000,M118,DATOS!$G$2:$G$20000,CONFIG_METADATA!$B$4,DATOS!$I$2:$I$20000,"Conjunto"),""))</f>
        <v/>
      </c>
      <c r="Q118" t="str" cm="1">
        <f t="array" ref="Q118">IF(M118="","",IFERROR(AVERAGE(IF((DATOS!$A$2:$A$20000=M118)*(DATOS!$G$2:$G$20000=CONFIG_METADATA!$B$4)*(DATOS!$I$2:$I$20000&lt;&gt;"Lenguaje Musical")*(DATOS!$I$2:$I$20000&lt;&gt;"Coro")*(DATOS!$I$2:$I$20000&lt;&gt;"Conjunto"),DATOS!$K$2:$K$20000)),""))</f>
        <v/>
      </c>
      <c r="T118" t="str">
        <f>IF(S118="","",IFERROR(AVERAGEIFS(DATOS!$K$2:$K$20000,DATOS!$A$2:$A$20000,S118,DATOS!$G$2:$G$20000,CONFIG_METADATA!$B$4,DATOS!$I$2:$I$20000,"Lenguaje Musical"),""))</f>
        <v/>
      </c>
      <c r="U118" t="str">
        <f>IF(S118="","",IFERROR(AVERAGEIFS(DATOS!$K$2:$K$20000,DATOS!$A$2:$A$20000,S118,DATOS!$G$2:$G$20000,CONFIG_METADATA!$B$4,DATOS!$I$2:$I$20000,"Coro"),""))</f>
        <v/>
      </c>
      <c r="V118" t="str">
        <f>IF(S118="","",IFERROR(AVERAGEIFS(DATOS!$K$2:$K$20000,DATOS!$A$2:$A$20000,S118,DATOS!$G$2:$G$20000,CONFIG_METADATA!$B$4,DATOS!$I$2:$I$20000,"Conjunto"),""))</f>
        <v/>
      </c>
      <c r="W118" t="str" cm="1">
        <f t="array" ref="W118">IF(S118="","",IFERROR(AVERAGE(IF((DATOS!$A$2:$A$20000=S118)*(DATOS!$G$2:$G$20000=CONFIG_METADATA!$B$4)*(DATOS!$I$2:$I$20000&lt;&gt;"Lenguaje Musical")*(DATOS!$I$2:$I$20000&lt;&gt;"Coro")*(DATOS!$I$2:$I$20000&lt;&gt;"Conjunto"),DATOS!$K$2:$K$20000)),""))</f>
        <v/>
      </c>
    </row>
    <row r="119" spans="2:23" x14ac:dyDescent="0.2">
      <c r="B119" t="str">
        <f>IF(A119="","",IFERROR(AVERAGEIFS(DATOS!$K$2:$K$20000,DATOS!$A$2:$A$20000,A119,DATOS!$G$2:$G$20000,CONFIG_METADATA!$B$4,DATOS!$I$2:$I$20000,"Lenguaje Musical"),""))</f>
        <v/>
      </c>
      <c r="C119" t="str">
        <f>IF(A119="","",IFERROR(AVERAGEIFS(DATOS!$K$2:$K$20000,DATOS!$A$2:$A$20000,A119,DATOS!$G$2:$G$20000,CONFIG_METADATA!$B$4,DATOS!$I$2:$I$20000,"Coro"),""))</f>
        <v/>
      </c>
      <c r="D119" t="str">
        <f>IF(A119="","",IFERROR(AVERAGEIFS(DATOS!$K$2:$K$20000,DATOS!$A$2:$A$20000,A119,DATOS!$G$2:$G$20000,CONFIG_METADATA!$B$4,DATOS!$I$2:$I$20000,"Conjunto"),""))</f>
        <v/>
      </c>
      <c r="E119" t="str" cm="1">
        <f t="array" ref="E119">IF(A119="","",IFERROR(AVERAGE(IF((DATOS!$A$2:$A$20000=A119)*(DATOS!$G$2:$G$20000=CONFIG_METADATA!$B$4)*(DATOS!$I$2:$I$20000&lt;&gt;"Lenguaje Musical")*(DATOS!$I$2:$I$20000&lt;&gt;"Coro")*(DATOS!$I$2:$I$20000&lt;&gt;"Conjunto"),DATOS!$K$2:$K$20000)),""))</f>
        <v/>
      </c>
      <c r="H119" t="str">
        <f>IF(G119="","",IFERROR(AVERAGEIFS(DATOS!$K$2:$K$20000,DATOS!$A$2:$A$20000,G119,DATOS!$G$2:$G$20000,CONFIG_METADATA!$B$4,DATOS!$I$2:$I$20000,"Lenguaje Musical"),""))</f>
        <v/>
      </c>
      <c r="I119" t="str">
        <f>IF(G119="","",IFERROR(AVERAGEIFS(DATOS!$K$2:$K$20000,DATOS!$A$2:$A$20000,G119,DATOS!$G$2:$G$20000,CONFIG_METADATA!$B$4,DATOS!$I$2:$I$20000,"Coro"),""))</f>
        <v/>
      </c>
      <c r="J119" t="str">
        <f>IF(G119="","",IFERROR(AVERAGEIFS(DATOS!$K$2:$K$20000,DATOS!$A$2:$A$20000,G119,DATOS!$G$2:$G$20000,CONFIG_METADATA!$B$4,DATOS!$I$2:$I$20000,"Conjunto"),""))</f>
        <v/>
      </c>
      <c r="K119" t="str" cm="1">
        <f t="array" ref="K119">IF(G119="","",IFERROR(AVERAGE(IF((DATOS!$A$2:$A$20000=G119)*(DATOS!$G$2:$G$20000=CONFIG_METADATA!$B$4)*(DATOS!$I$2:$I$20000&lt;&gt;"Lenguaje Musical")*(DATOS!$I$2:$I$20000&lt;&gt;"Coro")*(DATOS!$I$2:$I$20000&lt;&gt;"Conjunto"),DATOS!$K$2:$K$20000)),""))</f>
        <v/>
      </c>
      <c r="N119" t="str">
        <f>IF(M119="","",IFERROR(AVERAGEIFS(DATOS!$K$2:$K$20000,DATOS!$A$2:$A$20000,M119,DATOS!$G$2:$G$20000,CONFIG_METADATA!$B$4,DATOS!$I$2:$I$20000,"Lenguaje Musical"),""))</f>
        <v/>
      </c>
      <c r="O119" t="str">
        <f>IF(M119="","",IFERROR(AVERAGEIFS(DATOS!$K$2:$K$20000,DATOS!$A$2:$A$20000,M119,DATOS!$G$2:$G$20000,CONFIG_METADATA!$B$4,DATOS!$I$2:$I$20000,"Coro"),""))</f>
        <v/>
      </c>
      <c r="P119" t="str">
        <f>IF(M119="","",IFERROR(AVERAGEIFS(DATOS!$K$2:$K$20000,DATOS!$A$2:$A$20000,M119,DATOS!$G$2:$G$20000,CONFIG_METADATA!$B$4,DATOS!$I$2:$I$20000,"Conjunto"),""))</f>
        <v/>
      </c>
      <c r="Q119" t="str" cm="1">
        <f t="array" ref="Q119">IF(M119="","",IFERROR(AVERAGE(IF((DATOS!$A$2:$A$20000=M119)*(DATOS!$G$2:$G$20000=CONFIG_METADATA!$B$4)*(DATOS!$I$2:$I$20000&lt;&gt;"Lenguaje Musical")*(DATOS!$I$2:$I$20000&lt;&gt;"Coro")*(DATOS!$I$2:$I$20000&lt;&gt;"Conjunto"),DATOS!$K$2:$K$20000)),""))</f>
        <v/>
      </c>
      <c r="T119" t="str">
        <f>IF(S119="","",IFERROR(AVERAGEIFS(DATOS!$K$2:$K$20000,DATOS!$A$2:$A$20000,S119,DATOS!$G$2:$G$20000,CONFIG_METADATA!$B$4,DATOS!$I$2:$I$20000,"Lenguaje Musical"),""))</f>
        <v/>
      </c>
      <c r="U119" t="str">
        <f>IF(S119="","",IFERROR(AVERAGEIFS(DATOS!$K$2:$K$20000,DATOS!$A$2:$A$20000,S119,DATOS!$G$2:$G$20000,CONFIG_METADATA!$B$4,DATOS!$I$2:$I$20000,"Coro"),""))</f>
        <v/>
      </c>
      <c r="V119" t="str">
        <f>IF(S119="","",IFERROR(AVERAGEIFS(DATOS!$K$2:$K$20000,DATOS!$A$2:$A$20000,S119,DATOS!$G$2:$G$20000,CONFIG_METADATA!$B$4,DATOS!$I$2:$I$20000,"Conjunto"),""))</f>
        <v/>
      </c>
      <c r="W119" t="str" cm="1">
        <f t="array" ref="W119">IF(S119="","",IFERROR(AVERAGE(IF((DATOS!$A$2:$A$20000=S119)*(DATOS!$G$2:$G$20000=CONFIG_METADATA!$B$4)*(DATOS!$I$2:$I$20000&lt;&gt;"Lenguaje Musical")*(DATOS!$I$2:$I$20000&lt;&gt;"Coro")*(DATOS!$I$2:$I$20000&lt;&gt;"Conjunto"),DATOS!$K$2:$K$20000)),""))</f>
        <v/>
      </c>
    </row>
    <row r="120" spans="2:23" x14ac:dyDescent="0.2">
      <c r="B120" t="str">
        <f>IF(A120="","",IFERROR(AVERAGEIFS(DATOS!$K$2:$K$20000,DATOS!$A$2:$A$20000,A120,DATOS!$G$2:$G$20000,CONFIG_METADATA!$B$4,DATOS!$I$2:$I$20000,"Lenguaje Musical"),""))</f>
        <v/>
      </c>
      <c r="C120" t="str">
        <f>IF(A120="","",IFERROR(AVERAGEIFS(DATOS!$K$2:$K$20000,DATOS!$A$2:$A$20000,A120,DATOS!$G$2:$G$20000,CONFIG_METADATA!$B$4,DATOS!$I$2:$I$20000,"Coro"),""))</f>
        <v/>
      </c>
      <c r="D120" t="str">
        <f>IF(A120="","",IFERROR(AVERAGEIFS(DATOS!$K$2:$K$20000,DATOS!$A$2:$A$20000,A120,DATOS!$G$2:$G$20000,CONFIG_METADATA!$B$4,DATOS!$I$2:$I$20000,"Conjunto"),""))</f>
        <v/>
      </c>
      <c r="E120" t="str" cm="1">
        <f t="array" ref="E120">IF(A120="","",IFERROR(AVERAGE(IF((DATOS!$A$2:$A$20000=A120)*(DATOS!$G$2:$G$20000=CONFIG_METADATA!$B$4)*(DATOS!$I$2:$I$20000&lt;&gt;"Lenguaje Musical")*(DATOS!$I$2:$I$20000&lt;&gt;"Coro")*(DATOS!$I$2:$I$20000&lt;&gt;"Conjunto"),DATOS!$K$2:$K$20000)),""))</f>
        <v/>
      </c>
      <c r="H120" t="str">
        <f>IF(G120="","",IFERROR(AVERAGEIFS(DATOS!$K$2:$K$20000,DATOS!$A$2:$A$20000,G120,DATOS!$G$2:$G$20000,CONFIG_METADATA!$B$4,DATOS!$I$2:$I$20000,"Lenguaje Musical"),""))</f>
        <v/>
      </c>
      <c r="I120" t="str">
        <f>IF(G120="","",IFERROR(AVERAGEIFS(DATOS!$K$2:$K$20000,DATOS!$A$2:$A$20000,G120,DATOS!$G$2:$G$20000,CONFIG_METADATA!$B$4,DATOS!$I$2:$I$20000,"Coro"),""))</f>
        <v/>
      </c>
      <c r="J120" t="str">
        <f>IF(G120="","",IFERROR(AVERAGEIFS(DATOS!$K$2:$K$20000,DATOS!$A$2:$A$20000,G120,DATOS!$G$2:$G$20000,CONFIG_METADATA!$B$4,DATOS!$I$2:$I$20000,"Conjunto"),""))</f>
        <v/>
      </c>
      <c r="K120" t="str" cm="1">
        <f t="array" ref="K120">IF(G120="","",IFERROR(AVERAGE(IF((DATOS!$A$2:$A$20000=G120)*(DATOS!$G$2:$G$20000=CONFIG_METADATA!$B$4)*(DATOS!$I$2:$I$20000&lt;&gt;"Lenguaje Musical")*(DATOS!$I$2:$I$20000&lt;&gt;"Coro")*(DATOS!$I$2:$I$20000&lt;&gt;"Conjunto"),DATOS!$K$2:$K$20000)),""))</f>
        <v/>
      </c>
      <c r="N120" t="str">
        <f>IF(M120="","",IFERROR(AVERAGEIFS(DATOS!$K$2:$K$20000,DATOS!$A$2:$A$20000,M120,DATOS!$G$2:$G$20000,CONFIG_METADATA!$B$4,DATOS!$I$2:$I$20000,"Lenguaje Musical"),""))</f>
        <v/>
      </c>
      <c r="O120" t="str">
        <f>IF(M120="","",IFERROR(AVERAGEIFS(DATOS!$K$2:$K$20000,DATOS!$A$2:$A$20000,M120,DATOS!$G$2:$G$20000,CONFIG_METADATA!$B$4,DATOS!$I$2:$I$20000,"Coro"),""))</f>
        <v/>
      </c>
      <c r="P120" t="str">
        <f>IF(M120="","",IFERROR(AVERAGEIFS(DATOS!$K$2:$K$20000,DATOS!$A$2:$A$20000,M120,DATOS!$G$2:$G$20000,CONFIG_METADATA!$B$4,DATOS!$I$2:$I$20000,"Conjunto"),""))</f>
        <v/>
      </c>
      <c r="Q120" t="str" cm="1">
        <f t="array" ref="Q120">IF(M120="","",IFERROR(AVERAGE(IF((DATOS!$A$2:$A$20000=M120)*(DATOS!$G$2:$G$20000=CONFIG_METADATA!$B$4)*(DATOS!$I$2:$I$20000&lt;&gt;"Lenguaje Musical")*(DATOS!$I$2:$I$20000&lt;&gt;"Coro")*(DATOS!$I$2:$I$20000&lt;&gt;"Conjunto"),DATOS!$K$2:$K$20000)),""))</f>
        <v/>
      </c>
      <c r="T120" t="str">
        <f>IF(S120="","",IFERROR(AVERAGEIFS(DATOS!$K$2:$K$20000,DATOS!$A$2:$A$20000,S120,DATOS!$G$2:$G$20000,CONFIG_METADATA!$B$4,DATOS!$I$2:$I$20000,"Lenguaje Musical"),""))</f>
        <v/>
      </c>
      <c r="U120" t="str">
        <f>IF(S120="","",IFERROR(AVERAGEIFS(DATOS!$K$2:$K$20000,DATOS!$A$2:$A$20000,S120,DATOS!$G$2:$G$20000,CONFIG_METADATA!$B$4,DATOS!$I$2:$I$20000,"Coro"),""))</f>
        <v/>
      </c>
      <c r="V120" t="str">
        <f>IF(S120="","",IFERROR(AVERAGEIFS(DATOS!$K$2:$K$20000,DATOS!$A$2:$A$20000,S120,DATOS!$G$2:$G$20000,CONFIG_METADATA!$B$4,DATOS!$I$2:$I$20000,"Conjunto"),""))</f>
        <v/>
      </c>
      <c r="W120" t="str" cm="1">
        <f t="array" ref="W120">IF(S120="","",IFERROR(AVERAGE(IF((DATOS!$A$2:$A$20000=S120)*(DATOS!$G$2:$G$20000=CONFIG_METADATA!$B$4)*(DATOS!$I$2:$I$20000&lt;&gt;"Lenguaje Musical")*(DATOS!$I$2:$I$20000&lt;&gt;"Coro")*(DATOS!$I$2:$I$20000&lt;&gt;"Conjunto"),DATOS!$K$2:$K$20000)),""))</f>
        <v/>
      </c>
    </row>
    <row r="121" spans="2:23" x14ac:dyDescent="0.2">
      <c r="B121" t="str">
        <f>IF(A121="","",IFERROR(AVERAGEIFS(DATOS!$K$2:$K$20000,DATOS!$A$2:$A$20000,A121,DATOS!$G$2:$G$20000,CONFIG_METADATA!$B$4,DATOS!$I$2:$I$20000,"Lenguaje Musical"),""))</f>
        <v/>
      </c>
      <c r="C121" t="str">
        <f>IF(A121="","",IFERROR(AVERAGEIFS(DATOS!$K$2:$K$20000,DATOS!$A$2:$A$20000,A121,DATOS!$G$2:$G$20000,CONFIG_METADATA!$B$4,DATOS!$I$2:$I$20000,"Coro"),""))</f>
        <v/>
      </c>
      <c r="D121" t="str">
        <f>IF(A121="","",IFERROR(AVERAGEIFS(DATOS!$K$2:$K$20000,DATOS!$A$2:$A$20000,A121,DATOS!$G$2:$G$20000,CONFIG_METADATA!$B$4,DATOS!$I$2:$I$20000,"Conjunto"),""))</f>
        <v/>
      </c>
      <c r="E121" t="str" cm="1">
        <f t="array" ref="E121">IF(A121="","",IFERROR(AVERAGE(IF((DATOS!$A$2:$A$20000=A121)*(DATOS!$G$2:$G$20000=CONFIG_METADATA!$B$4)*(DATOS!$I$2:$I$20000&lt;&gt;"Lenguaje Musical")*(DATOS!$I$2:$I$20000&lt;&gt;"Coro")*(DATOS!$I$2:$I$20000&lt;&gt;"Conjunto"),DATOS!$K$2:$K$20000)),""))</f>
        <v/>
      </c>
      <c r="H121" t="str">
        <f>IF(G121="","",IFERROR(AVERAGEIFS(DATOS!$K$2:$K$20000,DATOS!$A$2:$A$20000,G121,DATOS!$G$2:$G$20000,CONFIG_METADATA!$B$4,DATOS!$I$2:$I$20000,"Lenguaje Musical"),""))</f>
        <v/>
      </c>
      <c r="I121" t="str">
        <f>IF(G121="","",IFERROR(AVERAGEIFS(DATOS!$K$2:$K$20000,DATOS!$A$2:$A$20000,G121,DATOS!$G$2:$G$20000,CONFIG_METADATA!$B$4,DATOS!$I$2:$I$20000,"Coro"),""))</f>
        <v/>
      </c>
      <c r="J121" t="str">
        <f>IF(G121="","",IFERROR(AVERAGEIFS(DATOS!$K$2:$K$20000,DATOS!$A$2:$A$20000,G121,DATOS!$G$2:$G$20000,CONFIG_METADATA!$B$4,DATOS!$I$2:$I$20000,"Conjunto"),""))</f>
        <v/>
      </c>
      <c r="K121" t="str" cm="1">
        <f t="array" ref="K121">IF(G121="","",IFERROR(AVERAGE(IF((DATOS!$A$2:$A$20000=G121)*(DATOS!$G$2:$G$20000=CONFIG_METADATA!$B$4)*(DATOS!$I$2:$I$20000&lt;&gt;"Lenguaje Musical")*(DATOS!$I$2:$I$20000&lt;&gt;"Coro")*(DATOS!$I$2:$I$20000&lt;&gt;"Conjunto"),DATOS!$K$2:$K$20000)),""))</f>
        <v/>
      </c>
      <c r="N121" t="str">
        <f>IF(M121="","",IFERROR(AVERAGEIFS(DATOS!$K$2:$K$20000,DATOS!$A$2:$A$20000,M121,DATOS!$G$2:$G$20000,CONFIG_METADATA!$B$4,DATOS!$I$2:$I$20000,"Lenguaje Musical"),""))</f>
        <v/>
      </c>
      <c r="O121" t="str">
        <f>IF(M121="","",IFERROR(AVERAGEIFS(DATOS!$K$2:$K$20000,DATOS!$A$2:$A$20000,M121,DATOS!$G$2:$G$20000,CONFIG_METADATA!$B$4,DATOS!$I$2:$I$20000,"Coro"),""))</f>
        <v/>
      </c>
      <c r="P121" t="str">
        <f>IF(M121="","",IFERROR(AVERAGEIFS(DATOS!$K$2:$K$20000,DATOS!$A$2:$A$20000,M121,DATOS!$G$2:$G$20000,CONFIG_METADATA!$B$4,DATOS!$I$2:$I$20000,"Conjunto"),""))</f>
        <v/>
      </c>
      <c r="Q121" t="str" cm="1">
        <f t="array" ref="Q121">IF(M121="","",IFERROR(AVERAGE(IF((DATOS!$A$2:$A$20000=M121)*(DATOS!$G$2:$G$20000=CONFIG_METADATA!$B$4)*(DATOS!$I$2:$I$20000&lt;&gt;"Lenguaje Musical")*(DATOS!$I$2:$I$20000&lt;&gt;"Coro")*(DATOS!$I$2:$I$20000&lt;&gt;"Conjunto"),DATOS!$K$2:$K$20000)),""))</f>
        <v/>
      </c>
      <c r="T121" t="str">
        <f>IF(S121="","",IFERROR(AVERAGEIFS(DATOS!$K$2:$K$20000,DATOS!$A$2:$A$20000,S121,DATOS!$G$2:$G$20000,CONFIG_METADATA!$B$4,DATOS!$I$2:$I$20000,"Lenguaje Musical"),""))</f>
        <v/>
      </c>
      <c r="U121" t="str">
        <f>IF(S121="","",IFERROR(AVERAGEIFS(DATOS!$K$2:$K$20000,DATOS!$A$2:$A$20000,S121,DATOS!$G$2:$G$20000,CONFIG_METADATA!$B$4,DATOS!$I$2:$I$20000,"Coro"),""))</f>
        <v/>
      </c>
      <c r="V121" t="str">
        <f>IF(S121="","",IFERROR(AVERAGEIFS(DATOS!$K$2:$K$20000,DATOS!$A$2:$A$20000,S121,DATOS!$G$2:$G$20000,CONFIG_METADATA!$B$4,DATOS!$I$2:$I$20000,"Conjunto"),""))</f>
        <v/>
      </c>
      <c r="W121" t="str" cm="1">
        <f t="array" ref="W121">IF(S121="","",IFERROR(AVERAGE(IF((DATOS!$A$2:$A$20000=S121)*(DATOS!$G$2:$G$20000=CONFIG_METADATA!$B$4)*(DATOS!$I$2:$I$20000&lt;&gt;"Lenguaje Musical")*(DATOS!$I$2:$I$20000&lt;&gt;"Coro")*(DATOS!$I$2:$I$20000&lt;&gt;"Conjunto"),DATOS!$K$2:$K$20000)),""))</f>
        <v/>
      </c>
    </row>
    <row r="122" spans="2:23" x14ac:dyDescent="0.2">
      <c r="B122" t="str">
        <f>IF(A122="","",IFERROR(AVERAGEIFS(DATOS!$K$2:$K$20000,DATOS!$A$2:$A$20000,A122,DATOS!$G$2:$G$20000,CONFIG_METADATA!$B$4,DATOS!$I$2:$I$20000,"Lenguaje Musical"),""))</f>
        <v/>
      </c>
      <c r="C122" t="str">
        <f>IF(A122="","",IFERROR(AVERAGEIFS(DATOS!$K$2:$K$20000,DATOS!$A$2:$A$20000,A122,DATOS!$G$2:$G$20000,CONFIG_METADATA!$B$4,DATOS!$I$2:$I$20000,"Coro"),""))</f>
        <v/>
      </c>
      <c r="D122" t="str">
        <f>IF(A122="","",IFERROR(AVERAGEIFS(DATOS!$K$2:$K$20000,DATOS!$A$2:$A$20000,A122,DATOS!$G$2:$G$20000,CONFIG_METADATA!$B$4,DATOS!$I$2:$I$20000,"Conjunto"),""))</f>
        <v/>
      </c>
      <c r="E122" t="str" cm="1">
        <f t="array" ref="E122">IF(A122="","",IFERROR(AVERAGE(IF((DATOS!$A$2:$A$20000=A122)*(DATOS!$G$2:$G$20000=CONFIG_METADATA!$B$4)*(DATOS!$I$2:$I$20000&lt;&gt;"Lenguaje Musical")*(DATOS!$I$2:$I$20000&lt;&gt;"Coro")*(DATOS!$I$2:$I$20000&lt;&gt;"Conjunto"),DATOS!$K$2:$K$20000)),""))</f>
        <v/>
      </c>
      <c r="H122" t="str">
        <f>IF(G122="","",IFERROR(AVERAGEIFS(DATOS!$K$2:$K$20000,DATOS!$A$2:$A$20000,G122,DATOS!$G$2:$G$20000,CONFIG_METADATA!$B$4,DATOS!$I$2:$I$20000,"Lenguaje Musical"),""))</f>
        <v/>
      </c>
      <c r="I122" t="str">
        <f>IF(G122="","",IFERROR(AVERAGEIFS(DATOS!$K$2:$K$20000,DATOS!$A$2:$A$20000,G122,DATOS!$G$2:$G$20000,CONFIG_METADATA!$B$4,DATOS!$I$2:$I$20000,"Coro"),""))</f>
        <v/>
      </c>
      <c r="J122" t="str">
        <f>IF(G122="","",IFERROR(AVERAGEIFS(DATOS!$K$2:$K$20000,DATOS!$A$2:$A$20000,G122,DATOS!$G$2:$G$20000,CONFIG_METADATA!$B$4,DATOS!$I$2:$I$20000,"Conjunto"),""))</f>
        <v/>
      </c>
      <c r="K122" t="str" cm="1">
        <f t="array" ref="K122">IF(G122="","",IFERROR(AVERAGE(IF((DATOS!$A$2:$A$20000=G122)*(DATOS!$G$2:$G$20000=CONFIG_METADATA!$B$4)*(DATOS!$I$2:$I$20000&lt;&gt;"Lenguaje Musical")*(DATOS!$I$2:$I$20000&lt;&gt;"Coro")*(DATOS!$I$2:$I$20000&lt;&gt;"Conjunto"),DATOS!$K$2:$K$20000)),""))</f>
        <v/>
      </c>
      <c r="N122" t="str">
        <f>IF(M122="","",IFERROR(AVERAGEIFS(DATOS!$K$2:$K$20000,DATOS!$A$2:$A$20000,M122,DATOS!$G$2:$G$20000,CONFIG_METADATA!$B$4,DATOS!$I$2:$I$20000,"Lenguaje Musical"),""))</f>
        <v/>
      </c>
      <c r="O122" t="str">
        <f>IF(M122="","",IFERROR(AVERAGEIFS(DATOS!$K$2:$K$20000,DATOS!$A$2:$A$20000,M122,DATOS!$G$2:$G$20000,CONFIG_METADATA!$B$4,DATOS!$I$2:$I$20000,"Coro"),""))</f>
        <v/>
      </c>
      <c r="P122" t="str">
        <f>IF(M122="","",IFERROR(AVERAGEIFS(DATOS!$K$2:$K$20000,DATOS!$A$2:$A$20000,M122,DATOS!$G$2:$G$20000,CONFIG_METADATA!$B$4,DATOS!$I$2:$I$20000,"Conjunto"),""))</f>
        <v/>
      </c>
      <c r="Q122" t="str" cm="1">
        <f t="array" ref="Q122">IF(M122="","",IFERROR(AVERAGE(IF((DATOS!$A$2:$A$20000=M122)*(DATOS!$G$2:$G$20000=CONFIG_METADATA!$B$4)*(DATOS!$I$2:$I$20000&lt;&gt;"Lenguaje Musical")*(DATOS!$I$2:$I$20000&lt;&gt;"Coro")*(DATOS!$I$2:$I$20000&lt;&gt;"Conjunto"),DATOS!$K$2:$K$20000)),""))</f>
        <v/>
      </c>
      <c r="T122" t="str">
        <f>IF(S122="","",IFERROR(AVERAGEIFS(DATOS!$K$2:$K$20000,DATOS!$A$2:$A$20000,S122,DATOS!$G$2:$G$20000,CONFIG_METADATA!$B$4,DATOS!$I$2:$I$20000,"Lenguaje Musical"),""))</f>
        <v/>
      </c>
      <c r="U122" t="str">
        <f>IF(S122="","",IFERROR(AVERAGEIFS(DATOS!$K$2:$K$20000,DATOS!$A$2:$A$20000,S122,DATOS!$G$2:$G$20000,CONFIG_METADATA!$B$4,DATOS!$I$2:$I$20000,"Coro"),""))</f>
        <v/>
      </c>
      <c r="V122" t="str">
        <f>IF(S122="","",IFERROR(AVERAGEIFS(DATOS!$K$2:$K$20000,DATOS!$A$2:$A$20000,S122,DATOS!$G$2:$G$20000,CONFIG_METADATA!$B$4,DATOS!$I$2:$I$20000,"Conjunto"),""))</f>
        <v/>
      </c>
      <c r="W122" t="str" cm="1">
        <f t="array" ref="W122">IF(S122="","",IFERROR(AVERAGE(IF((DATOS!$A$2:$A$20000=S122)*(DATOS!$G$2:$G$20000=CONFIG_METADATA!$B$4)*(DATOS!$I$2:$I$20000&lt;&gt;"Lenguaje Musical")*(DATOS!$I$2:$I$20000&lt;&gt;"Coro")*(DATOS!$I$2:$I$20000&lt;&gt;"Conjunto"),DATOS!$K$2:$K$20000)),""))</f>
        <v/>
      </c>
    </row>
    <row r="123" spans="2:23" x14ac:dyDescent="0.2">
      <c r="B123" t="str">
        <f>IF(A123="","",IFERROR(AVERAGEIFS(DATOS!$K$2:$K$20000,DATOS!$A$2:$A$20000,A123,DATOS!$G$2:$G$20000,CONFIG_METADATA!$B$4,DATOS!$I$2:$I$20000,"Lenguaje Musical"),""))</f>
        <v/>
      </c>
      <c r="C123" t="str">
        <f>IF(A123="","",IFERROR(AVERAGEIFS(DATOS!$K$2:$K$20000,DATOS!$A$2:$A$20000,A123,DATOS!$G$2:$G$20000,CONFIG_METADATA!$B$4,DATOS!$I$2:$I$20000,"Coro"),""))</f>
        <v/>
      </c>
      <c r="D123" t="str">
        <f>IF(A123="","",IFERROR(AVERAGEIFS(DATOS!$K$2:$K$20000,DATOS!$A$2:$A$20000,A123,DATOS!$G$2:$G$20000,CONFIG_METADATA!$B$4,DATOS!$I$2:$I$20000,"Conjunto"),""))</f>
        <v/>
      </c>
      <c r="E123" t="str" cm="1">
        <f t="array" ref="E123">IF(A123="","",IFERROR(AVERAGE(IF((DATOS!$A$2:$A$20000=A123)*(DATOS!$G$2:$G$20000=CONFIG_METADATA!$B$4)*(DATOS!$I$2:$I$20000&lt;&gt;"Lenguaje Musical")*(DATOS!$I$2:$I$20000&lt;&gt;"Coro")*(DATOS!$I$2:$I$20000&lt;&gt;"Conjunto"),DATOS!$K$2:$K$20000)),""))</f>
        <v/>
      </c>
      <c r="H123" t="str">
        <f>IF(G123="","",IFERROR(AVERAGEIFS(DATOS!$K$2:$K$20000,DATOS!$A$2:$A$20000,G123,DATOS!$G$2:$G$20000,CONFIG_METADATA!$B$4,DATOS!$I$2:$I$20000,"Lenguaje Musical"),""))</f>
        <v/>
      </c>
      <c r="I123" t="str">
        <f>IF(G123="","",IFERROR(AVERAGEIFS(DATOS!$K$2:$K$20000,DATOS!$A$2:$A$20000,G123,DATOS!$G$2:$G$20000,CONFIG_METADATA!$B$4,DATOS!$I$2:$I$20000,"Coro"),""))</f>
        <v/>
      </c>
      <c r="J123" t="str">
        <f>IF(G123="","",IFERROR(AVERAGEIFS(DATOS!$K$2:$K$20000,DATOS!$A$2:$A$20000,G123,DATOS!$G$2:$G$20000,CONFIG_METADATA!$B$4,DATOS!$I$2:$I$20000,"Conjunto"),""))</f>
        <v/>
      </c>
      <c r="K123" t="str" cm="1">
        <f t="array" ref="K123">IF(G123="","",IFERROR(AVERAGE(IF((DATOS!$A$2:$A$20000=G123)*(DATOS!$G$2:$G$20000=CONFIG_METADATA!$B$4)*(DATOS!$I$2:$I$20000&lt;&gt;"Lenguaje Musical")*(DATOS!$I$2:$I$20000&lt;&gt;"Coro")*(DATOS!$I$2:$I$20000&lt;&gt;"Conjunto"),DATOS!$K$2:$K$20000)),""))</f>
        <v/>
      </c>
      <c r="N123" t="str">
        <f>IF(M123="","",IFERROR(AVERAGEIFS(DATOS!$K$2:$K$20000,DATOS!$A$2:$A$20000,M123,DATOS!$G$2:$G$20000,CONFIG_METADATA!$B$4,DATOS!$I$2:$I$20000,"Lenguaje Musical"),""))</f>
        <v/>
      </c>
      <c r="O123" t="str">
        <f>IF(M123="","",IFERROR(AVERAGEIFS(DATOS!$K$2:$K$20000,DATOS!$A$2:$A$20000,M123,DATOS!$G$2:$G$20000,CONFIG_METADATA!$B$4,DATOS!$I$2:$I$20000,"Coro"),""))</f>
        <v/>
      </c>
      <c r="P123" t="str">
        <f>IF(M123="","",IFERROR(AVERAGEIFS(DATOS!$K$2:$K$20000,DATOS!$A$2:$A$20000,M123,DATOS!$G$2:$G$20000,CONFIG_METADATA!$B$4,DATOS!$I$2:$I$20000,"Conjunto"),""))</f>
        <v/>
      </c>
      <c r="Q123" t="str" cm="1">
        <f t="array" ref="Q123">IF(M123="","",IFERROR(AVERAGE(IF((DATOS!$A$2:$A$20000=M123)*(DATOS!$G$2:$G$20000=CONFIG_METADATA!$B$4)*(DATOS!$I$2:$I$20000&lt;&gt;"Lenguaje Musical")*(DATOS!$I$2:$I$20000&lt;&gt;"Coro")*(DATOS!$I$2:$I$20000&lt;&gt;"Conjunto"),DATOS!$K$2:$K$20000)),""))</f>
        <v/>
      </c>
      <c r="T123" t="str">
        <f>IF(S123="","",IFERROR(AVERAGEIFS(DATOS!$K$2:$K$20000,DATOS!$A$2:$A$20000,S123,DATOS!$G$2:$G$20000,CONFIG_METADATA!$B$4,DATOS!$I$2:$I$20000,"Lenguaje Musical"),""))</f>
        <v/>
      </c>
      <c r="U123" t="str">
        <f>IF(S123="","",IFERROR(AVERAGEIFS(DATOS!$K$2:$K$20000,DATOS!$A$2:$A$20000,S123,DATOS!$G$2:$G$20000,CONFIG_METADATA!$B$4,DATOS!$I$2:$I$20000,"Coro"),""))</f>
        <v/>
      </c>
      <c r="V123" t="str">
        <f>IF(S123="","",IFERROR(AVERAGEIFS(DATOS!$K$2:$K$20000,DATOS!$A$2:$A$20000,S123,DATOS!$G$2:$G$20000,CONFIG_METADATA!$B$4,DATOS!$I$2:$I$20000,"Conjunto"),""))</f>
        <v/>
      </c>
      <c r="W123" t="str" cm="1">
        <f t="array" ref="W123">IF(S123="","",IFERROR(AVERAGE(IF((DATOS!$A$2:$A$20000=S123)*(DATOS!$G$2:$G$20000=CONFIG_METADATA!$B$4)*(DATOS!$I$2:$I$20000&lt;&gt;"Lenguaje Musical")*(DATOS!$I$2:$I$20000&lt;&gt;"Coro")*(DATOS!$I$2:$I$20000&lt;&gt;"Conjunto"),DATOS!$K$2:$K$20000)),""))</f>
        <v/>
      </c>
    </row>
    <row r="124" spans="2:23" x14ac:dyDescent="0.2">
      <c r="B124" t="str">
        <f>IF(A124="","",IFERROR(AVERAGEIFS(DATOS!$K$2:$K$20000,DATOS!$A$2:$A$20000,A124,DATOS!$G$2:$G$20000,CONFIG_METADATA!$B$4,DATOS!$I$2:$I$20000,"Lenguaje Musical"),""))</f>
        <v/>
      </c>
      <c r="C124" t="str">
        <f>IF(A124="","",IFERROR(AVERAGEIFS(DATOS!$K$2:$K$20000,DATOS!$A$2:$A$20000,A124,DATOS!$G$2:$G$20000,CONFIG_METADATA!$B$4,DATOS!$I$2:$I$20000,"Coro"),""))</f>
        <v/>
      </c>
      <c r="D124" t="str">
        <f>IF(A124="","",IFERROR(AVERAGEIFS(DATOS!$K$2:$K$20000,DATOS!$A$2:$A$20000,A124,DATOS!$G$2:$G$20000,CONFIG_METADATA!$B$4,DATOS!$I$2:$I$20000,"Conjunto"),""))</f>
        <v/>
      </c>
      <c r="E124" t="str" cm="1">
        <f t="array" ref="E124">IF(A124="","",IFERROR(AVERAGE(IF((DATOS!$A$2:$A$20000=A124)*(DATOS!$G$2:$G$20000=CONFIG_METADATA!$B$4)*(DATOS!$I$2:$I$20000&lt;&gt;"Lenguaje Musical")*(DATOS!$I$2:$I$20000&lt;&gt;"Coro")*(DATOS!$I$2:$I$20000&lt;&gt;"Conjunto"),DATOS!$K$2:$K$20000)),""))</f>
        <v/>
      </c>
      <c r="H124" t="str">
        <f>IF(G124="","",IFERROR(AVERAGEIFS(DATOS!$K$2:$K$20000,DATOS!$A$2:$A$20000,G124,DATOS!$G$2:$G$20000,CONFIG_METADATA!$B$4,DATOS!$I$2:$I$20000,"Lenguaje Musical"),""))</f>
        <v/>
      </c>
      <c r="I124" t="str">
        <f>IF(G124="","",IFERROR(AVERAGEIFS(DATOS!$K$2:$K$20000,DATOS!$A$2:$A$20000,G124,DATOS!$G$2:$G$20000,CONFIG_METADATA!$B$4,DATOS!$I$2:$I$20000,"Coro"),""))</f>
        <v/>
      </c>
      <c r="J124" t="str">
        <f>IF(G124="","",IFERROR(AVERAGEIFS(DATOS!$K$2:$K$20000,DATOS!$A$2:$A$20000,G124,DATOS!$G$2:$G$20000,CONFIG_METADATA!$B$4,DATOS!$I$2:$I$20000,"Conjunto"),""))</f>
        <v/>
      </c>
      <c r="K124" t="str" cm="1">
        <f t="array" ref="K124">IF(G124="","",IFERROR(AVERAGE(IF((DATOS!$A$2:$A$20000=G124)*(DATOS!$G$2:$G$20000=CONFIG_METADATA!$B$4)*(DATOS!$I$2:$I$20000&lt;&gt;"Lenguaje Musical")*(DATOS!$I$2:$I$20000&lt;&gt;"Coro")*(DATOS!$I$2:$I$20000&lt;&gt;"Conjunto"),DATOS!$K$2:$K$20000)),""))</f>
        <v/>
      </c>
      <c r="N124" t="str">
        <f>IF(M124="","",IFERROR(AVERAGEIFS(DATOS!$K$2:$K$20000,DATOS!$A$2:$A$20000,M124,DATOS!$G$2:$G$20000,CONFIG_METADATA!$B$4,DATOS!$I$2:$I$20000,"Lenguaje Musical"),""))</f>
        <v/>
      </c>
      <c r="O124" t="str">
        <f>IF(M124="","",IFERROR(AVERAGEIFS(DATOS!$K$2:$K$20000,DATOS!$A$2:$A$20000,M124,DATOS!$G$2:$G$20000,CONFIG_METADATA!$B$4,DATOS!$I$2:$I$20000,"Coro"),""))</f>
        <v/>
      </c>
      <c r="P124" t="str">
        <f>IF(M124="","",IFERROR(AVERAGEIFS(DATOS!$K$2:$K$20000,DATOS!$A$2:$A$20000,M124,DATOS!$G$2:$G$20000,CONFIG_METADATA!$B$4,DATOS!$I$2:$I$20000,"Conjunto"),""))</f>
        <v/>
      </c>
      <c r="Q124" t="str" cm="1">
        <f t="array" ref="Q124">IF(M124="","",IFERROR(AVERAGE(IF((DATOS!$A$2:$A$20000=M124)*(DATOS!$G$2:$G$20000=CONFIG_METADATA!$B$4)*(DATOS!$I$2:$I$20000&lt;&gt;"Lenguaje Musical")*(DATOS!$I$2:$I$20000&lt;&gt;"Coro")*(DATOS!$I$2:$I$20000&lt;&gt;"Conjunto"),DATOS!$K$2:$K$20000)),""))</f>
        <v/>
      </c>
      <c r="T124" t="str">
        <f>IF(S124="","",IFERROR(AVERAGEIFS(DATOS!$K$2:$K$20000,DATOS!$A$2:$A$20000,S124,DATOS!$G$2:$G$20000,CONFIG_METADATA!$B$4,DATOS!$I$2:$I$20000,"Lenguaje Musical"),""))</f>
        <v/>
      </c>
      <c r="U124" t="str">
        <f>IF(S124="","",IFERROR(AVERAGEIFS(DATOS!$K$2:$K$20000,DATOS!$A$2:$A$20000,S124,DATOS!$G$2:$G$20000,CONFIG_METADATA!$B$4,DATOS!$I$2:$I$20000,"Coro"),""))</f>
        <v/>
      </c>
      <c r="V124" t="str">
        <f>IF(S124="","",IFERROR(AVERAGEIFS(DATOS!$K$2:$K$20000,DATOS!$A$2:$A$20000,S124,DATOS!$G$2:$G$20000,CONFIG_METADATA!$B$4,DATOS!$I$2:$I$20000,"Conjunto"),""))</f>
        <v/>
      </c>
      <c r="W124" t="str" cm="1">
        <f t="array" ref="W124">IF(S124="","",IFERROR(AVERAGE(IF((DATOS!$A$2:$A$20000=S124)*(DATOS!$G$2:$G$20000=CONFIG_METADATA!$B$4)*(DATOS!$I$2:$I$20000&lt;&gt;"Lenguaje Musical")*(DATOS!$I$2:$I$20000&lt;&gt;"Coro")*(DATOS!$I$2:$I$20000&lt;&gt;"Conjunto"),DATOS!$K$2:$K$20000)),""))</f>
        <v/>
      </c>
    </row>
    <row r="125" spans="2:23" x14ac:dyDescent="0.2">
      <c r="B125" t="str">
        <f>IF(A125="","",IFERROR(AVERAGEIFS(DATOS!$K$2:$K$20000,DATOS!$A$2:$A$20000,A125,DATOS!$G$2:$G$20000,CONFIG_METADATA!$B$4,DATOS!$I$2:$I$20000,"Lenguaje Musical"),""))</f>
        <v/>
      </c>
      <c r="C125" t="str">
        <f>IF(A125="","",IFERROR(AVERAGEIFS(DATOS!$K$2:$K$20000,DATOS!$A$2:$A$20000,A125,DATOS!$G$2:$G$20000,CONFIG_METADATA!$B$4,DATOS!$I$2:$I$20000,"Coro"),""))</f>
        <v/>
      </c>
      <c r="D125" t="str">
        <f>IF(A125="","",IFERROR(AVERAGEIFS(DATOS!$K$2:$K$20000,DATOS!$A$2:$A$20000,A125,DATOS!$G$2:$G$20000,CONFIG_METADATA!$B$4,DATOS!$I$2:$I$20000,"Conjunto"),""))</f>
        <v/>
      </c>
      <c r="E125" t="str" cm="1">
        <f t="array" ref="E125">IF(A125="","",IFERROR(AVERAGE(IF((DATOS!$A$2:$A$20000=A125)*(DATOS!$G$2:$G$20000=CONFIG_METADATA!$B$4)*(DATOS!$I$2:$I$20000&lt;&gt;"Lenguaje Musical")*(DATOS!$I$2:$I$20000&lt;&gt;"Coro")*(DATOS!$I$2:$I$20000&lt;&gt;"Conjunto"),DATOS!$K$2:$K$20000)),""))</f>
        <v/>
      </c>
      <c r="H125" t="str">
        <f>IF(G125="","",IFERROR(AVERAGEIFS(DATOS!$K$2:$K$20000,DATOS!$A$2:$A$20000,G125,DATOS!$G$2:$G$20000,CONFIG_METADATA!$B$4,DATOS!$I$2:$I$20000,"Lenguaje Musical"),""))</f>
        <v/>
      </c>
      <c r="I125" t="str">
        <f>IF(G125="","",IFERROR(AVERAGEIFS(DATOS!$K$2:$K$20000,DATOS!$A$2:$A$20000,G125,DATOS!$G$2:$G$20000,CONFIG_METADATA!$B$4,DATOS!$I$2:$I$20000,"Coro"),""))</f>
        <v/>
      </c>
      <c r="J125" t="str">
        <f>IF(G125="","",IFERROR(AVERAGEIFS(DATOS!$K$2:$K$20000,DATOS!$A$2:$A$20000,G125,DATOS!$G$2:$G$20000,CONFIG_METADATA!$B$4,DATOS!$I$2:$I$20000,"Conjunto"),""))</f>
        <v/>
      </c>
      <c r="K125" t="str" cm="1">
        <f t="array" ref="K125">IF(G125="","",IFERROR(AVERAGE(IF((DATOS!$A$2:$A$20000=G125)*(DATOS!$G$2:$G$20000=CONFIG_METADATA!$B$4)*(DATOS!$I$2:$I$20000&lt;&gt;"Lenguaje Musical")*(DATOS!$I$2:$I$20000&lt;&gt;"Coro")*(DATOS!$I$2:$I$20000&lt;&gt;"Conjunto"),DATOS!$K$2:$K$20000)),""))</f>
        <v/>
      </c>
      <c r="N125" t="str">
        <f>IF(M125="","",IFERROR(AVERAGEIFS(DATOS!$K$2:$K$20000,DATOS!$A$2:$A$20000,M125,DATOS!$G$2:$G$20000,CONFIG_METADATA!$B$4,DATOS!$I$2:$I$20000,"Lenguaje Musical"),""))</f>
        <v/>
      </c>
      <c r="O125" t="str">
        <f>IF(M125="","",IFERROR(AVERAGEIFS(DATOS!$K$2:$K$20000,DATOS!$A$2:$A$20000,M125,DATOS!$G$2:$G$20000,CONFIG_METADATA!$B$4,DATOS!$I$2:$I$20000,"Coro"),""))</f>
        <v/>
      </c>
      <c r="P125" t="str">
        <f>IF(M125="","",IFERROR(AVERAGEIFS(DATOS!$K$2:$K$20000,DATOS!$A$2:$A$20000,M125,DATOS!$G$2:$G$20000,CONFIG_METADATA!$B$4,DATOS!$I$2:$I$20000,"Conjunto"),""))</f>
        <v/>
      </c>
      <c r="Q125" t="str" cm="1">
        <f t="array" ref="Q125">IF(M125="","",IFERROR(AVERAGE(IF((DATOS!$A$2:$A$20000=M125)*(DATOS!$G$2:$G$20000=CONFIG_METADATA!$B$4)*(DATOS!$I$2:$I$20000&lt;&gt;"Lenguaje Musical")*(DATOS!$I$2:$I$20000&lt;&gt;"Coro")*(DATOS!$I$2:$I$20000&lt;&gt;"Conjunto"),DATOS!$K$2:$K$20000)),""))</f>
        <v/>
      </c>
      <c r="T125" t="str">
        <f>IF(S125="","",IFERROR(AVERAGEIFS(DATOS!$K$2:$K$20000,DATOS!$A$2:$A$20000,S125,DATOS!$G$2:$G$20000,CONFIG_METADATA!$B$4,DATOS!$I$2:$I$20000,"Lenguaje Musical"),""))</f>
        <v/>
      </c>
      <c r="U125" t="str">
        <f>IF(S125="","",IFERROR(AVERAGEIFS(DATOS!$K$2:$K$20000,DATOS!$A$2:$A$20000,S125,DATOS!$G$2:$G$20000,CONFIG_METADATA!$B$4,DATOS!$I$2:$I$20000,"Coro"),""))</f>
        <v/>
      </c>
      <c r="V125" t="str">
        <f>IF(S125="","",IFERROR(AVERAGEIFS(DATOS!$K$2:$K$20000,DATOS!$A$2:$A$20000,S125,DATOS!$G$2:$G$20000,CONFIG_METADATA!$B$4,DATOS!$I$2:$I$20000,"Conjunto"),""))</f>
        <v/>
      </c>
      <c r="W125" t="str" cm="1">
        <f t="array" ref="W125">IF(S125="","",IFERROR(AVERAGE(IF((DATOS!$A$2:$A$20000=S125)*(DATOS!$G$2:$G$20000=CONFIG_METADATA!$B$4)*(DATOS!$I$2:$I$20000&lt;&gt;"Lenguaje Musical")*(DATOS!$I$2:$I$20000&lt;&gt;"Coro")*(DATOS!$I$2:$I$20000&lt;&gt;"Conjunto"),DATOS!$K$2:$K$20000)),""))</f>
        <v/>
      </c>
    </row>
    <row r="126" spans="2:23" x14ac:dyDescent="0.2">
      <c r="B126" t="str">
        <f>IF(A126="","",IFERROR(AVERAGEIFS(DATOS!$K$2:$K$20000,DATOS!$A$2:$A$20000,A126,DATOS!$G$2:$G$20000,CONFIG_METADATA!$B$4,DATOS!$I$2:$I$20000,"Lenguaje Musical"),""))</f>
        <v/>
      </c>
      <c r="C126" t="str">
        <f>IF(A126="","",IFERROR(AVERAGEIFS(DATOS!$K$2:$K$20000,DATOS!$A$2:$A$20000,A126,DATOS!$G$2:$G$20000,CONFIG_METADATA!$B$4,DATOS!$I$2:$I$20000,"Coro"),""))</f>
        <v/>
      </c>
      <c r="D126" t="str">
        <f>IF(A126="","",IFERROR(AVERAGEIFS(DATOS!$K$2:$K$20000,DATOS!$A$2:$A$20000,A126,DATOS!$G$2:$G$20000,CONFIG_METADATA!$B$4,DATOS!$I$2:$I$20000,"Conjunto"),""))</f>
        <v/>
      </c>
      <c r="E126" t="str" cm="1">
        <f t="array" ref="E126">IF(A126="","",IFERROR(AVERAGE(IF((DATOS!$A$2:$A$20000=A126)*(DATOS!$G$2:$G$20000=CONFIG_METADATA!$B$4)*(DATOS!$I$2:$I$20000&lt;&gt;"Lenguaje Musical")*(DATOS!$I$2:$I$20000&lt;&gt;"Coro")*(DATOS!$I$2:$I$20000&lt;&gt;"Conjunto"),DATOS!$K$2:$K$20000)),""))</f>
        <v/>
      </c>
      <c r="H126" t="str">
        <f>IF(G126="","",IFERROR(AVERAGEIFS(DATOS!$K$2:$K$20000,DATOS!$A$2:$A$20000,G126,DATOS!$G$2:$G$20000,CONFIG_METADATA!$B$4,DATOS!$I$2:$I$20000,"Lenguaje Musical"),""))</f>
        <v/>
      </c>
      <c r="I126" t="str">
        <f>IF(G126="","",IFERROR(AVERAGEIFS(DATOS!$K$2:$K$20000,DATOS!$A$2:$A$20000,G126,DATOS!$G$2:$G$20000,CONFIG_METADATA!$B$4,DATOS!$I$2:$I$20000,"Coro"),""))</f>
        <v/>
      </c>
      <c r="J126" t="str">
        <f>IF(G126="","",IFERROR(AVERAGEIFS(DATOS!$K$2:$K$20000,DATOS!$A$2:$A$20000,G126,DATOS!$G$2:$G$20000,CONFIG_METADATA!$B$4,DATOS!$I$2:$I$20000,"Conjunto"),""))</f>
        <v/>
      </c>
      <c r="K126" t="str" cm="1">
        <f t="array" ref="K126">IF(G126="","",IFERROR(AVERAGE(IF((DATOS!$A$2:$A$20000=G126)*(DATOS!$G$2:$G$20000=CONFIG_METADATA!$B$4)*(DATOS!$I$2:$I$20000&lt;&gt;"Lenguaje Musical")*(DATOS!$I$2:$I$20000&lt;&gt;"Coro")*(DATOS!$I$2:$I$20000&lt;&gt;"Conjunto"),DATOS!$K$2:$K$20000)),""))</f>
        <v/>
      </c>
      <c r="N126" t="str">
        <f>IF(M126="","",IFERROR(AVERAGEIFS(DATOS!$K$2:$K$20000,DATOS!$A$2:$A$20000,M126,DATOS!$G$2:$G$20000,CONFIG_METADATA!$B$4,DATOS!$I$2:$I$20000,"Lenguaje Musical"),""))</f>
        <v/>
      </c>
      <c r="O126" t="str">
        <f>IF(M126="","",IFERROR(AVERAGEIFS(DATOS!$K$2:$K$20000,DATOS!$A$2:$A$20000,M126,DATOS!$G$2:$G$20000,CONFIG_METADATA!$B$4,DATOS!$I$2:$I$20000,"Coro"),""))</f>
        <v/>
      </c>
      <c r="P126" t="str">
        <f>IF(M126="","",IFERROR(AVERAGEIFS(DATOS!$K$2:$K$20000,DATOS!$A$2:$A$20000,M126,DATOS!$G$2:$G$20000,CONFIG_METADATA!$B$4,DATOS!$I$2:$I$20000,"Conjunto"),""))</f>
        <v/>
      </c>
      <c r="Q126" t="str" cm="1">
        <f t="array" ref="Q126">IF(M126="","",IFERROR(AVERAGE(IF((DATOS!$A$2:$A$20000=M126)*(DATOS!$G$2:$G$20000=CONFIG_METADATA!$B$4)*(DATOS!$I$2:$I$20000&lt;&gt;"Lenguaje Musical")*(DATOS!$I$2:$I$20000&lt;&gt;"Coro")*(DATOS!$I$2:$I$20000&lt;&gt;"Conjunto"),DATOS!$K$2:$K$20000)),""))</f>
        <v/>
      </c>
      <c r="T126" t="str">
        <f>IF(S126="","",IFERROR(AVERAGEIFS(DATOS!$K$2:$K$20000,DATOS!$A$2:$A$20000,S126,DATOS!$G$2:$G$20000,CONFIG_METADATA!$B$4,DATOS!$I$2:$I$20000,"Lenguaje Musical"),""))</f>
        <v/>
      </c>
      <c r="U126" t="str">
        <f>IF(S126="","",IFERROR(AVERAGEIFS(DATOS!$K$2:$K$20000,DATOS!$A$2:$A$20000,S126,DATOS!$G$2:$G$20000,CONFIG_METADATA!$B$4,DATOS!$I$2:$I$20000,"Coro"),""))</f>
        <v/>
      </c>
      <c r="V126" t="str">
        <f>IF(S126="","",IFERROR(AVERAGEIFS(DATOS!$K$2:$K$20000,DATOS!$A$2:$A$20000,S126,DATOS!$G$2:$G$20000,CONFIG_METADATA!$B$4,DATOS!$I$2:$I$20000,"Conjunto"),""))</f>
        <v/>
      </c>
      <c r="W126" t="str" cm="1">
        <f t="array" ref="W126">IF(S126="","",IFERROR(AVERAGE(IF((DATOS!$A$2:$A$20000=S126)*(DATOS!$G$2:$G$20000=CONFIG_METADATA!$B$4)*(DATOS!$I$2:$I$20000&lt;&gt;"Lenguaje Musical")*(DATOS!$I$2:$I$20000&lt;&gt;"Coro")*(DATOS!$I$2:$I$20000&lt;&gt;"Conjunto"),DATOS!$K$2:$K$20000)),""))</f>
        <v/>
      </c>
    </row>
    <row r="127" spans="2:23" x14ac:dyDescent="0.2">
      <c r="B127" t="str">
        <f>IF(A127="","",IFERROR(AVERAGEIFS(DATOS!$K$2:$K$20000,DATOS!$A$2:$A$20000,A127,DATOS!$G$2:$G$20000,CONFIG_METADATA!$B$4,DATOS!$I$2:$I$20000,"Lenguaje Musical"),""))</f>
        <v/>
      </c>
      <c r="C127" t="str">
        <f>IF(A127="","",IFERROR(AVERAGEIFS(DATOS!$K$2:$K$20000,DATOS!$A$2:$A$20000,A127,DATOS!$G$2:$G$20000,CONFIG_METADATA!$B$4,DATOS!$I$2:$I$20000,"Coro"),""))</f>
        <v/>
      </c>
      <c r="D127" t="str">
        <f>IF(A127="","",IFERROR(AVERAGEIFS(DATOS!$K$2:$K$20000,DATOS!$A$2:$A$20000,A127,DATOS!$G$2:$G$20000,CONFIG_METADATA!$B$4,DATOS!$I$2:$I$20000,"Conjunto"),""))</f>
        <v/>
      </c>
      <c r="E127" t="str" cm="1">
        <f t="array" ref="E127">IF(A127="","",IFERROR(AVERAGE(IF((DATOS!$A$2:$A$20000=A127)*(DATOS!$G$2:$G$20000=CONFIG_METADATA!$B$4)*(DATOS!$I$2:$I$20000&lt;&gt;"Lenguaje Musical")*(DATOS!$I$2:$I$20000&lt;&gt;"Coro")*(DATOS!$I$2:$I$20000&lt;&gt;"Conjunto"),DATOS!$K$2:$K$20000)),""))</f>
        <v/>
      </c>
      <c r="H127" t="str">
        <f>IF(G127="","",IFERROR(AVERAGEIFS(DATOS!$K$2:$K$20000,DATOS!$A$2:$A$20000,G127,DATOS!$G$2:$G$20000,CONFIG_METADATA!$B$4,DATOS!$I$2:$I$20000,"Lenguaje Musical"),""))</f>
        <v/>
      </c>
      <c r="I127" t="str">
        <f>IF(G127="","",IFERROR(AVERAGEIFS(DATOS!$K$2:$K$20000,DATOS!$A$2:$A$20000,G127,DATOS!$G$2:$G$20000,CONFIG_METADATA!$B$4,DATOS!$I$2:$I$20000,"Coro"),""))</f>
        <v/>
      </c>
      <c r="J127" t="str">
        <f>IF(G127="","",IFERROR(AVERAGEIFS(DATOS!$K$2:$K$20000,DATOS!$A$2:$A$20000,G127,DATOS!$G$2:$G$20000,CONFIG_METADATA!$B$4,DATOS!$I$2:$I$20000,"Conjunto"),""))</f>
        <v/>
      </c>
      <c r="K127" t="str" cm="1">
        <f t="array" ref="K127">IF(G127="","",IFERROR(AVERAGE(IF((DATOS!$A$2:$A$20000=G127)*(DATOS!$G$2:$G$20000=CONFIG_METADATA!$B$4)*(DATOS!$I$2:$I$20000&lt;&gt;"Lenguaje Musical")*(DATOS!$I$2:$I$20000&lt;&gt;"Coro")*(DATOS!$I$2:$I$20000&lt;&gt;"Conjunto"),DATOS!$K$2:$K$20000)),""))</f>
        <v/>
      </c>
      <c r="N127" t="str">
        <f>IF(M127="","",IFERROR(AVERAGEIFS(DATOS!$K$2:$K$20000,DATOS!$A$2:$A$20000,M127,DATOS!$G$2:$G$20000,CONFIG_METADATA!$B$4,DATOS!$I$2:$I$20000,"Lenguaje Musical"),""))</f>
        <v/>
      </c>
      <c r="O127" t="str">
        <f>IF(M127="","",IFERROR(AVERAGEIFS(DATOS!$K$2:$K$20000,DATOS!$A$2:$A$20000,M127,DATOS!$G$2:$G$20000,CONFIG_METADATA!$B$4,DATOS!$I$2:$I$20000,"Coro"),""))</f>
        <v/>
      </c>
      <c r="P127" t="str">
        <f>IF(M127="","",IFERROR(AVERAGEIFS(DATOS!$K$2:$K$20000,DATOS!$A$2:$A$20000,M127,DATOS!$G$2:$G$20000,CONFIG_METADATA!$B$4,DATOS!$I$2:$I$20000,"Conjunto"),""))</f>
        <v/>
      </c>
      <c r="Q127" t="str" cm="1">
        <f t="array" ref="Q127">IF(M127="","",IFERROR(AVERAGE(IF((DATOS!$A$2:$A$20000=M127)*(DATOS!$G$2:$G$20000=CONFIG_METADATA!$B$4)*(DATOS!$I$2:$I$20000&lt;&gt;"Lenguaje Musical")*(DATOS!$I$2:$I$20000&lt;&gt;"Coro")*(DATOS!$I$2:$I$20000&lt;&gt;"Conjunto"),DATOS!$K$2:$K$20000)),""))</f>
        <v/>
      </c>
      <c r="T127" t="str">
        <f>IF(S127="","",IFERROR(AVERAGEIFS(DATOS!$K$2:$K$20000,DATOS!$A$2:$A$20000,S127,DATOS!$G$2:$G$20000,CONFIG_METADATA!$B$4,DATOS!$I$2:$I$20000,"Lenguaje Musical"),""))</f>
        <v/>
      </c>
      <c r="U127" t="str">
        <f>IF(S127="","",IFERROR(AVERAGEIFS(DATOS!$K$2:$K$20000,DATOS!$A$2:$A$20000,S127,DATOS!$G$2:$G$20000,CONFIG_METADATA!$B$4,DATOS!$I$2:$I$20000,"Coro"),""))</f>
        <v/>
      </c>
      <c r="V127" t="str">
        <f>IF(S127="","",IFERROR(AVERAGEIFS(DATOS!$K$2:$K$20000,DATOS!$A$2:$A$20000,S127,DATOS!$G$2:$G$20000,CONFIG_METADATA!$B$4,DATOS!$I$2:$I$20000,"Conjunto"),""))</f>
        <v/>
      </c>
      <c r="W127" t="str" cm="1">
        <f t="array" ref="W127">IF(S127="","",IFERROR(AVERAGE(IF((DATOS!$A$2:$A$20000=S127)*(DATOS!$G$2:$G$20000=CONFIG_METADATA!$B$4)*(DATOS!$I$2:$I$20000&lt;&gt;"Lenguaje Musical")*(DATOS!$I$2:$I$20000&lt;&gt;"Coro")*(DATOS!$I$2:$I$20000&lt;&gt;"Conjunto"),DATOS!$K$2:$K$20000)),""))</f>
        <v/>
      </c>
    </row>
    <row r="128" spans="2:23" x14ac:dyDescent="0.2">
      <c r="B128" t="str">
        <f>IF(A128="","",IFERROR(AVERAGEIFS(DATOS!$K$2:$K$20000,DATOS!$A$2:$A$20000,A128,DATOS!$G$2:$G$20000,CONFIG_METADATA!$B$4,DATOS!$I$2:$I$20000,"Lenguaje Musical"),""))</f>
        <v/>
      </c>
      <c r="C128" t="str">
        <f>IF(A128="","",IFERROR(AVERAGEIFS(DATOS!$K$2:$K$20000,DATOS!$A$2:$A$20000,A128,DATOS!$G$2:$G$20000,CONFIG_METADATA!$B$4,DATOS!$I$2:$I$20000,"Coro"),""))</f>
        <v/>
      </c>
      <c r="D128" t="str">
        <f>IF(A128="","",IFERROR(AVERAGEIFS(DATOS!$K$2:$K$20000,DATOS!$A$2:$A$20000,A128,DATOS!$G$2:$G$20000,CONFIG_METADATA!$B$4,DATOS!$I$2:$I$20000,"Conjunto"),""))</f>
        <v/>
      </c>
      <c r="E128" t="str" cm="1">
        <f t="array" ref="E128">IF(A128="","",IFERROR(AVERAGE(IF((DATOS!$A$2:$A$20000=A128)*(DATOS!$G$2:$G$20000=CONFIG_METADATA!$B$4)*(DATOS!$I$2:$I$20000&lt;&gt;"Lenguaje Musical")*(DATOS!$I$2:$I$20000&lt;&gt;"Coro")*(DATOS!$I$2:$I$20000&lt;&gt;"Conjunto"),DATOS!$K$2:$K$20000)),""))</f>
        <v/>
      </c>
      <c r="H128" t="str">
        <f>IF(G128="","",IFERROR(AVERAGEIFS(DATOS!$K$2:$K$20000,DATOS!$A$2:$A$20000,G128,DATOS!$G$2:$G$20000,CONFIG_METADATA!$B$4,DATOS!$I$2:$I$20000,"Lenguaje Musical"),""))</f>
        <v/>
      </c>
      <c r="I128" t="str">
        <f>IF(G128="","",IFERROR(AVERAGEIFS(DATOS!$K$2:$K$20000,DATOS!$A$2:$A$20000,G128,DATOS!$G$2:$G$20000,CONFIG_METADATA!$B$4,DATOS!$I$2:$I$20000,"Coro"),""))</f>
        <v/>
      </c>
      <c r="J128" t="str">
        <f>IF(G128="","",IFERROR(AVERAGEIFS(DATOS!$K$2:$K$20000,DATOS!$A$2:$A$20000,G128,DATOS!$G$2:$G$20000,CONFIG_METADATA!$B$4,DATOS!$I$2:$I$20000,"Conjunto"),""))</f>
        <v/>
      </c>
      <c r="K128" t="str" cm="1">
        <f t="array" ref="K128">IF(G128="","",IFERROR(AVERAGE(IF((DATOS!$A$2:$A$20000=G128)*(DATOS!$G$2:$G$20000=CONFIG_METADATA!$B$4)*(DATOS!$I$2:$I$20000&lt;&gt;"Lenguaje Musical")*(DATOS!$I$2:$I$20000&lt;&gt;"Coro")*(DATOS!$I$2:$I$20000&lt;&gt;"Conjunto"),DATOS!$K$2:$K$20000)),""))</f>
        <v/>
      </c>
      <c r="N128" t="str">
        <f>IF(M128="","",IFERROR(AVERAGEIFS(DATOS!$K$2:$K$20000,DATOS!$A$2:$A$20000,M128,DATOS!$G$2:$G$20000,CONFIG_METADATA!$B$4,DATOS!$I$2:$I$20000,"Lenguaje Musical"),""))</f>
        <v/>
      </c>
      <c r="O128" t="str">
        <f>IF(M128="","",IFERROR(AVERAGEIFS(DATOS!$K$2:$K$20000,DATOS!$A$2:$A$20000,M128,DATOS!$G$2:$G$20000,CONFIG_METADATA!$B$4,DATOS!$I$2:$I$20000,"Coro"),""))</f>
        <v/>
      </c>
      <c r="P128" t="str">
        <f>IF(M128="","",IFERROR(AVERAGEIFS(DATOS!$K$2:$K$20000,DATOS!$A$2:$A$20000,M128,DATOS!$G$2:$G$20000,CONFIG_METADATA!$B$4,DATOS!$I$2:$I$20000,"Conjunto"),""))</f>
        <v/>
      </c>
      <c r="Q128" t="str" cm="1">
        <f t="array" ref="Q128">IF(M128="","",IFERROR(AVERAGE(IF((DATOS!$A$2:$A$20000=M128)*(DATOS!$G$2:$G$20000=CONFIG_METADATA!$B$4)*(DATOS!$I$2:$I$20000&lt;&gt;"Lenguaje Musical")*(DATOS!$I$2:$I$20000&lt;&gt;"Coro")*(DATOS!$I$2:$I$20000&lt;&gt;"Conjunto"),DATOS!$K$2:$K$20000)),""))</f>
        <v/>
      </c>
      <c r="T128" t="str">
        <f>IF(S128="","",IFERROR(AVERAGEIFS(DATOS!$K$2:$K$20000,DATOS!$A$2:$A$20000,S128,DATOS!$G$2:$G$20000,CONFIG_METADATA!$B$4,DATOS!$I$2:$I$20000,"Lenguaje Musical"),""))</f>
        <v/>
      </c>
      <c r="U128" t="str">
        <f>IF(S128="","",IFERROR(AVERAGEIFS(DATOS!$K$2:$K$20000,DATOS!$A$2:$A$20000,S128,DATOS!$G$2:$G$20000,CONFIG_METADATA!$B$4,DATOS!$I$2:$I$20000,"Coro"),""))</f>
        <v/>
      </c>
      <c r="V128" t="str">
        <f>IF(S128="","",IFERROR(AVERAGEIFS(DATOS!$K$2:$K$20000,DATOS!$A$2:$A$20000,S128,DATOS!$G$2:$G$20000,CONFIG_METADATA!$B$4,DATOS!$I$2:$I$20000,"Conjunto"),""))</f>
        <v/>
      </c>
      <c r="W128" t="str" cm="1">
        <f t="array" ref="W128">IF(S128="","",IFERROR(AVERAGE(IF((DATOS!$A$2:$A$20000=S128)*(DATOS!$G$2:$G$20000=CONFIG_METADATA!$B$4)*(DATOS!$I$2:$I$20000&lt;&gt;"Lenguaje Musical")*(DATOS!$I$2:$I$20000&lt;&gt;"Coro")*(DATOS!$I$2:$I$20000&lt;&gt;"Conjunto"),DATOS!$K$2:$K$20000)),""))</f>
        <v/>
      </c>
    </row>
    <row r="129" spans="2:23" x14ac:dyDescent="0.2">
      <c r="B129" t="str">
        <f>IF(A129="","",IFERROR(AVERAGEIFS(DATOS!$K$2:$K$20000,DATOS!$A$2:$A$20000,A129,DATOS!$G$2:$G$20000,CONFIG_METADATA!$B$4,DATOS!$I$2:$I$20000,"Lenguaje Musical"),""))</f>
        <v/>
      </c>
      <c r="C129" t="str">
        <f>IF(A129="","",IFERROR(AVERAGEIFS(DATOS!$K$2:$K$20000,DATOS!$A$2:$A$20000,A129,DATOS!$G$2:$G$20000,CONFIG_METADATA!$B$4,DATOS!$I$2:$I$20000,"Coro"),""))</f>
        <v/>
      </c>
      <c r="D129" t="str">
        <f>IF(A129="","",IFERROR(AVERAGEIFS(DATOS!$K$2:$K$20000,DATOS!$A$2:$A$20000,A129,DATOS!$G$2:$G$20000,CONFIG_METADATA!$B$4,DATOS!$I$2:$I$20000,"Conjunto"),""))</f>
        <v/>
      </c>
      <c r="E129" t="str" cm="1">
        <f t="array" ref="E129">IF(A129="","",IFERROR(AVERAGE(IF((DATOS!$A$2:$A$20000=A129)*(DATOS!$G$2:$G$20000=CONFIG_METADATA!$B$4)*(DATOS!$I$2:$I$20000&lt;&gt;"Lenguaje Musical")*(DATOS!$I$2:$I$20000&lt;&gt;"Coro")*(DATOS!$I$2:$I$20000&lt;&gt;"Conjunto"),DATOS!$K$2:$K$20000)),""))</f>
        <v/>
      </c>
      <c r="H129" t="str">
        <f>IF(G129="","",IFERROR(AVERAGEIFS(DATOS!$K$2:$K$20000,DATOS!$A$2:$A$20000,G129,DATOS!$G$2:$G$20000,CONFIG_METADATA!$B$4,DATOS!$I$2:$I$20000,"Lenguaje Musical"),""))</f>
        <v/>
      </c>
      <c r="I129" t="str">
        <f>IF(G129="","",IFERROR(AVERAGEIFS(DATOS!$K$2:$K$20000,DATOS!$A$2:$A$20000,G129,DATOS!$G$2:$G$20000,CONFIG_METADATA!$B$4,DATOS!$I$2:$I$20000,"Coro"),""))</f>
        <v/>
      </c>
      <c r="J129" t="str">
        <f>IF(G129="","",IFERROR(AVERAGEIFS(DATOS!$K$2:$K$20000,DATOS!$A$2:$A$20000,G129,DATOS!$G$2:$G$20000,CONFIG_METADATA!$B$4,DATOS!$I$2:$I$20000,"Conjunto"),""))</f>
        <v/>
      </c>
      <c r="K129" t="str" cm="1">
        <f t="array" ref="K129">IF(G129="","",IFERROR(AVERAGE(IF((DATOS!$A$2:$A$20000=G129)*(DATOS!$G$2:$G$20000=CONFIG_METADATA!$B$4)*(DATOS!$I$2:$I$20000&lt;&gt;"Lenguaje Musical")*(DATOS!$I$2:$I$20000&lt;&gt;"Coro")*(DATOS!$I$2:$I$20000&lt;&gt;"Conjunto"),DATOS!$K$2:$K$20000)),""))</f>
        <v/>
      </c>
      <c r="N129" t="str">
        <f>IF(M129="","",IFERROR(AVERAGEIFS(DATOS!$K$2:$K$20000,DATOS!$A$2:$A$20000,M129,DATOS!$G$2:$G$20000,CONFIG_METADATA!$B$4,DATOS!$I$2:$I$20000,"Lenguaje Musical"),""))</f>
        <v/>
      </c>
      <c r="O129" t="str">
        <f>IF(M129="","",IFERROR(AVERAGEIFS(DATOS!$K$2:$K$20000,DATOS!$A$2:$A$20000,M129,DATOS!$G$2:$G$20000,CONFIG_METADATA!$B$4,DATOS!$I$2:$I$20000,"Coro"),""))</f>
        <v/>
      </c>
      <c r="P129" t="str">
        <f>IF(M129="","",IFERROR(AVERAGEIFS(DATOS!$K$2:$K$20000,DATOS!$A$2:$A$20000,M129,DATOS!$G$2:$G$20000,CONFIG_METADATA!$B$4,DATOS!$I$2:$I$20000,"Conjunto"),""))</f>
        <v/>
      </c>
      <c r="Q129" t="str" cm="1">
        <f t="array" ref="Q129">IF(M129="","",IFERROR(AVERAGE(IF((DATOS!$A$2:$A$20000=M129)*(DATOS!$G$2:$G$20000=CONFIG_METADATA!$B$4)*(DATOS!$I$2:$I$20000&lt;&gt;"Lenguaje Musical")*(DATOS!$I$2:$I$20000&lt;&gt;"Coro")*(DATOS!$I$2:$I$20000&lt;&gt;"Conjunto"),DATOS!$K$2:$K$20000)),""))</f>
        <v/>
      </c>
      <c r="T129" t="str">
        <f>IF(S129="","",IFERROR(AVERAGEIFS(DATOS!$K$2:$K$20000,DATOS!$A$2:$A$20000,S129,DATOS!$G$2:$G$20000,CONFIG_METADATA!$B$4,DATOS!$I$2:$I$20000,"Lenguaje Musical"),""))</f>
        <v/>
      </c>
      <c r="U129" t="str">
        <f>IF(S129="","",IFERROR(AVERAGEIFS(DATOS!$K$2:$K$20000,DATOS!$A$2:$A$20000,S129,DATOS!$G$2:$G$20000,CONFIG_METADATA!$B$4,DATOS!$I$2:$I$20000,"Coro"),""))</f>
        <v/>
      </c>
      <c r="V129" t="str">
        <f>IF(S129="","",IFERROR(AVERAGEIFS(DATOS!$K$2:$K$20000,DATOS!$A$2:$A$20000,S129,DATOS!$G$2:$G$20000,CONFIG_METADATA!$B$4,DATOS!$I$2:$I$20000,"Conjunto"),""))</f>
        <v/>
      </c>
      <c r="W129" t="str" cm="1">
        <f t="array" ref="W129">IF(S129="","",IFERROR(AVERAGE(IF((DATOS!$A$2:$A$20000=S129)*(DATOS!$G$2:$G$20000=CONFIG_METADATA!$B$4)*(DATOS!$I$2:$I$20000&lt;&gt;"Lenguaje Musical")*(DATOS!$I$2:$I$20000&lt;&gt;"Coro")*(DATOS!$I$2:$I$20000&lt;&gt;"Conjunto"),DATOS!$K$2:$K$20000)),""))</f>
        <v/>
      </c>
    </row>
    <row r="130" spans="2:23" x14ac:dyDescent="0.2">
      <c r="B130" t="str">
        <f>IF(A130="","",IFERROR(AVERAGEIFS(DATOS!$K$2:$K$20000,DATOS!$A$2:$A$20000,A130,DATOS!$G$2:$G$20000,CONFIG_METADATA!$B$4,DATOS!$I$2:$I$20000,"Lenguaje Musical"),""))</f>
        <v/>
      </c>
      <c r="C130" t="str">
        <f>IF(A130="","",IFERROR(AVERAGEIFS(DATOS!$K$2:$K$20000,DATOS!$A$2:$A$20000,A130,DATOS!$G$2:$G$20000,CONFIG_METADATA!$B$4,DATOS!$I$2:$I$20000,"Coro"),""))</f>
        <v/>
      </c>
      <c r="D130" t="str">
        <f>IF(A130="","",IFERROR(AVERAGEIFS(DATOS!$K$2:$K$20000,DATOS!$A$2:$A$20000,A130,DATOS!$G$2:$G$20000,CONFIG_METADATA!$B$4,DATOS!$I$2:$I$20000,"Conjunto"),""))</f>
        <v/>
      </c>
      <c r="E130" t="str" cm="1">
        <f t="array" ref="E130">IF(A130="","",IFERROR(AVERAGE(IF((DATOS!$A$2:$A$20000=A130)*(DATOS!$G$2:$G$20000=CONFIG_METADATA!$B$4)*(DATOS!$I$2:$I$20000&lt;&gt;"Lenguaje Musical")*(DATOS!$I$2:$I$20000&lt;&gt;"Coro")*(DATOS!$I$2:$I$20000&lt;&gt;"Conjunto"),DATOS!$K$2:$K$20000)),""))</f>
        <v/>
      </c>
      <c r="H130" t="str">
        <f>IF(G130="","",IFERROR(AVERAGEIFS(DATOS!$K$2:$K$20000,DATOS!$A$2:$A$20000,G130,DATOS!$G$2:$G$20000,CONFIG_METADATA!$B$4,DATOS!$I$2:$I$20000,"Lenguaje Musical"),""))</f>
        <v/>
      </c>
      <c r="I130" t="str">
        <f>IF(G130="","",IFERROR(AVERAGEIFS(DATOS!$K$2:$K$20000,DATOS!$A$2:$A$20000,G130,DATOS!$G$2:$G$20000,CONFIG_METADATA!$B$4,DATOS!$I$2:$I$20000,"Coro"),""))</f>
        <v/>
      </c>
      <c r="J130" t="str">
        <f>IF(G130="","",IFERROR(AVERAGEIFS(DATOS!$K$2:$K$20000,DATOS!$A$2:$A$20000,G130,DATOS!$G$2:$G$20000,CONFIG_METADATA!$B$4,DATOS!$I$2:$I$20000,"Conjunto"),""))</f>
        <v/>
      </c>
      <c r="K130" t="str" cm="1">
        <f t="array" ref="K130">IF(G130="","",IFERROR(AVERAGE(IF((DATOS!$A$2:$A$20000=G130)*(DATOS!$G$2:$G$20000=CONFIG_METADATA!$B$4)*(DATOS!$I$2:$I$20000&lt;&gt;"Lenguaje Musical")*(DATOS!$I$2:$I$20000&lt;&gt;"Coro")*(DATOS!$I$2:$I$20000&lt;&gt;"Conjunto"),DATOS!$K$2:$K$20000)),""))</f>
        <v/>
      </c>
      <c r="N130" t="str">
        <f>IF(M130="","",IFERROR(AVERAGEIFS(DATOS!$K$2:$K$20000,DATOS!$A$2:$A$20000,M130,DATOS!$G$2:$G$20000,CONFIG_METADATA!$B$4,DATOS!$I$2:$I$20000,"Lenguaje Musical"),""))</f>
        <v/>
      </c>
      <c r="O130" t="str">
        <f>IF(M130="","",IFERROR(AVERAGEIFS(DATOS!$K$2:$K$20000,DATOS!$A$2:$A$20000,M130,DATOS!$G$2:$G$20000,CONFIG_METADATA!$B$4,DATOS!$I$2:$I$20000,"Coro"),""))</f>
        <v/>
      </c>
      <c r="P130" t="str">
        <f>IF(M130="","",IFERROR(AVERAGEIFS(DATOS!$K$2:$K$20000,DATOS!$A$2:$A$20000,M130,DATOS!$G$2:$G$20000,CONFIG_METADATA!$B$4,DATOS!$I$2:$I$20000,"Conjunto"),""))</f>
        <v/>
      </c>
      <c r="Q130" t="str" cm="1">
        <f t="array" ref="Q130">IF(M130="","",IFERROR(AVERAGE(IF((DATOS!$A$2:$A$20000=M130)*(DATOS!$G$2:$G$20000=CONFIG_METADATA!$B$4)*(DATOS!$I$2:$I$20000&lt;&gt;"Lenguaje Musical")*(DATOS!$I$2:$I$20000&lt;&gt;"Coro")*(DATOS!$I$2:$I$20000&lt;&gt;"Conjunto"),DATOS!$K$2:$K$20000)),""))</f>
        <v/>
      </c>
      <c r="T130" t="str">
        <f>IF(S130="","",IFERROR(AVERAGEIFS(DATOS!$K$2:$K$20000,DATOS!$A$2:$A$20000,S130,DATOS!$G$2:$G$20000,CONFIG_METADATA!$B$4,DATOS!$I$2:$I$20000,"Lenguaje Musical"),""))</f>
        <v/>
      </c>
      <c r="U130" t="str">
        <f>IF(S130="","",IFERROR(AVERAGEIFS(DATOS!$K$2:$K$20000,DATOS!$A$2:$A$20000,S130,DATOS!$G$2:$G$20000,CONFIG_METADATA!$B$4,DATOS!$I$2:$I$20000,"Coro"),""))</f>
        <v/>
      </c>
      <c r="V130" t="str">
        <f>IF(S130="","",IFERROR(AVERAGEIFS(DATOS!$K$2:$K$20000,DATOS!$A$2:$A$20000,S130,DATOS!$G$2:$G$20000,CONFIG_METADATA!$B$4,DATOS!$I$2:$I$20000,"Conjunto"),""))</f>
        <v/>
      </c>
      <c r="W130" t="str" cm="1">
        <f t="array" ref="W130">IF(S130="","",IFERROR(AVERAGE(IF((DATOS!$A$2:$A$20000=S130)*(DATOS!$G$2:$G$20000=CONFIG_METADATA!$B$4)*(DATOS!$I$2:$I$20000&lt;&gt;"Lenguaje Musical")*(DATOS!$I$2:$I$20000&lt;&gt;"Coro")*(DATOS!$I$2:$I$20000&lt;&gt;"Conjunto"),DATOS!$K$2:$K$20000)),""))</f>
        <v/>
      </c>
    </row>
    <row r="131" spans="2:23" x14ac:dyDescent="0.2">
      <c r="B131" t="str">
        <f>IF(A131="","",IFERROR(AVERAGEIFS(DATOS!$K$2:$K$20000,DATOS!$A$2:$A$20000,A131,DATOS!$G$2:$G$20000,CONFIG_METADATA!$B$4,DATOS!$I$2:$I$20000,"Lenguaje Musical"),""))</f>
        <v/>
      </c>
      <c r="C131" t="str">
        <f>IF(A131="","",IFERROR(AVERAGEIFS(DATOS!$K$2:$K$20000,DATOS!$A$2:$A$20000,A131,DATOS!$G$2:$G$20000,CONFIG_METADATA!$B$4,DATOS!$I$2:$I$20000,"Coro"),""))</f>
        <v/>
      </c>
      <c r="D131" t="str">
        <f>IF(A131="","",IFERROR(AVERAGEIFS(DATOS!$K$2:$K$20000,DATOS!$A$2:$A$20000,A131,DATOS!$G$2:$G$20000,CONFIG_METADATA!$B$4,DATOS!$I$2:$I$20000,"Conjunto"),""))</f>
        <v/>
      </c>
      <c r="E131" t="str" cm="1">
        <f t="array" ref="E131">IF(A131="","",IFERROR(AVERAGE(IF((DATOS!$A$2:$A$20000=A131)*(DATOS!$G$2:$G$20000=CONFIG_METADATA!$B$4)*(DATOS!$I$2:$I$20000&lt;&gt;"Lenguaje Musical")*(DATOS!$I$2:$I$20000&lt;&gt;"Coro")*(DATOS!$I$2:$I$20000&lt;&gt;"Conjunto"),DATOS!$K$2:$K$20000)),""))</f>
        <v/>
      </c>
      <c r="H131" t="str">
        <f>IF(G131="","",IFERROR(AVERAGEIFS(DATOS!$K$2:$K$20000,DATOS!$A$2:$A$20000,G131,DATOS!$G$2:$G$20000,CONFIG_METADATA!$B$4,DATOS!$I$2:$I$20000,"Lenguaje Musical"),""))</f>
        <v/>
      </c>
      <c r="I131" t="str">
        <f>IF(G131="","",IFERROR(AVERAGEIFS(DATOS!$K$2:$K$20000,DATOS!$A$2:$A$20000,G131,DATOS!$G$2:$G$20000,CONFIG_METADATA!$B$4,DATOS!$I$2:$I$20000,"Coro"),""))</f>
        <v/>
      </c>
      <c r="J131" t="str">
        <f>IF(G131="","",IFERROR(AVERAGEIFS(DATOS!$K$2:$K$20000,DATOS!$A$2:$A$20000,G131,DATOS!$G$2:$G$20000,CONFIG_METADATA!$B$4,DATOS!$I$2:$I$20000,"Conjunto"),""))</f>
        <v/>
      </c>
      <c r="K131" t="str" cm="1">
        <f t="array" ref="K131">IF(G131="","",IFERROR(AVERAGE(IF((DATOS!$A$2:$A$20000=G131)*(DATOS!$G$2:$G$20000=CONFIG_METADATA!$B$4)*(DATOS!$I$2:$I$20000&lt;&gt;"Lenguaje Musical")*(DATOS!$I$2:$I$20000&lt;&gt;"Coro")*(DATOS!$I$2:$I$20000&lt;&gt;"Conjunto"),DATOS!$K$2:$K$20000)),""))</f>
        <v/>
      </c>
      <c r="N131" t="str">
        <f>IF(M131="","",IFERROR(AVERAGEIFS(DATOS!$K$2:$K$20000,DATOS!$A$2:$A$20000,M131,DATOS!$G$2:$G$20000,CONFIG_METADATA!$B$4,DATOS!$I$2:$I$20000,"Lenguaje Musical"),""))</f>
        <v/>
      </c>
      <c r="O131" t="str">
        <f>IF(M131="","",IFERROR(AVERAGEIFS(DATOS!$K$2:$K$20000,DATOS!$A$2:$A$20000,M131,DATOS!$G$2:$G$20000,CONFIG_METADATA!$B$4,DATOS!$I$2:$I$20000,"Coro"),""))</f>
        <v/>
      </c>
      <c r="P131" t="str">
        <f>IF(M131="","",IFERROR(AVERAGEIFS(DATOS!$K$2:$K$20000,DATOS!$A$2:$A$20000,M131,DATOS!$G$2:$G$20000,CONFIG_METADATA!$B$4,DATOS!$I$2:$I$20000,"Conjunto"),""))</f>
        <v/>
      </c>
      <c r="Q131" t="str" cm="1">
        <f t="array" ref="Q131">IF(M131="","",IFERROR(AVERAGE(IF((DATOS!$A$2:$A$20000=M131)*(DATOS!$G$2:$G$20000=CONFIG_METADATA!$B$4)*(DATOS!$I$2:$I$20000&lt;&gt;"Lenguaje Musical")*(DATOS!$I$2:$I$20000&lt;&gt;"Coro")*(DATOS!$I$2:$I$20000&lt;&gt;"Conjunto"),DATOS!$K$2:$K$20000)),""))</f>
        <v/>
      </c>
      <c r="T131" t="str">
        <f>IF(S131="","",IFERROR(AVERAGEIFS(DATOS!$K$2:$K$20000,DATOS!$A$2:$A$20000,S131,DATOS!$G$2:$G$20000,CONFIG_METADATA!$B$4,DATOS!$I$2:$I$20000,"Lenguaje Musical"),""))</f>
        <v/>
      </c>
      <c r="U131" t="str">
        <f>IF(S131="","",IFERROR(AVERAGEIFS(DATOS!$K$2:$K$20000,DATOS!$A$2:$A$20000,S131,DATOS!$G$2:$G$20000,CONFIG_METADATA!$B$4,DATOS!$I$2:$I$20000,"Coro"),""))</f>
        <v/>
      </c>
      <c r="V131" t="str">
        <f>IF(S131="","",IFERROR(AVERAGEIFS(DATOS!$K$2:$K$20000,DATOS!$A$2:$A$20000,S131,DATOS!$G$2:$G$20000,CONFIG_METADATA!$B$4,DATOS!$I$2:$I$20000,"Conjunto"),""))</f>
        <v/>
      </c>
      <c r="W131" t="str" cm="1">
        <f t="array" ref="W131">IF(S131="","",IFERROR(AVERAGE(IF((DATOS!$A$2:$A$20000=S131)*(DATOS!$G$2:$G$20000=CONFIG_METADATA!$B$4)*(DATOS!$I$2:$I$20000&lt;&gt;"Lenguaje Musical")*(DATOS!$I$2:$I$20000&lt;&gt;"Coro")*(DATOS!$I$2:$I$20000&lt;&gt;"Conjunto"),DATOS!$K$2:$K$20000)),""))</f>
        <v/>
      </c>
    </row>
    <row r="132" spans="2:23" x14ac:dyDescent="0.2">
      <c r="B132" t="str">
        <f>IF(A132="","",IFERROR(AVERAGEIFS(DATOS!$K$2:$K$20000,DATOS!$A$2:$A$20000,A132,DATOS!$G$2:$G$20000,CONFIG_METADATA!$B$4,DATOS!$I$2:$I$20000,"Lenguaje Musical"),""))</f>
        <v/>
      </c>
      <c r="C132" t="str">
        <f>IF(A132="","",IFERROR(AVERAGEIFS(DATOS!$K$2:$K$20000,DATOS!$A$2:$A$20000,A132,DATOS!$G$2:$G$20000,CONFIG_METADATA!$B$4,DATOS!$I$2:$I$20000,"Coro"),""))</f>
        <v/>
      </c>
      <c r="D132" t="str">
        <f>IF(A132="","",IFERROR(AVERAGEIFS(DATOS!$K$2:$K$20000,DATOS!$A$2:$A$20000,A132,DATOS!$G$2:$G$20000,CONFIG_METADATA!$B$4,DATOS!$I$2:$I$20000,"Conjunto"),""))</f>
        <v/>
      </c>
      <c r="E132" t="str" cm="1">
        <f t="array" ref="E132">IF(A132="","",IFERROR(AVERAGE(IF((DATOS!$A$2:$A$20000=A132)*(DATOS!$G$2:$G$20000=CONFIG_METADATA!$B$4)*(DATOS!$I$2:$I$20000&lt;&gt;"Lenguaje Musical")*(DATOS!$I$2:$I$20000&lt;&gt;"Coro")*(DATOS!$I$2:$I$20000&lt;&gt;"Conjunto"),DATOS!$K$2:$K$20000)),""))</f>
        <v/>
      </c>
      <c r="H132" t="str">
        <f>IF(G132="","",IFERROR(AVERAGEIFS(DATOS!$K$2:$K$20000,DATOS!$A$2:$A$20000,G132,DATOS!$G$2:$G$20000,CONFIG_METADATA!$B$4,DATOS!$I$2:$I$20000,"Lenguaje Musical"),""))</f>
        <v/>
      </c>
      <c r="I132" t="str">
        <f>IF(G132="","",IFERROR(AVERAGEIFS(DATOS!$K$2:$K$20000,DATOS!$A$2:$A$20000,G132,DATOS!$G$2:$G$20000,CONFIG_METADATA!$B$4,DATOS!$I$2:$I$20000,"Coro"),""))</f>
        <v/>
      </c>
      <c r="J132" t="str">
        <f>IF(G132="","",IFERROR(AVERAGEIFS(DATOS!$K$2:$K$20000,DATOS!$A$2:$A$20000,G132,DATOS!$G$2:$G$20000,CONFIG_METADATA!$B$4,DATOS!$I$2:$I$20000,"Conjunto"),""))</f>
        <v/>
      </c>
      <c r="K132" t="str" cm="1">
        <f t="array" ref="K132">IF(G132="","",IFERROR(AVERAGE(IF((DATOS!$A$2:$A$20000=G132)*(DATOS!$G$2:$G$20000=CONFIG_METADATA!$B$4)*(DATOS!$I$2:$I$20000&lt;&gt;"Lenguaje Musical")*(DATOS!$I$2:$I$20000&lt;&gt;"Coro")*(DATOS!$I$2:$I$20000&lt;&gt;"Conjunto"),DATOS!$K$2:$K$20000)),""))</f>
        <v/>
      </c>
      <c r="N132" t="str">
        <f>IF(M132="","",IFERROR(AVERAGEIFS(DATOS!$K$2:$K$20000,DATOS!$A$2:$A$20000,M132,DATOS!$G$2:$G$20000,CONFIG_METADATA!$B$4,DATOS!$I$2:$I$20000,"Lenguaje Musical"),""))</f>
        <v/>
      </c>
      <c r="O132" t="str">
        <f>IF(M132="","",IFERROR(AVERAGEIFS(DATOS!$K$2:$K$20000,DATOS!$A$2:$A$20000,M132,DATOS!$G$2:$G$20000,CONFIG_METADATA!$B$4,DATOS!$I$2:$I$20000,"Coro"),""))</f>
        <v/>
      </c>
      <c r="P132" t="str">
        <f>IF(M132="","",IFERROR(AVERAGEIFS(DATOS!$K$2:$K$20000,DATOS!$A$2:$A$20000,M132,DATOS!$G$2:$G$20000,CONFIG_METADATA!$B$4,DATOS!$I$2:$I$20000,"Conjunto"),""))</f>
        <v/>
      </c>
      <c r="Q132" t="str" cm="1">
        <f t="array" ref="Q132">IF(M132="","",IFERROR(AVERAGE(IF((DATOS!$A$2:$A$20000=M132)*(DATOS!$G$2:$G$20000=CONFIG_METADATA!$B$4)*(DATOS!$I$2:$I$20000&lt;&gt;"Lenguaje Musical")*(DATOS!$I$2:$I$20000&lt;&gt;"Coro")*(DATOS!$I$2:$I$20000&lt;&gt;"Conjunto"),DATOS!$K$2:$K$20000)),""))</f>
        <v/>
      </c>
      <c r="T132" t="str">
        <f>IF(S132="","",IFERROR(AVERAGEIFS(DATOS!$K$2:$K$20000,DATOS!$A$2:$A$20000,S132,DATOS!$G$2:$G$20000,CONFIG_METADATA!$B$4,DATOS!$I$2:$I$20000,"Lenguaje Musical"),""))</f>
        <v/>
      </c>
      <c r="U132" t="str">
        <f>IF(S132="","",IFERROR(AVERAGEIFS(DATOS!$K$2:$K$20000,DATOS!$A$2:$A$20000,S132,DATOS!$G$2:$G$20000,CONFIG_METADATA!$B$4,DATOS!$I$2:$I$20000,"Coro"),""))</f>
        <v/>
      </c>
      <c r="V132" t="str">
        <f>IF(S132="","",IFERROR(AVERAGEIFS(DATOS!$K$2:$K$20000,DATOS!$A$2:$A$20000,S132,DATOS!$G$2:$G$20000,CONFIG_METADATA!$B$4,DATOS!$I$2:$I$20000,"Conjunto"),""))</f>
        <v/>
      </c>
      <c r="W132" t="str" cm="1">
        <f t="array" ref="W132">IF(S132="","",IFERROR(AVERAGE(IF((DATOS!$A$2:$A$20000=S132)*(DATOS!$G$2:$G$20000=CONFIG_METADATA!$B$4)*(DATOS!$I$2:$I$20000&lt;&gt;"Lenguaje Musical")*(DATOS!$I$2:$I$20000&lt;&gt;"Coro")*(DATOS!$I$2:$I$20000&lt;&gt;"Conjunto"),DATOS!$K$2:$K$20000)),""))</f>
        <v/>
      </c>
    </row>
    <row r="133" spans="2:23" x14ac:dyDescent="0.2">
      <c r="B133" t="str">
        <f>IF(A133="","",IFERROR(AVERAGEIFS(DATOS!$K$2:$K$20000,DATOS!$A$2:$A$20000,A133,DATOS!$G$2:$G$20000,CONFIG_METADATA!$B$4,DATOS!$I$2:$I$20000,"Lenguaje Musical"),""))</f>
        <v/>
      </c>
      <c r="C133" t="str">
        <f>IF(A133="","",IFERROR(AVERAGEIFS(DATOS!$K$2:$K$20000,DATOS!$A$2:$A$20000,A133,DATOS!$G$2:$G$20000,CONFIG_METADATA!$B$4,DATOS!$I$2:$I$20000,"Coro"),""))</f>
        <v/>
      </c>
      <c r="D133" t="str">
        <f>IF(A133="","",IFERROR(AVERAGEIFS(DATOS!$K$2:$K$20000,DATOS!$A$2:$A$20000,A133,DATOS!$G$2:$G$20000,CONFIG_METADATA!$B$4,DATOS!$I$2:$I$20000,"Conjunto"),""))</f>
        <v/>
      </c>
      <c r="E133" t="str" cm="1">
        <f t="array" ref="E133">IF(A133="","",IFERROR(AVERAGE(IF((DATOS!$A$2:$A$20000=A133)*(DATOS!$G$2:$G$20000=CONFIG_METADATA!$B$4)*(DATOS!$I$2:$I$20000&lt;&gt;"Lenguaje Musical")*(DATOS!$I$2:$I$20000&lt;&gt;"Coro")*(DATOS!$I$2:$I$20000&lt;&gt;"Conjunto"),DATOS!$K$2:$K$20000)),""))</f>
        <v/>
      </c>
      <c r="H133" t="str">
        <f>IF(G133="","",IFERROR(AVERAGEIFS(DATOS!$K$2:$K$20000,DATOS!$A$2:$A$20000,G133,DATOS!$G$2:$G$20000,CONFIG_METADATA!$B$4,DATOS!$I$2:$I$20000,"Lenguaje Musical"),""))</f>
        <v/>
      </c>
      <c r="I133" t="str">
        <f>IF(G133="","",IFERROR(AVERAGEIFS(DATOS!$K$2:$K$20000,DATOS!$A$2:$A$20000,G133,DATOS!$G$2:$G$20000,CONFIG_METADATA!$B$4,DATOS!$I$2:$I$20000,"Coro"),""))</f>
        <v/>
      </c>
      <c r="J133" t="str">
        <f>IF(G133="","",IFERROR(AVERAGEIFS(DATOS!$K$2:$K$20000,DATOS!$A$2:$A$20000,G133,DATOS!$G$2:$G$20000,CONFIG_METADATA!$B$4,DATOS!$I$2:$I$20000,"Conjunto"),""))</f>
        <v/>
      </c>
      <c r="K133" t="str" cm="1">
        <f t="array" ref="K133">IF(G133="","",IFERROR(AVERAGE(IF((DATOS!$A$2:$A$20000=G133)*(DATOS!$G$2:$G$20000=CONFIG_METADATA!$B$4)*(DATOS!$I$2:$I$20000&lt;&gt;"Lenguaje Musical")*(DATOS!$I$2:$I$20000&lt;&gt;"Coro")*(DATOS!$I$2:$I$20000&lt;&gt;"Conjunto"),DATOS!$K$2:$K$20000)),""))</f>
        <v/>
      </c>
      <c r="N133" t="str">
        <f>IF(M133="","",IFERROR(AVERAGEIFS(DATOS!$K$2:$K$20000,DATOS!$A$2:$A$20000,M133,DATOS!$G$2:$G$20000,CONFIG_METADATA!$B$4,DATOS!$I$2:$I$20000,"Lenguaje Musical"),""))</f>
        <v/>
      </c>
      <c r="O133" t="str">
        <f>IF(M133="","",IFERROR(AVERAGEIFS(DATOS!$K$2:$K$20000,DATOS!$A$2:$A$20000,M133,DATOS!$G$2:$G$20000,CONFIG_METADATA!$B$4,DATOS!$I$2:$I$20000,"Coro"),""))</f>
        <v/>
      </c>
      <c r="P133" t="str">
        <f>IF(M133="","",IFERROR(AVERAGEIFS(DATOS!$K$2:$K$20000,DATOS!$A$2:$A$20000,M133,DATOS!$G$2:$G$20000,CONFIG_METADATA!$B$4,DATOS!$I$2:$I$20000,"Conjunto"),""))</f>
        <v/>
      </c>
      <c r="Q133" t="str" cm="1">
        <f t="array" ref="Q133">IF(M133="","",IFERROR(AVERAGE(IF((DATOS!$A$2:$A$20000=M133)*(DATOS!$G$2:$G$20000=CONFIG_METADATA!$B$4)*(DATOS!$I$2:$I$20000&lt;&gt;"Lenguaje Musical")*(DATOS!$I$2:$I$20000&lt;&gt;"Coro")*(DATOS!$I$2:$I$20000&lt;&gt;"Conjunto"),DATOS!$K$2:$K$20000)),""))</f>
        <v/>
      </c>
      <c r="T133" t="str">
        <f>IF(S133="","",IFERROR(AVERAGEIFS(DATOS!$K$2:$K$20000,DATOS!$A$2:$A$20000,S133,DATOS!$G$2:$G$20000,CONFIG_METADATA!$B$4,DATOS!$I$2:$I$20000,"Lenguaje Musical"),""))</f>
        <v/>
      </c>
      <c r="U133" t="str">
        <f>IF(S133="","",IFERROR(AVERAGEIFS(DATOS!$K$2:$K$20000,DATOS!$A$2:$A$20000,S133,DATOS!$G$2:$G$20000,CONFIG_METADATA!$B$4,DATOS!$I$2:$I$20000,"Coro"),""))</f>
        <v/>
      </c>
      <c r="V133" t="str">
        <f>IF(S133="","",IFERROR(AVERAGEIFS(DATOS!$K$2:$K$20000,DATOS!$A$2:$A$20000,S133,DATOS!$G$2:$G$20000,CONFIG_METADATA!$B$4,DATOS!$I$2:$I$20000,"Conjunto"),""))</f>
        <v/>
      </c>
      <c r="W133" t="str" cm="1">
        <f t="array" ref="W133">IF(S133="","",IFERROR(AVERAGE(IF((DATOS!$A$2:$A$20000=S133)*(DATOS!$G$2:$G$20000=CONFIG_METADATA!$B$4)*(DATOS!$I$2:$I$20000&lt;&gt;"Lenguaje Musical")*(DATOS!$I$2:$I$20000&lt;&gt;"Coro")*(DATOS!$I$2:$I$20000&lt;&gt;"Conjunto"),DATOS!$K$2:$K$20000)),""))</f>
        <v/>
      </c>
    </row>
    <row r="134" spans="2:23" x14ac:dyDescent="0.2">
      <c r="B134" t="str">
        <f>IF(A134="","",IFERROR(AVERAGEIFS(DATOS!$K$2:$K$20000,DATOS!$A$2:$A$20000,A134,DATOS!$G$2:$G$20000,CONFIG_METADATA!$B$4,DATOS!$I$2:$I$20000,"Lenguaje Musical"),""))</f>
        <v/>
      </c>
      <c r="C134" t="str">
        <f>IF(A134="","",IFERROR(AVERAGEIFS(DATOS!$K$2:$K$20000,DATOS!$A$2:$A$20000,A134,DATOS!$G$2:$G$20000,CONFIG_METADATA!$B$4,DATOS!$I$2:$I$20000,"Coro"),""))</f>
        <v/>
      </c>
      <c r="D134" t="str">
        <f>IF(A134="","",IFERROR(AVERAGEIFS(DATOS!$K$2:$K$20000,DATOS!$A$2:$A$20000,A134,DATOS!$G$2:$G$20000,CONFIG_METADATA!$B$4,DATOS!$I$2:$I$20000,"Conjunto"),""))</f>
        <v/>
      </c>
      <c r="E134" t="str" cm="1">
        <f t="array" ref="E134">IF(A134="","",IFERROR(AVERAGE(IF((DATOS!$A$2:$A$20000=A134)*(DATOS!$G$2:$G$20000=CONFIG_METADATA!$B$4)*(DATOS!$I$2:$I$20000&lt;&gt;"Lenguaje Musical")*(DATOS!$I$2:$I$20000&lt;&gt;"Coro")*(DATOS!$I$2:$I$20000&lt;&gt;"Conjunto"),DATOS!$K$2:$K$20000)),""))</f>
        <v/>
      </c>
      <c r="H134" t="str">
        <f>IF(G134="","",IFERROR(AVERAGEIFS(DATOS!$K$2:$K$20000,DATOS!$A$2:$A$20000,G134,DATOS!$G$2:$G$20000,CONFIG_METADATA!$B$4,DATOS!$I$2:$I$20000,"Lenguaje Musical"),""))</f>
        <v/>
      </c>
      <c r="I134" t="str">
        <f>IF(G134="","",IFERROR(AVERAGEIFS(DATOS!$K$2:$K$20000,DATOS!$A$2:$A$20000,G134,DATOS!$G$2:$G$20000,CONFIG_METADATA!$B$4,DATOS!$I$2:$I$20000,"Coro"),""))</f>
        <v/>
      </c>
      <c r="J134" t="str">
        <f>IF(G134="","",IFERROR(AVERAGEIFS(DATOS!$K$2:$K$20000,DATOS!$A$2:$A$20000,G134,DATOS!$G$2:$G$20000,CONFIG_METADATA!$B$4,DATOS!$I$2:$I$20000,"Conjunto"),""))</f>
        <v/>
      </c>
      <c r="K134" t="str" cm="1">
        <f t="array" ref="K134">IF(G134="","",IFERROR(AVERAGE(IF((DATOS!$A$2:$A$20000=G134)*(DATOS!$G$2:$G$20000=CONFIG_METADATA!$B$4)*(DATOS!$I$2:$I$20000&lt;&gt;"Lenguaje Musical")*(DATOS!$I$2:$I$20000&lt;&gt;"Coro")*(DATOS!$I$2:$I$20000&lt;&gt;"Conjunto"),DATOS!$K$2:$K$20000)),""))</f>
        <v/>
      </c>
      <c r="N134" t="str">
        <f>IF(M134="","",IFERROR(AVERAGEIFS(DATOS!$K$2:$K$20000,DATOS!$A$2:$A$20000,M134,DATOS!$G$2:$G$20000,CONFIG_METADATA!$B$4,DATOS!$I$2:$I$20000,"Lenguaje Musical"),""))</f>
        <v/>
      </c>
      <c r="O134" t="str">
        <f>IF(M134="","",IFERROR(AVERAGEIFS(DATOS!$K$2:$K$20000,DATOS!$A$2:$A$20000,M134,DATOS!$G$2:$G$20000,CONFIG_METADATA!$B$4,DATOS!$I$2:$I$20000,"Coro"),""))</f>
        <v/>
      </c>
      <c r="P134" t="str">
        <f>IF(M134="","",IFERROR(AVERAGEIFS(DATOS!$K$2:$K$20000,DATOS!$A$2:$A$20000,M134,DATOS!$G$2:$G$20000,CONFIG_METADATA!$B$4,DATOS!$I$2:$I$20000,"Conjunto"),""))</f>
        <v/>
      </c>
      <c r="Q134" t="str" cm="1">
        <f t="array" ref="Q134">IF(M134="","",IFERROR(AVERAGE(IF((DATOS!$A$2:$A$20000=M134)*(DATOS!$G$2:$G$20000=CONFIG_METADATA!$B$4)*(DATOS!$I$2:$I$20000&lt;&gt;"Lenguaje Musical")*(DATOS!$I$2:$I$20000&lt;&gt;"Coro")*(DATOS!$I$2:$I$20000&lt;&gt;"Conjunto"),DATOS!$K$2:$K$20000)),""))</f>
        <v/>
      </c>
      <c r="T134" t="str">
        <f>IF(S134="","",IFERROR(AVERAGEIFS(DATOS!$K$2:$K$20000,DATOS!$A$2:$A$20000,S134,DATOS!$G$2:$G$20000,CONFIG_METADATA!$B$4,DATOS!$I$2:$I$20000,"Lenguaje Musical"),""))</f>
        <v/>
      </c>
      <c r="U134" t="str">
        <f>IF(S134="","",IFERROR(AVERAGEIFS(DATOS!$K$2:$K$20000,DATOS!$A$2:$A$20000,S134,DATOS!$G$2:$G$20000,CONFIG_METADATA!$B$4,DATOS!$I$2:$I$20000,"Coro"),""))</f>
        <v/>
      </c>
      <c r="V134" t="str">
        <f>IF(S134="","",IFERROR(AVERAGEIFS(DATOS!$K$2:$K$20000,DATOS!$A$2:$A$20000,S134,DATOS!$G$2:$G$20000,CONFIG_METADATA!$B$4,DATOS!$I$2:$I$20000,"Conjunto"),""))</f>
        <v/>
      </c>
      <c r="W134" t="str" cm="1">
        <f t="array" ref="W134">IF(S134="","",IFERROR(AVERAGE(IF((DATOS!$A$2:$A$20000=S134)*(DATOS!$G$2:$G$20000=CONFIG_METADATA!$B$4)*(DATOS!$I$2:$I$20000&lt;&gt;"Lenguaje Musical")*(DATOS!$I$2:$I$20000&lt;&gt;"Coro")*(DATOS!$I$2:$I$20000&lt;&gt;"Conjunto"),DATOS!$K$2:$K$20000)),""))</f>
        <v/>
      </c>
    </row>
    <row r="135" spans="2:23" x14ac:dyDescent="0.2">
      <c r="B135" t="str">
        <f>IF(A135="","",IFERROR(AVERAGEIFS(DATOS!$K$2:$K$20000,DATOS!$A$2:$A$20000,A135,DATOS!$G$2:$G$20000,CONFIG_METADATA!$B$4,DATOS!$I$2:$I$20000,"Lenguaje Musical"),""))</f>
        <v/>
      </c>
      <c r="C135" t="str">
        <f>IF(A135="","",IFERROR(AVERAGEIFS(DATOS!$K$2:$K$20000,DATOS!$A$2:$A$20000,A135,DATOS!$G$2:$G$20000,CONFIG_METADATA!$B$4,DATOS!$I$2:$I$20000,"Coro"),""))</f>
        <v/>
      </c>
      <c r="D135" t="str">
        <f>IF(A135="","",IFERROR(AVERAGEIFS(DATOS!$K$2:$K$20000,DATOS!$A$2:$A$20000,A135,DATOS!$G$2:$G$20000,CONFIG_METADATA!$B$4,DATOS!$I$2:$I$20000,"Conjunto"),""))</f>
        <v/>
      </c>
      <c r="E135" t="str" cm="1">
        <f t="array" ref="E135">IF(A135="","",IFERROR(AVERAGE(IF((DATOS!$A$2:$A$20000=A135)*(DATOS!$G$2:$G$20000=CONFIG_METADATA!$B$4)*(DATOS!$I$2:$I$20000&lt;&gt;"Lenguaje Musical")*(DATOS!$I$2:$I$20000&lt;&gt;"Coro")*(DATOS!$I$2:$I$20000&lt;&gt;"Conjunto"),DATOS!$K$2:$K$20000)),""))</f>
        <v/>
      </c>
      <c r="H135" t="str">
        <f>IF(G135="","",IFERROR(AVERAGEIFS(DATOS!$K$2:$K$20000,DATOS!$A$2:$A$20000,G135,DATOS!$G$2:$G$20000,CONFIG_METADATA!$B$4,DATOS!$I$2:$I$20000,"Lenguaje Musical"),""))</f>
        <v/>
      </c>
      <c r="I135" t="str">
        <f>IF(G135="","",IFERROR(AVERAGEIFS(DATOS!$K$2:$K$20000,DATOS!$A$2:$A$20000,G135,DATOS!$G$2:$G$20000,CONFIG_METADATA!$B$4,DATOS!$I$2:$I$20000,"Coro"),""))</f>
        <v/>
      </c>
      <c r="J135" t="str">
        <f>IF(G135="","",IFERROR(AVERAGEIFS(DATOS!$K$2:$K$20000,DATOS!$A$2:$A$20000,G135,DATOS!$G$2:$G$20000,CONFIG_METADATA!$B$4,DATOS!$I$2:$I$20000,"Conjunto"),""))</f>
        <v/>
      </c>
      <c r="K135" t="str" cm="1">
        <f t="array" ref="K135">IF(G135="","",IFERROR(AVERAGE(IF((DATOS!$A$2:$A$20000=G135)*(DATOS!$G$2:$G$20000=CONFIG_METADATA!$B$4)*(DATOS!$I$2:$I$20000&lt;&gt;"Lenguaje Musical")*(DATOS!$I$2:$I$20000&lt;&gt;"Coro")*(DATOS!$I$2:$I$20000&lt;&gt;"Conjunto"),DATOS!$K$2:$K$20000)),""))</f>
        <v/>
      </c>
      <c r="N135" t="str">
        <f>IF(M135="","",IFERROR(AVERAGEIFS(DATOS!$K$2:$K$20000,DATOS!$A$2:$A$20000,M135,DATOS!$G$2:$G$20000,CONFIG_METADATA!$B$4,DATOS!$I$2:$I$20000,"Lenguaje Musical"),""))</f>
        <v/>
      </c>
      <c r="O135" t="str">
        <f>IF(M135="","",IFERROR(AVERAGEIFS(DATOS!$K$2:$K$20000,DATOS!$A$2:$A$20000,M135,DATOS!$G$2:$G$20000,CONFIG_METADATA!$B$4,DATOS!$I$2:$I$20000,"Coro"),""))</f>
        <v/>
      </c>
      <c r="P135" t="str">
        <f>IF(M135="","",IFERROR(AVERAGEIFS(DATOS!$K$2:$K$20000,DATOS!$A$2:$A$20000,M135,DATOS!$G$2:$G$20000,CONFIG_METADATA!$B$4,DATOS!$I$2:$I$20000,"Conjunto"),""))</f>
        <v/>
      </c>
      <c r="Q135" t="str" cm="1">
        <f t="array" ref="Q135">IF(M135="","",IFERROR(AVERAGE(IF((DATOS!$A$2:$A$20000=M135)*(DATOS!$G$2:$G$20000=CONFIG_METADATA!$B$4)*(DATOS!$I$2:$I$20000&lt;&gt;"Lenguaje Musical")*(DATOS!$I$2:$I$20000&lt;&gt;"Coro")*(DATOS!$I$2:$I$20000&lt;&gt;"Conjunto"),DATOS!$K$2:$K$20000)),""))</f>
        <v/>
      </c>
      <c r="T135" t="str">
        <f>IF(S135="","",IFERROR(AVERAGEIFS(DATOS!$K$2:$K$20000,DATOS!$A$2:$A$20000,S135,DATOS!$G$2:$G$20000,CONFIG_METADATA!$B$4,DATOS!$I$2:$I$20000,"Lenguaje Musical"),""))</f>
        <v/>
      </c>
      <c r="U135" t="str">
        <f>IF(S135="","",IFERROR(AVERAGEIFS(DATOS!$K$2:$K$20000,DATOS!$A$2:$A$20000,S135,DATOS!$G$2:$G$20000,CONFIG_METADATA!$B$4,DATOS!$I$2:$I$20000,"Coro"),""))</f>
        <v/>
      </c>
      <c r="V135" t="str">
        <f>IF(S135="","",IFERROR(AVERAGEIFS(DATOS!$K$2:$K$20000,DATOS!$A$2:$A$20000,S135,DATOS!$G$2:$G$20000,CONFIG_METADATA!$B$4,DATOS!$I$2:$I$20000,"Conjunto"),""))</f>
        <v/>
      </c>
      <c r="W135" t="str" cm="1">
        <f t="array" ref="W135">IF(S135="","",IFERROR(AVERAGE(IF((DATOS!$A$2:$A$20000=S135)*(DATOS!$G$2:$G$20000=CONFIG_METADATA!$B$4)*(DATOS!$I$2:$I$20000&lt;&gt;"Lenguaje Musical")*(DATOS!$I$2:$I$20000&lt;&gt;"Coro")*(DATOS!$I$2:$I$20000&lt;&gt;"Conjunto"),DATOS!$K$2:$K$20000)),""))</f>
        <v/>
      </c>
    </row>
    <row r="136" spans="2:23" x14ac:dyDescent="0.2">
      <c r="B136" t="str">
        <f>IF(A136="","",IFERROR(AVERAGEIFS(DATOS!$K$2:$K$20000,DATOS!$A$2:$A$20000,A136,DATOS!$G$2:$G$20000,CONFIG_METADATA!$B$4,DATOS!$I$2:$I$20000,"Lenguaje Musical"),""))</f>
        <v/>
      </c>
      <c r="C136" t="str">
        <f>IF(A136="","",IFERROR(AVERAGEIFS(DATOS!$K$2:$K$20000,DATOS!$A$2:$A$20000,A136,DATOS!$G$2:$G$20000,CONFIG_METADATA!$B$4,DATOS!$I$2:$I$20000,"Coro"),""))</f>
        <v/>
      </c>
      <c r="D136" t="str">
        <f>IF(A136="","",IFERROR(AVERAGEIFS(DATOS!$K$2:$K$20000,DATOS!$A$2:$A$20000,A136,DATOS!$G$2:$G$20000,CONFIG_METADATA!$B$4,DATOS!$I$2:$I$20000,"Conjunto"),""))</f>
        <v/>
      </c>
      <c r="E136" t="str" cm="1">
        <f t="array" ref="E136">IF(A136="","",IFERROR(AVERAGE(IF((DATOS!$A$2:$A$20000=A136)*(DATOS!$G$2:$G$20000=CONFIG_METADATA!$B$4)*(DATOS!$I$2:$I$20000&lt;&gt;"Lenguaje Musical")*(DATOS!$I$2:$I$20000&lt;&gt;"Coro")*(DATOS!$I$2:$I$20000&lt;&gt;"Conjunto"),DATOS!$K$2:$K$20000)),""))</f>
        <v/>
      </c>
      <c r="H136" t="str">
        <f>IF(G136="","",IFERROR(AVERAGEIFS(DATOS!$K$2:$K$20000,DATOS!$A$2:$A$20000,G136,DATOS!$G$2:$G$20000,CONFIG_METADATA!$B$4,DATOS!$I$2:$I$20000,"Lenguaje Musical"),""))</f>
        <v/>
      </c>
      <c r="I136" t="str">
        <f>IF(G136="","",IFERROR(AVERAGEIFS(DATOS!$K$2:$K$20000,DATOS!$A$2:$A$20000,G136,DATOS!$G$2:$G$20000,CONFIG_METADATA!$B$4,DATOS!$I$2:$I$20000,"Coro"),""))</f>
        <v/>
      </c>
      <c r="J136" t="str">
        <f>IF(G136="","",IFERROR(AVERAGEIFS(DATOS!$K$2:$K$20000,DATOS!$A$2:$A$20000,G136,DATOS!$G$2:$G$20000,CONFIG_METADATA!$B$4,DATOS!$I$2:$I$20000,"Conjunto"),""))</f>
        <v/>
      </c>
      <c r="K136" t="str" cm="1">
        <f t="array" ref="K136">IF(G136="","",IFERROR(AVERAGE(IF((DATOS!$A$2:$A$20000=G136)*(DATOS!$G$2:$G$20000=CONFIG_METADATA!$B$4)*(DATOS!$I$2:$I$20000&lt;&gt;"Lenguaje Musical")*(DATOS!$I$2:$I$20000&lt;&gt;"Coro")*(DATOS!$I$2:$I$20000&lt;&gt;"Conjunto"),DATOS!$K$2:$K$20000)),""))</f>
        <v/>
      </c>
      <c r="N136" t="str">
        <f>IF(M136="","",IFERROR(AVERAGEIFS(DATOS!$K$2:$K$20000,DATOS!$A$2:$A$20000,M136,DATOS!$G$2:$G$20000,CONFIG_METADATA!$B$4,DATOS!$I$2:$I$20000,"Lenguaje Musical"),""))</f>
        <v/>
      </c>
      <c r="O136" t="str">
        <f>IF(M136="","",IFERROR(AVERAGEIFS(DATOS!$K$2:$K$20000,DATOS!$A$2:$A$20000,M136,DATOS!$G$2:$G$20000,CONFIG_METADATA!$B$4,DATOS!$I$2:$I$20000,"Coro"),""))</f>
        <v/>
      </c>
      <c r="P136" t="str">
        <f>IF(M136="","",IFERROR(AVERAGEIFS(DATOS!$K$2:$K$20000,DATOS!$A$2:$A$20000,M136,DATOS!$G$2:$G$20000,CONFIG_METADATA!$B$4,DATOS!$I$2:$I$20000,"Conjunto"),""))</f>
        <v/>
      </c>
      <c r="Q136" t="str" cm="1">
        <f t="array" ref="Q136">IF(M136="","",IFERROR(AVERAGE(IF((DATOS!$A$2:$A$20000=M136)*(DATOS!$G$2:$G$20000=CONFIG_METADATA!$B$4)*(DATOS!$I$2:$I$20000&lt;&gt;"Lenguaje Musical")*(DATOS!$I$2:$I$20000&lt;&gt;"Coro")*(DATOS!$I$2:$I$20000&lt;&gt;"Conjunto"),DATOS!$K$2:$K$20000)),""))</f>
        <v/>
      </c>
      <c r="T136" t="str">
        <f>IF(S136="","",IFERROR(AVERAGEIFS(DATOS!$K$2:$K$20000,DATOS!$A$2:$A$20000,S136,DATOS!$G$2:$G$20000,CONFIG_METADATA!$B$4,DATOS!$I$2:$I$20000,"Lenguaje Musical"),""))</f>
        <v/>
      </c>
      <c r="U136" t="str">
        <f>IF(S136="","",IFERROR(AVERAGEIFS(DATOS!$K$2:$K$20000,DATOS!$A$2:$A$20000,S136,DATOS!$G$2:$G$20000,CONFIG_METADATA!$B$4,DATOS!$I$2:$I$20000,"Coro"),""))</f>
        <v/>
      </c>
      <c r="V136" t="str">
        <f>IF(S136="","",IFERROR(AVERAGEIFS(DATOS!$K$2:$K$20000,DATOS!$A$2:$A$20000,S136,DATOS!$G$2:$G$20000,CONFIG_METADATA!$B$4,DATOS!$I$2:$I$20000,"Conjunto"),""))</f>
        <v/>
      </c>
      <c r="W136" t="str" cm="1">
        <f t="array" ref="W136">IF(S136="","",IFERROR(AVERAGE(IF((DATOS!$A$2:$A$20000=S136)*(DATOS!$G$2:$G$20000=CONFIG_METADATA!$B$4)*(DATOS!$I$2:$I$20000&lt;&gt;"Lenguaje Musical")*(DATOS!$I$2:$I$20000&lt;&gt;"Coro")*(DATOS!$I$2:$I$20000&lt;&gt;"Conjunto"),DATOS!$K$2:$K$20000)),""))</f>
        <v/>
      </c>
    </row>
    <row r="137" spans="2:23" x14ac:dyDescent="0.2">
      <c r="B137" t="str">
        <f>IF(A137="","",IFERROR(AVERAGEIFS(DATOS!$K$2:$K$20000,DATOS!$A$2:$A$20000,A137,DATOS!$G$2:$G$20000,CONFIG_METADATA!$B$4,DATOS!$I$2:$I$20000,"Lenguaje Musical"),""))</f>
        <v/>
      </c>
      <c r="C137" t="str">
        <f>IF(A137="","",IFERROR(AVERAGEIFS(DATOS!$K$2:$K$20000,DATOS!$A$2:$A$20000,A137,DATOS!$G$2:$G$20000,CONFIG_METADATA!$B$4,DATOS!$I$2:$I$20000,"Coro"),""))</f>
        <v/>
      </c>
      <c r="D137" t="str">
        <f>IF(A137="","",IFERROR(AVERAGEIFS(DATOS!$K$2:$K$20000,DATOS!$A$2:$A$20000,A137,DATOS!$G$2:$G$20000,CONFIG_METADATA!$B$4,DATOS!$I$2:$I$20000,"Conjunto"),""))</f>
        <v/>
      </c>
      <c r="E137" t="str" cm="1">
        <f t="array" ref="E137">IF(A137="","",IFERROR(AVERAGE(IF((DATOS!$A$2:$A$20000=A137)*(DATOS!$G$2:$G$20000=CONFIG_METADATA!$B$4)*(DATOS!$I$2:$I$20000&lt;&gt;"Lenguaje Musical")*(DATOS!$I$2:$I$20000&lt;&gt;"Coro")*(DATOS!$I$2:$I$20000&lt;&gt;"Conjunto"),DATOS!$K$2:$K$20000)),""))</f>
        <v/>
      </c>
      <c r="H137" t="str">
        <f>IF(G137="","",IFERROR(AVERAGEIFS(DATOS!$K$2:$K$20000,DATOS!$A$2:$A$20000,G137,DATOS!$G$2:$G$20000,CONFIG_METADATA!$B$4,DATOS!$I$2:$I$20000,"Lenguaje Musical"),""))</f>
        <v/>
      </c>
      <c r="I137" t="str">
        <f>IF(G137="","",IFERROR(AVERAGEIFS(DATOS!$K$2:$K$20000,DATOS!$A$2:$A$20000,G137,DATOS!$G$2:$G$20000,CONFIG_METADATA!$B$4,DATOS!$I$2:$I$20000,"Coro"),""))</f>
        <v/>
      </c>
      <c r="J137" t="str">
        <f>IF(G137="","",IFERROR(AVERAGEIFS(DATOS!$K$2:$K$20000,DATOS!$A$2:$A$20000,G137,DATOS!$G$2:$G$20000,CONFIG_METADATA!$B$4,DATOS!$I$2:$I$20000,"Conjunto"),""))</f>
        <v/>
      </c>
      <c r="K137" t="str" cm="1">
        <f t="array" ref="K137">IF(G137="","",IFERROR(AVERAGE(IF((DATOS!$A$2:$A$20000=G137)*(DATOS!$G$2:$G$20000=CONFIG_METADATA!$B$4)*(DATOS!$I$2:$I$20000&lt;&gt;"Lenguaje Musical")*(DATOS!$I$2:$I$20000&lt;&gt;"Coro")*(DATOS!$I$2:$I$20000&lt;&gt;"Conjunto"),DATOS!$K$2:$K$20000)),""))</f>
        <v/>
      </c>
      <c r="N137" t="str">
        <f>IF(M137="","",IFERROR(AVERAGEIFS(DATOS!$K$2:$K$20000,DATOS!$A$2:$A$20000,M137,DATOS!$G$2:$G$20000,CONFIG_METADATA!$B$4,DATOS!$I$2:$I$20000,"Lenguaje Musical"),""))</f>
        <v/>
      </c>
      <c r="O137" t="str">
        <f>IF(M137="","",IFERROR(AVERAGEIFS(DATOS!$K$2:$K$20000,DATOS!$A$2:$A$20000,M137,DATOS!$G$2:$G$20000,CONFIG_METADATA!$B$4,DATOS!$I$2:$I$20000,"Coro"),""))</f>
        <v/>
      </c>
      <c r="P137" t="str">
        <f>IF(M137="","",IFERROR(AVERAGEIFS(DATOS!$K$2:$K$20000,DATOS!$A$2:$A$20000,M137,DATOS!$G$2:$G$20000,CONFIG_METADATA!$B$4,DATOS!$I$2:$I$20000,"Conjunto"),""))</f>
        <v/>
      </c>
      <c r="Q137" t="str" cm="1">
        <f t="array" ref="Q137">IF(M137="","",IFERROR(AVERAGE(IF((DATOS!$A$2:$A$20000=M137)*(DATOS!$G$2:$G$20000=CONFIG_METADATA!$B$4)*(DATOS!$I$2:$I$20000&lt;&gt;"Lenguaje Musical")*(DATOS!$I$2:$I$20000&lt;&gt;"Coro")*(DATOS!$I$2:$I$20000&lt;&gt;"Conjunto"),DATOS!$K$2:$K$20000)),""))</f>
        <v/>
      </c>
      <c r="T137" t="str">
        <f>IF(S137="","",IFERROR(AVERAGEIFS(DATOS!$K$2:$K$20000,DATOS!$A$2:$A$20000,S137,DATOS!$G$2:$G$20000,CONFIG_METADATA!$B$4,DATOS!$I$2:$I$20000,"Lenguaje Musical"),""))</f>
        <v/>
      </c>
      <c r="U137" t="str">
        <f>IF(S137="","",IFERROR(AVERAGEIFS(DATOS!$K$2:$K$20000,DATOS!$A$2:$A$20000,S137,DATOS!$G$2:$G$20000,CONFIG_METADATA!$B$4,DATOS!$I$2:$I$20000,"Coro"),""))</f>
        <v/>
      </c>
      <c r="V137" t="str">
        <f>IF(S137="","",IFERROR(AVERAGEIFS(DATOS!$K$2:$K$20000,DATOS!$A$2:$A$20000,S137,DATOS!$G$2:$G$20000,CONFIG_METADATA!$B$4,DATOS!$I$2:$I$20000,"Conjunto"),""))</f>
        <v/>
      </c>
      <c r="W137" t="str" cm="1">
        <f t="array" ref="W137">IF(S137="","",IFERROR(AVERAGE(IF((DATOS!$A$2:$A$20000=S137)*(DATOS!$G$2:$G$20000=CONFIG_METADATA!$B$4)*(DATOS!$I$2:$I$20000&lt;&gt;"Lenguaje Musical")*(DATOS!$I$2:$I$20000&lt;&gt;"Coro")*(DATOS!$I$2:$I$20000&lt;&gt;"Conjunto"),DATOS!$K$2:$K$20000)),""))</f>
        <v/>
      </c>
    </row>
    <row r="138" spans="2:23" x14ac:dyDescent="0.2">
      <c r="B138" t="str">
        <f>IF(A138="","",IFERROR(AVERAGEIFS(DATOS!$K$2:$K$20000,DATOS!$A$2:$A$20000,A138,DATOS!$G$2:$G$20000,CONFIG_METADATA!$B$4,DATOS!$I$2:$I$20000,"Lenguaje Musical"),""))</f>
        <v/>
      </c>
      <c r="C138" t="str">
        <f>IF(A138="","",IFERROR(AVERAGEIFS(DATOS!$K$2:$K$20000,DATOS!$A$2:$A$20000,A138,DATOS!$G$2:$G$20000,CONFIG_METADATA!$B$4,DATOS!$I$2:$I$20000,"Coro"),""))</f>
        <v/>
      </c>
      <c r="D138" t="str">
        <f>IF(A138="","",IFERROR(AVERAGEIFS(DATOS!$K$2:$K$20000,DATOS!$A$2:$A$20000,A138,DATOS!$G$2:$G$20000,CONFIG_METADATA!$B$4,DATOS!$I$2:$I$20000,"Conjunto"),""))</f>
        <v/>
      </c>
      <c r="E138" t="str" cm="1">
        <f t="array" ref="E138">IF(A138="","",IFERROR(AVERAGE(IF((DATOS!$A$2:$A$20000=A138)*(DATOS!$G$2:$G$20000=CONFIG_METADATA!$B$4)*(DATOS!$I$2:$I$20000&lt;&gt;"Lenguaje Musical")*(DATOS!$I$2:$I$20000&lt;&gt;"Coro")*(DATOS!$I$2:$I$20000&lt;&gt;"Conjunto"),DATOS!$K$2:$K$20000)),""))</f>
        <v/>
      </c>
      <c r="H138" t="str">
        <f>IF(G138="","",IFERROR(AVERAGEIFS(DATOS!$K$2:$K$20000,DATOS!$A$2:$A$20000,G138,DATOS!$G$2:$G$20000,CONFIG_METADATA!$B$4,DATOS!$I$2:$I$20000,"Lenguaje Musical"),""))</f>
        <v/>
      </c>
      <c r="I138" t="str">
        <f>IF(G138="","",IFERROR(AVERAGEIFS(DATOS!$K$2:$K$20000,DATOS!$A$2:$A$20000,G138,DATOS!$G$2:$G$20000,CONFIG_METADATA!$B$4,DATOS!$I$2:$I$20000,"Coro"),""))</f>
        <v/>
      </c>
      <c r="J138" t="str">
        <f>IF(G138="","",IFERROR(AVERAGEIFS(DATOS!$K$2:$K$20000,DATOS!$A$2:$A$20000,G138,DATOS!$G$2:$G$20000,CONFIG_METADATA!$B$4,DATOS!$I$2:$I$20000,"Conjunto"),""))</f>
        <v/>
      </c>
      <c r="K138" t="str" cm="1">
        <f t="array" ref="K138">IF(G138="","",IFERROR(AVERAGE(IF((DATOS!$A$2:$A$20000=G138)*(DATOS!$G$2:$G$20000=CONFIG_METADATA!$B$4)*(DATOS!$I$2:$I$20000&lt;&gt;"Lenguaje Musical")*(DATOS!$I$2:$I$20000&lt;&gt;"Coro")*(DATOS!$I$2:$I$20000&lt;&gt;"Conjunto"),DATOS!$K$2:$K$20000)),""))</f>
        <v/>
      </c>
      <c r="N138" t="str">
        <f>IF(M138="","",IFERROR(AVERAGEIFS(DATOS!$K$2:$K$20000,DATOS!$A$2:$A$20000,M138,DATOS!$G$2:$G$20000,CONFIG_METADATA!$B$4,DATOS!$I$2:$I$20000,"Lenguaje Musical"),""))</f>
        <v/>
      </c>
      <c r="O138" t="str">
        <f>IF(M138="","",IFERROR(AVERAGEIFS(DATOS!$K$2:$K$20000,DATOS!$A$2:$A$20000,M138,DATOS!$G$2:$G$20000,CONFIG_METADATA!$B$4,DATOS!$I$2:$I$20000,"Coro"),""))</f>
        <v/>
      </c>
      <c r="P138" t="str">
        <f>IF(M138="","",IFERROR(AVERAGEIFS(DATOS!$K$2:$K$20000,DATOS!$A$2:$A$20000,M138,DATOS!$G$2:$G$20000,CONFIG_METADATA!$B$4,DATOS!$I$2:$I$20000,"Conjunto"),""))</f>
        <v/>
      </c>
      <c r="Q138" t="str" cm="1">
        <f t="array" ref="Q138">IF(M138="","",IFERROR(AVERAGE(IF((DATOS!$A$2:$A$20000=M138)*(DATOS!$G$2:$G$20000=CONFIG_METADATA!$B$4)*(DATOS!$I$2:$I$20000&lt;&gt;"Lenguaje Musical")*(DATOS!$I$2:$I$20000&lt;&gt;"Coro")*(DATOS!$I$2:$I$20000&lt;&gt;"Conjunto"),DATOS!$K$2:$K$20000)),""))</f>
        <v/>
      </c>
      <c r="T138" t="str">
        <f>IF(S138="","",IFERROR(AVERAGEIFS(DATOS!$K$2:$K$20000,DATOS!$A$2:$A$20000,S138,DATOS!$G$2:$G$20000,CONFIG_METADATA!$B$4,DATOS!$I$2:$I$20000,"Lenguaje Musical"),""))</f>
        <v/>
      </c>
      <c r="U138" t="str">
        <f>IF(S138="","",IFERROR(AVERAGEIFS(DATOS!$K$2:$K$20000,DATOS!$A$2:$A$20000,S138,DATOS!$G$2:$G$20000,CONFIG_METADATA!$B$4,DATOS!$I$2:$I$20000,"Coro"),""))</f>
        <v/>
      </c>
      <c r="V138" t="str">
        <f>IF(S138="","",IFERROR(AVERAGEIFS(DATOS!$K$2:$K$20000,DATOS!$A$2:$A$20000,S138,DATOS!$G$2:$G$20000,CONFIG_METADATA!$B$4,DATOS!$I$2:$I$20000,"Conjunto"),""))</f>
        <v/>
      </c>
      <c r="W138" t="str" cm="1">
        <f t="array" ref="W138">IF(S138="","",IFERROR(AVERAGE(IF((DATOS!$A$2:$A$20000=S138)*(DATOS!$G$2:$G$20000=CONFIG_METADATA!$B$4)*(DATOS!$I$2:$I$20000&lt;&gt;"Lenguaje Musical")*(DATOS!$I$2:$I$20000&lt;&gt;"Coro")*(DATOS!$I$2:$I$20000&lt;&gt;"Conjunto"),DATOS!$K$2:$K$20000)),""))</f>
        <v/>
      </c>
    </row>
    <row r="139" spans="2:23" x14ac:dyDescent="0.2">
      <c r="B139" t="str">
        <f>IF(A139="","",IFERROR(AVERAGEIFS(DATOS!$K$2:$K$20000,DATOS!$A$2:$A$20000,A139,DATOS!$G$2:$G$20000,CONFIG_METADATA!$B$4,DATOS!$I$2:$I$20000,"Lenguaje Musical"),""))</f>
        <v/>
      </c>
      <c r="C139" t="str">
        <f>IF(A139="","",IFERROR(AVERAGEIFS(DATOS!$K$2:$K$20000,DATOS!$A$2:$A$20000,A139,DATOS!$G$2:$G$20000,CONFIG_METADATA!$B$4,DATOS!$I$2:$I$20000,"Coro"),""))</f>
        <v/>
      </c>
      <c r="D139" t="str">
        <f>IF(A139="","",IFERROR(AVERAGEIFS(DATOS!$K$2:$K$20000,DATOS!$A$2:$A$20000,A139,DATOS!$G$2:$G$20000,CONFIG_METADATA!$B$4,DATOS!$I$2:$I$20000,"Conjunto"),""))</f>
        <v/>
      </c>
      <c r="E139" t="str" cm="1">
        <f t="array" ref="E139">IF(A139="","",IFERROR(AVERAGE(IF((DATOS!$A$2:$A$20000=A139)*(DATOS!$G$2:$G$20000=CONFIG_METADATA!$B$4)*(DATOS!$I$2:$I$20000&lt;&gt;"Lenguaje Musical")*(DATOS!$I$2:$I$20000&lt;&gt;"Coro")*(DATOS!$I$2:$I$20000&lt;&gt;"Conjunto"),DATOS!$K$2:$K$20000)),""))</f>
        <v/>
      </c>
      <c r="H139" t="str">
        <f>IF(G139="","",IFERROR(AVERAGEIFS(DATOS!$K$2:$K$20000,DATOS!$A$2:$A$20000,G139,DATOS!$G$2:$G$20000,CONFIG_METADATA!$B$4,DATOS!$I$2:$I$20000,"Lenguaje Musical"),""))</f>
        <v/>
      </c>
      <c r="I139" t="str">
        <f>IF(G139="","",IFERROR(AVERAGEIFS(DATOS!$K$2:$K$20000,DATOS!$A$2:$A$20000,G139,DATOS!$G$2:$G$20000,CONFIG_METADATA!$B$4,DATOS!$I$2:$I$20000,"Coro"),""))</f>
        <v/>
      </c>
      <c r="J139" t="str">
        <f>IF(G139="","",IFERROR(AVERAGEIFS(DATOS!$K$2:$K$20000,DATOS!$A$2:$A$20000,G139,DATOS!$G$2:$G$20000,CONFIG_METADATA!$B$4,DATOS!$I$2:$I$20000,"Conjunto"),""))</f>
        <v/>
      </c>
      <c r="K139" t="str" cm="1">
        <f t="array" ref="K139">IF(G139="","",IFERROR(AVERAGE(IF((DATOS!$A$2:$A$20000=G139)*(DATOS!$G$2:$G$20000=CONFIG_METADATA!$B$4)*(DATOS!$I$2:$I$20000&lt;&gt;"Lenguaje Musical")*(DATOS!$I$2:$I$20000&lt;&gt;"Coro")*(DATOS!$I$2:$I$20000&lt;&gt;"Conjunto"),DATOS!$K$2:$K$20000)),""))</f>
        <v/>
      </c>
      <c r="N139" t="str">
        <f>IF(M139="","",IFERROR(AVERAGEIFS(DATOS!$K$2:$K$20000,DATOS!$A$2:$A$20000,M139,DATOS!$G$2:$G$20000,CONFIG_METADATA!$B$4,DATOS!$I$2:$I$20000,"Lenguaje Musical"),""))</f>
        <v/>
      </c>
      <c r="O139" t="str">
        <f>IF(M139="","",IFERROR(AVERAGEIFS(DATOS!$K$2:$K$20000,DATOS!$A$2:$A$20000,M139,DATOS!$G$2:$G$20000,CONFIG_METADATA!$B$4,DATOS!$I$2:$I$20000,"Coro"),""))</f>
        <v/>
      </c>
      <c r="P139" t="str">
        <f>IF(M139="","",IFERROR(AVERAGEIFS(DATOS!$K$2:$K$20000,DATOS!$A$2:$A$20000,M139,DATOS!$G$2:$G$20000,CONFIG_METADATA!$B$4,DATOS!$I$2:$I$20000,"Conjunto"),""))</f>
        <v/>
      </c>
      <c r="Q139" t="str" cm="1">
        <f t="array" ref="Q139">IF(M139="","",IFERROR(AVERAGE(IF((DATOS!$A$2:$A$20000=M139)*(DATOS!$G$2:$G$20000=CONFIG_METADATA!$B$4)*(DATOS!$I$2:$I$20000&lt;&gt;"Lenguaje Musical")*(DATOS!$I$2:$I$20000&lt;&gt;"Coro")*(DATOS!$I$2:$I$20000&lt;&gt;"Conjunto"),DATOS!$K$2:$K$20000)),""))</f>
        <v/>
      </c>
      <c r="T139" t="str">
        <f>IF(S139="","",IFERROR(AVERAGEIFS(DATOS!$K$2:$K$20000,DATOS!$A$2:$A$20000,S139,DATOS!$G$2:$G$20000,CONFIG_METADATA!$B$4,DATOS!$I$2:$I$20000,"Lenguaje Musical"),""))</f>
        <v/>
      </c>
      <c r="U139" t="str">
        <f>IF(S139="","",IFERROR(AVERAGEIFS(DATOS!$K$2:$K$20000,DATOS!$A$2:$A$20000,S139,DATOS!$G$2:$G$20000,CONFIG_METADATA!$B$4,DATOS!$I$2:$I$20000,"Coro"),""))</f>
        <v/>
      </c>
      <c r="V139" t="str">
        <f>IF(S139="","",IFERROR(AVERAGEIFS(DATOS!$K$2:$K$20000,DATOS!$A$2:$A$20000,S139,DATOS!$G$2:$G$20000,CONFIG_METADATA!$B$4,DATOS!$I$2:$I$20000,"Conjunto"),""))</f>
        <v/>
      </c>
      <c r="W139" t="str" cm="1">
        <f t="array" ref="W139">IF(S139="","",IFERROR(AVERAGE(IF((DATOS!$A$2:$A$20000=S139)*(DATOS!$G$2:$G$20000=CONFIG_METADATA!$B$4)*(DATOS!$I$2:$I$20000&lt;&gt;"Lenguaje Musical")*(DATOS!$I$2:$I$20000&lt;&gt;"Coro")*(DATOS!$I$2:$I$20000&lt;&gt;"Conjunto"),DATOS!$K$2:$K$20000)),""))</f>
        <v/>
      </c>
    </row>
    <row r="140" spans="2:23" x14ac:dyDescent="0.2">
      <c r="B140" t="str">
        <f>IF(A140="","",IFERROR(AVERAGEIFS(DATOS!$K$2:$K$20000,DATOS!$A$2:$A$20000,A140,DATOS!$G$2:$G$20000,CONFIG_METADATA!$B$4,DATOS!$I$2:$I$20000,"Lenguaje Musical"),""))</f>
        <v/>
      </c>
      <c r="C140" t="str">
        <f>IF(A140="","",IFERROR(AVERAGEIFS(DATOS!$K$2:$K$20000,DATOS!$A$2:$A$20000,A140,DATOS!$G$2:$G$20000,CONFIG_METADATA!$B$4,DATOS!$I$2:$I$20000,"Coro"),""))</f>
        <v/>
      </c>
      <c r="D140" t="str">
        <f>IF(A140="","",IFERROR(AVERAGEIFS(DATOS!$K$2:$K$20000,DATOS!$A$2:$A$20000,A140,DATOS!$G$2:$G$20000,CONFIG_METADATA!$B$4,DATOS!$I$2:$I$20000,"Conjunto"),""))</f>
        <v/>
      </c>
      <c r="E140" t="str" cm="1">
        <f t="array" ref="E140">IF(A140="","",IFERROR(AVERAGE(IF((DATOS!$A$2:$A$20000=A140)*(DATOS!$G$2:$G$20000=CONFIG_METADATA!$B$4)*(DATOS!$I$2:$I$20000&lt;&gt;"Lenguaje Musical")*(DATOS!$I$2:$I$20000&lt;&gt;"Coro")*(DATOS!$I$2:$I$20000&lt;&gt;"Conjunto"),DATOS!$K$2:$K$20000)),""))</f>
        <v/>
      </c>
      <c r="H140" t="str">
        <f>IF(G140="","",IFERROR(AVERAGEIFS(DATOS!$K$2:$K$20000,DATOS!$A$2:$A$20000,G140,DATOS!$G$2:$G$20000,CONFIG_METADATA!$B$4,DATOS!$I$2:$I$20000,"Lenguaje Musical"),""))</f>
        <v/>
      </c>
      <c r="I140" t="str">
        <f>IF(G140="","",IFERROR(AVERAGEIFS(DATOS!$K$2:$K$20000,DATOS!$A$2:$A$20000,G140,DATOS!$G$2:$G$20000,CONFIG_METADATA!$B$4,DATOS!$I$2:$I$20000,"Coro"),""))</f>
        <v/>
      </c>
      <c r="J140" t="str">
        <f>IF(G140="","",IFERROR(AVERAGEIFS(DATOS!$K$2:$K$20000,DATOS!$A$2:$A$20000,G140,DATOS!$G$2:$G$20000,CONFIG_METADATA!$B$4,DATOS!$I$2:$I$20000,"Conjunto"),""))</f>
        <v/>
      </c>
      <c r="K140" t="str" cm="1">
        <f t="array" ref="K140">IF(G140="","",IFERROR(AVERAGE(IF((DATOS!$A$2:$A$20000=G140)*(DATOS!$G$2:$G$20000=CONFIG_METADATA!$B$4)*(DATOS!$I$2:$I$20000&lt;&gt;"Lenguaje Musical")*(DATOS!$I$2:$I$20000&lt;&gt;"Coro")*(DATOS!$I$2:$I$20000&lt;&gt;"Conjunto"),DATOS!$K$2:$K$20000)),""))</f>
        <v/>
      </c>
      <c r="N140" t="str">
        <f>IF(M140="","",IFERROR(AVERAGEIFS(DATOS!$K$2:$K$20000,DATOS!$A$2:$A$20000,M140,DATOS!$G$2:$G$20000,CONFIG_METADATA!$B$4,DATOS!$I$2:$I$20000,"Lenguaje Musical"),""))</f>
        <v/>
      </c>
      <c r="O140" t="str">
        <f>IF(M140="","",IFERROR(AVERAGEIFS(DATOS!$K$2:$K$20000,DATOS!$A$2:$A$20000,M140,DATOS!$G$2:$G$20000,CONFIG_METADATA!$B$4,DATOS!$I$2:$I$20000,"Coro"),""))</f>
        <v/>
      </c>
      <c r="P140" t="str">
        <f>IF(M140="","",IFERROR(AVERAGEIFS(DATOS!$K$2:$K$20000,DATOS!$A$2:$A$20000,M140,DATOS!$G$2:$G$20000,CONFIG_METADATA!$B$4,DATOS!$I$2:$I$20000,"Conjunto"),""))</f>
        <v/>
      </c>
      <c r="Q140" t="str" cm="1">
        <f t="array" ref="Q140">IF(M140="","",IFERROR(AVERAGE(IF((DATOS!$A$2:$A$20000=M140)*(DATOS!$G$2:$G$20000=CONFIG_METADATA!$B$4)*(DATOS!$I$2:$I$20000&lt;&gt;"Lenguaje Musical")*(DATOS!$I$2:$I$20000&lt;&gt;"Coro")*(DATOS!$I$2:$I$20000&lt;&gt;"Conjunto"),DATOS!$K$2:$K$20000)),""))</f>
        <v/>
      </c>
      <c r="T140" t="str">
        <f>IF(S140="","",IFERROR(AVERAGEIFS(DATOS!$K$2:$K$20000,DATOS!$A$2:$A$20000,S140,DATOS!$G$2:$G$20000,CONFIG_METADATA!$B$4,DATOS!$I$2:$I$20000,"Lenguaje Musical"),""))</f>
        <v/>
      </c>
      <c r="U140" t="str">
        <f>IF(S140="","",IFERROR(AVERAGEIFS(DATOS!$K$2:$K$20000,DATOS!$A$2:$A$20000,S140,DATOS!$G$2:$G$20000,CONFIG_METADATA!$B$4,DATOS!$I$2:$I$20000,"Coro"),""))</f>
        <v/>
      </c>
      <c r="V140" t="str">
        <f>IF(S140="","",IFERROR(AVERAGEIFS(DATOS!$K$2:$K$20000,DATOS!$A$2:$A$20000,S140,DATOS!$G$2:$G$20000,CONFIG_METADATA!$B$4,DATOS!$I$2:$I$20000,"Conjunto"),""))</f>
        <v/>
      </c>
      <c r="W140" t="str" cm="1">
        <f t="array" ref="W140">IF(S140="","",IFERROR(AVERAGE(IF((DATOS!$A$2:$A$20000=S140)*(DATOS!$G$2:$G$20000=CONFIG_METADATA!$B$4)*(DATOS!$I$2:$I$20000&lt;&gt;"Lenguaje Musical")*(DATOS!$I$2:$I$20000&lt;&gt;"Coro")*(DATOS!$I$2:$I$20000&lt;&gt;"Conjunto"),DATOS!$K$2:$K$20000)),""))</f>
        <v/>
      </c>
    </row>
    <row r="141" spans="2:23" x14ac:dyDescent="0.2">
      <c r="B141" t="str">
        <f>IF(A141="","",IFERROR(AVERAGEIFS(DATOS!$K$2:$K$20000,DATOS!$A$2:$A$20000,A141,DATOS!$G$2:$G$20000,CONFIG_METADATA!$B$4,DATOS!$I$2:$I$20000,"Lenguaje Musical"),""))</f>
        <v/>
      </c>
      <c r="C141" t="str">
        <f>IF(A141="","",IFERROR(AVERAGEIFS(DATOS!$K$2:$K$20000,DATOS!$A$2:$A$20000,A141,DATOS!$G$2:$G$20000,CONFIG_METADATA!$B$4,DATOS!$I$2:$I$20000,"Coro"),""))</f>
        <v/>
      </c>
      <c r="D141" t="str">
        <f>IF(A141="","",IFERROR(AVERAGEIFS(DATOS!$K$2:$K$20000,DATOS!$A$2:$A$20000,A141,DATOS!$G$2:$G$20000,CONFIG_METADATA!$B$4,DATOS!$I$2:$I$20000,"Conjunto"),""))</f>
        <v/>
      </c>
      <c r="E141" t="str" cm="1">
        <f t="array" ref="E141">IF(A141="","",IFERROR(AVERAGE(IF((DATOS!$A$2:$A$20000=A141)*(DATOS!$G$2:$G$20000=CONFIG_METADATA!$B$4)*(DATOS!$I$2:$I$20000&lt;&gt;"Lenguaje Musical")*(DATOS!$I$2:$I$20000&lt;&gt;"Coro")*(DATOS!$I$2:$I$20000&lt;&gt;"Conjunto"),DATOS!$K$2:$K$20000)),""))</f>
        <v/>
      </c>
      <c r="H141" t="str">
        <f>IF(G141="","",IFERROR(AVERAGEIFS(DATOS!$K$2:$K$20000,DATOS!$A$2:$A$20000,G141,DATOS!$G$2:$G$20000,CONFIG_METADATA!$B$4,DATOS!$I$2:$I$20000,"Lenguaje Musical"),""))</f>
        <v/>
      </c>
      <c r="I141" t="str">
        <f>IF(G141="","",IFERROR(AVERAGEIFS(DATOS!$K$2:$K$20000,DATOS!$A$2:$A$20000,G141,DATOS!$G$2:$G$20000,CONFIG_METADATA!$B$4,DATOS!$I$2:$I$20000,"Coro"),""))</f>
        <v/>
      </c>
      <c r="J141" t="str">
        <f>IF(G141="","",IFERROR(AVERAGEIFS(DATOS!$K$2:$K$20000,DATOS!$A$2:$A$20000,G141,DATOS!$G$2:$G$20000,CONFIG_METADATA!$B$4,DATOS!$I$2:$I$20000,"Conjunto"),""))</f>
        <v/>
      </c>
      <c r="K141" t="str" cm="1">
        <f t="array" ref="K141">IF(G141="","",IFERROR(AVERAGE(IF((DATOS!$A$2:$A$20000=G141)*(DATOS!$G$2:$G$20000=CONFIG_METADATA!$B$4)*(DATOS!$I$2:$I$20000&lt;&gt;"Lenguaje Musical")*(DATOS!$I$2:$I$20000&lt;&gt;"Coro")*(DATOS!$I$2:$I$20000&lt;&gt;"Conjunto"),DATOS!$K$2:$K$20000)),""))</f>
        <v/>
      </c>
      <c r="N141" t="str">
        <f>IF(M141="","",IFERROR(AVERAGEIFS(DATOS!$K$2:$K$20000,DATOS!$A$2:$A$20000,M141,DATOS!$G$2:$G$20000,CONFIG_METADATA!$B$4,DATOS!$I$2:$I$20000,"Lenguaje Musical"),""))</f>
        <v/>
      </c>
      <c r="O141" t="str">
        <f>IF(M141="","",IFERROR(AVERAGEIFS(DATOS!$K$2:$K$20000,DATOS!$A$2:$A$20000,M141,DATOS!$G$2:$G$20000,CONFIG_METADATA!$B$4,DATOS!$I$2:$I$20000,"Coro"),""))</f>
        <v/>
      </c>
      <c r="P141" t="str">
        <f>IF(M141="","",IFERROR(AVERAGEIFS(DATOS!$K$2:$K$20000,DATOS!$A$2:$A$20000,M141,DATOS!$G$2:$G$20000,CONFIG_METADATA!$B$4,DATOS!$I$2:$I$20000,"Conjunto"),""))</f>
        <v/>
      </c>
      <c r="Q141" t="str" cm="1">
        <f t="array" ref="Q141">IF(M141="","",IFERROR(AVERAGE(IF((DATOS!$A$2:$A$20000=M141)*(DATOS!$G$2:$G$20000=CONFIG_METADATA!$B$4)*(DATOS!$I$2:$I$20000&lt;&gt;"Lenguaje Musical")*(DATOS!$I$2:$I$20000&lt;&gt;"Coro")*(DATOS!$I$2:$I$20000&lt;&gt;"Conjunto"),DATOS!$K$2:$K$20000)),""))</f>
        <v/>
      </c>
      <c r="T141" t="str">
        <f>IF(S141="","",IFERROR(AVERAGEIFS(DATOS!$K$2:$K$20000,DATOS!$A$2:$A$20000,S141,DATOS!$G$2:$G$20000,CONFIG_METADATA!$B$4,DATOS!$I$2:$I$20000,"Lenguaje Musical"),""))</f>
        <v/>
      </c>
      <c r="U141" t="str">
        <f>IF(S141="","",IFERROR(AVERAGEIFS(DATOS!$K$2:$K$20000,DATOS!$A$2:$A$20000,S141,DATOS!$G$2:$G$20000,CONFIG_METADATA!$B$4,DATOS!$I$2:$I$20000,"Coro"),""))</f>
        <v/>
      </c>
      <c r="V141" t="str">
        <f>IF(S141="","",IFERROR(AVERAGEIFS(DATOS!$K$2:$K$20000,DATOS!$A$2:$A$20000,S141,DATOS!$G$2:$G$20000,CONFIG_METADATA!$B$4,DATOS!$I$2:$I$20000,"Conjunto"),""))</f>
        <v/>
      </c>
      <c r="W141" t="str" cm="1">
        <f t="array" ref="W141">IF(S141="","",IFERROR(AVERAGE(IF((DATOS!$A$2:$A$20000=S141)*(DATOS!$G$2:$G$20000=CONFIG_METADATA!$B$4)*(DATOS!$I$2:$I$20000&lt;&gt;"Lenguaje Musical")*(DATOS!$I$2:$I$20000&lt;&gt;"Coro")*(DATOS!$I$2:$I$20000&lt;&gt;"Conjunto"),DATOS!$K$2:$K$20000)),""))</f>
        <v/>
      </c>
    </row>
    <row r="142" spans="2:23" x14ac:dyDescent="0.2">
      <c r="B142" t="str">
        <f>IF(A142="","",IFERROR(AVERAGEIFS(DATOS!$K$2:$K$20000,DATOS!$A$2:$A$20000,A142,DATOS!$G$2:$G$20000,CONFIG_METADATA!$B$4,DATOS!$I$2:$I$20000,"Lenguaje Musical"),""))</f>
        <v/>
      </c>
      <c r="C142" t="str">
        <f>IF(A142="","",IFERROR(AVERAGEIFS(DATOS!$K$2:$K$20000,DATOS!$A$2:$A$20000,A142,DATOS!$G$2:$G$20000,CONFIG_METADATA!$B$4,DATOS!$I$2:$I$20000,"Coro"),""))</f>
        <v/>
      </c>
      <c r="D142" t="str">
        <f>IF(A142="","",IFERROR(AVERAGEIFS(DATOS!$K$2:$K$20000,DATOS!$A$2:$A$20000,A142,DATOS!$G$2:$G$20000,CONFIG_METADATA!$B$4,DATOS!$I$2:$I$20000,"Conjunto"),""))</f>
        <v/>
      </c>
      <c r="E142" t="str" cm="1">
        <f t="array" ref="E142">IF(A142="","",IFERROR(AVERAGE(IF((DATOS!$A$2:$A$20000=A142)*(DATOS!$G$2:$G$20000=CONFIG_METADATA!$B$4)*(DATOS!$I$2:$I$20000&lt;&gt;"Lenguaje Musical")*(DATOS!$I$2:$I$20000&lt;&gt;"Coro")*(DATOS!$I$2:$I$20000&lt;&gt;"Conjunto"),DATOS!$K$2:$K$20000)),""))</f>
        <v/>
      </c>
      <c r="H142" t="str">
        <f>IF(G142="","",IFERROR(AVERAGEIFS(DATOS!$K$2:$K$20000,DATOS!$A$2:$A$20000,G142,DATOS!$G$2:$G$20000,CONFIG_METADATA!$B$4,DATOS!$I$2:$I$20000,"Lenguaje Musical"),""))</f>
        <v/>
      </c>
      <c r="I142" t="str">
        <f>IF(G142="","",IFERROR(AVERAGEIFS(DATOS!$K$2:$K$20000,DATOS!$A$2:$A$20000,G142,DATOS!$G$2:$G$20000,CONFIG_METADATA!$B$4,DATOS!$I$2:$I$20000,"Coro"),""))</f>
        <v/>
      </c>
      <c r="J142" t="str">
        <f>IF(G142="","",IFERROR(AVERAGEIFS(DATOS!$K$2:$K$20000,DATOS!$A$2:$A$20000,G142,DATOS!$G$2:$G$20000,CONFIG_METADATA!$B$4,DATOS!$I$2:$I$20000,"Conjunto"),""))</f>
        <v/>
      </c>
      <c r="K142" t="str" cm="1">
        <f t="array" ref="K142">IF(G142="","",IFERROR(AVERAGE(IF((DATOS!$A$2:$A$20000=G142)*(DATOS!$G$2:$G$20000=CONFIG_METADATA!$B$4)*(DATOS!$I$2:$I$20000&lt;&gt;"Lenguaje Musical")*(DATOS!$I$2:$I$20000&lt;&gt;"Coro")*(DATOS!$I$2:$I$20000&lt;&gt;"Conjunto"),DATOS!$K$2:$K$20000)),""))</f>
        <v/>
      </c>
      <c r="N142" t="str">
        <f>IF(M142="","",IFERROR(AVERAGEIFS(DATOS!$K$2:$K$20000,DATOS!$A$2:$A$20000,M142,DATOS!$G$2:$G$20000,CONFIG_METADATA!$B$4,DATOS!$I$2:$I$20000,"Lenguaje Musical"),""))</f>
        <v/>
      </c>
      <c r="O142" t="str">
        <f>IF(M142="","",IFERROR(AVERAGEIFS(DATOS!$K$2:$K$20000,DATOS!$A$2:$A$20000,M142,DATOS!$G$2:$G$20000,CONFIG_METADATA!$B$4,DATOS!$I$2:$I$20000,"Coro"),""))</f>
        <v/>
      </c>
      <c r="P142" t="str">
        <f>IF(M142="","",IFERROR(AVERAGEIFS(DATOS!$K$2:$K$20000,DATOS!$A$2:$A$20000,M142,DATOS!$G$2:$G$20000,CONFIG_METADATA!$B$4,DATOS!$I$2:$I$20000,"Conjunto"),""))</f>
        <v/>
      </c>
      <c r="Q142" t="str" cm="1">
        <f t="array" ref="Q142">IF(M142="","",IFERROR(AVERAGE(IF((DATOS!$A$2:$A$20000=M142)*(DATOS!$G$2:$G$20000=CONFIG_METADATA!$B$4)*(DATOS!$I$2:$I$20000&lt;&gt;"Lenguaje Musical")*(DATOS!$I$2:$I$20000&lt;&gt;"Coro")*(DATOS!$I$2:$I$20000&lt;&gt;"Conjunto"),DATOS!$K$2:$K$20000)),""))</f>
        <v/>
      </c>
      <c r="T142" t="str">
        <f>IF(S142="","",IFERROR(AVERAGEIFS(DATOS!$K$2:$K$20000,DATOS!$A$2:$A$20000,S142,DATOS!$G$2:$G$20000,CONFIG_METADATA!$B$4,DATOS!$I$2:$I$20000,"Lenguaje Musical"),""))</f>
        <v/>
      </c>
      <c r="U142" t="str">
        <f>IF(S142="","",IFERROR(AVERAGEIFS(DATOS!$K$2:$K$20000,DATOS!$A$2:$A$20000,S142,DATOS!$G$2:$G$20000,CONFIG_METADATA!$B$4,DATOS!$I$2:$I$20000,"Coro"),""))</f>
        <v/>
      </c>
      <c r="V142" t="str">
        <f>IF(S142="","",IFERROR(AVERAGEIFS(DATOS!$K$2:$K$20000,DATOS!$A$2:$A$20000,S142,DATOS!$G$2:$G$20000,CONFIG_METADATA!$B$4,DATOS!$I$2:$I$20000,"Conjunto"),""))</f>
        <v/>
      </c>
      <c r="W142" t="str" cm="1">
        <f t="array" ref="W142">IF(S142="","",IFERROR(AVERAGE(IF((DATOS!$A$2:$A$20000=S142)*(DATOS!$G$2:$G$20000=CONFIG_METADATA!$B$4)*(DATOS!$I$2:$I$20000&lt;&gt;"Lenguaje Musical")*(DATOS!$I$2:$I$20000&lt;&gt;"Coro")*(DATOS!$I$2:$I$20000&lt;&gt;"Conjunto"),DATOS!$K$2:$K$20000)),""))</f>
        <v/>
      </c>
    </row>
    <row r="143" spans="2:23" x14ac:dyDescent="0.2">
      <c r="B143" t="str">
        <f>IF(A143="","",IFERROR(AVERAGEIFS(DATOS!$K$2:$K$20000,DATOS!$A$2:$A$20000,A143,DATOS!$G$2:$G$20000,CONFIG_METADATA!$B$4,DATOS!$I$2:$I$20000,"Lenguaje Musical"),""))</f>
        <v/>
      </c>
      <c r="C143" t="str">
        <f>IF(A143="","",IFERROR(AVERAGEIFS(DATOS!$K$2:$K$20000,DATOS!$A$2:$A$20000,A143,DATOS!$G$2:$G$20000,CONFIG_METADATA!$B$4,DATOS!$I$2:$I$20000,"Coro"),""))</f>
        <v/>
      </c>
      <c r="D143" t="str">
        <f>IF(A143="","",IFERROR(AVERAGEIFS(DATOS!$K$2:$K$20000,DATOS!$A$2:$A$20000,A143,DATOS!$G$2:$G$20000,CONFIG_METADATA!$B$4,DATOS!$I$2:$I$20000,"Conjunto"),""))</f>
        <v/>
      </c>
      <c r="E143" t="str" cm="1">
        <f t="array" ref="E143">IF(A143="","",IFERROR(AVERAGE(IF((DATOS!$A$2:$A$20000=A143)*(DATOS!$G$2:$G$20000=CONFIG_METADATA!$B$4)*(DATOS!$I$2:$I$20000&lt;&gt;"Lenguaje Musical")*(DATOS!$I$2:$I$20000&lt;&gt;"Coro")*(DATOS!$I$2:$I$20000&lt;&gt;"Conjunto"),DATOS!$K$2:$K$20000)),""))</f>
        <v/>
      </c>
      <c r="H143" t="str">
        <f>IF(G143="","",IFERROR(AVERAGEIFS(DATOS!$K$2:$K$20000,DATOS!$A$2:$A$20000,G143,DATOS!$G$2:$G$20000,CONFIG_METADATA!$B$4,DATOS!$I$2:$I$20000,"Lenguaje Musical"),""))</f>
        <v/>
      </c>
      <c r="I143" t="str">
        <f>IF(G143="","",IFERROR(AVERAGEIFS(DATOS!$K$2:$K$20000,DATOS!$A$2:$A$20000,G143,DATOS!$G$2:$G$20000,CONFIG_METADATA!$B$4,DATOS!$I$2:$I$20000,"Coro"),""))</f>
        <v/>
      </c>
      <c r="J143" t="str">
        <f>IF(G143="","",IFERROR(AVERAGEIFS(DATOS!$K$2:$K$20000,DATOS!$A$2:$A$20000,G143,DATOS!$G$2:$G$20000,CONFIG_METADATA!$B$4,DATOS!$I$2:$I$20000,"Conjunto"),""))</f>
        <v/>
      </c>
      <c r="K143" t="str" cm="1">
        <f t="array" ref="K143">IF(G143="","",IFERROR(AVERAGE(IF((DATOS!$A$2:$A$20000=G143)*(DATOS!$G$2:$G$20000=CONFIG_METADATA!$B$4)*(DATOS!$I$2:$I$20000&lt;&gt;"Lenguaje Musical")*(DATOS!$I$2:$I$20000&lt;&gt;"Coro")*(DATOS!$I$2:$I$20000&lt;&gt;"Conjunto"),DATOS!$K$2:$K$20000)),""))</f>
        <v/>
      </c>
      <c r="N143" t="str">
        <f>IF(M143="","",IFERROR(AVERAGEIFS(DATOS!$K$2:$K$20000,DATOS!$A$2:$A$20000,M143,DATOS!$G$2:$G$20000,CONFIG_METADATA!$B$4,DATOS!$I$2:$I$20000,"Lenguaje Musical"),""))</f>
        <v/>
      </c>
      <c r="O143" t="str">
        <f>IF(M143="","",IFERROR(AVERAGEIFS(DATOS!$K$2:$K$20000,DATOS!$A$2:$A$20000,M143,DATOS!$G$2:$G$20000,CONFIG_METADATA!$B$4,DATOS!$I$2:$I$20000,"Coro"),""))</f>
        <v/>
      </c>
      <c r="P143" t="str">
        <f>IF(M143="","",IFERROR(AVERAGEIFS(DATOS!$K$2:$K$20000,DATOS!$A$2:$A$20000,M143,DATOS!$G$2:$G$20000,CONFIG_METADATA!$B$4,DATOS!$I$2:$I$20000,"Conjunto"),""))</f>
        <v/>
      </c>
      <c r="Q143" t="str" cm="1">
        <f t="array" ref="Q143">IF(M143="","",IFERROR(AVERAGE(IF((DATOS!$A$2:$A$20000=M143)*(DATOS!$G$2:$G$20000=CONFIG_METADATA!$B$4)*(DATOS!$I$2:$I$20000&lt;&gt;"Lenguaje Musical")*(DATOS!$I$2:$I$20000&lt;&gt;"Coro")*(DATOS!$I$2:$I$20000&lt;&gt;"Conjunto"),DATOS!$K$2:$K$20000)),""))</f>
        <v/>
      </c>
      <c r="T143" t="str">
        <f>IF(S143="","",IFERROR(AVERAGEIFS(DATOS!$K$2:$K$20000,DATOS!$A$2:$A$20000,S143,DATOS!$G$2:$G$20000,CONFIG_METADATA!$B$4,DATOS!$I$2:$I$20000,"Lenguaje Musical"),""))</f>
        <v/>
      </c>
      <c r="U143" t="str">
        <f>IF(S143="","",IFERROR(AVERAGEIFS(DATOS!$K$2:$K$20000,DATOS!$A$2:$A$20000,S143,DATOS!$G$2:$G$20000,CONFIG_METADATA!$B$4,DATOS!$I$2:$I$20000,"Coro"),""))</f>
        <v/>
      </c>
      <c r="V143" t="str">
        <f>IF(S143="","",IFERROR(AVERAGEIFS(DATOS!$K$2:$K$20000,DATOS!$A$2:$A$20000,S143,DATOS!$G$2:$G$20000,CONFIG_METADATA!$B$4,DATOS!$I$2:$I$20000,"Conjunto"),""))</f>
        <v/>
      </c>
      <c r="W143" t="str" cm="1">
        <f t="array" ref="W143">IF(S143="","",IFERROR(AVERAGE(IF((DATOS!$A$2:$A$20000=S143)*(DATOS!$G$2:$G$20000=CONFIG_METADATA!$B$4)*(DATOS!$I$2:$I$20000&lt;&gt;"Lenguaje Musical")*(DATOS!$I$2:$I$20000&lt;&gt;"Coro")*(DATOS!$I$2:$I$20000&lt;&gt;"Conjunto"),DATOS!$K$2:$K$20000)),""))</f>
        <v/>
      </c>
    </row>
    <row r="144" spans="2:23" x14ac:dyDescent="0.2">
      <c r="B144" t="str">
        <f>IF(A144="","",IFERROR(AVERAGEIFS(DATOS!$K$2:$K$20000,DATOS!$A$2:$A$20000,A144,DATOS!$G$2:$G$20000,CONFIG_METADATA!$B$4,DATOS!$I$2:$I$20000,"Lenguaje Musical"),""))</f>
        <v/>
      </c>
      <c r="C144" t="str">
        <f>IF(A144="","",IFERROR(AVERAGEIFS(DATOS!$K$2:$K$20000,DATOS!$A$2:$A$20000,A144,DATOS!$G$2:$G$20000,CONFIG_METADATA!$B$4,DATOS!$I$2:$I$20000,"Coro"),""))</f>
        <v/>
      </c>
      <c r="D144" t="str">
        <f>IF(A144="","",IFERROR(AVERAGEIFS(DATOS!$K$2:$K$20000,DATOS!$A$2:$A$20000,A144,DATOS!$G$2:$G$20000,CONFIG_METADATA!$B$4,DATOS!$I$2:$I$20000,"Conjunto"),""))</f>
        <v/>
      </c>
      <c r="E144" t="str" cm="1">
        <f t="array" ref="E144">IF(A144="","",IFERROR(AVERAGE(IF((DATOS!$A$2:$A$20000=A144)*(DATOS!$G$2:$G$20000=CONFIG_METADATA!$B$4)*(DATOS!$I$2:$I$20000&lt;&gt;"Lenguaje Musical")*(DATOS!$I$2:$I$20000&lt;&gt;"Coro")*(DATOS!$I$2:$I$20000&lt;&gt;"Conjunto"),DATOS!$K$2:$K$20000)),""))</f>
        <v/>
      </c>
      <c r="H144" t="str">
        <f>IF(G144="","",IFERROR(AVERAGEIFS(DATOS!$K$2:$K$20000,DATOS!$A$2:$A$20000,G144,DATOS!$G$2:$G$20000,CONFIG_METADATA!$B$4,DATOS!$I$2:$I$20000,"Lenguaje Musical"),""))</f>
        <v/>
      </c>
      <c r="I144" t="str">
        <f>IF(G144="","",IFERROR(AVERAGEIFS(DATOS!$K$2:$K$20000,DATOS!$A$2:$A$20000,G144,DATOS!$G$2:$G$20000,CONFIG_METADATA!$B$4,DATOS!$I$2:$I$20000,"Coro"),""))</f>
        <v/>
      </c>
      <c r="J144" t="str">
        <f>IF(G144="","",IFERROR(AVERAGEIFS(DATOS!$K$2:$K$20000,DATOS!$A$2:$A$20000,G144,DATOS!$G$2:$G$20000,CONFIG_METADATA!$B$4,DATOS!$I$2:$I$20000,"Conjunto"),""))</f>
        <v/>
      </c>
      <c r="K144" t="str" cm="1">
        <f t="array" ref="K144">IF(G144="","",IFERROR(AVERAGE(IF((DATOS!$A$2:$A$20000=G144)*(DATOS!$G$2:$G$20000=CONFIG_METADATA!$B$4)*(DATOS!$I$2:$I$20000&lt;&gt;"Lenguaje Musical")*(DATOS!$I$2:$I$20000&lt;&gt;"Coro")*(DATOS!$I$2:$I$20000&lt;&gt;"Conjunto"),DATOS!$K$2:$K$20000)),""))</f>
        <v/>
      </c>
      <c r="N144" t="str">
        <f>IF(M144="","",IFERROR(AVERAGEIFS(DATOS!$K$2:$K$20000,DATOS!$A$2:$A$20000,M144,DATOS!$G$2:$G$20000,CONFIG_METADATA!$B$4,DATOS!$I$2:$I$20000,"Lenguaje Musical"),""))</f>
        <v/>
      </c>
      <c r="O144" t="str">
        <f>IF(M144="","",IFERROR(AVERAGEIFS(DATOS!$K$2:$K$20000,DATOS!$A$2:$A$20000,M144,DATOS!$G$2:$G$20000,CONFIG_METADATA!$B$4,DATOS!$I$2:$I$20000,"Coro"),""))</f>
        <v/>
      </c>
      <c r="P144" t="str">
        <f>IF(M144="","",IFERROR(AVERAGEIFS(DATOS!$K$2:$K$20000,DATOS!$A$2:$A$20000,M144,DATOS!$G$2:$G$20000,CONFIG_METADATA!$B$4,DATOS!$I$2:$I$20000,"Conjunto"),""))</f>
        <v/>
      </c>
      <c r="Q144" t="str" cm="1">
        <f t="array" ref="Q144">IF(M144="","",IFERROR(AVERAGE(IF((DATOS!$A$2:$A$20000=M144)*(DATOS!$G$2:$G$20000=CONFIG_METADATA!$B$4)*(DATOS!$I$2:$I$20000&lt;&gt;"Lenguaje Musical")*(DATOS!$I$2:$I$20000&lt;&gt;"Coro")*(DATOS!$I$2:$I$20000&lt;&gt;"Conjunto"),DATOS!$K$2:$K$20000)),""))</f>
        <v/>
      </c>
      <c r="T144" t="str">
        <f>IF(S144="","",IFERROR(AVERAGEIFS(DATOS!$K$2:$K$20000,DATOS!$A$2:$A$20000,S144,DATOS!$G$2:$G$20000,CONFIG_METADATA!$B$4,DATOS!$I$2:$I$20000,"Lenguaje Musical"),""))</f>
        <v/>
      </c>
      <c r="U144" t="str">
        <f>IF(S144="","",IFERROR(AVERAGEIFS(DATOS!$K$2:$K$20000,DATOS!$A$2:$A$20000,S144,DATOS!$G$2:$G$20000,CONFIG_METADATA!$B$4,DATOS!$I$2:$I$20000,"Coro"),""))</f>
        <v/>
      </c>
      <c r="V144" t="str">
        <f>IF(S144="","",IFERROR(AVERAGEIFS(DATOS!$K$2:$K$20000,DATOS!$A$2:$A$20000,S144,DATOS!$G$2:$G$20000,CONFIG_METADATA!$B$4,DATOS!$I$2:$I$20000,"Conjunto"),""))</f>
        <v/>
      </c>
      <c r="W144" t="str" cm="1">
        <f t="array" ref="W144">IF(S144="","",IFERROR(AVERAGE(IF((DATOS!$A$2:$A$20000=S144)*(DATOS!$G$2:$G$20000=CONFIG_METADATA!$B$4)*(DATOS!$I$2:$I$20000&lt;&gt;"Lenguaje Musical")*(DATOS!$I$2:$I$20000&lt;&gt;"Coro")*(DATOS!$I$2:$I$20000&lt;&gt;"Conjunto"),DATOS!$K$2:$K$20000)),""))</f>
        <v/>
      </c>
    </row>
    <row r="145" spans="2:23" x14ac:dyDescent="0.2">
      <c r="B145" t="str">
        <f>IF(A145="","",IFERROR(AVERAGEIFS(DATOS!$K$2:$K$20000,DATOS!$A$2:$A$20000,A145,DATOS!$G$2:$G$20000,CONFIG_METADATA!$B$4,DATOS!$I$2:$I$20000,"Lenguaje Musical"),""))</f>
        <v/>
      </c>
      <c r="C145" t="str">
        <f>IF(A145="","",IFERROR(AVERAGEIFS(DATOS!$K$2:$K$20000,DATOS!$A$2:$A$20000,A145,DATOS!$G$2:$G$20000,CONFIG_METADATA!$B$4,DATOS!$I$2:$I$20000,"Coro"),""))</f>
        <v/>
      </c>
      <c r="D145" t="str">
        <f>IF(A145="","",IFERROR(AVERAGEIFS(DATOS!$K$2:$K$20000,DATOS!$A$2:$A$20000,A145,DATOS!$G$2:$G$20000,CONFIG_METADATA!$B$4,DATOS!$I$2:$I$20000,"Conjunto"),""))</f>
        <v/>
      </c>
      <c r="E145" t="str" cm="1">
        <f t="array" ref="E145">IF(A145="","",IFERROR(AVERAGE(IF((DATOS!$A$2:$A$20000=A145)*(DATOS!$G$2:$G$20000=CONFIG_METADATA!$B$4)*(DATOS!$I$2:$I$20000&lt;&gt;"Lenguaje Musical")*(DATOS!$I$2:$I$20000&lt;&gt;"Coro")*(DATOS!$I$2:$I$20000&lt;&gt;"Conjunto"),DATOS!$K$2:$K$20000)),""))</f>
        <v/>
      </c>
      <c r="H145" t="str">
        <f>IF(G145="","",IFERROR(AVERAGEIFS(DATOS!$K$2:$K$20000,DATOS!$A$2:$A$20000,G145,DATOS!$G$2:$G$20000,CONFIG_METADATA!$B$4,DATOS!$I$2:$I$20000,"Lenguaje Musical"),""))</f>
        <v/>
      </c>
      <c r="I145" t="str">
        <f>IF(G145="","",IFERROR(AVERAGEIFS(DATOS!$K$2:$K$20000,DATOS!$A$2:$A$20000,G145,DATOS!$G$2:$G$20000,CONFIG_METADATA!$B$4,DATOS!$I$2:$I$20000,"Coro"),""))</f>
        <v/>
      </c>
      <c r="J145" t="str">
        <f>IF(G145="","",IFERROR(AVERAGEIFS(DATOS!$K$2:$K$20000,DATOS!$A$2:$A$20000,G145,DATOS!$G$2:$G$20000,CONFIG_METADATA!$B$4,DATOS!$I$2:$I$20000,"Conjunto"),""))</f>
        <v/>
      </c>
      <c r="K145" t="str" cm="1">
        <f t="array" ref="K145">IF(G145="","",IFERROR(AVERAGE(IF((DATOS!$A$2:$A$20000=G145)*(DATOS!$G$2:$G$20000=CONFIG_METADATA!$B$4)*(DATOS!$I$2:$I$20000&lt;&gt;"Lenguaje Musical")*(DATOS!$I$2:$I$20000&lt;&gt;"Coro")*(DATOS!$I$2:$I$20000&lt;&gt;"Conjunto"),DATOS!$K$2:$K$20000)),""))</f>
        <v/>
      </c>
      <c r="N145" t="str">
        <f>IF(M145="","",IFERROR(AVERAGEIFS(DATOS!$K$2:$K$20000,DATOS!$A$2:$A$20000,M145,DATOS!$G$2:$G$20000,CONFIG_METADATA!$B$4,DATOS!$I$2:$I$20000,"Lenguaje Musical"),""))</f>
        <v/>
      </c>
      <c r="O145" t="str">
        <f>IF(M145="","",IFERROR(AVERAGEIFS(DATOS!$K$2:$K$20000,DATOS!$A$2:$A$20000,M145,DATOS!$G$2:$G$20000,CONFIG_METADATA!$B$4,DATOS!$I$2:$I$20000,"Coro"),""))</f>
        <v/>
      </c>
      <c r="P145" t="str">
        <f>IF(M145="","",IFERROR(AVERAGEIFS(DATOS!$K$2:$K$20000,DATOS!$A$2:$A$20000,M145,DATOS!$G$2:$G$20000,CONFIG_METADATA!$B$4,DATOS!$I$2:$I$20000,"Conjunto"),""))</f>
        <v/>
      </c>
      <c r="Q145" t="str" cm="1">
        <f t="array" ref="Q145">IF(M145="","",IFERROR(AVERAGE(IF((DATOS!$A$2:$A$20000=M145)*(DATOS!$G$2:$G$20000=CONFIG_METADATA!$B$4)*(DATOS!$I$2:$I$20000&lt;&gt;"Lenguaje Musical")*(DATOS!$I$2:$I$20000&lt;&gt;"Coro")*(DATOS!$I$2:$I$20000&lt;&gt;"Conjunto"),DATOS!$K$2:$K$20000)),""))</f>
        <v/>
      </c>
      <c r="T145" t="str">
        <f>IF(S145="","",IFERROR(AVERAGEIFS(DATOS!$K$2:$K$20000,DATOS!$A$2:$A$20000,S145,DATOS!$G$2:$G$20000,CONFIG_METADATA!$B$4,DATOS!$I$2:$I$20000,"Lenguaje Musical"),""))</f>
        <v/>
      </c>
      <c r="U145" t="str">
        <f>IF(S145="","",IFERROR(AVERAGEIFS(DATOS!$K$2:$K$20000,DATOS!$A$2:$A$20000,S145,DATOS!$G$2:$G$20000,CONFIG_METADATA!$B$4,DATOS!$I$2:$I$20000,"Coro"),""))</f>
        <v/>
      </c>
      <c r="V145" t="str">
        <f>IF(S145="","",IFERROR(AVERAGEIFS(DATOS!$K$2:$K$20000,DATOS!$A$2:$A$20000,S145,DATOS!$G$2:$G$20000,CONFIG_METADATA!$B$4,DATOS!$I$2:$I$20000,"Conjunto"),""))</f>
        <v/>
      </c>
      <c r="W145" t="str" cm="1">
        <f t="array" ref="W145">IF(S145="","",IFERROR(AVERAGE(IF((DATOS!$A$2:$A$20000=S145)*(DATOS!$G$2:$G$20000=CONFIG_METADATA!$B$4)*(DATOS!$I$2:$I$20000&lt;&gt;"Lenguaje Musical")*(DATOS!$I$2:$I$20000&lt;&gt;"Coro")*(DATOS!$I$2:$I$20000&lt;&gt;"Conjunto"),DATOS!$K$2:$K$20000)),""))</f>
        <v/>
      </c>
    </row>
    <row r="146" spans="2:23" x14ac:dyDescent="0.2">
      <c r="B146" t="str">
        <f>IF(A146="","",IFERROR(AVERAGEIFS(DATOS!$K$2:$K$20000,DATOS!$A$2:$A$20000,A146,DATOS!$G$2:$G$20000,CONFIG_METADATA!$B$4,DATOS!$I$2:$I$20000,"Lenguaje Musical"),""))</f>
        <v/>
      </c>
      <c r="C146" t="str">
        <f>IF(A146="","",IFERROR(AVERAGEIFS(DATOS!$K$2:$K$20000,DATOS!$A$2:$A$20000,A146,DATOS!$G$2:$G$20000,CONFIG_METADATA!$B$4,DATOS!$I$2:$I$20000,"Coro"),""))</f>
        <v/>
      </c>
      <c r="D146" t="str">
        <f>IF(A146="","",IFERROR(AVERAGEIFS(DATOS!$K$2:$K$20000,DATOS!$A$2:$A$20000,A146,DATOS!$G$2:$G$20000,CONFIG_METADATA!$B$4,DATOS!$I$2:$I$20000,"Conjunto"),""))</f>
        <v/>
      </c>
      <c r="E146" t="str" cm="1">
        <f t="array" ref="E146">IF(A146="","",IFERROR(AVERAGE(IF((DATOS!$A$2:$A$20000=A146)*(DATOS!$G$2:$G$20000=CONFIG_METADATA!$B$4)*(DATOS!$I$2:$I$20000&lt;&gt;"Lenguaje Musical")*(DATOS!$I$2:$I$20000&lt;&gt;"Coro")*(DATOS!$I$2:$I$20000&lt;&gt;"Conjunto"),DATOS!$K$2:$K$20000)),""))</f>
        <v/>
      </c>
      <c r="H146" t="str">
        <f>IF(G146="","",IFERROR(AVERAGEIFS(DATOS!$K$2:$K$20000,DATOS!$A$2:$A$20000,G146,DATOS!$G$2:$G$20000,CONFIG_METADATA!$B$4,DATOS!$I$2:$I$20000,"Lenguaje Musical"),""))</f>
        <v/>
      </c>
      <c r="I146" t="str">
        <f>IF(G146="","",IFERROR(AVERAGEIFS(DATOS!$K$2:$K$20000,DATOS!$A$2:$A$20000,G146,DATOS!$G$2:$G$20000,CONFIG_METADATA!$B$4,DATOS!$I$2:$I$20000,"Coro"),""))</f>
        <v/>
      </c>
      <c r="J146" t="str">
        <f>IF(G146="","",IFERROR(AVERAGEIFS(DATOS!$K$2:$K$20000,DATOS!$A$2:$A$20000,G146,DATOS!$G$2:$G$20000,CONFIG_METADATA!$B$4,DATOS!$I$2:$I$20000,"Conjunto"),""))</f>
        <v/>
      </c>
      <c r="K146" t="str" cm="1">
        <f t="array" ref="K146">IF(G146="","",IFERROR(AVERAGE(IF((DATOS!$A$2:$A$20000=G146)*(DATOS!$G$2:$G$20000=CONFIG_METADATA!$B$4)*(DATOS!$I$2:$I$20000&lt;&gt;"Lenguaje Musical")*(DATOS!$I$2:$I$20000&lt;&gt;"Coro")*(DATOS!$I$2:$I$20000&lt;&gt;"Conjunto"),DATOS!$K$2:$K$20000)),""))</f>
        <v/>
      </c>
      <c r="N146" t="str">
        <f>IF(M146="","",IFERROR(AVERAGEIFS(DATOS!$K$2:$K$20000,DATOS!$A$2:$A$20000,M146,DATOS!$G$2:$G$20000,CONFIG_METADATA!$B$4,DATOS!$I$2:$I$20000,"Lenguaje Musical"),""))</f>
        <v/>
      </c>
      <c r="O146" t="str">
        <f>IF(M146="","",IFERROR(AVERAGEIFS(DATOS!$K$2:$K$20000,DATOS!$A$2:$A$20000,M146,DATOS!$G$2:$G$20000,CONFIG_METADATA!$B$4,DATOS!$I$2:$I$20000,"Coro"),""))</f>
        <v/>
      </c>
      <c r="P146" t="str">
        <f>IF(M146="","",IFERROR(AVERAGEIFS(DATOS!$K$2:$K$20000,DATOS!$A$2:$A$20000,M146,DATOS!$G$2:$G$20000,CONFIG_METADATA!$B$4,DATOS!$I$2:$I$20000,"Conjunto"),""))</f>
        <v/>
      </c>
      <c r="Q146" t="str" cm="1">
        <f t="array" ref="Q146">IF(M146="","",IFERROR(AVERAGE(IF((DATOS!$A$2:$A$20000=M146)*(DATOS!$G$2:$G$20000=CONFIG_METADATA!$B$4)*(DATOS!$I$2:$I$20000&lt;&gt;"Lenguaje Musical")*(DATOS!$I$2:$I$20000&lt;&gt;"Coro")*(DATOS!$I$2:$I$20000&lt;&gt;"Conjunto"),DATOS!$K$2:$K$20000)),""))</f>
        <v/>
      </c>
      <c r="T146" t="str">
        <f>IF(S146="","",IFERROR(AVERAGEIFS(DATOS!$K$2:$K$20000,DATOS!$A$2:$A$20000,S146,DATOS!$G$2:$G$20000,CONFIG_METADATA!$B$4,DATOS!$I$2:$I$20000,"Lenguaje Musical"),""))</f>
        <v/>
      </c>
      <c r="U146" t="str">
        <f>IF(S146="","",IFERROR(AVERAGEIFS(DATOS!$K$2:$K$20000,DATOS!$A$2:$A$20000,S146,DATOS!$G$2:$G$20000,CONFIG_METADATA!$B$4,DATOS!$I$2:$I$20000,"Coro"),""))</f>
        <v/>
      </c>
      <c r="V146" t="str">
        <f>IF(S146="","",IFERROR(AVERAGEIFS(DATOS!$K$2:$K$20000,DATOS!$A$2:$A$20000,S146,DATOS!$G$2:$G$20000,CONFIG_METADATA!$B$4,DATOS!$I$2:$I$20000,"Conjunto"),""))</f>
        <v/>
      </c>
      <c r="W146" t="str" cm="1">
        <f t="array" ref="W146">IF(S146="","",IFERROR(AVERAGE(IF((DATOS!$A$2:$A$20000=S146)*(DATOS!$G$2:$G$20000=CONFIG_METADATA!$B$4)*(DATOS!$I$2:$I$20000&lt;&gt;"Lenguaje Musical")*(DATOS!$I$2:$I$20000&lt;&gt;"Coro")*(DATOS!$I$2:$I$20000&lt;&gt;"Conjunto"),DATOS!$K$2:$K$20000)),""))</f>
        <v/>
      </c>
    </row>
    <row r="147" spans="2:23" x14ac:dyDescent="0.2">
      <c r="B147" t="str">
        <f>IF(A147="","",IFERROR(AVERAGEIFS(DATOS!$K$2:$K$20000,DATOS!$A$2:$A$20000,A147,DATOS!$G$2:$G$20000,CONFIG_METADATA!$B$4,DATOS!$I$2:$I$20000,"Lenguaje Musical"),""))</f>
        <v/>
      </c>
      <c r="C147" t="str">
        <f>IF(A147="","",IFERROR(AVERAGEIFS(DATOS!$K$2:$K$20000,DATOS!$A$2:$A$20000,A147,DATOS!$G$2:$G$20000,CONFIG_METADATA!$B$4,DATOS!$I$2:$I$20000,"Coro"),""))</f>
        <v/>
      </c>
      <c r="D147" t="str">
        <f>IF(A147="","",IFERROR(AVERAGEIFS(DATOS!$K$2:$K$20000,DATOS!$A$2:$A$20000,A147,DATOS!$G$2:$G$20000,CONFIG_METADATA!$B$4,DATOS!$I$2:$I$20000,"Conjunto"),""))</f>
        <v/>
      </c>
      <c r="E147" t="str" cm="1">
        <f t="array" ref="E147">IF(A147="","",IFERROR(AVERAGE(IF((DATOS!$A$2:$A$20000=A147)*(DATOS!$G$2:$G$20000=CONFIG_METADATA!$B$4)*(DATOS!$I$2:$I$20000&lt;&gt;"Lenguaje Musical")*(DATOS!$I$2:$I$20000&lt;&gt;"Coro")*(DATOS!$I$2:$I$20000&lt;&gt;"Conjunto"),DATOS!$K$2:$K$20000)),""))</f>
        <v/>
      </c>
      <c r="H147" t="str">
        <f>IF(G147="","",IFERROR(AVERAGEIFS(DATOS!$K$2:$K$20000,DATOS!$A$2:$A$20000,G147,DATOS!$G$2:$G$20000,CONFIG_METADATA!$B$4,DATOS!$I$2:$I$20000,"Lenguaje Musical"),""))</f>
        <v/>
      </c>
      <c r="I147" t="str">
        <f>IF(G147="","",IFERROR(AVERAGEIFS(DATOS!$K$2:$K$20000,DATOS!$A$2:$A$20000,G147,DATOS!$G$2:$G$20000,CONFIG_METADATA!$B$4,DATOS!$I$2:$I$20000,"Coro"),""))</f>
        <v/>
      </c>
      <c r="J147" t="str">
        <f>IF(G147="","",IFERROR(AVERAGEIFS(DATOS!$K$2:$K$20000,DATOS!$A$2:$A$20000,G147,DATOS!$G$2:$G$20000,CONFIG_METADATA!$B$4,DATOS!$I$2:$I$20000,"Conjunto"),""))</f>
        <v/>
      </c>
      <c r="K147" t="str" cm="1">
        <f t="array" ref="K147">IF(G147="","",IFERROR(AVERAGE(IF((DATOS!$A$2:$A$20000=G147)*(DATOS!$G$2:$G$20000=CONFIG_METADATA!$B$4)*(DATOS!$I$2:$I$20000&lt;&gt;"Lenguaje Musical")*(DATOS!$I$2:$I$20000&lt;&gt;"Coro")*(DATOS!$I$2:$I$20000&lt;&gt;"Conjunto"),DATOS!$K$2:$K$20000)),""))</f>
        <v/>
      </c>
      <c r="N147" t="str">
        <f>IF(M147="","",IFERROR(AVERAGEIFS(DATOS!$K$2:$K$20000,DATOS!$A$2:$A$20000,M147,DATOS!$G$2:$G$20000,CONFIG_METADATA!$B$4,DATOS!$I$2:$I$20000,"Lenguaje Musical"),""))</f>
        <v/>
      </c>
      <c r="O147" t="str">
        <f>IF(M147="","",IFERROR(AVERAGEIFS(DATOS!$K$2:$K$20000,DATOS!$A$2:$A$20000,M147,DATOS!$G$2:$G$20000,CONFIG_METADATA!$B$4,DATOS!$I$2:$I$20000,"Coro"),""))</f>
        <v/>
      </c>
      <c r="P147" t="str">
        <f>IF(M147="","",IFERROR(AVERAGEIFS(DATOS!$K$2:$K$20000,DATOS!$A$2:$A$20000,M147,DATOS!$G$2:$G$20000,CONFIG_METADATA!$B$4,DATOS!$I$2:$I$20000,"Conjunto"),""))</f>
        <v/>
      </c>
      <c r="Q147" t="str" cm="1">
        <f t="array" ref="Q147">IF(M147="","",IFERROR(AVERAGE(IF((DATOS!$A$2:$A$20000=M147)*(DATOS!$G$2:$G$20000=CONFIG_METADATA!$B$4)*(DATOS!$I$2:$I$20000&lt;&gt;"Lenguaje Musical")*(DATOS!$I$2:$I$20000&lt;&gt;"Coro")*(DATOS!$I$2:$I$20000&lt;&gt;"Conjunto"),DATOS!$K$2:$K$20000)),""))</f>
        <v/>
      </c>
      <c r="T147" t="str">
        <f>IF(S147="","",IFERROR(AVERAGEIFS(DATOS!$K$2:$K$20000,DATOS!$A$2:$A$20000,S147,DATOS!$G$2:$G$20000,CONFIG_METADATA!$B$4,DATOS!$I$2:$I$20000,"Lenguaje Musical"),""))</f>
        <v/>
      </c>
      <c r="U147" t="str">
        <f>IF(S147="","",IFERROR(AVERAGEIFS(DATOS!$K$2:$K$20000,DATOS!$A$2:$A$20000,S147,DATOS!$G$2:$G$20000,CONFIG_METADATA!$B$4,DATOS!$I$2:$I$20000,"Coro"),""))</f>
        <v/>
      </c>
      <c r="V147" t="str">
        <f>IF(S147="","",IFERROR(AVERAGEIFS(DATOS!$K$2:$K$20000,DATOS!$A$2:$A$20000,S147,DATOS!$G$2:$G$20000,CONFIG_METADATA!$B$4,DATOS!$I$2:$I$20000,"Conjunto"),""))</f>
        <v/>
      </c>
      <c r="W147" t="str" cm="1">
        <f t="array" ref="W147">IF(S147="","",IFERROR(AVERAGE(IF((DATOS!$A$2:$A$20000=S147)*(DATOS!$G$2:$G$20000=CONFIG_METADATA!$B$4)*(DATOS!$I$2:$I$20000&lt;&gt;"Lenguaje Musical")*(DATOS!$I$2:$I$20000&lt;&gt;"Coro")*(DATOS!$I$2:$I$20000&lt;&gt;"Conjunto"),DATOS!$K$2:$K$20000)),""))</f>
        <v/>
      </c>
    </row>
    <row r="148" spans="2:23" x14ac:dyDescent="0.2">
      <c r="B148" t="str">
        <f>IF(A148="","",IFERROR(AVERAGEIFS(DATOS!$K$2:$K$20000,DATOS!$A$2:$A$20000,A148,DATOS!$G$2:$G$20000,CONFIG_METADATA!$B$4,DATOS!$I$2:$I$20000,"Lenguaje Musical"),""))</f>
        <v/>
      </c>
      <c r="C148" t="str">
        <f>IF(A148="","",IFERROR(AVERAGEIFS(DATOS!$K$2:$K$20000,DATOS!$A$2:$A$20000,A148,DATOS!$G$2:$G$20000,CONFIG_METADATA!$B$4,DATOS!$I$2:$I$20000,"Coro"),""))</f>
        <v/>
      </c>
      <c r="D148" t="str">
        <f>IF(A148="","",IFERROR(AVERAGEIFS(DATOS!$K$2:$K$20000,DATOS!$A$2:$A$20000,A148,DATOS!$G$2:$G$20000,CONFIG_METADATA!$B$4,DATOS!$I$2:$I$20000,"Conjunto"),""))</f>
        <v/>
      </c>
      <c r="E148" t="str" cm="1">
        <f t="array" ref="E148">IF(A148="","",IFERROR(AVERAGE(IF((DATOS!$A$2:$A$20000=A148)*(DATOS!$G$2:$G$20000=CONFIG_METADATA!$B$4)*(DATOS!$I$2:$I$20000&lt;&gt;"Lenguaje Musical")*(DATOS!$I$2:$I$20000&lt;&gt;"Coro")*(DATOS!$I$2:$I$20000&lt;&gt;"Conjunto"),DATOS!$K$2:$K$20000)),""))</f>
        <v/>
      </c>
      <c r="H148" t="str">
        <f>IF(G148="","",IFERROR(AVERAGEIFS(DATOS!$K$2:$K$20000,DATOS!$A$2:$A$20000,G148,DATOS!$G$2:$G$20000,CONFIG_METADATA!$B$4,DATOS!$I$2:$I$20000,"Lenguaje Musical"),""))</f>
        <v/>
      </c>
      <c r="I148" t="str">
        <f>IF(G148="","",IFERROR(AVERAGEIFS(DATOS!$K$2:$K$20000,DATOS!$A$2:$A$20000,G148,DATOS!$G$2:$G$20000,CONFIG_METADATA!$B$4,DATOS!$I$2:$I$20000,"Coro"),""))</f>
        <v/>
      </c>
      <c r="J148" t="str">
        <f>IF(G148="","",IFERROR(AVERAGEIFS(DATOS!$K$2:$K$20000,DATOS!$A$2:$A$20000,G148,DATOS!$G$2:$G$20000,CONFIG_METADATA!$B$4,DATOS!$I$2:$I$20000,"Conjunto"),""))</f>
        <v/>
      </c>
      <c r="K148" t="str" cm="1">
        <f t="array" ref="K148">IF(G148="","",IFERROR(AVERAGE(IF((DATOS!$A$2:$A$20000=G148)*(DATOS!$G$2:$G$20000=CONFIG_METADATA!$B$4)*(DATOS!$I$2:$I$20000&lt;&gt;"Lenguaje Musical")*(DATOS!$I$2:$I$20000&lt;&gt;"Coro")*(DATOS!$I$2:$I$20000&lt;&gt;"Conjunto"),DATOS!$K$2:$K$20000)),""))</f>
        <v/>
      </c>
      <c r="N148" t="str">
        <f>IF(M148="","",IFERROR(AVERAGEIFS(DATOS!$K$2:$K$20000,DATOS!$A$2:$A$20000,M148,DATOS!$G$2:$G$20000,CONFIG_METADATA!$B$4,DATOS!$I$2:$I$20000,"Lenguaje Musical"),""))</f>
        <v/>
      </c>
      <c r="O148" t="str">
        <f>IF(M148="","",IFERROR(AVERAGEIFS(DATOS!$K$2:$K$20000,DATOS!$A$2:$A$20000,M148,DATOS!$G$2:$G$20000,CONFIG_METADATA!$B$4,DATOS!$I$2:$I$20000,"Coro"),""))</f>
        <v/>
      </c>
      <c r="P148" t="str">
        <f>IF(M148="","",IFERROR(AVERAGEIFS(DATOS!$K$2:$K$20000,DATOS!$A$2:$A$20000,M148,DATOS!$G$2:$G$20000,CONFIG_METADATA!$B$4,DATOS!$I$2:$I$20000,"Conjunto"),""))</f>
        <v/>
      </c>
      <c r="Q148" t="str" cm="1">
        <f t="array" ref="Q148">IF(M148="","",IFERROR(AVERAGE(IF((DATOS!$A$2:$A$20000=M148)*(DATOS!$G$2:$G$20000=CONFIG_METADATA!$B$4)*(DATOS!$I$2:$I$20000&lt;&gt;"Lenguaje Musical")*(DATOS!$I$2:$I$20000&lt;&gt;"Coro")*(DATOS!$I$2:$I$20000&lt;&gt;"Conjunto"),DATOS!$K$2:$K$20000)),""))</f>
        <v/>
      </c>
      <c r="T148" t="str">
        <f>IF(S148="","",IFERROR(AVERAGEIFS(DATOS!$K$2:$K$20000,DATOS!$A$2:$A$20000,S148,DATOS!$G$2:$G$20000,CONFIG_METADATA!$B$4,DATOS!$I$2:$I$20000,"Lenguaje Musical"),""))</f>
        <v/>
      </c>
      <c r="U148" t="str">
        <f>IF(S148="","",IFERROR(AVERAGEIFS(DATOS!$K$2:$K$20000,DATOS!$A$2:$A$20000,S148,DATOS!$G$2:$G$20000,CONFIG_METADATA!$B$4,DATOS!$I$2:$I$20000,"Coro"),""))</f>
        <v/>
      </c>
      <c r="V148" t="str">
        <f>IF(S148="","",IFERROR(AVERAGEIFS(DATOS!$K$2:$K$20000,DATOS!$A$2:$A$20000,S148,DATOS!$G$2:$G$20000,CONFIG_METADATA!$B$4,DATOS!$I$2:$I$20000,"Conjunto"),""))</f>
        <v/>
      </c>
      <c r="W148" t="str" cm="1">
        <f t="array" ref="W148">IF(S148="","",IFERROR(AVERAGE(IF((DATOS!$A$2:$A$20000=S148)*(DATOS!$G$2:$G$20000=CONFIG_METADATA!$B$4)*(DATOS!$I$2:$I$20000&lt;&gt;"Lenguaje Musical")*(DATOS!$I$2:$I$20000&lt;&gt;"Coro")*(DATOS!$I$2:$I$20000&lt;&gt;"Conjunto"),DATOS!$K$2:$K$20000)),""))</f>
        <v/>
      </c>
    </row>
    <row r="149" spans="2:23" x14ac:dyDescent="0.2">
      <c r="B149" t="str">
        <f>IF(A149="","",IFERROR(AVERAGEIFS(DATOS!$K$2:$K$20000,DATOS!$A$2:$A$20000,A149,DATOS!$G$2:$G$20000,CONFIG_METADATA!$B$4,DATOS!$I$2:$I$20000,"Lenguaje Musical"),""))</f>
        <v/>
      </c>
      <c r="C149" t="str">
        <f>IF(A149="","",IFERROR(AVERAGEIFS(DATOS!$K$2:$K$20000,DATOS!$A$2:$A$20000,A149,DATOS!$G$2:$G$20000,CONFIG_METADATA!$B$4,DATOS!$I$2:$I$20000,"Coro"),""))</f>
        <v/>
      </c>
      <c r="D149" t="str">
        <f>IF(A149="","",IFERROR(AVERAGEIFS(DATOS!$K$2:$K$20000,DATOS!$A$2:$A$20000,A149,DATOS!$G$2:$G$20000,CONFIG_METADATA!$B$4,DATOS!$I$2:$I$20000,"Conjunto"),""))</f>
        <v/>
      </c>
      <c r="E149" t="str" cm="1">
        <f t="array" ref="E149">IF(A149="","",IFERROR(AVERAGE(IF((DATOS!$A$2:$A$20000=A149)*(DATOS!$G$2:$G$20000=CONFIG_METADATA!$B$4)*(DATOS!$I$2:$I$20000&lt;&gt;"Lenguaje Musical")*(DATOS!$I$2:$I$20000&lt;&gt;"Coro")*(DATOS!$I$2:$I$20000&lt;&gt;"Conjunto"),DATOS!$K$2:$K$20000)),""))</f>
        <v/>
      </c>
      <c r="H149" t="str">
        <f>IF(G149="","",IFERROR(AVERAGEIFS(DATOS!$K$2:$K$20000,DATOS!$A$2:$A$20000,G149,DATOS!$G$2:$G$20000,CONFIG_METADATA!$B$4,DATOS!$I$2:$I$20000,"Lenguaje Musical"),""))</f>
        <v/>
      </c>
      <c r="I149" t="str">
        <f>IF(G149="","",IFERROR(AVERAGEIFS(DATOS!$K$2:$K$20000,DATOS!$A$2:$A$20000,G149,DATOS!$G$2:$G$20000,CONFIG_METADATA!$B$4,DATOS!$I$2:$I$20000,"Coro"),""))</f>
        <v/>
      </c>
      <c r="J149" t="str">
        <f>IF(G149="","",IFERROR(AVERAGEIFS(DATOS!$K$2:$K$20000,DATOS!$A$2:$A$20000,G149,DATOS!$G$2:$G$20000,CONFIG_METADATA!$B$4,DATOS!$I$2:$I$20000,"Conjunto"),""))</f>
        <v/>
      </c>
      <c r="K149" t="str" cm="1">
        <f t="array" ref="K149">IF(G149="","",IFERROR(AVERAGE(IF((DATOS!$A$2:$A$20000=G149)*(DATOS!$G$2:$G$20000=CONFIG_METADATA!$B$4)*(DATOS!$I$2:$I$20000&lt;&gt;"Lenguaje Musical")*(DATOS!$I$2:$I$20000&lt;&gt;"Coro")*(DATOS!$I$2:$I$20000&lt;&gt;"Conjunto"),DATOS!$K$2:$K$20000)),""))</f>
        <v/>
      </c>
      <c r="N149" t="str">
        <f>IF(M149="","",IFERROR(AVERAGEIFS(DATOS!$K$2:$K$20000,DATOS!$A$2:$A$20000,M149,DATOS!$G$2:$G$20000,CONFIG_METADATA!$B$4,DATOS!$I$2:$I$20000,"Lenguaje Musical"),""))</f>
        <v/>
      </c>
      <c r="O149" t="str">
        <f>IF(M149="","",IFERROR(AVERAGEIFS(DATOS!$K$2:$K$20000,DATOS!$A$2:$A$20000,M149,DATOS!$G$2:$G$20000,CONFIG_METADATA!$B$4,DATOS!$I$2:$I$20000,"Coro"),""))</f>
        <v/>
      </c>
      <c r="P149" t="str">
        <f>IF(M149="","",IFERROR(AVERAGEIFS(DATOS!$K$2:$K$20000,DATOS!$A$2:$A$20000,M149,DATOS!$G$2:$G$20000,CONFIG_METADATA!$B$4,DATOS!$I$2:$I$20000,"Conjunto"),""))</f>
        <v/>
      </c>
      <c r="Q149" t="str" cm="1">
        <f t="array" ref="Q149">IF(M149="","",IFERROR(AVERAGE(IF((DATOS!$A$2:$A$20000=M149)*(DATOS!$G$2:$G$20000=CONFIG_METADATA!$B$4)*(DATOS!$I$2:$I$20000&lt;&gt;"Lenguaje Musical")*(DATOS!$I$2:$I$20000&lt;&gt;"Coro")*(DATOS!$I$2:$I$20000&lt;&gt;"Conjunto"),DATOS!$K$2:$K$20000)),""))</f>
        <v/>
      </c>
      <c r="T149" t="str">
        <f>IF(S149="","",IFERROR(AVERAGEIFS(DATOS!$K$2:$K$20000,DATOS!$A$2:$A$20000,S149,DATOS!$G$2:$G$20000,CONFIG_METADATA!$B$4,DATOS!$I$2:$I$20000,"Lenguaje Musical"),""))</f>
        <v/>
      </c>
      <c r="U149" t="str">
        <f>IF(S149="","",IFERROR(AVERAGEIFS(DATOS!$K$2:$K$20000,DATOS!$A$2:$A$20000,S149,DATOS!$G$2:$G$20000,CONFIG_METADATA!$B$4,DATOS!$I$2:$I$20000,"Coro"),""))</f>
        <v/>
      </c>
      <c r="V149" t="str">
        <f>IF(S149="","",IFERROR(AVERAGEIFS(DATOS!$K$2:$K$20000,DATOS!$A$2:$A$20000,S149,DATOS!$G$2:$G$20000,CONFIG_METADATA!$B$4,DATOS!$I$2:$I$20000,"Conjunto"),""))</f>
        <v/>
      </c>
      <c r="W149" t="str" cm="1">
        <f t="array" ref="W149">IF(S149="","",IFERROR(AVERAGE(IF((DATOS!$A$2:$A$20000=S149)*(DATOS!$G$2:$G$20000=CONFIG_METADATA!$B$4)*(DATOS!$I$2:$I$20000&lt;&gt;"Lenguaje Musical")*(DATOS!$I$2:$I$20000&lt;&gt;"Coro")*(DATOS!$I$2:$I$20000&lt;&gt;"Conjunto"),DATOS!$K$2:$K$20000)),""))</f>
        <v/>
      </c>
    </row>
    <row r="150" spans="2:23" x14ac:dyDescent="0.2">
      <c r="B150" t="str">
        <f>IF(A150="","",IFERROR(AVERAGEIFS(DATOS!$K$2:$K$20000,DATOS!$A$2:$A$20000,A150,DATOS!$G$2:$G$20000,CONFIG_METADATA!$B$4,DATOS!$I$2:$I$20000,"Lenguaje Musical"),""))</f>
        <v/>
      </c>
      <c r="C150" t="str">
        <f>IF(A150="","",IFERROR(AVERAGEIFS(DATOS!$K$2:$K$20000,DATOS!$A$2:$A$20000,A150,DATOS!$G$2:$G$20000,CONFIG_METADATA!$B$4,DATOS!$I$2:$I$20000,"Coro"),""))</f>
        <v/>
      </c>
      <c r="D150" t="str">
        <f>IF(A150="","",IFERROR(AVERAGEIFS(DATOS!$K$2:$K$20000,DATOS!$A$2:$A$20000,A150,DATOS!$G$2:$G$20000,CONFIG_METADATA!$B$4,DATOS!$I$2:$I$20000,"Conjunto"),""))</f>
        <v/>
      </c>
      <c r="E150" t="str" cm="1">
        <f t="array" ref="E150">IF(A150="","",IFERROR(AVERAGE(IF((DATOS!$A$2:$A$20000=A150)*(DATOS!$G$2:$G$20000=CONFIG_METADATA!$B$4)*(DATOS!$I$2:$I$20000&lt;&gt;"Lenguaje Musical")*(DATOS!$I$2:$I$20000&lt;&gt;"Coro")*(DATOS!$I$2:$I$20000&lt;&gt;"Conjunto"),DATOS!$K$2:$K$20000)),""))</f>
        <v/>
      </c>
      <c r="H150" t="str">
        <f>IF(G150="","",IFERROR(AVERAGEIFS(DATOS!$K$2:$K$20000,DATOS!$A$2:$A$20000,G150,DATOS!$G$2:$G$20000,CONFIG_METADATA!$B$4,DATOS!$I$2:$I$20000,"Lenguaje Musical"),""))</f>
        <v/>
      </c>
      <c r="I150" t="str">
        <f>IF(G150="","",IFERROR(AVERAGEIFS(DATOS!$K$2:$K$20000,DATOS!$A$2:$A$20000,G150,DATOS!$G$2:$G$20000,CONFIG_METADATA!$B$4,DATOS!$I$2:$I$20000,"Coro"),""))</f>
        <v/>
      </c>
      <c r="J150" t="str">
        <f>IF(G150="","",IFERROR(AVERAGEIFS(DATOS!$K$2:$K$20000,DATOS!$A$2:$A$20000,G150,DATOS!$G$2:$G$20000,CONFIG_METADATA!$B$4,DATOS!$I$2:$I$20000,"Conjunto"),""))</f>
        <v/>
      </c>
      <c r="K150" t="str" cm="1">
        <f t="array" ref="K150">IF(G150="","",IFERROR(AVERAGE(IF((DATOS!$A$2:$A$20000=G150)*(DATOS!$G$2:$G$20000=CONFIG_METADATA!$B$4)*(DATOS!$I$2:$I$20000&lt;&gt;"Lenguaje Musical")*(DATOS!$I$2:$I$20000&lt;&gt;"Coro")*(DATOS!$I$2:$I$20000&lt;&gt;"Conjunto"),DATOS!$K$2:$K$20000)),""))</f>
        <v/>
      </c>
      <c r="N150" t="str">
        <f>IF(M150="","",IFERROR(AVERAGEIFS(DATOS!$K$2:$K$20000,DATOS!$A$2:$A$20000,M150,DATOS!$G$2:$G$20000,CONFIG_METADATA!$B$4,DATOS!$I$2:$I$20000,"Lenguaje Musical"),""))</f>
        <v/>
      </c>
      <c r="O150" t="str">
        <f>IF(M150="","",IFERROR(AVERAGEIFS(DATOS!$K$2:$K$20000,DATOS!$A$2:$A$20000,M150,DATOS!$G$2:$G$20000,CONFIG_METADATA!$B$4,DATOS!$I$2:$I$20000,"Coro"),""))</f>
        <v/>
      </c>
      <c r="P150" t="str">
        <f>IF(M150="","",IFERROR(AVERAGEIFS(DATOS!$K$2:$K$20000,DATOS!$A$2:$A$20000,M150,DATOS!$G$2:$G$20000,CONFIG_METADATA!$B$4,DATOS!$I$2:$I$20000,"Conjunto"),""))</f>
        <v/>
      </c>
      <c r="Q150" t="str" cm="1">
        <f t="array" ref="Q150">IF(M150="","",IFERROR(AVERAGE(IF((DATOS!$A$2:$A$20000=M150)*(DATOS!$G$2:$G$20000=CONFIG_METADATA!$B$4)*(DATOS!$I$2:$I$20000&lt;&gt;"Lenguaje Musical")*(DATOS!$I$2:$I$20000&lt;&gt;"Coro")*(DATOS!$I$2:$I$20000&lt;&gt;"Conjunto"),DATOS!$K$2:$K$20000)),""))</f>
        <v/>
      </c>
      <c r="T150" t="str">
        <f>IF(S150="","",IFERROR(AVERAGEIFS(DATOS!$K$2:$K$20000,DATOS!$A$2:$A$20000,S150,DATOS!$G$2:$G$20000,CONFIG_METADATA!$B$4,DATOS!$I$2:$I$20000,"Lenguaje Musical"),""))</f>
        <v/>
      </c>
      <c r="U150" t="str">
        <f>IF(S150="","",IFERROR(AVERAGEIFS(DATOS!$K$2:$K$20000,DATOS!$A$2:$A$20000,S150,DATOS!$G$2:$G$20000,CONFIG_METADATA!$B$4,DATOS!$I$2:$I$20000,"Coro"),""))</f>
        <v/>
      </c>
      <c r="V150" t="str">
        <f>IF(S150="","",IFERROR(AVERAGEIFS(DATOS!$K$2:$K$20000,DATOS!$A$2:$A$20000,S150,DATOS!$G$2:$G$20000,CONFIG_METADATA!$B$4,DATOS!$I$2:$I$20000,"Conjunto"),""))</f>
        <v/>
      </c>
      <c r="W150" t="str" cm="1">
        <f t="array" ref="W150">IF(S150="","",IFERROR(AVERAGE(IF((DATOS!$A$2:$A$20000=S150)*(DATOS!$G$2:$G$20000=CONFIG_METADATA!$B$4)*(DATOS!$I$2:$I$20000&lt;&gt;"Lenguaje Musical")*(DATOS!$I$2:$I$20000&lt;&gt;"Coro")*(DATOS!$I$2:$I$20000&lt;&gt;"Conjunto"),DATOS!$K$2:$K$20000)),""))</f>
        <v/>
      </c>
    </row>
    <row r="151" spans="2:23" x14ac:dyDescent="0.2">
      <c r="B151" t="str">
        <f>IF(A151="","",IFERROR(AVERAGEIFS(DATOS!$K$2:$K$20000,DATOS!$A$2:$A$20000,A151,DATOS!$G$2:$G$20000,CONFIG_METADATA!$B$4,DATOS!$I$2:$I$20000,"Lenguaje Musical"),""))</f>
        <v/>
      </c>
      <c r="C151" t="str">
        <f>IF(A151="","",IFERROR(AVERAGEIFS(DATOS!$K$2:$K$20000,DATOS!$A$2:$A$20000,A151,DATOS!$G$2:$G$20000,CONFIG_METADATA!$B$4,DATOS!$I$2:$I$20000,"Coro"),""))</f>
        <v/>
      </c>
      <c r="D151" t="str">
        <f>IF(A151="","",IFERROR(AVERAGEIFS(DATOS!$K$2:$K$20000,DATOS!$A$2:$A$20000,A151,DATOS!$G$2:$G$20000,CONFIG_METADATA!$B$4,DATOS!$I$2:$I$20000,"Conjunto"),""))</f>
        <v/>
      </c>
      <c r="E151" t="str" cm="1">
        <f t="array" ref="E151">IF(A151="","",IFERROR(AVERAGE(IF((DATOS!$A$2:$A$20000=A151)*(DATOS!$G$2:$G$20000=CONFIG_METADATA!$B$4)*(DATOS!$I$2:$I$20000&lt;&gt;"Lenguaje Musical")*(DATOS!$I$2:$I$20000&lt;&gt;"Coro")*(DATOS!$I$2:$I$20000&lt;&gt;"Conjunto"),DATOS!$K$2:$K$20000)),""))</f>
        <v/>
      </c>
      <c r="H151" t="str">
        <f>IF(G151="","",IFERROR(AVERAGEIFS(DATOS!$K$2:$K$20000,DATOS!$A$2:$A$20000,G151,DATOS!$G$2:$G$20000,CONFIG_METADATA!$B$4,DATOS!$I$2:$I$20000,"Lenguaje Musical"),""))</f>
        <v/>
      </c>
      <c r="I151" t="str">
        <f>IF(G151="","",IFERROR(AVERAGEIFS(DATOS!$K$2:$K$20000,DATOS!$A$2:$A$20000,G151,DATOS!$G$2:$G$20000,CONFIG_METADATA!$B$4,DATOS!$I$2:$I$20000,"Coro"),""))</f>
        <v/>
      </c>
      <c r="J151" t="str">
        <f>IF(G151="","",IFERROR(AVERAGEIFS(DATOS!$K$2:$K$20000,DATOS!$A$2:$A$20000,G151,DATOS!$G$2:$G$20000,CONFIG_METADATA!$B$4,DATOS!$I$2:$I$20000,"Conjunto"),""))</f>
        <v/>
      </c>
      <c r="K151" t="str" cm="1">
        <f t="array" ref="K151">IF(G151="","",IFERROR(AVERAGE(IF((DATOS!$A$2:$A$20000=G151)*(DATOS!$G$2:$G$20000=CONFIG_METADATA!$B$4)*(DATOS!$I$2:$I$20000&lt;&gt;"Lenguaje Musical")*(DATOS!$I$2:$I$20000&lt;&gt;"Coro")*(DATOS!$I$2:$I$20000&lt;&gt;"Conjunto"),DATOS!$K$2:$K$20000)),""))</f>
        <v/>
      </c>
      <c r="N151" t="str">
        <f>IF(M151="","",IFERROR(AVERAGEIFS(DATOS!$K$2:$K$20000,DATOS!$A$2:$A$20000,M151,DATOS!$G$2:$G$20000,CONFIG_METADATA!$B$4,DATOS!$I$2:$I$20000,"Lenguaje Musical"),""))</f>
        <v/>
      </c>
      <c r="O151" t="str">
        <f>IF(M151="","",IFERROR(AVERAGEIFS(DATOS!$K$2:$K$20000,DATOS!$A$2:$A$20000,M151,DATOS!$G$2:$G$20000,CONFIG_METADATA!$B$4,DATOS!$I$2:$I$20000,"Coro"),""))</f>
        <v/>
      </c>
      <c r="P151" t="str">
        <f>IF(M151="","",IFERROR(AVERAGEIFS(DATOS!$K$2:$K$20000,DATOS!$A$2:$A$20000,M151,DATOS!$G$2:$G$20000,CONFIG_METADATA!$B$4,DATOS!$I$2:$I$20000,"Conjunto"),""))</f>
        <v/>
      </c>
      <c r="Q151" t="str" cm="1">
        <f t="array" ref="Q151">IF(M151="","",IFERROR(AVERAGE(IF((DATOS!$A$2:$A$20000=M151)*(DATOS!$G$2:$G$20000=CONFIG_METADATA!$B$4)*(DATOS!$I$2:$I$20000&lt;&gt;"Lenguaje Musical")*(DATOS!$I$2:$I$20000&lt;&gt;"Coro")*(DATOS!$I$2:$I$20000&lt;&gt;"Conjunto"),DATOS!$K$2:$K$20000)),""))</f>
        <v/>
      </c>
      <c r="T151" t="str">
        <f>IF(S151="","",IFERROR(AVERAGEIFS(DATOS!$K$2:$K$20000,DATOS!$A$2:$A$20000,S151,DATOS!$G$2:$G$20000,CONFIG_METADATA!$B$4,DATOS!$I$2:$I$20000,"Lenguaje Musical"),""))</f>
        <v/>
      </c>
      <c r="U151" t="str">
        <f>IF(S151="","",IFERROR(AVERAGEIFS(DATOS!$K$2:$K$20000,DATOS!$A$2:$A$20000,S151,DATOS!$G$2:$G$20000,CONFIG_METADATA!$B$4,DATOS!$I$2:$I$20000,"Coro"),""))</f>
        <v/>
      </c>
      <c r="V151" t="str">
        <f>IF(S151="","",IFERROR(AVERAGEIFS(DATOS!$K$2:$K$20000,DATOS!$A$2:$A$20000,S151,DATOS!$G$2:$G$20000,CONFIG_METADATA!$B$4,DATOS!$I$2:$I$20000,"Conjunto"),""))</f>
        <v/>
      </c>
      <c r="W151" t="str" cm="1">
        <f t="array" ref="W151">IF(S151="","",IFERROR(AVERAGE(IF((DATOS!$A$2:$A$20000=S151)*(DATOS!$G$2:$G$20000=CONFIG_METADATA!$B$4)*(DATOS!$I$2:$I$20000&lt;&gt;"Lenguaje Musical")*(DATOS!$I$2:$I$20000&lt;&gt;"Coro")*(DATOS!$I$2:$I$20000&lt;&gt;"Conjunto"),DATOS!$K$2:$K$20000)),""))</f>
        <v/>
      </c>
    </row>
    <row r="152" spans="2:23" x14ac:dyDescent="0.2">
      <c r="B152" t="str">
        <f>IF(A152="","",IFERROR(AVERAGEIFS(DATOS!$K$2:$K$20000,DATOS!$A$2:$A$20000,A152,DATOS!$G$2:$G$20000,CONFIG_METADATA!$B$4,DATOS!$I$2:$I$20000,"Lenguaje Musical"),""))</f>
        <v/>
      </c>
      <c r="C152" t="str">
        <f>IF(A152="","",IFERROR(AVERAGEIFS(DATOS!$K$2:$K$20000,DATOS!$A$2:$A$20000,A152,DATOS!$G$2:$G$20000,CONFIG_METADATA!$B$4,DATOS!$I$2:$I$20000,"Coro"),""))</f>
        <v/>
      </c>
      <c r="D152" t="str">
        <f>IF(A152="","",IFERROR(AVERAGEIFS(DATOS!$K$2:$K$20000,DATOS!$A$2:$A$20000,A152,DATOS!$G$2:$G$20000,CONFIG_METADATA!$B$4,DATOS!$I$2:$I$20000,"Conjunto"),""))</f>
        <v/>
      </c>
      <c r="E152" t="str" cm="1">
        <f t="array" ref="E152">IF(A152="","",IFERROR(AVERAGE(IF((DATOS!$A$2:$A$20000=A152)*(DATOS!$G$2:$G$20000=CONFIG_METADATA!$B$4)*(DATOS!$I$2:$I$20000&lt;&gt;"Lenguaje Musical")*(DATOS!$I$2:$I$20000&lt;&gt;"Coro")*(DATOS!$I$2:$I$20000&lt;&gt;"Conjunto"),DATOS!$K$2:$K$20000)),""))</f>
        <v/>
      </c>
      <c r="H152" t="str">
        <f>IF(G152="","",IFERROR(AVERAGEIFS(DATOS!$K$2:$K$20000,DATOS!$A$2:$A$20000,G152,DATOS!$G$2:$G$20000,CONFIG_METADATA!$B$4,DATOS!$I$2:$I$20000,"Lenguaje Musical"),""))</f>
        <v/>
      </c>
      <c r="I152" t="str">
        <f>IF(G152="","",IFERROR(AVERAGEIFS(DATOS!$K$2:$K$20000,DATOS!$A$2:$A$20000,G152,DATOS!$G$2:$G$20000,CONFIG_METADATA!$B$4,DATOS!$I$2:$I$20000,"Coro"),""))</f>
        <v/>
      </c>
      <c r="J152" t="str">
        <f>IF(G152="","",IFERROR(AVERAGEIFS(DATOS!$K$2:$K$20000,DATOS!$A$2:$A$20000,G152,DATOS!$G$2:$G$20000,CONFIG_METADATA!$B$4,DATOS!$I$2:$I$20000,"Conjunto"),""))</f>
        <v/>
      </c>
      <c r="K152" t="str" cm="1">
        <f t="array" ref="K152">IF(G152="","",IFERROR(AVERAGE(IF((DATOS!$A$2:$A$20000=G152)*(DATOS!$G$2:$G$20000=CONFIG_METADATA!$B$4)*(DATOS!$I$2:$I$20000&lt;&gt;"Lenguaje Musical")*(DATOS!$I$2:$I$20000&lt;&gt;"Coro")*(DATOS!$I$2:$I$20000&lt;&gt;"Conjunto"),DATOS!$K$2:$K$20000)),""))</f>
        <v/>
      </c>
      <c r="N152" t="str">
        <f>IF(M152="","",IFERROR(AVERAGEIFS(DATOS!$K$2:$K$20000,DATOS!$A$2:$A$20000,M152,DATOS!$G$2:$G$20000,CONFIG_METADATA!$B$4,DATOS!$I$2:$I$20000,"Lenguaje Musical"),""))</f>
        <v/>
      </c>
      <c r="O152" t="str">
        <f>IF(M152="","",IFERROR(AVERAGEIFS(DATOS!$K$2:$K$20000,DATOS!$A$2:$A$20000,M152,DATOS!$G$2:$G$20000,CONFIG_METADATA!$B$4,DATOS!$I$2:$I$20000,"Coro"),""))</f>
        <v/>
      </c>
      <c r="P152" t="str">
        <f>IF(M152="","",IFERROR(AVERAGEIFS(DATOS!$K$2:$K$20000,DATOS!$A$2:$A$20000,M152,DATOS!$G$2:$G$20000,CONFIG_METADATA!$B$4,DATOS!$I$2:$I$20000,"Conjunto"),""))</f>
        <v/>
      </c>
      <c r="Q152" t="str" cm="1">
        <f t="array" ref="Q152">IF(M152="","",IFERROR(AVERAGE(IF((DATOS!$A$2:$A$20000=M152)*(DATOS!$G$2:$G$20000=CONFIG_METADATA!$B$4)*(DATOS!$I$2:$I$20000&lt;&gt;"Lenguaje Musical")*(DATOS!$I$2:$I$20000&lt;&gt;"Coro")*(DATOS!$I$2:$I$20000&lt;&gt;"Conjunto"),DATOS!$K$2:$K$20000)),""))</f>
        <v/>
      </c>
      <c r="T152" t="str">
        <f>IF(S152="","",IFERROR(AVERAGEIFS(DATOS!$K$2:$K$20000,DATOS!$A$2:$A$20000,S152,DATOS!$G$2:$G$20000,CONFIG_METADATA!$B$4,DATOS!$I$2:$I$20000,"Lenguaje Musical"),""))</f>
        <v/>
      </c>
      <c r="U152" t="str">
        <f>IF(S152="","",IFERROR(AVERAGEIFS(DATOS!$K$2:$K$20000,DATOS!$A$2:$A$20000,S152,DATOS!$G$2:$G$20000,CONFIG_METADATA!$B$4,DATOS!$I$2:$I$20000,"Coro"),""))</f>
        <v/>
      </c>
      <c r="V152" t="str">
        <f>IF(S152="","",IFERROR(AVERAGEIFS(DATOS!$K$2:$K$20000,DATOS!$A$2:$A$20000,S152,DATOS!$G$2:$G$20000,CONFIG_METADATA!$B$4,DATOS!$I$2:$I$20000,"Conjunto"),""))</f>
        <v/>
      </c>
      <c r="W152" t="str" cm="1">
        <f t="array" ref="W152">IF(S152="","",IFERROR(AVERAGE(IF((DATOS!$A$2:$A$20000=S152)*(DATOS!$G$2:$G$20000=CONFIG_METADATA!$B$4)*(DATOS!$I$2:$I$20000&lt;&gt;"Lenguaje Musical")*(DATOS!$I$2:$I$20000&lt;&gt;"Coro")*(DATOS!$I$2:$I$20000&lt;&gt;"Conjunto"),DATOS!$K$2:$K$20000)),""))</f>
        <v/>
      </c>
    </row>
    <row r="153" spans="2:23" x14ac:dyDescent="0.2">
      <c r="B153" t="str">
        <f>IF(A153="","",IFERROR(AVERAGEIFS(DATOS!$K$2:$K$20000,DATOS!$A$2:$A$20000,A153,DATOS!$G$2:$G$20000,CONFIG_METADATA!$B$4,DATOS!$I$2:$I$20000,"Lenguaje Musical"),""))</f>
        <v/>
      </c>
      <c r="C153" t="str">
        <f>IF(A153="","",IFERROR(AVERAGEIFS(DATOS!$K$2:$K$20000,DATOS!$A$2:$A$20000,A153,DATOS!$G$2:$G$20000,CONFIG_METADATA!$B$4,DATOS!$I$2:$I$20000,"Coro"),""))</f>
        <v/>
      </c>
      <c r="D153" t="str">
        <f>IF(A153="","",IFERROR(AVERAGEIFS(DATOS!$K$2:$K$20000,DATOS!$A$2:$A$20000,A153,DATOS!$G$2:$G$20000,CONFIG_METADATA!$B$4,DATOS!$I$2:$I$20000,"Conjunto"),""))</f>
        <v/>
      </c>
      <c r="E153" t="str" cm="1">
        <f t="array" ref="E153">IF(A153="","",IFERROR(AVERAGE(IF((DATOS!$A$2:$A$20000=A153)*(DATOS!$G$2:$G$20000=CONFIG_METADATA!$B$4)*(DATOS!$I$2:$I$20000&lt;&gt;"Lenguaje Musical")*(DATOS!$I$2:$I$20000&lt;&gt;"Coro")*(DATOS!$I$2:$I$20000&lt;&gt;"Conjunto"),DATOS!$K$2:$K$20000)),""))</f>
        <v/>
      </c>
      <c r="H153" t="str">
        <f>IF(G153="","",IFERROR(AVERAGEIFS(DATOS!$K$2:$K$20000,DATOS!$A$2:$A$20000,G153,DATOS!$G$2:$G$20000,CONFIG_METADATA!$B$4,DATOS!$I$2:$I$20000,"Lenguaje Musical"),""))</f>
        <v/>
      </c>
      <c r="I153" t="str">
        <f>IF(G153="","",IFERROR(AVERAGEIFS(DATOS!$K$2:$K$20000,DATOS!$A$2:$A$20000,G153,DATOS!$G$2:$G$20000,CONFIG_METADATA!$B$4,DATOS!$I$2:$I$20000,"Coro"),""))</f>
        <v/>
      </c>
      <c r="J153" t="str">
        <f>IF(G153="","",IFERROR(AVERAGEIFS(DATOS!$K$2:$K$20000,DATOS!$A$2:$A$20000,G153,DATOS!$G$2:$G$20000,CONFIG_METADATA!$B$4,DATOS!$I$2:$I$20000,"Conjunto"),""))</f>
        <v/>
      </c>
      <c r="K153" t="str" cm="1">
        <f t="array" ref="K153">IF(G153="","",IFERROR(AVERAGE(IF((DATOS!$A$2:$A$20000=G153)*(DATOS!$G$2:$G$20000=CONFIG_METADATA!$B$4)*(DATOS!$I$2:$I$20000&lt;&gt;"Lenguaje Musical")*(DATOS!$I$2:$I$20000&lt;&gt;"Coro")*(DATOS!$I$2:$I$20000&lt;&gt;"Conjunto"),DATOS!$K$2:$K$20000)),""))</f>
        <v/>
      </c>
      <c r="N153" t="str">
        <f>IF(M153="","",IFERROR(AVERAGEIFS(DATOS!$K$2:$K$20000,DATOS!$A$2:$A$20000,M153,DATOS!$G$2:$G$20000,CONFIG_METADATA!$B$4,DATOS!$I$2:$I$20000,"Lenguaje Musical"),""))</f>
        <v/>
      </c>
      <c r="O153" t="str">
        <f>IF(M153="","",IFERROR(AVERAGEIFS(DATOS!$K$2:$K$20000,DATOS!$A$2:$A$20000,M153,DATOS!$G$2:$G$20000,CONFIG_METADATA!$B$4,DATOS!$I$2:$I$20000,"Coro"),""))</f>
        <v/>
      </c>
      <c r="P153" t="str">
        <f>IF(M153="","",IFERROR(AVERAGEIFS(DATOS!$K$2:$K$20000,DATOS!$A$2:$A$20000,M153,DATOS!$G$2:$G$20000,CONFIG_METADATA!$B$4,DATOS!$I$2:$I$20000,"Conjunto"),""))</f>
        <v/>
      </c>
      <c r="Q153" t="str" cm="1">
        <f t="array" ref="Q153">IF(M153="","",IFERROR(AVERAGE(IF((DATOS!$A$2:$A$20000=M153)*(DATOS!$G$2:$G$20000=CONFIG_METADATA!$B$4)*(DATOS!$I$2:$I$20000&lt;&gt;"Lenguaje Musical")*(DATOS!$I$2:$I$20000&lt;&gt;"Coro")*(DATOS!$I$2:$I$20000&lt;&gt;"Conjunto"),DATOS!$K$2:$K$20000)),""))</f>
        <v/>
      </c>
      <c r="T153" t="str">
        <f>IF(S153="","",IFERROR(AVERAGEIFS(DATOS!$K$2:$K$20000,DATOS!$A$2:$A$20000,S153,DATOS!$G$2:$G$20000,CONFIG_METADATA!$B$4,DATOS!$I$2:$I$20000,"Lenguaje Musical"),""))</f>
        <v/>
      </c>
      <c r="U153" t="str">
        <f>IF(S153="","",IFERROR(AVERAGEIFS(DATOS!$K$2:$K$20000,DATOS!$A$2:$A$20000,S153,DATOS!$G$2:$G$20000,CONFIG_METADATA!$B$4,DATOS!$I$2:$I$20000,"Coro"),""))</f>
        <v/>
      </c>
      <c r="V153" t="str">
        <f>IF(S153="","",IFERROR(AVERAGEIFS(DATOS!$K$2:$K$20000,DATOS!$A$2:$A$20000,S153,DATOS!$G$2:$G$20000,CONFIG_METADATA!$B$4,DATOS!$I$2:$I$20000,"Conjunto"),""))</f>
        <v/>
      </c>
      <c r="W153" t="str" cm="1">
        <f t="array" ref="W153">IF(S153="","",IFERROR(AVERAGE(IF((DATOS!$A$2:$A$20000=S153)*(DATOS!$G$2:$G$20000=CONFIG_METADATA!$B$4)*(DATOS!$I$2:$I$20000&lt;&gt;"Lenguaje Musical")*(DATOS!$I$2:$I$20000&lt;&gt;"Coro")*(DATOS!$I$2:$I$20000&lt;&gt;"Conjunto"),DATOS!$K$2:$K$20000)),""))</f>
        <v/>
      </c>
    </row>
    <row r="154" spans="2:23" x14ac:dyDescent="0.2">
      <c r="B154" t="str">
        <f>IF(A154="","",IFERROR(AVERAGEIFS(DATOS!$K$2:$K$20000,DATOS!$A$2:$A$20000,A154,DATOS!$G$2:$G$20000,CONFIG_METADATA!$B$4,DATOS!$I$2:$I$20000,"Lenguaje Musical"),""))</f>
        <v/>
      </c>
      <c r="C154" t="str">
        <f>IF(A154="","",IFERROR(AVERAGEIFS(DATOS!$K$2:$K$20000,DATOS!$A$2:$A$20000,A154,DATOS!$G$2:$G$20000,CONFIG_METADATA!$B$4,DATOS!$I$2:$I$20000,"Coro"),""))</f>
        <v/>
      </c>
      <c r="D154" t="str">
        <f>IF(A154="","",IFERROR(AVERAGEIFS(DATOS!$K$2:$K$20000,DATOS!$A$2:$A$20000,A154,DATOS!$G$2:$G$20000,CONFIG_METADATA!$B$4,DATOS!$I$2:$I$20000,"Conjunto"),""))</f>
        <v/>
      </c>
      <c r="E154" t="str" cm="1">
        <f t="array" ref="E154">IF(A154="","",IFERROR(AVERAGE(IF((DATOS!$A$2:$A$20000=A154)*(DATOS!$G$2:$G$20000=CONFIG_METADATA!$B$4)*(DATOS!$I$2:$I$20000&lt;&gt;"Lenguaje Musical")*(DATOS!$I$2:$I$20000&lt;&gt;"Coro")*(DATOS!$I$2:$I$20000&lt;&gt;"Conjunto"),DATOS!$K$2:$K$20000)),""))</f>
        <v/>
      </c>
      <c r="H154" t="str">
        <f>IF(G154="","",IFERROR(AVERAGEIFS(DATOS!$K$2:$K$20000,DATOS!$A$2:$A$20000,G154,DATOS!$G$2:$G$20000,CONFIG_METADATA!$B$4,DATOS!$I$2:$I$20000,"Lenguaje Musical"),""))</f>
        <v/>
      </c>
      <c r="I154" t="str">
        <f>IF(G154="","",IFERROR(AVERAGEIFS(DATOS!$K$2:$K$20000,DATOS!$A$2:$A$20000,G154,DATOS!$G$2:$G$20000,CONFIG_METADATA!$B$4,DATOS!$I$2:$I$20000,"Coro"),""))</f>
        <v/>
      </c>
      <c r="J154" t="str">
        <f>IF(G154="","",IFERROR(AVERAGEIFS(DATOS!$K$2:$K$20000,DATOS!$A$2:$A$20000,G154,DATOS!$G$2:$G$20000,CONFIG_METADATA!$B$4,DATOS!$I$2:$I$20000,"Conjunto"),""))</f>
        <v/>
      </c>
      <c r="K154" t="str" cm="1">
        <f t="array" ref="K154">IF(G154="","",IFERROR(AVERAGE(IF((DATOS!$A$2:$A$20000=G154)*(DATOS!$G$2:$G$20000=CONFIG_METADATA!$B$4)*(DATOS!$I$2:$I$20000&lt;&gt;"Lenguaje Musical")*(DATOS!$I$2:$I$20000&lt;&gt;"Coro")*(DATOS!$I$2:$I$20000&lt;&gt;"Conjunto"),DATOS!$K$2:$K$20000)),""))</f>
        <v/>
      </c>
      <c r="N154" t="str">
        <f>IF(M154="","",IFERROR(AVERAGEIFS(DATOS!$K$2:$K$20000,DATOS!$A$2:$A$20000,M154,DATOS!$G$2:$G$20000,CONFIG_METADATA!$B$4,DATOS!$I$2:$I$20000,"Lenguaje Musical"),""))</f>
        <v/>
      </c>
      <c r="O154" t="str">
        <f>IF(M154="","",IFERROR(AVERAGEIFS(DATOS!$K$2:$K$20000,DATOS!$A$2:$A$20000,M154,DATOS!$G$2:$G$20000,CONFIG_METADATA!$B$4,DATOS!$I$2:$I$20000,"Coro"),""))</f>
        <v/>
      </c>
      <c r="P154" t="str">
        <f>IF(M154="","",IFERROR(AVERAGEIFS(DATOS!$K$2:$K$20000,DATOS!$A$2:$A$20000,M154,DATOS!$G$2:$G$20000,CONFIG_METADATA!$B$4,DATOS!$I$2:$I$20000,"Conjunto"),""))</f>
        <v/>
      </c>
      <c r="Q154" t="str" cm="1">
        <f t="array" ref="Q154">IF(M154="","",IFERROR(AVERAGE(IF((DATOS!$A$2:$A$20000=M154)*(DATOS!$G$2:$G$20000=CONFIG_METADATA!$B$4)*(DATOS!$I$2:$I$20000&lt;&gt;"Lenguaje Musical")*(DATOS!$I$2:$I$20000&lt;&gt;"Coro")*(DATOS!$I$2:$I$20000&lt;&gt;"Conjunto"),DATOS!$K$2:$K$20000)),""))</f>
        <v/>
      </c>
      <c r="T154" t="str">
        <f>IF(S154="","",IFERROR(AVERAGEIFS(DATOS!$K$2:$K$20000,DATOS!$A$2:$A$20000,S154,DATOS!$G$2:$G$20000,CONFIG_METADATA!$B$4,DATOS!$I$2:$I$20000,"Lenguaje Musical"),""))</f>
        <v/>
      </c>
      <c r="U154" t="str">
        <f>IF(S154="","",IFERROR(AVERAGEIFS(DATOS!$K$2:$K$20000,DATOS!$A$2:$A$20000,S154,DATOS!$G$2:$G$20000,CONFIG_METADATA!$B$4,DATOS!$I$2:$I$20000,"Coro"),""))</f>
        <v/>
      </c>
      <c r="V154" t="str">
        <f>IF(S154="","",IFERROR(AVERAGEIFS(DATOS!$K$2:$K$20000,DATOS!$A$2:$A$20000,S154,DATOS!$G$2:$G$20000,CONFIG_METADATA!$B$4,DATOS!$I$2:$I$20000,"Conjunto"),""))</f>
        <v/>
      </c>
      <c r="W154" t="str" cm="1">
        <f t="array" ref="W154">IF(S154="","",IFERROR(AVERAGE(IF((DATOS!$A$2:$A$20000=S154)*(DATOS!$G$2:$G$20000=CONFIG_METADATA!$B$4)*(DATOS!$I$2:$I$20000&lt;&gt;"Lenguaje Musical")*(DATOS!$I$2:$I$20000&lt;&gt;"Coro")*(DATOS!$I$2:$I$20000&lt;&gt;"Conjunto"),DATOS!$K$2:$K$20000)),""))</f>
        <v/>
      </c>
    </row>
    <row r="155" spans="2:23" x14ac:dyDescent="0.2">
      <c r="B155" t="str">
        <f>IF(A155="","",IFERROR(AVERAGEIFS(DATOS!$K$2:$K$20000,DATOS!$A$2:$A$20000,A155,DATOS!$G$2:$G$20000,CONFIG_METADATA!$B$4,DATOS!$I$2:$I$20000,"Lenguaje Musical"),""))</f>
        <v/>
      </c>
      <c r="C155" t="str">
        <f>IF(A155="","",IFERROR(AVERAGEIFS(DATOS!$K$2:$K$20000,DATOS!$A$2:$A$20000,A155,DATOS!$G$2:$G$20000,CONFIG_METADATA!$B$4,DATOS!$I$2:$I$20000,"Coro"),""))</f>
        <v/>
      </c>
      <c r="D155" t="str">
        <f>IF(A155="","",IFERROR(AVERAGEIFS(DATOS!$K$2:$K$20000,DATOS!$A$2:$A$20000,A155,DATOS!$G$2:$G$20000,CONFIG_METADATA!$B$4,DATOS!$I$2:$I$20000,"Conjunto"),""))</f>
        <v/>
      </c>
      <c r="E155" t="str" cm="1">
        <f t="array" ref="E155">IF(A155="","",IFERROR(AVERAGE(IF((DATOS!$A$2:$A$20000=A155)*(DATOS!$G$2:$G$20000=CONFIG_METADATA!$B$4)*(DATOS!$I$2:$I$20000&lt;&gt;"Lenguaje Musical")*(DATOS!$I$2:$I$20000&lt;&gt;"Coro")*(DATOS!$I$2:$I$20000&lt;&gt;"Conjunto"),DATOS!$K$2:$K$20000)),""))</f>
        <v/>
      </c>
      <c r="H155" t="str">
        <f>IF(G155="","",IFERROR(AVERAGEIFS(DATOS!$K$2:$K$20000,DATOS!$A$2:$A$20000,G155,DATOS!$G$2:$G$20000,CONFIG_METADATA!$B$4,DATOS!$I$2:$I$20000,"Lenguaje Musical"),""))</f>
        <v/>
      </c>
      <c r="I155" t="str">
        <f>IF(G155="","",IFERROR(AVERAGEIFS(DATOS!$K$2:$K$20000,DATOS!$A$2:$A$20000,G155,DATOS!$G$2:$G$20000,CONFIG_METADATA!$B$4,DATOS!$I$2:$I$20000,"Coro"),""))</f>
        <v/>
      </c>
      <c r="J155" t="str">
        <f>IF(G155="","",IFERROR(AVERAGEIFS(DATOS!$K$2:$K$20000,DATOS!$A$2:$A$20000,G155,DATOS!$G$2:$G$20000,CONFIG_METADATA!$B$4,DATOS!$I$2:$I$20000,"Conjunto"),""))</f>
        <v/>
      </c>
      <c r="K155" t="str" cm="1">
        <f t="array" ref="K155">IF(G155="","",IFERROR(AVERAGE(IF((DATOS!$A$2:$A$20000=G155)*(DATOS!$G$2:$G$20000=CONFIG_METADATA!$B$4)*(DATOS!$I$2:$I$20000&lt;&gt;"Lenguaje Musical")*(DATOS!$I$2:$I$20000&lt;&gt;"Coro")*(DATOS!$I$2:$I$20000&lt;&gt;"Conjunto"),DATOS!$K$2:$K$20000)),""))</f>
        <v/>
      </c>
      <c r="N155" t="str">
        <f>IF(M155="","",IFERROR(AVERAGEIFS(DATOS!$K$2:$K$20000,DATOS!$A$2:$A$20000,M155,DATOS!$G$2:$G$20000,CONFIG_METADATA!$B$4,DATOS!$I$2:$I$20000,"Lenguaje Musical"),""))</f>
        <v/>
      </c>
      <c r="O155" t="str">
        <f>IF(M155="","",IFERROR(AVERAGEIFS(DATOS!$K$2:$K$20000,DATOS!$A$2:$A$20000,M155,DATOS!$G$2:$G$20000,CONFIG_METADATA!$B$4,DATOS!$I$2:$I$20000,"Coro"),""))</f>
        <v/>
      </c>
      <c r="P155" t="str">
        <f>IF(M155="","",IFERROR(AVERAGEIFS(DATOS!$K$2:$K$20000,DATOS!$A$2:$A$20000,M155,DATOS!$G$2:$G$20000,CONFIG_METADATA!$B$4,DATOS!$I$2:$I$20000,"Conjunto"),""))</f>
        <v/>
      </c>
      <c r="Q155" t="str" cm="1">
        <f t="array" ref="Q155">IF(M155="","",IFERROR(AVERAGE(IF((DATOS!$A$2:$A$20000=M155)*(DATOS!$G$2:$G$20000=CONFIG_METADATA!$B$4)*(DATOS!$I$2:$I$20000&lt;&gt;"Lenguaje Musical")*(DATOS!$I$2:$I$20000&lt;&gt;"Coro")*(DATOS!$I$2:$I$20000&lt;&gt;"Conjunto"),DATOS!$K$2:$K$20000)),""))</f>
        <v/>
      </c>
      <c r="T155" t="str">
        <f>IF(S155="","",IFERROR(AVERAGEIFS(DATOS!$K$2:$K$20000,DATOS!$A$2:$A$20000,S155,DATOS!$G$2:$G$20000,CONFIG_METADATA!$B$4,DATOS!$I$2:$I$20000,"Lenguaje Musical"),""))</f>
        <v/>
      </c>
      <c r="U155" t="str">
        <f>IF(S155="","",IFERROR(AVERAGEIFS(DATOS!$K$2:$K$20000,DATOS!$A$2:$A$20000,S155,DATOS!$G$2:$G$20000,CONFIG_METADATA!$B$4,DATOS!$I$2:$I$20000,"Coro"),""))</f>
        <v/>
      </c>
      <c r="V155" t="str">
        <f>IF(S155="","",IFERROR(AVERAGEIFS(DATOS!$K$2:$K$20000,DATOS!$A$2:$A$20000,S155,DATOS!$G$2:$G$20000,CONFIG_METADATA!$B$4,DATOS!$I$2:$I$20000,"Conjunto"),""))</f>
        <v/>
      </c>
      <c r="W155" t="str" cm="1">
        <f t="array" ref="W155">IF(S155="","",IFERROR(AVERAGE(IF((DATOS!$A$2:$A$20000=S155)*(DATOS!$G$2:$G$20000=CONFIG_METADATA!$B$4)*(DATOS!$I$2:$I$20000&lt;&gt;"Lenguaje Musical")*(DATOS!$I$2:$I$20000&lt;&gt;"Coro")*(DATOS!$I$2:$I$20000&lt;&gt;"Conjunto"),DATOS!$K$2:$K$20000)),""))</f>
        <v/>
      </c>
    </row>
    <row r="156" spans="2:23" x14ac:dyDescent="0.2">
      <c r="B156" t="str">
        <f>IF(A156="","",IFERROR(AVERAGEIFS(DATOS!$K$2:$K$20000,DATOS!$A$2:$A$20000,A156,DATOS!$G$2:$G$20000,CONFIG_METADATA!$B$4,DATOS!$I$2:$I$20000,"Lenguaje Musical"),""))</f>
        <v/>
      </c>
      <c r="C156" t="str">
        <f>IF(A156="","",IFERROR(AVERAGEIFS(DATOS!$K$2:$K$20000,DATOS!$A$2:$A$20000,A156,DATOS!$G$2:$G$20000,CONFIG_METADATA!$B$4,DATOS!$I$2:$I$20000,"Coro"),""))</f>
        <v/>
      </c>
      <c r="D156" t="str">
        <f>IF(A156="","",IFERROR(AVERAGEIFS(DATOS!$K$2:$K$20000,DATOS!$A$2:$A$20000,A156,DATOS!$G$2:$G$20000,CONFIG_METADATA!$B$4,DATOS!$I$2:$I$20000,"Conjunto"),""))</f>
        <v/>
      </c>
      <c r="E156" t="str" cm="1">
        <f t="array" ref="E156">IF(A156="","",IFERROR(AVERAGE(IF((DATOS!$A$2:$A$20000=A156)*(DATOS!$G$2:$G$20000=CONFIG_METADATA!$B$4)*(DATOS!$I$2:$I$20000&lt;&gt;"Lenguaje Musical")*(DATOS!$I$2:$I$20000&lt;&gt;"Coro")*(DATOS!$I$2:$I$20000&lt;&gt;"Conjunto"),DATOS!$K$2:$K$20000)),""))</f>
        <v/>
      </c>
      <c r="H156" t="str">
        <f>IF(G156="","",IFERROR(AVERAGEIFS(DATOS!$K$2:$K$20000,DATOS!$A$2:$A$20000,G156,DATOS!$G$2:$G$20000,CONFIG_METADATA!$B$4,DATOS!$I$2:$I$20000,"Lenguaje Musical"),""))</f>
        <v/>
      </c>
      <c r="I156" t="str">
        <f>IF(G156="","",IFERROR(AVERAGEIFS(DATOS!$K$2:$K$20000,DATOS!$A$2:$A$20000,G156,DATOS!$G$2:$G$20000,CONFIG_METADATA!$B$4,DATOS!$I$2:$I$20000,"Coro"),""))</f>
        <v/>
      </c>
      <c r="J156" t="str">
        <f>IF(G156="","",IFERROR(AVERAGEIFS(DATOS!$K$2:$K$20000,DATOS!$A$2:$A$20000,G156,DATOS!$G$2:$G$20000,CONFIG_METADATA!$B$4,DATOS!$I$2:$I$20000,"Conjunto"),""))</f>
        <v/>
      </c>
      <c r="K156" t="str" cm="1">
        <f t="array" ref="K156">IF(G156="","",IFERROR(AVERAGE(IF((DATOS!$A$2:$A$20000=G156)*(DATOS!$G$2:$G$20000=CONFIG_METADATA!$B$4)*(DATOS!$I$2:$I$20000&lt;&gt;"Lenguaje Musical")*(DATOS!$I$2:$I$20000&lt;&gt;"Coro")*(DATOS!$I$2:$I$20000&lt;&gt;"Conjunto"),DATOS!$K$2:$K$20000)),""))</f>
        <v/>
      </c>
      <c r="N156" t="str">
        <f>IF(M156="","",IFERROR(AVERAGEIFS(DATOS!$K$2:$K$20000,DATOS!$A$2:$A$20000,M156,DATOS!$G$2:$G$20000,CONFIG_METADATA!$B$4,DATOS!$I$2:$I$20000,"Lenguaje Musical"),""))</f>
        <v/>
      </c>
      <c r="O156" t="str">
        <f>IF(M156="","",IFERROR(AVERAGEIFS(DATOS!$K$2:$K$20000,DATOS!$A$2:$A$20000,M156,DATOS!$G$2:$G$20000,CONFIG_METADATA!$B$4,DATOS!$I$2:$I$20000,"Coro"),""))</f>
        <v/>
      </c>
      <c r="P156" t="str">
        <f>IF(M156="","",IFERROR(AVERAGEIFS(DATOS!$K$2:$K$20000,DATOS!$A$2:$A$20000,M156,DATOS!$G$2:$G$20000,CONFIG_METADATA!$B$4,DATOS!$I$2:$I$20000,"Conjunto"),""))</f>
        <v/>
      </c>
      <c r="Q156" t="str" cm="1">
        <f t="array" ref="Q156">IF(M156="","",IFERROR(AVERAGE(IF((DATOS!$A$2:$A$20000=M156)*(DATOS!$G$2:$G$20000=CONFIG_METADATA!$B$4)*(DATOS!$I$2:$I$20000&lt;&gt;"Lenguaje Musical")*(DATOS!$I$2:$I$20000&lt;&gt;"Coro")*(DATOS!$I$2:$I$20000&lt;&gt;"Conjunto"),DATOS!$K$2:$K$20000)),""))</f>
        <v/>
      </c>
      <c r="T156" t="str">
        <f>IF(S156="","",IFERROR(AVERAGEIFS(DATOS!$K$2:$K$20000,DATOS!$A$2:$A$20000,S156,DATOS!$G$2:$G$20000,CONFIG_METADATA!$B$4,DATOS!$I$2:$I$20000,"Lenguaje Musical"),""))</f>
        <v/>
      </c>
      <c r="U156" t="str">
        <f>IF(S156="","",IFERROR(AVERAGEIFS(DATOS!$K$2:$K$20000,DATOS!$A$2:$A$20000,S156,DATOS!$G$2:$G$20000,CONFIG_METADATA!$B$4,DATOS!$I$2:$I$20000,"Coro"),""))</f>
        <v/>
      </c>
      <c r="V156" t="str">
        <f>IF(S156="","",IFERROR(AVERAGEIFS(DATOS!$K$2:$K$20000,DATOS!$A$2:$A$20000,S156,DATOS!$G$2:$G$20000,CONFIG_METADATA!$B$4,DATOS!$I$2:$I$20000,"Conjunto"),""))</f>
        <v/>
      </c>
      <c r="W156" t="str" cm="1">
        <f t="array" ref="W156">IF(S156="","",IFERROR(AVERAGE(IF((DATOS!$A$2:$A$20000=S156)*(DATOS!$G$2:$G$20000=CONFIG_METADATA!$B$4)*(DATOS!$I$2:$I$20000&lt;&gt;"Lenguaje Musical")*(DATOS!$I$2:$I$20000&lt;&gt;"Coro")*(DATOS!$I$2:$I$20000&lt;&gt;"Conjunto"),DATOS!$K$2:$K$20000)),""))</f>
        <v/>
      </c>
    </row>
    <row r="157" spans="2:23" x14ac:dyDescent="0.2">
      <c r="B157" t="str">
        <f>IF(A157="","",IFERROR(AVERAGEIFS(DATOS!$K$2:$K$20000,DATOS!$A$2:$A$20000,A157,DATOS!$G$2:$G$20000,CONFIG_METADATA!$B$4,DATOS!$I$2:$I$20000,"Lenguaje Musical"),""))</f>
        <v/>
      </c>
      <c r="C157" t="str">
        <f>IF(A157="","",IFERROR(AVERAGEIFS(DATOS!$K$2:$K$20000,DATOS!$A$2:$A$20000,A157,DATOS!$G$2:$G$20000,CONFIG_METADATA!$B$4,DATOS!$I$2:$I$20000,"Coro"),""))</f>
        <v/>
      </c>
      <c r="D157" t="str">
        <f>IF(A157="","",IFERROR(AVERAGEIFS(DATOS!$K$2:$K$20000,DATOS!$A$2:$A$20000,A157,DATOS!$G$2:$G$20000,CONFIG_METADATA!$B$4,DATOS!$I$2:$I$20000,"Conjunto"),""))</f>
        <v/>
      </c>
      <c r="E157" t="str" cm="1">
        <f t="array" ref="E157">IF(A157="","",IFERROR(AVERAGE(IF((DATOS!$A$2:$A$20000=A157)*(DATOS!$G$2:$G$20000=CONFIG_METADATA!$B$4)*(DATOS!$I$2:$I$20000&lt;&gt;"Lenguaje Musical")*(DATOS!$I$2:$I$20000&lt;&gt;"Coro")*(DATOS!$I$2:$I$20000&lt;&gt;"Conjunto"),DATOS!$K$2:$K$20000)),""))</f>
        <v/>
      </c>
      <c r="H157" t="str">
        <f>IF(G157="","",IFERROR(AVERAGEIFS(DATOS!$K$2:$K$20000,DATOS!$A$2:$A$20000,G157,DATOS!$G$2:$G$20000,CONFIG_METADATA!$B$4,DATOS!$I$2:$I$20000,"Lenguaje Musical"),""))</f>
        <v/>
      </c>
      <c r="I157" t="str">
        <f>IF(G157="","",IFERROR(AVERAGEIFS(DATOS!$K$2:$K$20000,DATOS!$A$2:$A$20000,G157,DATOS!$G$2:$G$20000,CONFIG_METADATA!$B$4,DATOS!$I$2:$I$20000,"Coro"),""))</f>
        <v/>
      </c>
      <c r="J157" t="str">
        <f>IF(G157="","",IFERROR(AVERAGEIFS(DATOS!$K$2:$K$20000,DATOS!$A$2:$A$20000,G157,DATOS!$G$2:$G$20000,CONFIG_METADATA!$B$4,DATOS!$I$2:$I$20000,"Conjunto"),""))</f>
        <v/>
      </c>
      <c r="K157" t="str" cm="1">
        <f t="array" ref="K157">IF(G157="","",IFERROR(AVERAGE(IF((DATOS!$A$2:$A$20000=G157)*(DATOS!$G$2:$G$20000=CONFIG_METADATA!$B$4)*(DATOS!$I$2:$I$20000&lt;&gt;"Lenguaje Musical")*(DATOS!$I$2:$I$20000&lt;&gt;"Coro")*(DATOS!$I$2:$I$20000&lt;&gt;"Conjunto"),DATOS!$K$2:$K$20000)),""))</f>
        <v/>
      </c>
      <c r="N157" t="str">
        <f>IF(M157="","",IFERROR(AVERAGEIFS(DATOS!$K$2:$K$20000,DATOS!$A$2:$A$20000,M157,DATOS!$G$2:$G$20000,CONFIG_METADATA!$B$4,DATOS!$I$2:$I$20000,"Lenguaje Musical"),""))</f>
        <v/>
      </c>
      <c r="O157" t="str">
        <f>IF(M157="","",IFERROR(AVERAGEIFS(DATOS!$K$2:$K$20000,DATOS!$A$2:$A$20000,M157,DATOS!$G$2:$G$20000,CONFIG_METADATA!$B$4,DATOS!$I$2:$I$20000,"Coro"),""))</f>
        <v/>
      </c>
      <c r="P157" t="str">
        <f>IF(M157="","",IFERROR(AVERAGEIFS(DATOS!$K$2:$K$20000,DATOS!$A$2:$A$20000,M157,DATOS!$G$2:$G$20000,CONFIG_METADATA!$B$4,DATOS!$I$2:$I$20000,"Conjunto"),""))</f>
        <v/>
      </c>
      <c r="Q157" t="str" cm="1">
        <f t="array" ref="Q157">IF(M157="","",IFERROR(AVERAGE(IF((DATOS!$A$2:$A$20000=M157)*(DATOS!$G$2:$G$20000=CONFIG_METADATA!$B$4)*(DATOS!$I$2:$I$20000&lt;&gt;"Lenguaje Musical")*(DATOS!$I$2:$I$20000&lt;&gt;"Coro")*(DATOS!$I$2:$I$20000&lt;&gt;"Conjunto"),DATOS!$K$2:$K$20000)),""))</f>
        <v/>
      </c>
      <c r="T157" t="str">
        <f>IF(S157="","",IFERROR(AVERAGEIFS(DATOS!$K$2:$K$20000,DATOS!$A$2:$A$20000,S157,DATOS!$G$2:$G$20000,CONFIG_METADATA!$B$4,DATOS!$I$2:$I$20000,"Lenguaje Musical"),""))</f>
        <v/>
      </c>
      <c r="U157" t="str">
        <f>IF(S157="","",IFERROR(AVERAGEIFS(DATOS!$K$2:$K$20000,DATOS!$A$2:$A$20000,S157,DATOS!$G$2:$G$20000,CONFIG_METADATA!$B$4,DATOS!$I$2:$I$20000,"Coro"),""))</f>
        <v/>
      </c>
      <c r="V157" t="str">
        <f>IF(S157="","",IFERROR(AVERAGEIFS(DATOS!$K$2:$K$20000,DATOS!$A$2:$A$20000,S157,DATOS!$G$2:$G$20000,CONFIG_METADATA!$B$4,DATOS!$I$2:$I$20000,"Conjunto"),""))</f>
        <v/>
      </c>
      <c r="W157" t="str" cm="1">
        <f t="array" ref="W157">IF(S157="","",IFERROR(AVERAGE(IF((DATOS!$A$2:$A$20000=S157)*(DATOS!$G$2:$G$20000=CONFIG_METADATA!$B$4)*(DATOS!$I$2:$I$20000&lt;&gt;"Lenguaje Musical")*(DATOS!$I$2:$I$20000&lt;&gt;"Coro")*(DATOS!$I$2:$I$20000&lt;&gt;"Conjunto"),DATOS!$K$2:$K$20000)),""))</f>
        <v/>
      </c>
    </row>
    <row r="158" spans="2:23" x14ac:dyDescent="0.2">
      <c r="B158" t="str">
        <f>IF(A158="","",IFERROR(AVERAGEIFS(DATOS!$K$2:$K$20000,DATOS!$A$2:$A$20000,A158,DATOS!$G$2:$G$20000,CONFIG_METADATA!$B$4,DATOS!$I$2:$I$20000,"Lenguaje Musical"),""))</f>
        <v/>
      </c>
      <c r="C158" t="str">
        <f>IF(A158="","",IFERROR(AVERAGEIFS(DATOS!$K$2:$K$20000,DATOS!$A$2:$A$20000,A158,DATOS!$G$2:$G$20000,CONFIG_METADATA!$B$4,DATOS!$I$2:$I$20000,"Coro"),""))</f>
        <v/>
      </c>
      <c r="D158" t="str">
        <f>IF(A158="","",IFERROR(AVERAGEIFS(DATOS!$K$2:$K$20000,DATOS!$A$2:$A$20000,A158,DATOS!$G$2:$G$20000,CONFIG_METADATA!$B$4,DATOS!$I$2:$I$20000,"Conjunto"),""))</f>
        <v/>
      </c>
      <c r="E158" t="str" cm="1">
        <f t="array" ref="E158">IF(A158="","",IFERROR(AVERAGE(IF((DATOS!$A$2:$A$20000=A158)*(DATOS!$G$2:$G$20000=CONFIG_METADATA!$B$4)*(DATOS!$I$2:$I$20000&lt;&gt;"Lenguaje Musical")*(DATOS!$I$2:$I$20000&lt;&gt;"Coro")*(DATOS!$I$2:$I$20000&lt;&gt;"Conjunto"),DATOS!$K$2:$K$20000)),""))</f>
        <v/>
      </c>
      <c r="H158" t="str">
        <f>IF(G158="","",IFERROR(AVERAGEIFS(DATOS!$K$2:$K$20000,DATOS!$A$2:$A$20000,G158,DATOS!$G$2:$G$20000,CONFIG_METADATA!$B$4,DATOS!$I$2:$I$20000,"Lenguaje Musical"),""))</f>
        <v/>
      </c>
      <c r="I158" t="str">
        <f>IF(G158="","",IFERROR(AVERAGEIFS(DATOS!$K$2:$K$20000,DATOS!$A$2:$A$20000,G158,DATOS!$G$2:$G$20000,CONFIG_METADATA!$B$4,DATOS!$I$2:$I$20000,"Coro"),""))</f>
        <v/>
      </c>
      <c r="J158" t="str">
        <f>IF(G158="","",IFERROR(AVERAGEIFS(DATOS!$K$2:$K$20000,DATOS!$A$2:$A$20000,G158,DATOS!$G$2:$G$20000,CONFIG_METADATA!$B$4,DATOS!$I$2:$I$20000,"Conjunto"),""))</f>
        <v/>
      </c>
      <c r="K158" t="str" cm="1">
        <f t="array" ref="K158">IF(G158="","",IFERROR(AVERAGE(IF((DATOS!$A$2:$A$20000=G158)*(DATOS!$G$2:$G$20000=CONFIG_METADATA!$B$4)*(DATOS!$I$2:$I$20000&lt;&gt;"Lenguaje Musical")*(DATOS!$I$2:$I$20000&lt;&gt;"Coro")*(DATOS!$I$2:$I$20000&lt;&gt;"Conjunto"),DATOS!$K$2:$K$20000)),""))</f>
        <v/>
      </c>
      <c r="N158" t="str">
        <f>IF(M158="","",IFERROR(AVERAGEIFS(DATOS!$K$2:$K$20000,DATOS!$A$2:$A$20000,M158,DATOS!$G$2:$G$20000,CONFIG_METADATA!$B$4,DATOS!$I$2:$I$20000,"Lenguaje Musical"),""))</f>
        <v/>
      </c>
      <c r="O158" t="str">
        <f>IF(M158="","",IFERROR(AVERAGEIFS(DATOS!$K$2:$K$20000,DATOS!$A$2:$A$20000,M158,DATOS!$G$2:$G$20000,CONFIG_METADATA!$B$4,DATOS!$I$2:$I$20000,"Coro"),""))</f>
        <v/>
      </c>
      <c r="P158" t="str">
        <f>IF(M158="","",IFERROR(AVERAGEIFS(DATOS!$K$2:$K$20000,DATOS!$A$2:$A$20000,M158,DATOS!$G$2:$G$20000,CONFIG_METADATA!$B$4,DATOS!$I$2:$I$20000,"Conjunto"),""))</f>
        <v/>
      </c>
      <c r="Q158" t="str" cm="1">
        <f t="array" ref="Q158">IF(M158="","",IFERROR(AVERAGE(IF((DATOS!$A$2:$A$20000=M158)*(DATOS!$G$2:$G$20000=CONFIG_METADATA!$B$4)*(DATOS!$I$2:$I$20000&lt;&gt;"Lenguaje Musical")*(DATOS!$I$2:$I$20000&lt;&gt;"Coro")*(DATOS!$I$2:$I$20000&lt;&gt;"Conjunto"),DATOS!$K$2:$K$20000)),""))</f>
        <v/>
      </c>
      <c r="T158" t="str">
        <f>IF(S158="","",IFERROR(AVERAGEIFS(DATOS!$K$2:$K$20000,DATOS!$A$2:$A$20000,S158,DATOS!$G$2:$G$20000,CONFIG_METADATA!$B$4,DATOS!$I$2:$I$20000,"Lenguaje Musical"),""))</f>
        <v/>
      </c>
      <c r="U158" t="str">
        <f>IF(S158="","",IFERROR(AVERAGEIFS(DATOS!$K$2:$K$20000,DATOS!$A$2:$A$20000,S158,DATOS!$G$2:$G$20000,CONFIG_METADATA!$B$4,DATOS!$I$2:$I$20000,"Coro"),""))</f>
        <v/>
      </c>
      <c r="V158" t="str">
        <f>IF(S158="","",IFERROR(AVERAGEIFS(DATOS!$K$2:$K$20000,DATOS!$A$2:$A$20000,S158,DATOS!$G$2:$G$20000,CONFIG_METADATA!$B$4,DATOS!$I$2:$I$20000,"Conjunto"),""))</f>
        <v/>
      </c>
      <c r="W158" t="str" cm="1">
        <f t="array" ref="W158">IF(S158="","",IFERROR(AVERAGE(IF((DATOS!$A$2:$A$20000=S158)*(DATOS!$G$2:$G$20000=CONFIG_METADATA!$B$4)*(DATOS!$I$2:$I$20000&lt;&gt;"Lenguaje Musical")*(DATOS!$I$2:$I$20000&lt;&gt;"Coro")*(DATOS!$I$2:$I$20000&lt;&gt;"Conjunto"),DATOS!$K$2:$K$20000)),""))</f>
        <v/>
      </c>
    </row>
    <row r="159" spans="2:23" x14ac:dyDescent="0.2">
      <c r="B159" t="str">
        <f>IF(A159="","",IFERROR(AVERAGEIFS(DATOS!$K$2:$K$20000,DATOS!$A$2:$A$20000,A159,DATOS!$G$2:$G$20000,CONFIG_METADATA!$B$4,DATOS!$I$2:$I$20000,"Lenguaje Musical"),""))</f>
        <v/>
      </c>
      <c r="C159" t="str">
        <f>IF(A159="","",IFERROR(AVERAGEIFS(DATOS!$K$2:$K$20000,DATOS!$A$2:$A$20000,A159,DATOS!$G$2:$G$20000,CONFIG_METADATA!$B$4,DATOS!$I$2:$I$20000,"Coro"),""))</f>
        <v/>
      </c>
      <c r="D159" t="str">
        <f>IF(A159="","",IFERROR(AVERAGEIFS(DATOS!$K$2:$K$20000,DATOS!$A$2:$A$20000,A159,DATOS!$G$2:$G$20000,CONFIG_METADATA!$B$4,DATOS!$I$2:$I$20000,"Conjunto"),""))</f>
        <v/>
      </c>
      <c r="E159" t="str" cm="1">
        <f t="array" ref="E159">IF(A159="","",IFERROR(AVERAGE(IF((DATOS!$A$2:$A$20000=A159)*(DATOS!$G$2:$G$20000=CONFIG_METADATA!$B$4)*(DATOS!$I$2:$I$20000&lt;&gt;"Lenguaje Musical")*(DATOS!$I$2:$I$20000&lt;&gt;"Coro")*(DATOS!$I$2:$I$20000&lt;&gt;"Conjunto"),DATOS!$K$2:$K$20000)),""))</f>
        <v/>
      </c>
      <c r="H159" t="str">
        <f>IF(G159="","",IFERROR(AVERAGEIFS(DATOS!$K$2:$K$20000,DATOS!$A$2:$A$20000,G159,DATOS!$G$2:$G$20000,CONFIG_METADATA!$B$4,DATOS!$I$2:$I$20000,"Lenguaje Musical"),""))</f>
        <v/>
      </c>
      <c r="I159" t="str">
        <f>IF(G159="","",IFERROR(AVERAGEIFS(DATOS!$K$2:$K$20000,DATOS!$A$2:$A$20000,G159,DATOS!$G$2:$G$20000,CONFIG_METADATA!$B$4,DATOS!$I$2:$I$20000,"Coro"),""))</f>
        <v/>
      </c>
      <c r="J159" t="str">
        <f>IF(G159="","",IFERROR(AVERAGEIFS(DATOS!$K$2:$K$20000,DATOS!$A$2:$A$20000,G159,DATOS!$G$2:$G$20000,CONFIG_METADATA!$B$4,DATOS!$I$2:$I$20000,"Conjunto"),""))</f>
        <v/>
      </c>
      <c r="K159" t="str" cm="1">
        <f t="array" ref="K159">IF(G159="","",IFERROR(AVERAGE(IF((DATOS!$A$2:$A$20000=G159)*(DATOS!$G$2:$G$20000=CONFIG_METADATA!$B$4)*(DATOS!$I$2:$I$20000&lt;&gt;"Lenguaje Musical")*(DATOS!$I$2:$I$20000&lt;&gt;"Coro")*(DATOS!$I$2:$I$20000&lt;&gt;"Conjunto"),DATOS!$K$2:$K$20000)),""))</f>
        <v/>
      </c>
      <c r="N159" t="str">
        <f>IF(M159="","",IFERROR(AVERAGEIFS(DATOS!$K$2:$K$20000,DATOS!$A$2:$A$20000,M159,DATOS!$G$2:$G$20000,CONFIG_METADATA!$B$4,DATOS!$I$2:$I$20000,"Lenguaje Musical"),""))</f>
        <v/>
      </c>
      <c r="O159" t="str">
        <f>IF(M159="","",IFERROR(AVERAGEIFS(DATOS!$K$2:$K$20000,DATOS!$A$2:$A$20000,M159,DATOS!$G$2:$G$20000,CONFIG_METADATA!$B$4,DATOS!$I$2:$I$20000,"Coro"),""))</f>
        <v/>
      </c>
      <c r="P159" t="str">
        <f>IF(M159="","",IFERROR(AVERAGEIFS(DATOS!$K$2:$K$20000,DATOS!$A$2:$A$20000,M159,DATOS!$G$2:$G$20000,CONFIG_METADATA!$B$4,DATOS!$I$2:$I$20000,"Conjunto"),""))</f>
        <v/>
      </c>
      <c r="Q159" t="str" cm="1">
        <f t="array" ref="Q159">IF(M159="","",IFERROR(AVERAGE(IF((DATOS!$A$2:$A$20000=M159)*(DATOS!$G$2:$G$20000=CONFIG_METADATA!$B$4)*(DATOS!$I$2:$I$20000&lt;&gt;"Lenguaje Musical")*(DATOS!$I$2:$I$20000&lt;&gt;"Coro")*(DATOS!$I$2:$I$20000&lt;&gt;"Conjunto"),DATOS!$K$2:$K$20000)),""))</f>
        <v/>
      </c>
      <c r="T159" t="str">
        <f>IF(S159="","",IFERROR(AVERAGEIFS(DATOS!$K$2:$K$20000,DATOS!$A$2:$A$20000,S159,DATOS!$G$2:$G$20000,CONFIG_METADATA!$B$4,DATOS!$I$2:$I$20000,"Lenguaje Musical"),""))</f>
        <v/>
      </c>
      <c r="U159" t="str">
        <f>IF(S159="","",IFERROR(AVERAGEIFS(DATOS!$K$2:$K$20000,DATOS!$A$2:$A$20000,S159,DATOS!$G$2:$G$20000,CONFIG_METADATA!$B$4,DATOS!$I$2:$I$20000,"Coro"),""))</f>
        <v/>
      </c>
      <c r="V159" t="str">
        <f>IF(S159="","",IFERROR(AVERAGEIFS(DATOS!$K$2:$K$20000,DATOS!$A$2:$A$20000,S159,DATOS!$G$2:$G$20000,CONFIG_METADATA!$B$4,DATOS!$I$2:$I$20000,"Conjunto"),""))</f>
        <v/>
      </c>
      <c r="W159" t="str" cm="1">
        <f t="array" ref="W159">IF(S159="","",IFERROR(AVERAGE(IF((DATOS!$A$2:$A$20000=S159)*(DATOS!$G$2:$G$20000=CONFIG_METADATA!$B$4)*(DATOS!$I$2:$I$20000&lt;&gt;"Lenguaje Musical")*(DATOS!$I$2:$I$20000&lt;&gt;"Coro")*(DATOS!$I$2:$I$20000&lt;&gt;"Conjunto"),DATOS!$K$2:$K$20000)),""))</f>
        <v/>
      </c>
    </row>
    <row r="160" spans="2:23" x14ac:dyDescent="0.2">
      <c r="B160" t="str">
        <f>IF(A160="","",IFERROR(AVERAGEIFS(DATOS!$K$2:$K$20000,DATOS!$A$2:$A$20000,A160,DATOS!$G$2:$G$20000,CONFIG_METADATA!$B$4,DATOS!$I$2:$I$20000,"Lenguaje Musical"),""))</f>
        <v/>
      </c>
      <c r="C160" t="str">
        <f>IF(A160="","",IFERROR(AVERAGEIFS(DATOS!$K$2:$K$20000,DATOS!$A$2:$A$20000,A160,DATOS!$G$2:$G$20000,CONFIG_METADATA!$B$4,DATOS!$I$2:$I$20000,"Coro"),""))</f>
        <v/>
      </c>
      <c r="D160" t="str">
        <f>IF(A160="","",IFERROR(AVERAGEIFS(DATOS!$K$2:$K$20000,DATOS!$A$2:$A$20000,A160,DATOS!$G$2:$G$20000,CONFIG_METADATA!$B$4,DATOS!$I$2:$I$20000,"Conjunto"),""))</f>
        <v/>
      </c>
      <c r="E160" t="str" cm="1">
        <f t="array" ref="E160">IF(A160="","",IFERROR(AVERAGE(IF((DATOS!$A$2:$A$20000=A160)*(DATOS!$G$2:$G$20000=CONFIG_METADATA!$B$4)*(DATOS!$I$2:$I$20000&lt;&gt;"Lenguaje Musical")*(DATOS!$I$2:$I$20000&lt;&gt;"Coro")*(DATOS!$I$2:$I$20000&lt;&gt;"Conjunto"),DATOS!$K$2:$K$20000)),""))</f>
        <v/>
      </c>
      <c r="H160" t="str">
        <f>IF(G160="","",IFERROR(AVERAGEIFS(DATOS!$K$2:$K$20000,DATOS!$A$2:$A$20000,G160,DATOS!$G$2:$G$20000,CONFIG_METADATA!$B$4,DATOS!$I$2:$I$20000,"Lenguaje Musical"),""))</f>
        <v/>
      </c>
      <c r="I160" t="str">
        <f>IF(G160="","",IFERROR(AVERAGEIFS(DATOS!$K$2:$K$20000,DATOS!$A$2:$A$20000,G160,DATOS!$G$2:$G$20000,CONFIG_METADATA!$B$4,DATOS!$I$2:$I$20000,"Coro"),""))</f>
        <v/>
      </c>
      <c r="J160" t="str">
        <f>IF(G160="","",IFERROR(AVERAGEIFS(DATOS!$K$2:$K$20000,DATOS!$A$2:$A$20000,G160,DATOS!$G$2:$G$20000,CONFIG_METADATA!$B$4,DATOS!$I$2:$I$20000,"Conjunto"),""))</f>
        <v/>
      </c>
      <c r="K160" t="str" cm="1">
        <f t="array" ref="K160">IF(G160="","",IFERROR(AVERAGE(IF((DATOS!$A$2:$A$20000=G160)*(DATOS!$G$2:$G$20000=CONFIG_METADATA!$B$4)*(DATOS!$I$2:$I$20000&lt;&gt;"Lenguaje Musical")*(DATOS!$I$2:$I$20000&lt;&gt;"Coro")*(DATOS!$I$2:$I$20000&lt;&gt;"Conjunto"),DATOS!$K$2:$K$20000)),""))</f>
        <v/>
      </c>
      <c r="N160" t="str">
        <f>IF(M160="","",IFERROR(AVERAGEIFS(DATOS!$K$2:$K$20000,DATOS!$A$2:$A$20000,M160,DATOS!$G$2:$G$20000,CONFIG_METADATA!$B$4,DATOS!$I$2:$I$20000,"Lenguaje Musical"),""))</f>
        <v/>
      </c>
      <c r="O160" t="str">
        <f>IF(M160="","",IFERROR(AVERAGEIFS(DATOS!$K$2:$K$20000,DATOS!$A$2:$A$20000,M160,DATOS!$G$2:$G$20000,CONFIG_METADATA!$B$4,DATOS!$I$2:$I$20000,"Coro"),""))</f>
        <v/>
      </c>
      <c r="P160" t="str">
        <f>IF(M160="","",IFERROR(AVERAGEIFS(DATOS!$K$2:$K$20000,DATOS!$A$2:$A$20000,M160,DATOS!$G$2:$G$20000,CONFIG_METADATA!$B$4,DATOS!$I$2:$I$20000,"Conjunto"),""))</f>
        <v/>
      </c>
      <c r="Q160" t="str" cm="1">
        <f t="array" ref="Q160">IF(M160="","",IFERROR(AVERAGE(IF((DATOS!$A$2:$A$20000=M160)*(DATOS!$G$2:$G$20000=CONFIG_METADATA!$B$4)*(DATOS!$I$2:$I$20000&lt;&gt;"Lenguaje Musical")*(DATOS!$I$2:$I$20000&lt;&gt;"Coro")*(DATOS!$I$2:$I$20000&lt;&gt;"Conjunto"),DATOS!$K$2:$K$20000)),""))</f>
        <v/>
      </c>
      <c r="T160" t="str">
        <f>IF(S160="","",IFERROR(AVERAGEIFS(DATOS!$K$2:$K$20000,DATOS!$A$2:$A$20000,S160,DATOS!$G$2:$G$20000,CONFIG_METADATA!$B$4,DATOS!$I$2:$I$20000,"Lenguaje Musical"),""))</f>
        <v/>
      </c>
      <c r="U160" t="str">
        <f>IF(S160="","",IFERROR(AVERAGEIFS(DATOS!$K$2:$K$20000,DATOS!$A$2:$A$20000,S160,DATOS!$G$2:$G$20000,CONFIG_METADATA!$B$4,DATOS!$I$2:$I$20000,"Coro"),""))</f>
        <v/>
      </c>
      <c r="V160" t="str">
        <f>IF(S160="","",IFERROR(AVERAGEIFS(DATOS!$K$2:$K$20000,DATOS!$A$2:$A$20000,S160,DATOS!$G$2:$G$20000,CONFIG_METADATA!$B$4,DATOS!$I$2:$I$20000,"Conjunto"),""))</f>
        <v/>
      </c>
      <c r="W160" t="str" cm="1">
        <f t="array" ref="W160">IF(S160="","",IFERROR(AVERAGE(IF((DATOS!$A$2:$A$20000=S160)*(DATOS!$G$2:$G$20000=CONFIG_METADATA!$B$4)*(DATOS!$I$2:$I$20000&lt;&gt;"Lenguaje Musical")*(DATOS!$I$2:$I$20000&lt;&gt;"Coro")*(DATOS!$I$2:$I$20000&lt;&gt;"Conjunto"),DATOS!$K$2:$K$20000)),""))</f>
        <v/>
      </c>
    </row>
    <row r="161" spans="2:23" x14ac:dyDescent="0.2">
      <c r="B161" t="str">
        <f>IF(A161="","",IFERROR(AVERAGEIFS(DATOS!$K$2:$K$20000,DATOS!$A$2:$A$20000,A161,DATOS!$G$2:$G$20000,CONFIG_METADATA!$B$4,DATOS!$I$2:$I$20000,"Lenguaje Musical"),""))</f>
        <v/>
      </c>
      <c r="C161" t="str">
        <f>IF(A161="","",IFERROR(AVERAGEIFS(DATOS!$K$2:$K$20000,DATOS!$A$2:$A$20000,A161,DATOS!$G$2:$G$20000,CONFIG_METADATA!$B$4,DATOS!$I$2:$I$20000,"Coro"),""))</f>
        <v/>
      </c>
      <c r="D161" t="str">
        <f>IF(A161="","",IFERROR(AVERAGEIFS(DATOS!$K$2:$K$20000,DATOS!$A$2:$A$20000,A161,DATOS!$G$2:$G$20000,CONFIG_METADATA!$B$4,DATOS!$I$2:$I$20000,"Conjunto"),""))</f>
        <v/>
      </c>
      <c r="E161" t="str" cm="1">
        <f t="array" ref="E161">IF(A161="","",IFERROR(AVERAGE(IF((DATOS!$A$2:$A$20000=A161)*(DATOS!$G$2:$G$20000=CONFIG_METADATA!$B$4)*(DATOS!$I$2:$I$20000&lt;&gt;"Lenguaje Musical")*(DATOS!$I$2:$I$20000&lt;&gt;"Coro")*(DATOS!$I$2:$I$20000&lt;&gt;"Conjunto"),DATOS!$K$2:$K$20000)),""))</f>
        <v/>
      </c>
      <c r="H161" t="str">
        <f>IF(G161="","",IFERROR(AVERAGEIFS(DATOS!$K$2:$K$20000,DATOS!$A$2:$A$20000,G161,DATOS!$G$2:$G$20000,CONFIG_METADATA!$B$4,DATOS!$I$2:$I$20000,"Lenguaje Musical"),""))</f>
        <v/>
      </c>
      <c r="I161" t="str">
        <f>IF(G161="","",IFERROR(AVERAGEIFS(DATOS!$K$2:$K$20000,DATOS!$A$2:$A$20000,G161,DATOS!$G$2:$G$20000,CONFIG_METADATA!$B$4,DATOS!$I$2:$I$20000,"Coro"),""))</f>
        <v/>
      </c>
      <c r="J161" t="str">
        <f>IF(G161="","",IFERROR(AVERAGEIFS(DATOS!$K$2:$K$20000,DATOS!$A$2:$A$20000,G161,DATOS!$G$2:$G$20000,CONFIG_METADATA!$B$4,DATOS!$I$2:$I$20000,"Conjunto"),""))</f>
        <v/>
      </c>
      <c r="K161" t="str" cm="1">
        <f t="array" ref="K161">IF(G161="","",IFERROR(AVERAGE(IF((DATOS!$A$2:$A$20000=G161)*(DATOS!$G$2:$G$20000=CONFIG_METADATA!$B$4)*(DATOS!$I$2:$I$20000&lt;&gt;"Lenguaje Musical")*(DATOS!$I$2:$I$20000&lt;&gt;"Coro")*(DATOS!$I$2:$I$20000&lt;&gt;"Conjunto"),DATOS!$K$2:$K$20000)),""))</f>
        <v/>
      </c>
      <c r="N161" t="str">
        <f>IF(M161="","",IFERROR(AVERAGEIFS(DATOS!$K$2:$K$20000,DATOS!$A$2:$A$20000,M161,DATOS!$G$2:$G$20000,CONFIG_METADATA!$B$4,DATOS!$I$2:$I$20000,"Lenguaje Musical"),""))</f>
        <v/>
      </c>
      <c r="O161" t="str">
        <f>IF(M161="","",IFERROR(AVERAGEIFS(DATOS!$K$2:$K$20000,DATOS!$A$2:$A$20000,M161,DATOS!$G$2:$G$20000,CONFIG_METADATA!$B$4,DATOS!$I$2:$I$20000,"Coro"),""))</f>
        <v/>
      </c>
      <c r="P161" t="str">
        <f>IF(M161="","",IFERROR(AVERAGEIFS(DATOS!$K$2:$K$20000,DATOS!$A$2:$A$20000,M161,DATOS!$G$2:$G$20000,CONFIG_METADATA!$B$4,DATOS!$I$2:$I$20000,"Conjunto"),""))</f>
        <v/>
      </c>
      <c r="Q161" t="str" cm="1">
        <f t="array" ref="Q161">IF(M161="","",IFERROR(AVERAGE(IF((DATOS!$A$2:$A$20000=M161)*(DATOS!$G$2:$G$20000=CONFIG_METADATA!$B$4)*(DATOS!$I$2:$I$20000&lt;&gt;"Lenguaje Musical")*(DATOS!$I$2:$I$20000&lt;&gt;"Coro")*(DATOS!$I$2:$I$20000&lt;&gt;"Conjunto"),DATOS!$K$2:$K$20000)),""))</f>
        <v/>
      </c>
      <c r="T161" t="str">
        <f>IF(S161="","",IFERROR(AVERAGEIFS(DATOS!$K$2:$K$20000,DATOS!$A$2:$A$20000,S161,DATOS!$G$2:$G$20000,CONFIG_METADATA!$B$4,DATOS!$I$2:$I$20000,"Lenguaje Musical"),""))</f>
        <v/>
      </c>
      <c r="U161" t="str">
        <f>IF(S161="","",IFERROR(AVERAGEIFS(DATOS!$K$2:$K$20000,DATOS!$A$2:$A$20000,S161,DATOS!$G$2:$G$20000,CONFIG_METADATA!$B$4,DATOS!$I$2:$I$20000,"Coro"),""))</f>
        <v/>
      </c>
      <c r="V161" t="str">
        <f>IF(S161="","",IFERROR(AVERAGEIFS(DATOS!$K$2:$K$20000,DATOS!$A$2:$A$20000,S161,DATOS!$G$2:$G$20000,CONFIG_METADATA!$B$4,DATOS!$I$2:$I$20000,"Conjunto"),""))</f>
        <v/>
      </c>
      <c r="W161" t="str" cm="1">
        <f t="array" ref="W161">IF(S161="","",IFERROR(AVERAGE(IF((DATOS!$A$2:$A$20000=S161)*(DATOS!$G$2:$G$20000=CONFIG_METADATA!$B$4)*(DATOS!$I$2:$I$20000&lt;&gt;"Lenguaje Musical")*(DATOS!$I$2:$I$20000&lt;&gt;"Coro")*(DATOS!$I$2:$I$20000&lt;&gt;"Conjunto"),DATOS!$K$2:$K$20000)),""))</f>
        <v/>
      </c>
    </row>
    <row r="162" spans="2:23" x14ac:dyDescent="0.2">
      <c r="B162" t="str">
        <f>IF(A162="","",IFERROR(AVERAGEIFS(DATOS!$K$2:$K$20000,DATOS!$A$2:$A$20000,A162,DATOS!$G$2:$G$20000,CONFIG_METADATA!$B$4,DATOS!$I$2:$I$20000,"Lenguaje Musical"),""))</f>
        <v/>
      </c>
      <c r="C162" t="str">
        <f>IF(A162="","",IFERROR(AVERAGEIFS(DATOS!$K$2:$K$20000,DATOS!$A$2:$A$20000,A162,DATOS!$G$2:$G$20000,CONFIG_METADATA!$B$4,DATOS!$I$2:$I$20000,"Coro"),""))</f>
        <v/>
      </c>
      <c r="D162" t="str">
        <f>IF(A162="","",IFERROR(AVERAGEIFS(DATOS!$K$2:$K$20000,DATOS!$A$2:$A$20000,A162,DATOS!$G$2:$G$20000,CONFIG_METADATA!$B$4,DATOS!$I$2:$I$20000,"Conjunto"),""))</f>
        <v/>
      </c>
      <c r="E162" t="str" cm="1">
        <f t="array" ref="E162">IF(A162="","",IFERROR(AVERAGE(IF((DATOS!$A$2:$A$20000=A162)*(DATOS!$G$2:$G$20000=CONFIG_METADATA!$B$4)*(DATOS!$I$2:$I$20000&lt;&gt;"Lenguaje Musical")*(DATOS!$I$2:$I$20000&lt;&gt;"Coro")*(DATOS!$I$2:$I$20000&lt;&gt;"Conjunto"),DATOS!$K$2:$K$20000)),""))</f>
        <v/>
      </c>
      <c r="H162" t="str">
        <f>IF(G162="","",IFERROR(AVERAGEIFS(DATOS!$K$2:$K$20000,DATOS!$A$2:$A$20000,G162,DATOS!$G$2:$G$20000,CONFIG_METADATA!$B$4,DATOS!$I$2:$I$20000,"Lenguaje Musical"),""))</f>
        <v/>
      </c>
      <c r="I162" t="str">
        <f>IF(G162="","",IFERROR(AVERAGEIFS(DATOS!$K$2:$K$20000,DATOS!$A$2:$A$20000,G162,DATOS!$G$2:$G$20000,CONFIG_METADATA!$B$4,DATOS!$I$2:$I$20000,"Coro"),""))</f>
        <v/>
      </c>
      <c r="J162" t="str">
        <f>IF(G162="","",IFERROR(AVERAGEIFS(DATOS!$K$2:$K$20000,DATOS!$A$2:$A$20000,G162,DATOS!$G$2:$G$20000,CONFIG_METADATA!$B$4,DATOS!$I$2:$I$20000,"Conjunto"),""))</f>
        <v/>
      </c>
      <c r="K162" t="str" cm="1">
        <f t="array" ref="K162">IF(G162="","",IFERROR(AVERAGE(IF((DATOS!$A$2:$A$20000=G162)*(DATOS!$G$2:$G$20000=CONFIG_METADATA!$B$4)*(DATOS!$I$2:$I$20000&lt;&gt;"Lenguaje Musical")*(DATOS!$I$2:$I$20000&lt;&gt;"Coro")*(DATOS!$I$2:$I$20000&lt;&gt;"Conjunto"),DATOS!$K$2:$K$20000)),""))</f>
        <v/>
      </c>
      <c r="N162" t="str">
        <f>IF(M162="","",IFERROR(AVERAGEIFS(DATOS!$K$2:$K$20000,DATOS!$A$2:$A$20000,M162,DATOS!$G$2:$G$20000,CONFIG_METADATA!$B$4,DATOS!$I$2:$I$20000,"Lenguaje Musical"),""))</f>
        <v/>
      </c>
      <c r="O162" t="str">
        <f>IF(M162="","",IFERROR(AVERAGEIFS(DATOS!$K$2:$K$20000,DATOS!$A$2:$A$20000,M162,DATOS!$G$2:$G$20000,CONFIG_METADATA!$B$4,DATOS!$I$2:$I$20000,"Coro"),""))</f>
        <v/>
      </c>
      <c r="P162" t="str">
        <f>IF(M162="","",IFERROR(AVERAGEIFS(DATOS!$K$2:$K$20000,DATOS!$A$2:$A$20000,M162,DATOS!$G$2:$G$20000,CONFIG_METADATA!$B$4,DATOS!$I$2:$I$20000,"Conjunto"),""))</f>
        <v/>
      </c>
      <c r="Q162" t="str" cm="1">
        <f t="array" ref="Q162">IF(M162="","",IFERROR(AVERAGE(IF((DATOS!$A$2:$A$20000=M162)*(DATOS!$G$2:$G$20000=CONFIG_METADATA!$B$4)*(DATOS!$I$2:$I$20000&lt;&gt;"Lenguaje Musical")*(DATOS!$I$2:$I$20000&lt;&gt;"Coro")*(DATOS!$I$2:$I$20000&lt;&gt;"Conjunto"),DATOS!$K$2:$K$20000)),""))</f>
        <v/>
      </c>
      <c r="T162" t="str">
        <f>IF(S162="","",IFERROR(AVERAGEIFS(DATOS!$K$2:$K$20000,DATOS!$A$2:$A$20000,S162,DATOS!$G$2:$G$20000,CONFIG_METADATA!$B$4,DATOS!$I$2:$I$20000,"Lenguaje Musical"),""))</f>
        <v/>
      </c>
      <c r="U162" t="str">
        <f>IF(S162="","",IFERROR(AVERAGEIFS(DATOS!$K$2:$K$20000,DATOS!$A$2:$A$20000,S162,DATOS!$G$2:$G$20000,CONFIG_METADATA!$B$4,DATOS!$I$2:$I$20000,"Coro"),""))</f>
        <v/>
      </c>
      <c r="V162" t="str">
        <f>IF(S162="","",IFERROR(AVERAGEIFS(DATOS!$K$2:$K$20000,DATOS!$A$2:$A$20000,S162,DATOS!$G$2:$G$20000,CONFIG_METADATA!$B$4,DATOS!$I$2:$I$20000,"Conjunto"),""))</f>
        <v/>
      </c>
      <c r="W162" t="str" cm="1">
        <f t="array" ref="W162">IF(S162="","",IFERROR(AVERAGE(IF((DATOS!$A$2:$A$20000=S162)*(DATOS!$G$2:$G$20000=CONFIG_METADATA!$B$4)*(DATOS!$I$2:$I$20000&lt;&gt;"Lenguaje Musical")*(DATOS!$I$2:$I$20000&lt;&gt;"Coro")*(DATOS!$I$2:$I$20000&lt;&gt;"Conjunto"),DATOS!$K$2:$K$20000)),""))</f>
        <v/>
      </c>
    </row>
    <row r="163" spans="2:23" x14ac:dyDescent="0.2">
      <c r="B163" t="str">
        <f>IF(A163="","",IFERROR(AVERAGEIFS(DATOS!$K$2:$K$20000,DATOS!$A$2:$A$20000,A163,DATOS!$G$2:$G$20000,CONFIG_METADATA!$B$4,DATOS!$I$2:$I$20000,"Lenguaje Musical"),""))</f>
        <v/>
      </c>
      <c r="C163" t="str">
        <f>IF(A163="","",IFERROR(AVERAGEIFS(DATOS!$K$2:$K$20000,DATOS!$A$2:$A$20000,A163,DATOS!$G$2:$G$20000,CONFIG_METADATA!$B$4,DATOS!$I$2:$I$20000,"Coro"),""))</f>
        <v/>
      </c>
      <c r="D163" t="str">
        <f>IF(A163="","",IFERROR(AVERAGEIFS(DATOS!$K$2:$K$20000,DATOS!$A$2:$A$20000,A163,DATOS!$G$2:$G$20000,CONFIG_METADATA!$B$4,DATOS!$I$2:$I$20000,"Conjunto"),""))</f>
        <v/>
      </c>
      <c r="E163" t="str" cm="1">
        <f t="array" ref="E163">IF(A163="","",IFERROR(AVERAGE(IF((DATOS!$A$2:$A$20000=A163)*(DATOS!$G$2:$G$20000=CONFIG_METADATA!$B$4)*(DATOS!$I$2:$I$20000&lt;&gt;"Lenguaje Musical")*(DATOS!$I$2:$I$20000&lt;&gt;"Coro")*(DATOS!$I$2:$I$20000&lt;&gt;"Conjunto"),DATOS!$K$2:$K$20000)),""))</f>
        <v/>
      </c>
      <c r="H163" t="str">
        <f>IF(G163="","",IFERROR(AVERAGEIFS(DATOS!$K$2:$K$20000,DATOS!$A$2:$A$20000,G163,DATOS!$G$2:$G$20000,CONFIG_METADATA!$B$4,DATOS!$I$2:$I$20000,"Lenguaje Musical"),""))</f>
        <v/>
      </c>
      <c r="I163" t="str">
        <f>IF(G163="","",IFERROR(AVERAGEIFS(DATOS!$K$2:$K$20000,DATOS!$A$2:$A$20000,G163,DATOS!$G$2:$G$20000,CONFIG_METADATA!$B$4,DATOS!$I$2:$I$20000,"Coro"),""))</f>
        <v/>
      </c>
      <c r="J163" t="str">
        <f>IF(G163="","",IFERROR(AVERAGEIFS(DATOS!$K$2:$K$20000,DATOS!$A$2:$A$20000,G163,DATOS!$G$2:$G$20000,CONFIG_METADATA!$B$4,DATOS!$I$2:$I$20000,"Conjunto"),""))</f>
        <v/>
      </c>
      <c r="K163" t="str" cm="1">
        <f t="array" ref="K163">IF(G163="","",IFERROR(AVERAGE(IF((DATOS!$A$2:$A$20000=G163)*(DATOS!$G$2:$G$20000=CONFIG_METADATA!$B$4)*(DATOS!$I$2:$I$20000&lt;&gt;"Lenguaje Musical")*(DATOS!$I$2:$I$20000&lt;&gt;"Coro")*(DATOS!$I$2:$I$20000&lt;&gt;"Conjunto"),DATOS!$K$2:$K$20000)),""))</f>
        <v/>
      </c>
      <c r="N163" t="str">
        <f>IF(M163="","",IFERROR(AVERAGEIFS(DATOS!$K$2:$K$20000,DATOS!$A$2:$A$20000,M163,DATOS!$G$2:$G$20000,CONFIG_METADATA!$B$4,DATOS!$I$2:$I$20000,"Lenguaje Musical"),""))</f>
        <v/>
      </c>
      <c r="O163" t="str">
        <f>IF(M163="","",IFERROR(AVERAGEIFS(DATOS!$K$2:$K$20000,DATOS!$A$2:$A$20000,M163,DATOS!$G$2:$G$20000,CONFIG_METADATA!$B$4,DATOS!$I$2:$I$20000,"Coro"),""))</f>
        <v/>
      </c>
      <c r="P163" t="str">
        <f>IF(M163="","",IFERROR(AVERAGEIFS(DATOS!$K$2:$K$20000,DATOS!$A$2:$A$20000,M163,DATOS!$G$2:$G$20000,CONFIG_METADATA!$B$4,DATOS!$I$2:$I$20000,"Conjunto"),""))</f>
        <v/>
      </c>
      <c r="Q163" t="str" cm="1">
        <f t="array" ref="Q163">IF(M163="","",IFERROR(AVERAGE(IF((DATOS!$A$2:$A$20000=M163)*(DATOS!$G$2:$G$20000=CONFIG_METADATA!$B$4)*(DATOS!$I$2:$I$20000&lt;&gt;"Lenguaje Musical")*(DATOS!$I$2:$I$20000&lt;&gt;"Coro")*(DATOS!$I$2:$I$20000&lt;&gt;"Conjunto"),DATOS!$K$2:$K$20000)),""))</f>
        <v/>
      </c>
      <c r="T163" t="str">
        <f>IF(S163="","",IFERROR(AVERAGEIFS(DATOS!$K$2:$K$20000,DATOS!$A$2:$A$20000,S163,DATOS!$G$2:$G$20000,CONFIG_METADATA!$B$4,DATOS!$I$2:$I$20000,"Lenguaje Musical"),""))</f>
        <v/>
      </c>
      <c r="U163" t="str">
        <f>IF(S163="","",IFERROR(AVERAGEIFS(DATOS!$K$2:$K$20000,DATOS!$A$2:$A$20000,S163,DATOS!$G$2:$G$20000,CONFIG_METADATA!$B$4,DATOS!$I$2:$I$20000,"Coro"),""))</f>
        <v/>
      </c>
      <c r="V163" t="str">
        <f>IF(S163="","",IFERROR(AVERAGEIFS(DATOS!$K$2:$K$20000,DATOS!$A$2:$A$20000,S163,DATOS!$G$2:$G$20000,CONFIG_METADATA!$B$4,DATOS!$I$2:$I$20000,"Conjunto"),""))</f>
        <v/>
      </c>
      <c r="W163" t="str" cm="1">
        <f t="array" ref="W163">IF(S163="","",IFERROR(AVERAGE(IF((DATOS!$A$2:$A$20000=S163)*(DATOS!$G$2:$G$20000=CONFIG_METADATA!$B$4)*(DATOS!$I$2:$I$20000&lt;&gt;"Lenguaje Musical")*(DATOS!$I$2:$I$20000&lt;&gt;"Coro")*(DATOS!$I$2:$I$20000&lt;&gt;"Conjunto"),DATOS!$K$2:$K$20000)),""))</f>
        <v/>
      </c>
    </row>
    <row r="164" spans="2:23" x14ac:dyDescent="0.2">
      <c r="B164" t="str">
        <f>IF(A164="","",IFERROR(AVERAGEIFS(DATOS!$K$2:$K$20000,DATOS!$A$2:$A$20000,A164,DATOS!$G$2:$G$20000,CONFIG_METADATA!$B$4,DATOS!$I$2:$I$20000,"Lenguaje Musical"),""))</f>
        <v/>
      </c>
      <c r="C164" t="str">
        <f>IF(A164="","",IFERROR(AVERAGEIFS(DATOS!$K$2:$K$20000,DATOS!$A$2:$A$20000,A164,DATOS!$G$2:$G$20000,CONFIG_METADATA!$B$4,DATOS!$I$2:$I$20000,"Coro"),""))</f>
        <v/>
      </c>
      <c r="D164" t="str">
        <f>IF(A164="","",IFERROR(AVERAGEIFS(DATOS!$K$2:$K$20000,DATOS!$A$2:$A$20000,A164,DATOS!$G$2:$G$20000,CONFIG_METADATA!$B$4,DATOS!$I$2:$I$20000,"Conjunto"),""))</f>
        <v/>
      </c>
      <c r="E164" t="str" cm="1">
        <f t="array" ref="E164">IF(A164="","",IFERROR(AVERAGE(IF((DATOS!$A$2:$A$20000=A164)*(DATOS!$G$2:$G$20000=CONFIG_METADATA!$B$4)*(DATOS!$I$2:$I$20000&lt;&gt;"Lenguaje Musical")*(DATOS!$I$2:$I$20000&lt;&gt;"Coro")*(DATOS!$I$2:$I$20000&lt;&gt;"Conjunto"),DATOS!$K$2:$K$20000)),""))</f>
        <v/>
      </c>
      <c r="H164" t="str">
        <f>IF(G164="","",IFERROR(AVERAGEIFS(DATOS!$K$2:$K$20000,DATOS!$A$2:$A$20000,G164,DATOS!$G$2:$G$20000,CONFIG_METADATA!$B$4,DATOS!$I$2:$I$20000,"Lenguaje Musical"),""))</f>
        <v/>
      </c>
      <c r="I164" t="str">
        <f>IF(G164="","",IFERROR(AVERAGEIFS(DATOS!$K$2:$K$20000,DATOS!$A$2:$A$20000,G164,DATOS!$G$2:$G$20000,CONFIG_METADATA!$B$4,DATOS!$I$2:$I$20000,"Coro"),""))</f>
        <v/>
      </c>
      <c r="J164" t="str">
        <f>IF(G164="","",IFERROR(AVERAGEIFS(DATOS!$K$2:$K$20000,DATOS!$A$2:$A$20000,G164,DATOS!$G$2:$G$20000,CONFIG_METADATA!$B$4,DATOS!$I$2:$I$20000,"Conjunto"),""))</f>
        <v/>
      </c>
      <c r="K164" t="str" cm="1">
        <f t="array" ref="K164">IF(G164="","",IFERROR(AVERAGE(IF((DATOS!$A$2:$A$20000=G164)*(DATOS!$G$2:$G$20000=CONFIG_METADATA!$B$4)*(DATOS!$I$2:$I$20000&lt;&gt;"Lenguaje Musical")*(DATOS!$I$2:$I$20000&lt;&gt;"Coro")*(DATOS!$I$2:$I$20000&lt;&gt;"Conjunto"),DATOS!$K$2:$K$20000)),""))</f>
        <v/>
      </c>
      <c r="N164" t="str">
        <f>IF(M164="","",IFERROR(AVERAGEIFS(DATOS!$K$2:$K$20000,DATOS!$A$2:$A$20000,M164,DATOS!$G$2:$G$20000,CONFIG_METADATA!$B$4,DATOS!$I$2:$I$20000,"Lenguaje Musical"),""))</f>
        <v/>
      </c>
      <c r="O164" t="str">
        <f>IF(M164="","",IFERROR(AVERAGEIFS(DATOS!$K$2:$K$20000,DATOS!$A$2:$A$20000,M164,DATOS!$G$2:$G$20000,CONFIG_METADATA!$B$4,DATOS!$I$2:$I$20000,"Coro"),""))</f>
        <v/>
      </c>
      <c r="P164" t="str">
        <f>IF(M164="","",IFERROR(AVERAGEIFS(DATOS!$K$2:$K$20000,DATOS!$A$2:$A$20000,M164,DATOS!$G$2:$G$20000,CONFIG_METADATA!$B$4,DATOS!$I$2:$I$20000,"Conjunto"),""))</f>
        <v/>
      </c>
      <c r="Q164" t="str" cm="1">
        <f t="array" ref="Q164">IF(M164="","",IFERROR(AVERAGE(IF((DATOS!$A$2:$A$20000=M164)*(DATOS!$G$2:$G$20000=CONFIG_METADATA!$B$4)*(DATOS!$I$2:$I$20000&lt;&gt;"Lenguaje Musical")*(DATOS!$I$2:$I$20000&lt;&gt;"Coro")*(DATOS!$I$2:$I$20000&lt;&gt;"Conjunto"),DATOS!$K$2:$K$20000)),""))</f>
        <v/>
      </c>
      <c r="T164" t="str">
        <f>IF(S164="","",IFERROR(AVERAGEIFS(DATOS!$K$2:$K$20000,DATOS!$A$2:$A$20000,S164,DATOS!$G$2:$G$20000,CONFIG_METADATA!$B$4,DATOS!$I$2:$I$20000,"Lenguaje Musical"),""))</f>
        <v/>
      </c>
      <c r="U164" t="str">
        <f>IF(S164="","",IFERROR(AVERAGEIFS(DATOS!$K$2:$K$20000,DATOS!$A$2:$A$20000,S164,DATOS!$G$2:$G$20000,CONFIG_METADATA!$B$4,DATOS!$I$2:$I$20000,"Coro"),""))</f>
        <v/>
      </c>
      <c r="V164" t="str">
        <f>IF(S164="","",IFERROR(AVERAGEIFS(DATOS!$K$2:$K$20000,DATOS!$A$2:$A$20000,S164,DATOS!$G$2:$G$20000,CONFIG_METADATA!$B$4,DATOS!$I$2:$I$20000,"Conjunto"),""))</f>
        <v/>
      </c>
      <c r="W164" t="str" cm="1">
        <f t="array" ref="W164">IF(S164="","",IFERROR(AVERAGE(IF((DATOS!$A$2:$A$20000=S164)*(DATOS!$G$2:$G$20000=CONFIG_METADATA!$B$4)*(DATOS!$I$2:$I$20000&lt;&gt;"Lenguaje Musical")*(DATOS!$I$2:$I$20000&lt;&gt;"Coro")*(DATOS!$I$2:$I$20000&lt;&gt;"Conjunto"),DATOS!$K$2:$K$20000)),""))</f>
        <v/>
      </c>
    </row>
    <row r="165" spans="2:23" x14ac:dyDescent="0.2">
      <c r="B165" t="str">
        <f>IF(A165="","",IFERROR(AVERAGEIFS(DATOS!$K$2:$K$20000,DATOS!$A$2:$A$20000,A165,DATOS!$G$2:$G$20000,CONFIG_METADATA!$B$4,DATOS!$I$2:$I$20000,"Lenguaje Musical"),""))</f>
        <v/>
      </c>
      <c r="C165" t="str">
        <f>IF(A165="","",IFERROR(AVERAGEIFS(DATOS!$K$2:$K$20000,DATOS!$A$2:$A$20000,A165,DATOS!$G$2:$G$20000,CONFIG_METADATA!$B$4,DATOS!$I$2:$I$20000,"Coro"),""))</f>
        <v/>
      </c>
      <c r="D165" t="str">
        <f>IF(A165="","",IFERROR(AVERAGEIFS(DATOS!$K$2:$K$20000,DATOS!$A$2:$A$20000,A165,DATOS!$G$2:$G$20000,CONFIG_METADATA!$B$4,DATOS!$I$2:$I$20000,"Conjunto"),""))</f>
        <v/>
      </c>
      <c r="E165" t="str" cm="1">
        <f t="array" ref="E165">IF(A165="","",IFERROR(AVERAGE(IF((DATOS!$A$2:$A$20000=A165)*(DATOS!$G$2:$G$20000=CONFIG_METADATA!$B$4)*(DATOS!$I$2:$I$20000&lt;&gt;"Lenguaje Musical")*(DATOS!$I$2:$I$20000&lt;&gt;"Coro")*(DATOS!$I$2:$I$20000&lt;&gt;"Conjunto"),DATOS!$K$2:$K$20000)),""))</f>
        <v/>
      </c>
      <c r="H165" t="str">
        <f>IF(G165="","",IFERROR(AVERAGEIFS(DATOS!$K$2:$K$20000,DATOS!$A$2:$A$20000,G165,DATOS!$G$2:$G$20000,CONFIG_METADATA!$B$4,DATOS!$I$2:$I$20000,"Lenguaje Musical"),""))</f>
        <v/>
      </c>
      <c r="I165" t="str">
        <f>IF(G165="","",IFERROR(AVERAGEIFS(DATOS!$K$2:$K$20000,DATOS!$A$2:$A$20000,G165,DATOS!$G$2:$G$20000,CONFIG_METADATA!$B$4,DATOS!$I$2:$I$20000,"Coro"),""))</f>
        <v/>
      </c>
      <c r="J165" t="str">
        <f>IF(G165="","",IFERROR(AVERAGEIFS(DATOS!$K$2:$K$20000,DATOS!$A$2:$A$20000,G165,DATOS!$G$2:$G$20000,CONFIG_METADATA!$B$4,DATOS!$I$2:$I$20000,"Conjunto"),""))</f>
        <v/>
      </c>
      <c r="K165" t="str" cm="1">
        <f t="array" ref="K165">IF(G165="","",IFERROR(AVERAGE(IF((DATOS!$A$2:$A$20000=G165)*(DATOS!$G$2:$G$20000=CONFIG_METADATA!$B$4)*(DATOS!$I$2:$I$20000&lt;&gt;"Lenguaje Musical")*(DATOS!$I$2:$I$20000&lt;&gt;"Coro")*(DATOS!$I$2:$I$20000&lt;&gt;"Conjunto"),DATOS!$K$2:$K$20000)),""))</f>
        <v/>
      </c>
      <c r="N165" t="str">
        <f>IF(M165="","",IFERROR(AVERAGEIFS(DATOS!$K$2:$K$20000,DATOS!$A$2:$A$20000,M165,DATOS!$G$2:$G$20000,CONFIG_METADATA!$B$4,DATOS!$I$2:$I$20000,"Lenguaje Musical"),""))</f>
        <v/>
      </c>
      <c r="O165" t="str">
        <f>IF(M165="","",IFERROR(AVERAGEIFS(DATOS!$K$2:$K$20000,DATOS!$A$2:$A$20000,M165,DATOS!$G$2:$G$20000,CONFIG_METADATA!$B$4,DATOS!$I$2:$I$20000,"Coro"),""))</f>
        <v/>
      </c>
      <c r="P165" t="str">
        <f>IF(M165="","",IFERROR(AVERAGEIFS(DATOS!$K$2:$K$20000,DATOS!$A$2:$A$20000,M165,DATOS!$G$2:$G$20000,CONFIG_METADATA!$B$4,DATOS!$I$2:$I$20000,"Conjunto"),""))</f>
        <v/>
      </c>
      <c r="Q165" t="str" cm="1">
        <f t="array" ref="Q165">IF(M165="","",IFERROR(AVERAGE(IF((DATOS!$A$2:$A$20000=M165)*(DATOS!$G$2:$G$20000=CONFIG_METADATA!$B$4)*(DATOS!$I$2:$I$20000&lt;&gt;"Lenguaje Musical")*(DATOS!$I$2:$I$20000&lt;&gt;"Coro")*(DATOS!$I$2:$I$20000&lt;&gt;"Conjunto"),DATOS!$K$2:$K$20000)),""))</f>
        <v/>
      </c>
      <c r="T165" t="str">
        <f>IF(S165="","",IFERROR(AVERAGEIFS(DATOS!$K$2:$K$20000,DATOS!$A$2:$A$20000,S165,DATOS!$G$2:$G$20000,CONFIG_METADATA!$B$4,DATOS!$I$2:$I$20000,"Lenguaje Musical"),""))</f>
        <v/>
      </c>
      <c r="U165" t="str">
        <f>IF(S165="","",IFERROR(AVERAGEIFS(DATOS!$K$2:$K$20000,DATOS!$A$2:$A$20000,S165,DATOS!$G$2:$G$20000,CONFIG_METADATA!$B$4,DATOS!$I$2:$I$20000,"Coro"),""))</f>
        <v/>
      </c>
      <c r="V165" t="str">
        <f>IF(S165="","",IFERROR(AVERAGEIFS(DATOS!$K$2:$K$20000,DATOS!$A$2:$A$20000,S165,DATOS!$G$2:$G$20000,CONFIG_METADATA!$B$4,DATOS!$I$2:$I$20000,"Conjunto"),""))</f>
        <v/>
      </c>
      <c r="W165" t="str" cm="1">
        <f t="array" ref="W165">IF(S165="","",IFERROR(AVERAGE(IF((DATOS!$A$2:$A$20000=S165)*(DATOS!$G$2:$G$20000=CONFIG_METADATA!$B$4)*(DATOS!$I$2:$I$20000&lt;&gt;"Lenguaje Musical")*(DATOS!$I$2:$I$20000&lt;&gt;"Coro")*(DATOS!$I$2:$I$20000&lt;&gt;"Conjunto"),DATOS!$K$2:$K$20000)),""))</f>
        <v/>
      </c>
    </row>
    <row r="166" spans="2:23" x14ac:dyDescent="0.2">
      <c r="B166" t="str">
        <f>IF(A166="","",IFERROR(AVERAGEIFS(DATOS!$K$2:$K$20000,DATOS!$A$2:$A$20000,A166,DATOS!$G$2:$G$20000,CONFIG_METADATA!$B$4,DATOS!$I$2:$I$20000,"Lenguaje Musical"),""))</f>
        <v/>
      </c>
      <c r="C166" t="str">
        <f>IF(A166="","",IFERROR(AVERAGEIFS(DATOS!$K$2:$K$20000,DATOS!$A$2:$A$20000,A166,DATOS!$G$2:$G$20000,CONFIG_METADATA!$B$4,DATOS!$I$2:$I$20000,"Coro"),""))</f>
        <v/>
      </c>
      <c r="D166" t="str">
        <f>IF(A166="","",IFERROR(AVERAGEIFS(DATOS!$K$2:$K$20000,DATOS!$A$2:$A$20000,A166,DATOS!$G$2:$G$20000,CONFIG_METADATA!$B$4,DATOS!$I$2:$I$20000,"Conjunto"),""))</f>
        <v/>
      </c>
      <c r="E166" t="str" cm="1">
        <f t="array" ref="E166">IF(A166="","",IFERROR(AVERAGE(IF((DATOS!$A$2:$A$20000=A166)*(DATOS!$G$2:$G$20000=CONFIG_METADATA!$B$4)*(DATOS!$I$2:$I$20000&lt;&gt;"Lenguaje Musical")*(DATOS!$I$2:$I$20000&lt;&gt;"Coro")*(DATOS!$I$2:$I$20000&lt;&gt;"Conjunto"),DATOS!$K$2:$K$20000)),""))</f>
        <v/>
      </c>
      <c r="H166" t="str">
        <f>IF(G166="","",IFERROR(AVERAGEIFS(DATOS!$K$2:$K$20000,DATOS!$A$2:$A$20000,G166,DATOS!$G$2:$G$20000,CONFIG_METADATA!$B$4,DATOS!$I$2:$I$20000,"Lenguaje Musical"),""))</f>
        <v/>
      </c>
      <c r="I166" t="str">
        <f>IF(G166="","",IFERROR(AVERAGEIFS(DATOS!$K$2:$K$20000,DATOS!$A$2:$A$20000,G166,DATOS!$G$2:$G$20000,CONFIG_METADATA!$B$4,DATOS!$I$2:$I$20000,"Coro"),""))</f>
        <v/>
      </c>
      <c r="J166" t="str">
        <f>IF(G166="","",IFERROR(AVERAGEIFS(DATOS!$K$2:$K$20000,DATOS!$A$2:$A$20000,G166,DATOS!$G$2:$G$20000,CONFIG_METADATA!$B$4,DATOS!$I$2:$I$20000,"Conjunto"),""))</f>
        <v/>
      </c>
      <c r="K166" t="str" cm="1">
        <f t="array" ref="K166">IF(G166="","",IFERROR(AVERAGE(IF((DATOS!$A$2:$A$20000=G166)*(DATOS!$G$2:$G$20000=CONFIG_METADATA!$B$4)*(DATOS!$I$2:$I$20000&lt;&gt;"Lenguaje Musical")*(DATOS!$I$2:$I$20000&lt;&gt;"Coro")*(DATOS!$I$2:$I$20000&lt;&gt;"Conjunto"),DATOS!$K$2:$K$20000)),""))</f>
        <v/>
      </c>
      <c r="N166" t="str">
        <f>IF(M166="","",IFERROR(AVERAGEIFS(DATOS!$K$2:$K$20000,DATOS!$A$2:$A$20000,M166,DATOS!$G$2:$G$20000,CONFIG_METADATA!$B$4,DATOS!$I$2:$I$20000,"Lenguaje Musical"),""))</f>
        <v/>
      </c>
      <c r="O166" t="str">
        <f>IF(M166="","",IFERROR(AVERAGEIFS(DATOS!$K$2:$K$20000,DATOS!$A$2:$A$20000,M166,DATOS!$G$2:$G$20000,CONFIG_METADATA!$B$4,DATOS!$I$2:$I$20000,"Coro"),""))</f>
        <v/>
      </c>
      <c r="P166" t="str">
        <f>IF(M166="","",IFERROR(AVERAGEIFS(DATOS!$K$2:$K$20000,DATOS!$A$2:$A$20000,M166,DATOS!$G$2:$G$20000,CONFIG_METADATA!$B$4,DATOS!$I$2:$I$20000,"Conjunto"),""))</f>
        <v/>
      </c>
      <c r="Q166" t="str" cm="1">
        <f t="array" ref="Q166">IF(M166="","",IFERROR(AVERAGE(IF((DATOS!$A$2:$A$20000=M166)*(DATOS!$G$2:$G$20000=CONFIG_METADATA!$B$4)*(DATOS!$I$2:$I$20000&lt;&gt;"Lenguaje Musical")*(DATOS!$I$2:$I$20000&lt;&gt;"Coro")*(DATOS!$I$2:$I$20000&lt;&gt;"Conjunto"),DATOS!$K$2:$K$20000)),""))</f>
        <v/>
      </c>
      <c r="T166" t="str">
        <f>IF(S166="","",IFERROR(AVERAGEIFS(DATOS!$K$2:$K$20000,DATOS!$A$2:$A$20000,S166,DATOS!$G$2:$G$20000,CONFIG_METADATA!$B$4,DATOS!$I$2:$I$20000,"Lenguaje Musical"),""))</f>
        <v/>
      </c>
      <c r="U166" t="str">
        <f>IF(S166="","",IFERROR(AVERAGEIFS(DATOS!$K$2:$K$20000,DATOS!$A$2:$A$20000,S166,DATOS!$G$2:$G$20000,CONFIG_METADATA!$B$4,DATOS!$I$2:$I$20000,"Coro"),""))</f>
        <v/>
      </c>
      <c r="V166" t="str">
        <f>IF(S166="","",IFERROR(AVERAGEIFS(DATOS!$K$2:$K$20000,DATOS!$A$2:$A$20000,S166,DATOS!$G$2:$G$20000,CONFIG_METADATA!$B$4,DATOS!$I$2:$I$20000,"Conjunto"),""))</f>
        <v/>
      </c>
      <c r="W166" t="str" cm="1">
        <f t="array" ref="W166">IF(S166="","",IFERROR(AVERAGE(IF((DATOS!$A$2:$A$20000=S166)*(DATOS!$G$2:$G$20000=CONFIG_METADATA!$B$4)*(DATOS!$I$2:$I$20000&lt;&gt;"Lenguaje Musical")*(DATOS!$I$2:$I$20000&lt;&gt;"Coro")*(DATOS!$I$2:$I$20000&lt;&gt;"Conjunto"),DATOS!$K$2:$K$20000)),""))</f>
        <v/>
      </c>
    </row>
    <row r="167" spans="2:23" x14ac:dyDescent="0.2">
      <c r="B167" t="str">
        <f>IF(A167="","",IFERROR(AVERAGEIFS(DATOS!$K$2:$K$20000,DATOS!$A$2:$A$20000,A167,DATOS!$G$2:$G$20000,CONFIG_METADATA!$B$4,DATOS!$I$2:$I$20000,"Lenguaje Musical"),""))</f>
        <v/>
      </c>
      <c r="C167" t="str">
        <f>IF(A167="","",IFERROR(AVERAGEIFS(DATOS!$K$2:$K$20000,DATOS!$A$2:$A$20000,A167,DATOS!$G$2:$G$20000,CONFIG_METADATA!$B$4,DATOS!$I$2:$I$20000,"Coro"),""))</f>
        <v/>
      </c>
      <c r="D167" t="str">
        <f>IF(A167="","",IFERROR(AVERAGEIFS(DATOS!$K$2:$K$20000,DATOS!$A$2:$A$20000,A167,DATOS!$G$2:$G$20000,CONFIG_METADATA!$B$4,DATOS!$I$2:$I$20000,"Conjunto"),""))</f>
        <v/>
      </c>
      <c r="E167" t="str" cm="1">
        <f t="array" ref="E167">IF(A167="","",IFERROR(AVERAGE(IF((DATOS!$A$2:$A$20000=A167)*(DATOS!$G$2:$G$20000=CONFIG_METADATA!$B$4)*(DATOS!$I$2:$I$20000&lt;&gt;"Lenguaje Musical")*(DATOS!$I$2:$I$20000&lt;&gt;"Coro")*(DATOS!$I$2:$I$20000&lt;&gt;"Conjunto"),DATOS!$K$2:$K$20000)),""))</f>
        <v/>
      </c>
      <c r="H167" t="str">
        <f>IF(G167="","",IFERROR(AVERAGEIFS(DATOS!$K$2:$K$20000,DATOS!$A$2:$A$20000,G167,DATOS!$G$2:$G$20000,CONFIG_METADATA!$B$4,DATOS!$I$2:$I$20000,"Lenguaje Musical"),""))</f>
        <v/>
      </c>
      <c r="I167" t="str">
        <f>IF(G167="","",IFERROR(AVERAGEIFS(DATOS!$K$2:$K$20000,DATOS!$A$2:$A$20000,G167,DATOS!$G$2:$G$20000,CONFIG_METADATA!$B$4,DATOS!$I$2:$I$20000,"Coro"),""))</f>
        <v/>
      </c>
      <c r="J167" t="str">
        <f>IF(G167="","",IFERROR(AVERAGEIFS(DATOS!$K$2:$K$20000,DATOS!$A$2:$A$20000,G167,DATOS!$G$2:$G$20000,CONFIG_METADATA!$B$4,DATOS!$I$2:$I$20000,"Conjunto"),""))</f>
        <v/>
      </c>
      <c r="K167" t="str" cm="1">
        <f t="array" ref="K167">IF(G167="","",IFERROR(AVERAGE(IF((DATOS!$A$2:$A$20000=G167)*(DATOS!$G$2:$G$20000=CONFIG_METADATA!$B$4)*(DATOS!$I$2:$I$20000&lt;&gt;"Lenguaje Musical")*(DATOS!$I$2:$I$20000&lt;&gt;"Coro")*(DATOS!$I$2:$I$20000&lt;&gt;"Conjunto"),DATOS!$K$2:$K$20000)),""))</f>
        <v/>
      </c>
      <c r="N167" t="str">
        <f>IF(M167="","",IFERROR(AVERAGEIFS(DATOS!$K$2:$K$20000,DATOS!$A$2:$A$20000,M167,DATOS!$G$2:$G$20000,CONFIG_METADATA!$B$4,DATOS!$I$2:$I$20000,"Lenguaje Musical"),""))</f>
        <v/>
      </c>
      <c r="O167" t="str">
        <f>IF(M167="","",IFERROR(AVERAGEIFS(DATOS!$K$2:$K$20000,DATOS!$A$2:$A$20000,M167,DATOS!$G$2:$G$20000,CONFIG_METADATA!$B$4,DATOS!$I$2:$I$20000,"Coro"),""))</f>
        <v/>
      </c>
      <c r="P167" t="str">
        <f>IF(M167="","",IFERROR(AVERAGEIFS(DATOS!$K$2:$K$20000,DATOS!$A$2:$A$20000,M167,DATOS!$G$2:$G$20000,CONFIG_METADATA!$B$4,DATOS!$I$2:$I$20000,"Conjunto"),""))</f>
        <v/>
      </c>
      <c r="Q167" t="str" cm="1">
        <f t="array" ref="Q167">IF(M167="","",IFERROR(AVERAGE(IF((DATOS!$A$2:$A$20000=M167)*(DATOS!$G$2:$G$20000=CONFIG_METADATA!$B$4)*(DATOS!$I$2:$I$20000&lt;&gt;"Lenguaje Musical")*(DATOS!$I$2:$I$20000&lt;&gt;"Coro")*(DATOS!$I$2:$I$20000&lt;&gt;"Conjunto"),DATOS!$K$2:$K$20000)),""))</f>
        <v/>
      </c>
      <c r="T167" t="str">
        <f>IF(S167="","",IFERROR(AVERAGEIFS(DATOS!$K$2:$K$20000,DATOS!$A$2:$A$20000,S167,DATOS!$G$2:$G$20000,CONFIG_METADATA!$B$4,DATOS!$I$2:$I$20000,"Lenguaje Musical"),""))</f>
        <v/>
      </c>
      <c r="U167" t="str">
        <f>IF(S167="","",IFERROR(AVERAGEIFS(DATOS!$K$2:$K$20000,DATOS!$A$2:$A$20000,S167,DATOS!$G$2:$G$20000,CONFIG_METADATA!$B$4,DATOS!$I$2:$I$20000,"Coro"),""))</f>
        <v/>
      </c>
      <c r="V167" t="str">
        <f>IF(S167="","",IFERROR(AVERAGEIFS(DATOS!$K$2:$K$20000,DATOS!$A$2:$A$20000,S167,DATOS!$G$2:$G$20000,CONFIG_METADATA!$B$4,DATOS!$I$2:$I$20000,"Conjunto"),""))</f>
        <v/>
      </c>
      <c r="W167" t="str" cm="1">
        <f t="array" ref="W167">IF(S167="","",IFERROR(AVERAGE(IF((DATOS!$A$2:$A$20000=S167)*(DATOS!$G$2:$G$20000=CONFIG_METADATA!$B$4)*(DATOS!$I$2:$I$20000&lt;&gt;"Lenguaje Musical")*(DATOS!$I$2:$I$20000&lt;&gt;"Coro")*(DATOS!$I$2:$I$20000&lt;&gt;"Conjunto"),DATOS!$K$2:$K$20000)),""))</f>
        <v/>
      </c>
    </row>
    <row r="168" spans="2:23" x14ac:dyDescent="0.2">
      <c r="B168" t="str">
        <f>IF(A168="","",IFERROR(AVERAGEIFS(DATOS!$K$2:$K$20000,DATOS!$A$2:$A$20000,A168,DATOS!$G$2:$G$20000,CONFIG_METADATA!$B$4,DATOS!$I$2:$I$20000,"Lenguaje Musical"),""))</f>
        <v/>
      </c>
      <c r="C168" t="str">
        <f>IF(A168="","",IFERROR(AVERAGEIFS(DATOS!$K$2:$K$20000,DATOS!$A$2:$A$20000,A168,DATOS!$G$2:$G$20000,CONFIG_METADATA!$B$4,DATOS!$I$2:$I$20000,"Coro"),""))</f>
        <v/>
      </c>
      <c r="D168" t="str">
        <f>IF(A168="","",IFERROR(AVERAGEIFS(DATOS!$K$2:$K$20000,DATOS!$A$2:$A$20000,A168,DATOS!$G$2:$G$20000,CONFIG_METADATA!$B$4,DATOS!$I$2:$I$20000,"Conjunto"),""))</f>
        <v/>
      </c>
      <c r="E168" t="str" cm="1">
        <f t="array" ref="E168">IF(A168="","",IFERROR(AVERAGE(IF((DATOS!$A$2:$A$20000=A168)*(DATOS!$G$2:$G$20000=CONFIG_METADATA!$B$4)*(DATOS!$I$2:$I$20000&lt;&gt;"Lenguaje Musical")*(DATOS!$I$2:$I$20000&lt;&gt;"Coro")*(DATOS!$I$2:$I$20000&lt;&gt;"Conjunto"),DATOS!$K$2:$K$20000)),""))</f>
        <v/>
      </c>
      <c r="H168" t="str">
        <f>IF(G168="","",IFERROR(AVERAGEIFS(DATOS!$K$2:$K$20000,DATOS!$A$2:$A$20000,G168,DATOS!$G$2:$G$20000,CONFIG_METADATA!$B$4,DATOS!$I$2:$I$20000,"Lenguaje Musical"),""))</f>
        <v/>
      </c>
      <c r="I168" t="str">
        <f>IF(G168="","",IFERROR(AVERAGEIFS(DATOS!$K$2:$K$20000,DATOS!$A$2:$A$20000,G168,DATOS!$G$2:$G$20000,CONFIG_METADATA!$B$4,DATOS!$I$2:$I$20000,"Coro"),""))</f>
        <v/>
      </c>
      <c r="J168" t="str">
        <f>IF(G168="","",IFERROR(AVERAGEIFS(DATOS!$K$2:$K$20000,DATOS!$A$2:$A$20000,G168,DATOS!$G$2:$G$20000,CONFIG_METADATA!$B$4,DATOS!$I$2:$I$20000,"Conjunto"),""))</f>
        <v/>
      </c>
      <c r="K168" t="str" cm="1">
        <f t="array" ref="K168">IF(G168="","",IFERROR(AVERAGE(IF((DATOS!$A$2:$A$20000=G168)*(DATOS!$G$2:$G$20000=CONFIG_METADATA!$B$4)*(DATOS!$I$2:$I$20000&lt;&gt;"Lenguaje Musical")*(DATOS!$I$2:$I$20000&lt;&gt;"Coro")*(DATOS!$I$2:$I$20000&lt;&gt;"Conjunto"),DATOS!$K$2:$K$20000)),""))</f>
        <v/>
      </c>
      <c r="N168" t="str">
        <f>IF(M168="","",IFERROR(AVERAGEIFS(DATOS!$K$2:$K$20000,DATOS!$A$2:$A$20000,M168,DATOS!$G$2:$G$20000,CONFIG_METADATA!$B$4,DATOS!$I$2:$I$20000,"Lenguaje Musical"),""))</f>
        <v/>
      </c>
      <c r="O168" t="str">
        <f>IF(M168="","",IFERROR(AVERAGEIFS(DATOS!$K$2:$K$20000,DATOS!$A$2:$A$20000,M168,DATOS!$G$2:$G$20000,CONFIG_METADATA!$B$4,DATOS!$I$2:$I$20000,"Coro"),""))</f>
        <v/>
      </c>
      <c r="P168" t="str">
        <f>IF(M168="","",IFERROR(AVERAGEIFS(DATOS!$K$2:$K$20000,DATOS!$A$2:$A$20000,M168,DATOS!$G$2:$G$20000,CONFIG_METADATA!$B$4,DATOS!$I$2:$I$20000,"Conjunto"),""))</f>
        <v/>
      </c>
      <c r="Q168" t="str" cm="1">
        <f t="array" ref="Q168">IF(M168="","",IFERROR(AVERAGE(IF((DATOS!$A$2:$A$20000=M168)*(DATOS!$G$2:$G$20000=CONFIG_METADATA!$B$4)*(DATOS!$I$2:$I$20000&lt;&gt;"Lenguaje Musical")*(DATOS!$I$2:$I$20000&lt;&gt;"Coro")*(DATOS!$I$2:$I$20000&lt;&gt;"Conjunto"),DATOS!$K$2:$K$20000)),""))</f>
        <v/>
      </c>
      <c r="T168" t="str">
        <f>IF(S168="","",IFERROR(AVERAGEIFS(DATOS!$K$2:$K$20000,DATOS!$A$2:$A$20000,S168,DATOS!$G$2:$G$20000,CONFIG_METADATA!$B$4,DATOS!$I$2:$I$20000,"Lenguaje Musical"),""))</f>
        <v/>
      </c>
      <c r="U168" t="str">
        <f>IF(S168="","",IFERROR(AVERAGEIFS(DATOS!$K$2:$K$20000,DATOS!$A$2:$A$20000,S168,DATOS!$G$2:$G$20000,CONFIG_METADATA!$B$4,DATOS!$I$2:$I$20000,"Coro"),""))</f>
        <v/>
      </c>
      <c r="V168" t="str">
        <f>IF(S168="","",IFERROR(AVERAGEIFS(DATOS!$K$2:$K$20000,DATOS!$A$2:$A$20000,S168,DATOS!$G$2:$G$20000,CONFIG_METADATA!$B$4,DATOS!$I$2:$I$20000,"Conjunto"),""))</f>
        <v/>
      </c>
      <c r="W168" t="str" cm="1">
        <f t="array" ref="W168">IF(S168="","",IFERROR(AVERAGE(IF((DATOS!$A$2:$A$20000=S168)*(DATOS!$G$2:$G$20000=CONFIG_METADATA!$B$4)*(DATOS!$I$2:$I$20000&lt;&gt;"Lenguaje Musical")*(DATOS!$I$2:$I$20000&lt;&gt;"Coro")*(DATOS!$I$2:$I$20000&lt;&gt;"Conjunto"),DATOS!$K$2:$K$20000)),""))</f>
        <v/>
      </c>
    </row>
    <row r="169" spans="2:23" x14ac:dyDescent="0.2">
      <c r="B169" t="str">
        <f>IF(A169="","",IFERROR(AVERAGEIFS(DATOS!$K$2:$K$20000,DATOS!$A$2:$A$20000,A169,DATOS!$G$2:$G$20000,CONFIG_METADATA!$B$4,DATOS!$I$2:$I$20000,"Lenguaje Musical"),""))</f>
        <v/>
      </c>
      <c r="C169" t="str">
        <f>IF(A169="","",IFERROR(AVERAGEIFS(DATOS!$K$2:$K$20000,DATOS!$A$2:$A$20000,A169,DATOS!$G$2:$G$20000,CONFIG_METADATA!$B$4,DATOS!$I$2:$I$20000,"Coro"),""))</f>
        <v/>
      </c>
      <c r="D169" t="str">
        <f>IF(A169="","",IFERROR(AVERAGEIFS(DATOS!$K$2:$K$20000,DATOS!$A$2:$A$20000,A169,DATOS!$G$2:$G$20000,CONFIG_METADATA!$B$4,DATOS!$I$2:$I$20000,"Conjunto"),""))</f>
        <v/>
      </c>
      <c r="E169" t="str" cm="1">
        <f t="array" ref="E169">IF(A169="","",IFERROR(AVERAGE(IF((DATOS!$A$2:$A$20000=A169)*(DATOS!$G$2:$G$20000=CONFIG_METADATA!$B$4)*(DATOS!$I$2:$I$20000&lt;&gt;"Lenguaje Musical")*(DATOS!$I$2:$I$20000&lt;&gt;"Coro")*(DATOS!$I$2:$I$20000&lt;&gt;"Conjunto"),DATOS!$K$2:$K$20000)),""))</f>
        <v/>
      </c>
      <c r="H169" t="str">
        <f>IF(G169="","",IFERROR(AVERAGEIFS(DATOS!$K$2:$K$20000,DATOS!$A$2:$A$20000,G169,DATOS!$G$2:$G$20000,CONFIG_METADATA!$B$4,DATOS!$I$2:$I$20000,"Lenguaje Musical"),""))</f>
        <v/>
      </c>
      <c r="I169" t="str">
        <f>IF(G169="","",IFERROR(AVERAGEIFS(DATOS!$K$2:$K$20000,DATOS!$A$2:$A$20000,G169,DATOS!$G$2:$G$20000,CONFIG_METADATA!$B$4,DATOS!$I$2:$I$20000,"Coro"),""))</f>
        <v/>
      </c>
      <c r="J169" t="str">
        <f>IF(G169="","",IFERROR(AVERAGEIFS(DATOS!$K$2:$K$20000,DATOS!$A$2:$A$20000,G169,DATOS!$G$2:$G$20000,CONFIG_METADATA!$B$4,DATOS!$I$2:$I$20000,"Conjunto"),""))</f>
        <v/>
      </c>
      <c r="K169" t="str" cm="1">
        <f t="array" ref="K169">IF(G169="","",IFERROR(AVERAGE(IF((DATOS!$A$2:$A$20000=G169)*(DATOS!$G$2:$G$20000=CONFIG_METADATA!$B$4)*(DATOS!$I$2:$I$20000&lt;&gt;"Lenguaje Musical")*(DATOS!$I$2:$I$20000&lt;&gt;"Coro")*(DATOS!$I$2:$I$20000&lt;&gt;"Conjunto"),DATOS!$K$2:$K$20000)),""))</f>
        <v/>
      </c>
      <c r="N169" t="str">
        <f>IF(M169="","",IFERROR(AVERAGEIFS(DATOS!$K$2:$K$20000,DATOS!$A$2:$A$20000,M169,DATOS!$G$2:$G$20000,CONFIG_METADATA!$B$4,DATOS!$I$2:$I$20000,"Lenguaje Musical"),""))</f>
        <v/>
      </c>
      <c r="O169" t="str">
        <f>IF(M169="","",IFERROR(AVERAGEIFS(DATOS!$K$2:$K$20000,DATOS!$A$2:$A$20000,M169,DATOS!$G$2:$G$20000,CONFIG_METADATA!$B$4,DATOS!$I$2:$I$20000,"Coro"),""))</f>
        <v/>
      </c>
      <c r="P169" t="str">
        <f>IF(M169="","",IFERROR(AVERAGEIFS(DATOS!$K$2:$K$20000,DATOS!$A$2:$A$20000,M169,DATOS!$G$2:$G$20000,CONFIG_METADATA!$B$4,DATOS!$I$2:$I$20000,"Conjunto"),""))</f>
        <v/>
      </c>
      <c r="Q169" t="str" cm="1">
        <f t="array" ref="Q169">IF(M169="","",IFERROR(AVERAGE(IF((DATOS!$A$2:$A$20000=M169)*(DATOS!$G$2:$G$20000=CONFIG_METADATA!$B$4)*(DATOS!$I$2:$I$20000&lt;&gt;"Lenguaje Musical")*(DATOS!$I$2:$I$20000&lt;&gt;"Coro")*(DATOS!$I$2:$I$20000&lt;&gt;"Conjunto"),DATOS!$K$2:$K$20000)),""))</f>
        <v/>
      </c>
      <c r="T169" t="str">
        <f>IF(S169="","",IFERROR(AVERAGEIFS(DATOS!$K$2:$K$20000,DATOS!$A$2:$A$20000,S169,DATOS!$G$2:$G$20000,CONFIG_METADATA!$B$4,DATOS!$I$2:$I$20000,"Lenguaje Musical"),""))</f>
        <v/>
      </c>
      <c r="U169" t="str">
        <f>IF(S169="","",IFERROR(AVERAGEIFS(DATOS!$K$2:$K$20000,DATOS!$A$2:$A$20000,S169,DATOS!$G$2:$G$20000,CONFIG_METADATA!$B$4,DATOS!$I$2:$I$20000,"Coro"),""))</f>
        <v/>
      </c>
      <c r="V169" t="str">
        <f>IF(S169="","",IFERROR(AVERAGEIFS(DATOS!$K$2:$K$20000,DATOS!$A$2:$A$20000,S169,DATOS!$G$2:$G$20000,CONFIG_METADATA!$B$4,DATOS!$I$2:$I$20000,"Conjunto"),""))</f>
        <v/>
      </c>
      <c r="W169" t="str" cm="1">
        <f t="array" ref="W169">IF(S169="","",IFERROR(AVERAGE(IF((DATOS!$A$2:$A$20000=S169)*(DATOS!$G$2:$G$20000=CONFIG_METADATA!$B$4)*(DATOS!$I$2:$I$20000&lt;&gt;"Lenguaje Musical")*(DATOS!$I$2:$I$20000&lt;&gt;"Coro")*(DATOS!$I$2:$I$20000&lt;&gt;"Conjunto"),DATOS!$K$2:$K$20000)),""))</f>
        <v/>
      </c>
    </row>
    <row r="170" spans="2:23" x14ac:dyDescent="0.2">
      <c r="B170" t="str">
        <f>IF(A170="","",IFERROR(AVERAGEIFS(DATOS!$K$2:$K$20000,DATOS!$A$2:$A$20000,A170,DATOS!$G$2:$G$20000,CONFIG_METADATA!$B$4,DATOS!$I$2:$I$20000,"Lenguaje Musical"),""))</f>
        <v/>
      </c>
      <c r="C170" t="str">
        <f>IF(A170="","",IFERROR(AVERAGEIFS(DATOS!$K$2:$K$20000,DATOS!$A$2:$A$20000,A170,DATOS!$G$2:$G$20000,CONFIG_METADATA!$B$4,DATOS!$I$2:$I$20000,"Coro"),""))</f>
        <v/>
      </c>
      <c r="D170" t="str">
        <f>IF(A170="","",IFERROR(AVERAGEIFS(DATOS!$K$2:$K$20000,DATOS!$A$2:$A$20000,A170,DATOS!$G$2:$G$20000,CONFIG_METADATA!$B$4,DATOS!$I$2:$I$20000,"Conjunto"),""))</f>
        <v/>
      </c>
      <c r="E170" t="str" cm="1">
        <f t="array" ref="E170">IF(A170="","",IFERROR(AVERAGE(IF((DATOS!$A$2:$A$20000=A170)*(DATOS!$G$2:$G$20000=CONFIG_METADATA!$B$4)*(DATOS!$I$2:$I$20000&lt;&gt;"Lenguaje Musical")*(DATOS!$I$2:$I$20000&lt;&gt;"Coro")*(DATOS!$I$2:$I$20000&lt;&gt;"Conjunto"),DATOS!$K$2:$K$20000)),""))</f>
        <v/>
      </c>
      <c r="H170" t="str">
        <f>IF(G170="","",IFERROR(AVERAGEIFS(DATOS!$K$2:$K$20000,DATOS!$A$2:$A$20000,G170,DATOS!$G$2:$G$20000,CONFIG_METADATA!$B$4,DATOS!$I$2:$I$20000,"Lenguaje Musical"),""))</f>
        <v/>
      </c>
      <c r="I170" t="str">
        <f>IF(G170="","",IFERROR(AVERAGEIFS(DATOS!$K$2:$K$20000,DATOS!$A$2:$A$20000,G170,DATOS!$G$2:$G$20000,CONFIG_METADATA!$B$4,DATOS!$I$2:$I$20000,"Coro"),""))</f>
        <v/>
      </c>
      <c r="J170" t="str">
        <f>IF(G170="","",IFERROR(AVERAGEIFS(DATOS!$K$2:$K$20000,DATOS!$A$2:$A$20000,G170,DATOS!$G$2:$G$20000,CONFIG_METADATA!$B$4,DATOS!$I$2:$I$20000,"Conjunto"),""))</f>
        <v/>
      </c>
      <c r="K170" t="str" cm="1">
        <f t="array" ref="K170">IF(G170="","",IFERROR(AVERAGE(IF((DATOS!$A$2:$A$20000=G170)*(DATOS!$G$2:$G$20000=CONFIG_METADATA!$B$4)*(DATOS!$I$2:$I$20000&lt;&gt;"Lenguaje Musical")*(DATOS!$I$2:$I$20000&lt;&gt;"Coro")*(DATOS!$I$2:$I$20000&lt;&gt;"Conjunto"),DATOS!$K$2:$K$20000)),""))</f>
        <v/>
      </c>
      <c r="N170" t="str">
        <f>IF(M170="","",IFERROR(AVERAGEIFS(DATOS!$K$2:$K$20000,DATOS!$A$2:$A$20000,M170,DATOS!$G$2:$G$20000,CONFIG_METADATA!$B$4,DATOS!$I$2:$I$20000,"Lenguaje Musical"),""))</f>
        <v/>
      </c>
      <c r="O170" t="str">
        <f>IF(M170="","",IFERROR(AVERAGEIFS(DATOS!$K$2:$K$20000,DATOS!$A$2:$A$20000,M170,DATOS!$G$2:$G$20000,CONFIG_METADATA!$B$4,DATOS!$I$2:$I$20000,"Coro"),""))</f>
        <v/>
      </c>
      <c r="P170" t="str">
        <f>IF(M170="","",IFERROR(AVERAGEIFS(DATOS!$K$2:$K$20000,DATOS!$A$2:$A$20000,M170,DATOS!$G$2:$G$20000,CONFIG_METADATA!$B$4,DATOS!$I$2:$I$20000,"Conjunto"),""))</f>
        <v/>
      </c>
      <c r="Q170" t="str" cm="1">
        <f t="array" ref="Q170">IF(M170="","",IFERROR(AVERAGE(IF((DATOS!$A$2:$A$20000=M170)*(DATOS!$G$2:$G$20000=CONFIG_METADATA!$B$4)*(DATOS!$I$2:$I$20000&lt;&gt;"Lenguaje Musical")*(DATOS!$I$2:$I$20000&lt;&gt;"Coro")*(DATOS!$I$2:$I$20000&lt;&gt;"Conjunto"),DATOS!$K$2:$K$20000)),""))</f>
        <v/>
      </c>
      <c r="T170" t="str">
        <f>IF(S170="","",IFERROR(AVERAGEIFS(DATOS!$K$2:$K$20000,DATOS!$A$2:$A$20000,S170,DATOS!$G$2:$G$20000,CONFIG_METADATA!$B$4,DATOS!$I$2:$I$20000,"Lenguaje Musical"),""))</f>
        <v/>
      </c>
      <c r="U170" t="str">
        <f>IF(S170="","",IFERROR(AVERAGEIFS(DATOS!$K$2:$K$20000,DATOS!$A$2:$A$20000,S170,DATOS!$G$2:$G$20000,CONFIG_METADATA!$B$4,DATOS!$I$2:$I$20000,"Coro"),""))</f>
        <v/>
      </c>
      <c r="V170" t="str">
        <f>IF(S170="","",IFERROR(AVERAGEIFS(DATOS!$K$2:$K$20000,DATOS!$A$2:$A$20000,S170,DATOS!$G$2:$G$20000,CONFIG_METADATA!$B$4,DATOS!$I$2:$I$20000,"Conjunto"),""))</f>
        <v/>
      </c>
      <c r="W170" t="str" cm="1">
        <f t="array" ref="W170">IF(S170="","",IFERROR(AVERAGE(IF((DATOS!$A$2:$A$20000=S170)*(DATOS!$G$2:$G$20000=CONFIG_METADATA!$B$4)*(DATOS!$I$2:$I$20000&lt;&gt;"Lenguaje Musical")*(DATOS!$I$2:$I$20000&lt;&gt;"Coro")*(DATOS!$I$2:$I$20000&lt;&gt;"Conjunto"),DATOS!$K$2:$K$20000)),""))</f>
        <v/>
      </c>
    </row>
    <row r="171" spans="2:23" x14ac:dyDescent="0.2">
      <c r="B171" t="str">
        <f>IF(A171="","",IFERROR(AVERAGEIFS(DATOS!$K$2:$K$20000,DATOS!$A$2:$A$20000,A171,DATOS!$G$2:$G$20000,CONFIG_METADATA!$B$4,DATOS!$I$2:$I$20000,"Lenguaje Musical"),""))</f>
        <v/>
      </c>
      <c r="C171" t="str">
        <f>IF(A171="","",IFERROR(AVERAGEIFS(DATOS!$K$2:$K$20000,DATOS!$A$2:$A$20000,A171,DATOS!$G$2:$G$20000,CONFIG_METADATA!$B$4,DATOS!$I$2:$I$20000,"Coro"),""))</f>
        <v/>
      </c>
      <c r="D171" t="str">
        <f>IF(A171="","",IFERROR(AVERAGEIFS(DATOS!$K$2:$K$20000,DATOS!$A$2:$A$20000,A171,DATOS!$G$2:$G$20000,CONFIG_METADATA!$B$4,DATOS!$I$2:$I$20000,"Conjunto"),""))</f>
        <v/>
      </c>
      <c r="E171" t="str" cm="1">
        <f t="array" ref="E171">IF(A171="","",IFERROR(AVERAGE(IF((DATOS!$A$2:$A$20000=A171)*(DATOS!$G$2:$G$20000=CONFIG_METADATA!$B$4)*(DATOS!$I$2:$I$20000&lt;&gt;"Lenguaje Musical")*(DATOS!$I$2:$I$20000&lt;&gt;"Coro")*(DATOS!$I$2:$I$20000&lt;&gt;"Conjunto"),DATOS!$K$2:$K$20000)),""))</f>
        <v/>
      </c>
      <c r="H171" t="str">
        <f>IF(G171="","",IFERROR(AVERAGEIFS(DATOS!$K$2:$K$20000,DATOS!$A$2:$A$20000,G171,DATOS!$G$2:$G$20000,CONFIG_METADATA!$B$4,DATOS!$I$2:$I$20000,"Lenguaje Musical"),""))</f>
        <v/>
      </c>
      <c r="I171" t="str">
        <f>IF(G171="","",IFERROR(AVERAGEIFS(DATOS!$K$2:$K$20000,DATOS!$A$2:$A$20000,G171,DATOS!$G$2:$G$20000,CONFIG_METADATA!$B$4,DATOS!$I$2:$I$20000,"Coro"),""))</f>
        <v/>
      </c>
      <c r="J171" t="str">
        <f>IF(G171="","",IFERROR(AVERAGEIFS(DATOS!$K$2:$K$20000,DATOS!$A$2:$A$20000,G171,DATOS!$G$2:$G$20000,CONFIG_METADATA!$B$4,DATOS!$I$2:$I$20000,"Conjunto"),""))</f>
        <v/>
      </c>
      <c r="K171" t="str" cm="1">
        <f t="array" ref="K171">IF(G171="","",IFERROR(AVERAGE(IF((DATOS!$A$2:$A$20000=G171)*(DATOS!$G$2:$G$20000=CONFIG_METADATA!$B$4)*(DATOS!$I$2:$I$20000&lt;&gt;"Lenguaje Musical")*(DATOS!$I$2:$I$20000&lt;&gt;"Coro")*(DATOS!$I$2:$I$20000&lt;&gt;"Conjunto"),DATOS!$K$2:$K$20000)),""))</f>
        <v/>
      </c>
      <c r="N171" t="str">
        <f>IF(M171="","",IFERROR(AVERAGEIFS(DATOS!$K$2:$K$20000,DATOS!$A$2:$A$20000,M171,DATOS!$G$2:$G$20000,CONFIG_METADATA!$B$4,DATOS!$I$2:$I$20000,"Lenguaje Musical"),""))</f>
        <v/>
      </c>
      <c r="O171" t="str">
        <f>IF(M171="","",IFERROR(AVERAGEIFS(DATOS!$K$2:$K$20000,DATOS!$A$2:$A$20000,M171,DATOS!$G$2:$G$20000,CONFIG_METADATA!$B$4,DATOS!$I$2:$I$20000,"Coro"),""))</f>
        <v/>
      </c>
      <c r="P171" t="str">
        <f>IF(M171="","",IFERROR(AVERAGEIFS(DATOS!$K$2:$K$20000,DATOS!$A$2:$A$20000,M171,DATOS!$G$2:$G$20000,CONFIG_METADATA!$B$4,DATOS!$I$2:$I$20000,"Conjunto"),""))</f>
        <v/>
      </c>
      <c r="Q171" t="str" cm="1">
        <f t="array" ref="Q171">IF(M171="","",IFERROR(AVERAGE(IF((DATOS!$A$2:$A$20000=M171)*(DATOS!$G$2:$G$20000=CONFIG_METADATA!$B$4)*(DATOS!$I$2:$I$20000&lt;&gt;"Lenguaje Musical")*(DATOS!$I$2:$I$20000&lt;&gt;"Coro")*(DATOS!$I$2:$I$20000&lt;&gt;"Conjunto"),DATOS!$K$2:$K$20000)),""))</f>
        <v/>
      </c>
      <c r="T171" t="str">
        <f>IF(S171="","",IFERROR(AVERAGEIFS(DATOS!$K$2:$K$20000,DATOS!$A$2:$A$20000,S171,DATOS!$G$2:$G$20000,CONFIG_METADATA!$B$4,DATOS!$I$2:$I$20000,"Lenguaje Musical"),""))</f>
        <v/>
      </c>
      <c r="U171" t="str">
        <f>IF(S171="","",IFERROR(AVERAGEIFS(DATOS!$K$2:$K$20000,DATOS!$A$2:$A$20000,S171,DATOS!$G$2:$G$20000,CONFIG_METADATA!$B$4,DATOS!$I$2:$I$20000,"Coro"),""))</f>
        <v/>
      </c>
      <c r="V171" t="str">
        <f>IF(S171="","",IFERROR(AVERAGEIFS(DATOS!$K$2:$K$20000,DATOS!$A$2:$A$20000,S171,DATOS!$G$2:$G$20000,CONFIG_METADATA!$B$4,DATOS!$I$2:$I$20000,"Conjunto"),""))</f>
        <v/>
      </c>
      <c r="W171" t="str" cm="1">
        <f t="array" ref="W171">IF(S171="","",IFERROR(AVERAGE(IF((DATOS!$A$2:$A$20000=S171)*(DATOS!$G$2:$G$20000=CONFIG_METADATA!$B$4)*(DATOS!$I$2:$I$20000&lt;&gt;"Lenguaje Musical")*(DATOS!$I$2:$I$20000&lt;&gt;"Coro")*(DATOS!$I$2:$I$20000&lt;&gt;"Conjunto"),DATOS!$K$2:$K$20000)),""))</f>
        <v/>
      </c>
    </row>
    <row r="172" spans="2:23" x14ac:dyDescent="0.2">
      <c r="B172" t="str">
        <f>IF(A172="","",IFERROR(AVERAGEIFS(DATOS!$K$2:$K$20000,DATOS!$A$2:$A$20000,A172,DATOS!$G$2:$G$20000,CONFIG_METADATA!$B$4,DATOS!$I$2:$I$20000,"Lenguaje Musical"),""))</f>
        <v/>
      </c>
      <c r="C172" t="str">
        <f>IF(A172="","",IFERROR(AVERAGEIFS(DATOS!$K$2:$K$20000,DATOS!$A$2:$A$20000,A172,DATOS!$G$2:$G$20000,CONFIG_METADATA!$B$4,DATOS!$I$2:$I$20000,"Coro"),""))</f>
        <v/>
      </c>
      <c r="D172" t="str">
        <f>IF(A172="","",IFERROR(AVERAGEIFS(DATOS!$K$2:$K$20000,DATOS!$A$2:$A$20000,A172,DATOS!$G$2:$G$20000,CONFIG_METADATA!$B$4,DATOS!$I$2:$I$20000,"Conjunto"),""))</f>
        <v/>
      </c>
      <c r="E172" t="str" cm="1">
        <f t="array" ref="E172">IF(A172="","",IFERROR(AVERAGE(IF((DATOS!$A$2:$A$20000=A172)*(DATOS!$G$2:$G$20000=CONFIG_METADATA!$B$4)*(DATOS!$I$2:$I$20000&lt;&gt;"Lenguaje Musical")*(DATOS!$I$2:$I$20000&lt;&gt;"Coro")*(DATOS!$I$2:$I$20000&lt;&gt;"Conjunto"),DATOS!$K$2:$K$20000)),""))</f>
        <v/>
      </c>
      <c r="H172" t="str">
        <f>IF(G172="","",IFERROR(AVERAGEIFS(DATOS!$K$2:$K$20000,DATOS!$A$2:$A$20000,G172,DATOS!$G$2:$G$20000,CONFIG_METADATA!$B$4,DATOS!$I$2:$I$20000,"Lenguaje Musical"),""))</f>
        <v/>
      </c>
      <c r="I172" t="str">
        <f>IF(G172="","",IFERROR(AVERAGEIFS(DATOS!$K$2:$K$20000,DATOS!$A$2:$A$20000,G172,DATOS!$G$2:$G$20000,CONFIG_METADATA!$B$4,DATOS!$I$2:$I$20000,"Coro"),""))</f>
        <v/>
      </c>
      <c r="J172" t="str">
        <f>IF(G172="","",IFERROR(AVERAGEIFS(DATOS!$K$2:$K$20000,DATOS!$A$2:$A$20000,G172,DATOS!$G$2:$G$20000,CONFIG_METADATA!$B$4,DATOS!$I$2:$I$20000,"Conjunto"),""))</f>
        <v/>
      </c>
      <c r="K172" t="str" cm="1">
        <f t="array" ref="K172">IF(G172="","",IFERROR(AVERAGE(IF((DATOS!$A$2:$A$20000=G172)*(DATOS!$G$2:$G$20000=CONFIG_METADATA!$B$4)*(DATOS!$I$2:$I$20000&lt;&gt;"Lenguaje Musical")*(DATOS!$I$2:$I$20000&lt;&gt;"Coro")*(DATOS!$I$2:$I$20000&lt;&gt;"Conjunto"),DATOS!$K$2:$K$20000)),""))</f>
        <v/>
      </c>
      <c r="N172" t="str">
        <f>IF(M172="","",IFERROR(AVERAGEIFS(DATOS!$K$2:$K$20000,DATOS!$A$2:$A$20000,M172,DATOS!$G$2:$G$20000,CONFIG_METADATA!$B$4,DATOS!$I$2:$I$20000,"Lenguaje Musical"),""))</f>
        <v/>
      </c>
      <c r="O172" t="str">
        <f>IF(M172="","",IFERROR(AVERAGEIFS(DATOS!$K$2:$K$20000,DATOS!$A$2:$A$20000,M172,DATOS!$G$2:$G$20000,CONFIG_METADATA!$B$4,DATOS!$I$2:$I$20000,"Coro"),""))</f>
        <v/>
      </c>
      <c r="P172" t="str">
        <f>IF(M172="","",IFERROR(AVERAGEIFS(DATOS!$K$2:$K$20000,DATOS!$A$2:$A$20000,M172,DATOS!$G$2:$G$20000,CONFIG_METADATA!$B$4,DATOS!$I$2:$I$20000,"Conjunto"),""))</f>
        <v/>
      </c>
      <c r="Q172" t="str" cm="1">
        <f t="array" ref="Q172">IF(M172="","",IFERROR(AVERAGE(IF((DATOS!$A$2:$A$20000=M172)*(DATOS!$G$2:$G$20000=CONFIG_METADATA!$B$4)*(DATOS!$I$2:$I$20000&lt;&gt;"Lenguaje Musical")*(DATOS!$I$2:$I$20000&lt;&gt;"Coro")*(DATOS!$I$2:$I$20000&lt;&gt;"Conjunto"),DATOS!$K$2:$K$20000)),""))</f>
        <v/>
      </c>
      <c r="T172" t="str">
        <f>IF(S172="","",IFERROR(AVERAGEIFS(DATOS!$K$2:$K$20000,DATOS!$A$2:$A$20000,S172,DATOS!$G$2:$G$20000,CONFIG_METADATA!$B$4,DATOS!$I$2:$I$20000,"Lenguaje Musical"),""))</f>
        <v/>
      </c>
      <c r="U172" t="str">
        <f>IF(S172="","",IFERROR(AVERAGEIFS(DATOS!$K$2:$K$20000,DATOS!$A$2:$A$20000,S172,DATOS!$G$2:$G$20000,CONFIG_METADATA!$B$4,DATOS!$I$2:$I$20000,"Coro"),""))</f>
        <v/>
      </c>
      <c r="V172" t="str">
        <f>IF(S172="","",IFERROR(AVERAGEIFS(DATOS!$K$2:$K$20000,DATOS!$A$2:$A$20000,S172,DATOS!$G$2:$G$20000,CONFIG_METADATA!$B$4,DATOS!$I$2:$I$20000,"Conjunto"),""))</f>
        <v/>
      </c>
      <c r="W172" t="str" cm="1">
        <f t="array" ref="W172">IF(S172="","",IFERROR(AVERAGE(IF((DATOS!$A$2:$A$20000=S172)*(DATOS!$G$2:$G$20000=CONFIG_METADATA!$B$4)*(DATOS!$I$2:$I$20000&lt;&gt;"Lenguaje Musical")*(DATOS!$I$2:$I$20000&lt;&gt;"Coro")*(DATOS!$I$2:$I$20000&lt;&gt;"Conjunto"),DATOS!$K$2:$K$20000)),""))</f>
        <v/>
      </c>
    </row>
    <row r="173" spans="2:23" x14ac:dyDescent="0.2">
      <c r="B173" t="str">
        <f>IF(A173="","",IFERROR(AVERAGEIFS(DATOS!$K$2:$K$20000,DATOS!$A$2:$A$20000,A173,DATOS!$G$2:$G$20000,CONFIG_METADATA!$B$4,DATOS!$I$2:$I$20000,"Lenguaje Musical"),""))</f>
        <v/>
      </c>
      <c r="C173" t="str">
        <f>IF(A173="","",IFERROR(AVERAGEIFS(DATOS!$K$2:$K$20000,DATOS!$A$2:$A$20000,A173,DATOS!$G$2:$G$20000,CONFIG_METADATA!$B$4,DATOS!$I$2:$I$20000,"Coro"),""))</f>
        <v/>
      </c>
      <c r="D173" t="str">
        <f>IF(A173="","",IFERROR(AVERAGEIFS(DATOS!$K$2:$K$20000,DATOS!$A$2:$A$20000,A173,DATOS!$G$2:$G$20000,CONFIG_METADATA!$B$4,DATOS!$I$2:$I$20000,"Conjunto"),""))</f>
        <v/>
      </c>
      <c r="E173" t="str" cm="1">
        <f t="array" ref="E173">IF(A173="","",IFERROR(AVERAGE(IF((DATOS!$A$2:$A$20000=A173)*(DATOS!$G$2:$G$20000=CONFIG_METADATA!$B$4)*(DATOS!$I$2:$I$20000&lt;&gt;"Lenguaje Musical")*(DATOS!$I$2:$I$20000&lt;&gt;"Coro")*(DATOS!$I$2:$I$20000&lt;&gt;"Conjunto"),DATOS!$K$2:$K$20000)),""))</f>
        <v/>
      </c>
      <c r="H173" t="str">
        <f>IF(G173="","",IFERROR(AVERAGEIFS(DATOS!$K$2:$K$20000,DATOS!$A$2:$A$20000,G173,DATOS!$G$2:$G$20000,CONFIG_METADATA!$B$4,DATOS!$I$2:$I$20000,"Lenguaje Musical"),""))</f>
        <v/>
      </c>
      <c r="I173" t="str">
        <f>IF(G173="","",IFERROR(AVERAGEIFS(DATOS!$K$2:$K$20000,DATOS!$A$2:$A$20000,G173,DATOS!$G$2:$G$20000,CONFIG_METADATA!$B$4,DATOS!$I$2:$I$20000,"Coro"),""))</f>
        <v/>
      </c>
      <c r="J173" t="str">
        <f>IF(G173="","",IFERROR(AVERAGEIFS(DATOS!$K$2:$K$20000,DATOS!$A$2:$A$20000,G173,DATOS!$G$2:$G$20000,CONFIG_METADATA!$B$4,DATOS!$I$2:$I$20000,"Conjunto"),""))</f>
        <v/>
      </c>
      <c r="K173" t="str" cm="1">
        <f t="array" ref="K173">IF(G173="","",IFERROR(AVERAGE(IF((DATOS!$A$2:$A$20000=G173)*(DATOS!$G$2:$G$20000=CONFIG_METADATA!$B$4)*(DATOS!$I$2:$I$20000&lt;&gt;"Lenguaje Musical")*(DATOS!$I$2:$I$20000&lt;&gt;"Coro")*(DATOS!$I$2:$I$20000&lt;&gt;"Conjunto"),DATOS!$K$2:$K$20000)),""))</f>
        <v/>
      </c>
      <c r="N173" t="str">
        <f>IF(M173="","",IFERROR(AVERAGEIFS(DATOS!$K$2:$K$20000,DATOS!$A$2:$A$20000,M173,DATOS!$G$2:$G$20000,CONFIG_METADATA!$B$4,DATOS!$I$2:$I$20000,"Lenguaje Musical"),""))</f>
        <v/>
      </c>
      <c r="O173" t="str">
        <f>IF(M173="","",IFERROR(AVERAGEIFS(DATOS!$K$2:$K$20000,DATOS!$A$2:$A$20000,M173,DATOS!$G$2:$G$20000,CONFIG_METADATA!$B$4,DATOS!$I$2:$I$20000,"Coro"),""))</f>
        <v/>
      </c>
      <c r="P173" t="str">
        <f>IF(M173="","",IFERROR(AVERAGEIFS(DATOS!$K$2:$K$20000,DATOS!$A$2:$A$20000,M173,DATOS!$G$2:$G$20000,CONFIG_METADATA!$B$4,DATOS!$I$2:$I$20000,"Conjunto"),""))</f>
        <v/>
      </c>
      <c r="Q173" t="str" cm="1">
        <f t="array" ref="Q173">IF(M173="","",IFERROR(AVERAGE(IF((DATOS!$A$2:$A$20000=M173)*(DATOS!$G$2:$G$20000=CONFIG_METADATA!$B$4)*(DATOS!$I$2:$I$20000&lt;&gt;"Lenguaje Musical")*(DATOS!$I$2:$I$20000&lt;&gt;"Coro")*(DATOS!$I$2:$I$20000&lt;&gt;"Conjunto"),DATOS!$K$2:$K$20000)),""))</f>
        <v/>
      </c>
      <c r="T173" t="str">
        <f>IF(S173="","",IFERROR(AVERAGEIFS(DATOS!$K$2:$K$20000,DATOS!$A$2:$A$20000,S173,DATOS!$G$2:$G$20000,CONFIG_METADATA!$B$4,DATOS!$I$2:$I$20000,"Lenguaje Musical"),""))</f>
        <v/>
      </c>
      <c r="U173" t="str">
        <f>IF(S173="","",IFERROR(AVERAGEIFS(DATOS!$K$2:$K$20000,DATOS!$A$2:$A$20000,S173,DATOS!$G$2:$G$20000,CONFIG_METADATA!$B$4,DATOS!$I$2:$I$20000,"Coro"),""))</f>
        <v/>
      </c>
      <c r="V173" t="str">
        <f>IF(S173="","",IFERROR(AVERAGEIFS(DATOS!$K$2:$K$20000,DATOS!$A$2:$A$20000,S173,DATOS!$G$2:$G$20000,CONFIG_METADATA!$B$4,DATOS!$I$2:$I$20000,"Conjunto"),""))</f>
        <v/>
      </c>
      <c r="W173" t="str" cm="1">
        <f t="array" ref="W173">IF(S173="","",IFERROR(AVERAGE(IF((DATOS!$A$2:$A$20000=S173)*(DATOS!$G$2:$G$20000=CONFIG_METADATA!$B$4)*(DATOS!$I$2:$I$20000&lt;&gt;"Lenguaje Musical")*(DATOS!$I$2:$I$20000&lt;&gt;"Coro")*(DATOS!$I$2:$I$20000&lt;&gt;"Conjunto"),DATOS!$K$2:$K$20000)),""))</f>
        <v/>
      </c>
    </row>
    <row r="174" spans="2:23" x14ac:dyDescent="0.2">
      <c r="B174" t="str">
        <f>IF(A174="","",IFERROR(AVERAGEIFS(DATOS!$K$2:$K$20000,DATOS!$A$2:$A$20000,A174,DATOS!$G$2:$G$20000,CONFIG_METADATA!$B$4,DATOS!$I$2:$I$20000,"Lenguaje Musical"),""))</f>
        <v/>
      </c>
      <c r="C174" t="str">
        <f>IF(A174="","",IFERROR(AVERAGEIFS(DATOS!$K$2:$K$20000,DATOS!$A$2:$A$20000,A174,DATOS!$G$2:$G$20000,CONFIG_METADATA!$B$4,DATOS!$I$2:$I$20000,"Coro"),""))</f>
        <v/>
      </c>
      <c r="D174" t="str">
        <f>IF(A174="","",IFERROR(AVERAGEIFS(DATOS!$K$2:$K$20000,DATOS!$A$2:$A$20000,A174,DATOS!$G$2:$G$20000,CONFIG_METADATA!$B$4,DATOS!$I$2:$I$20000,"Conjunto"),""))</f>
        <v/>
      </c>
      <c r="E174" t="str" cm="1">
        <f t="array" ref="E174">IF(A174="","",IFERROR(AVERAGE(IF((DATOS!$A$2:$A$20000=A174)*(DATOS!$G$2:$G$20000=CONFIG_METADATA!$B$4)*(DATOS!$I$2:$I$20000&lt;&gt;"Lenguaje Musical")*(DATOS!$I$2:$I$20000&lt;&gt;"Coro")*(DATOS!$I$2:$I$20000&lt;&gt;"Conjunto"),DATOS!$K$2:$K$20000)),""))</f>
        <v/>
      </c>
      <c r="H174" t="str">
        <f>IF(G174="","",IFERROR(AVERAGEIFS(DATOS!$K$2:$K$20000,DATOS!$A$2:$A$20000,G174,DATOS!$G$2:$G$20000,CONFIG_METADATA!$B$4,DATOS!$I$2:$I$20000,"Lenguaje Musical"),""))</f>
        <v/>
      </c>
      <c r="I174" t="str">
        <f>IF(G174="","",IFERROR(AVERAGEIFS(DATOS!$K$2:$K$20000,DATOS!$A$2:$A$20000,G174,DATOS!$G$2:$G$20000,CONFIG_METADATA!$B$4,DATOS!$I$2:$I$20000,"Coro"),""))</f>
        <v/>
      </c>
      <c r="J174" t="str">
        <f>IF(G174="","",IFERROR(AVERAGEIFS(DATOS!$K$2:$K$20000,DATOS!$A$2:$A$20000,G174,DATOS!$G$2:$G$20000,CONFIG_METADATA!$B$4,DATOS!$I$2:$I$20000,"Conjunto"),""))</f>
        <v/>
      </c>
      <c r="K174" t="str" cm="1">
        <f t="array" ref="K174">IF(G174="","",IFERROR(AVERAGE(IF((DATOS!$A$2:$A$20000=G174)*(DATOS!$G$2:$G$20000=CONFIG_METADATA!$B$4)*(DATOS!$I$2:$I$20000&lt;&gt;"Lenguaje Musical")*(DATOS!$I$2:$I$20000&lt;&gt;"Coro")*(DATOS!$I$2:$I$20000&lt;&gt;"Conjunto"),DATOS!$K$2:$K$20000)),""))</f>
        <v/>
      </c>
      <c r="N174" t="str">
        <f>IF(M174="","",IFERROR(AVERAGEIFS(DATOS!$K$2:$K$20000,DATOS!$A$2:$A$20000,M174,DATOS!$G$2:$G$20000,CONFIG_METADATA!$B$4,DATOS!$I$2:$I$20000,"Lenguaje Musical"),""))</f>
        <v/>
      </c>
      <c r="O174" t="str">
        <f>IF(M174="","",IFERROR(AVERAGEIFS(DATOS!$K$2:$K$20000,DATOS!$A$2:$A$20000,M174,DATOS!$G$2:$G$20000,CONFIG_METADATA!$B$4,DATOS!$I$2:$I$20000,"Coro"),""))</f>
        <v/>
      </c>
      <c r="P174" t="str">
        <f>IF(M174="","",IFERROR(AVERAGEIFS(DATOS!$K$2:$K$20000,DATOS!$A$2:$A$20000,M174,DATOS!$G$2:$G$20000,CONFIG_METADATA!$B$4,DATOS!$I$2:$I$20000,"Conjunto"),""))</f>
        <v/>
      </c>
      <c r="Q174" t="str" cm="1">
        <f t="array" ref="Q174">IF(M174="","",IFERROR(AVERAGE(IF((DATOS!$A$2:$A$20000=M174)*(DATOS!$G$2:$G$20000=CONFIG_METADATA!$B$4)*(DATOS!$I$2:$I$20000&lt;&gt;"Lenguaje Musical")*(DATOS!$I$2:$I$20000&lt;&gt;"Coro")*(DATOS!$I$2:$I$20000&lt;&gt;"Conjunto"),DATOS!$K$2:$K$20000)),""))</f>
        <v/>
      </c>
      <c r="T174" t="str">
        <f>IF(S174="","",IFERROR(AVERAGEIFS(DATOS!$K$2:$K$20000,DATOS!$A$2:$A$20000,S174,DATOS!$G$2:$G$20000,CONFIG_METADATA!$B$4,DATOS!$I$2:$I$20000,"Lenguaje Musical"),""))</f>
        <v/>
      </c>
      <c r="U174" t="str">
        <f>IF(S174="","",IFERROR(AVERAGEIFS(DATOS!$K$2:$K$20000,DATOS!$A$2:$A$20000,S174,DATOS!$G$2:$G$20000,CONFIG_METADATA!$B$4,DATOS!$I$2:$I$20000,"Coro"),""))</f>
        <v/>
      </c>
      <c r="V174" t="str">
        <f>IF(S174="","",IFERROR(AVERAGEIFS(DATOS!$K$2:$K$20000,DATOS!$A$2:$A$20000,S174,DATOS!$G$2:$G$20000,CONFIG_METADATA!$B$4,DATOS!$I$2:$I$20000,"Conjunto"),""))</f>
        <v/>
      </c>
      <c r="W174" t="str" cm="1">
        <f t="array" ref="W174">IF(S174="","",IFERROR(AVERAGE(IF((DATOS!$A$2:$A$20000=S174)*(DATOS!$G$2:$G$20000=CONFIG_METADATA!$B$4)*(DATOS!$I$2:$I$20000&lt;&gt;"Lenguaje Musical")*(DATOS!$I$2:$I$20000&lt;&gt;"Coro")*(DATOS!$I$2:$I$20000&lt;&gt;"Conjunto"),DATOS!$K$2:$K$20000)),""))</f>
        <v/>
      </c>
    </row>
    <row r="175" spans="2:23" x14ac:dyDescent="0.2">
      <c r="B175" t="str">
        <f>IF(A175="","",IFERROR(AVERAGEIFS(DATOS!$K$2:$K$20000,DATOS!$A$2:$A$20000,A175,DATOS!$G$2:$G$20000,CONFIG_METADATA!$B$4,DATOS!$I$2:$I$20000,"Lenguaje Musical"),""))</f>
        <v/>
      </c>
      <c r="C175" t="str">
        <f>IF(A175="","",IFERROR(AVERAGEIFS(DATOS!$K$2:$K$20000,DATOS!$A$2:$A$20000,A175,DATOS!$G$2:$G$20000,CONFIG_METADATA!$B$4,DATOS!$I$2:$I$20000,"Coro"),""))</f>
        <v/>
      </c>
      <c r="D175" t="str">
        <f>IF(A175="","",IFERROR(AVERAGEIFS(DATOS!$K$2:$K$20000,DATOS!$A$2:$A$20000,A175,DATOS!$G$2:$G$20000,CONFIG_METADATA!$B$4,DATOS!$I$2:$I$20000,"Conjunto"),""))</f>
        <v/>
      </c>
      <c r="E175" t="str" cm="1">
        <f t="array" ref="E175">IF(A175="","",IFERROR(AVERAGE(IF((DATOS!$A$2:$A$20000=A175)*(DATOS!$G$2:$G$20000=CONFIG_METADATA!$B$4)*(DATOS!$I$2:$I$20000&lt;&gt;"Lenguaje Musical")*(DATOS!$I$2:$I$20000&lt;&gt;"Coro")*(DATOS!$I$2:$I$20000&lt;&gt;"Conjunto"),DATOS!$K$2:$K$20000)),""))</f>
        <v/>
      </c>
      <c r="H175" t="str">
        <f>IF(G175="","",IFERROR(AVERAGEIFS(DATOS!$K$2:$K$20000,DATOS!$A$2:$A$20000,G175,DATOS!$G$2:$G$20000,CONFIG_METADATA!$B$4,DATOS!$I$2:$I$20000,"Lenguaje Musical"),""))</f>
        <v/>
      </c>
      <c r="I175" t="str">
        <f>IF(G175="","",IFERROR(AVERAGEIFS(DATOS!$K$2:$K$20000,DATOS!$A$2:$A$20000,G175,DATOS!$G$2:$G$20000,CONFIG_METADATA!$B$4,DATOS!$I$2:$I$20000,"Coro"),""))</f>
        <v/>
      </c>
      <c r="J175" t="str">
        <f>IF(G175="","",IFERROR(AVERAGEIFS(DATOS!$K$2:$K$20000,DATOS!$A$2:$A$20000,G175,DATOS!$G$2:$G$20000,CONFIG_METADATA!$B$4,DATOS!$I$2:$I$20000,"Conjunto"),""))</f>
        <v/>
      </c>
      <c r="K175" t="str" cm="1">
        <f t="array" ref="K175">IF(G175="","",IFERROR(AVERAGE(IF((DATOS!$A$2:$A$20000=G175)*(DATOS!$G$2:$G$20000=CONFIG_METADATA!$B$4)*(DATOS!$I$2:$I$20000&lt;&gt;"Lenguaje Musical")*(DATOS!$I$2:$I$20000&lt;&gt;"Coro")*(DATOS!$I$2:$I$20000&lt;&gt;"Conjunto"),DATOS!$K$2:$K$20000)),""))</f>
        <v/>
      </c>
      <c r="N175" t="str">
        <f>IF(M175="","",IFERROR(AVERAGEIFS(DATOS!$K$2:$K$20000,DATOS!$A$2:$A$20000,M175,DATOS!$G$2:$G$20000,CONFIG_METADATA!$B$4,DATOS!$I$2:$I$20000,"Lenguaje Musical"),""))</f>
        <v/>
      </c>
      <c r="O175" t="str">
        <f>IF(M175="","",IFERROR(AVERAGEIFS(DATOS!$K$2:$K$20000,DATOS!$A$2:$A$20000,M175,DATOS!$G$2:$G$20000,CONFIG_METADATA!$B$4,DATOS!$I$2:$I$20000,"Coro"),""))</f>
        <v/>
      </c>
      <c r="P175" t="str">
        <f>IF(M175="","",IFERROR(AVERAGEIFS(DATOS!$K$2:$K$20000,DATOS!$A$2:$A$20000,M175,DATOS!$G$2:$G$20000,CONFIG_METADATA!$B$4,DATOS!$I$2:$I$20000,"Conjunto"),""))</f>
        <v/>
      </c>
      <c r="Q175" t="str" cm="1">
        <f t="array" ref="Q175">IF(M175="","",IFERROR(AVERAGE(IF((DATOS!$A$2:$A$20000=M175)*(DATOS!$G$2:$G$20000=CONFIG_METADATA!$B$4)*(DATOS!$I$2:$I$20000&lt;&gt;"Lenguaje Musical")*(DATOS!$I$2:$I$20000&lt;&gt;"Coro")*(DATOS!$I$2:$I$20000&lt;&gt;"Conjunto"),DATOS!$K$2:$K$20000)),""))</f>
        <v/>
      </c>
      <c r="T175" t="str">
        <f>IF(S175="","",IFERROR(AVERAGEIFS(DATOS!$K$2:$K$20000,DATOS!$A$2:$A$20000,S175,DATOS!$G$2:$G$20000,CONFIG_METADATA!$B$4,DATOS!$I$2:$I$20000,"Lenguaje Musical"),""))</f>
        <v/>
      </c>
      <c r="U175" t="str">
        <f>IF(S175="","",IFERROR(AVERAGEIFS(DATOS!$K$2:$K$20000,DATOS!$A$2:$A$20000,S175,DATOS!$G$2:$G$20000,CONFIG_METADATA!$B$4,DATOS!$I$2:$I$20000,"Coro"),""))</f>
        <v/>
      </c>
      <c r="V175" t="str">
        <f>IF(S175="","",IFERROR(AVERAGEIFS(DATOS!$K$2:$K$20000,DATOS!$A$2:$A$20000,S175,DATOS!$G$2:$G$20000,CONFIG_METADATA!$B$4,DATOS!$I$2:$I$20000,"Conjunto"),""))</f>
        <v/>
      </c>
      <c r="W175" t="str" cm="1">
        <f t="array" ref="W175">IF(S175="","",IFERROR(AVERAGE(IF((DATOS!$A$2:$A$20000=S175)*(DATOS!$G$2:$G$20000=CONFIG_METADATA!$B$4)*(DATOS!$I$2:$I$20000&lt;&gt;"Lenguaje Musical")*(DATOS!$I$2:$I$20000&lt;&gt;"Coro")*(DATOS!$I$2:$I$20000&lt;&gt;"Conjunto"),DATOS!$K$2:$K$20000)),""))</f>
        <v/>
      </c>
    </row>
    <row r="176" spans="2:23" x14ac:dyDescent="0.2">
      <c r="B176" t="str">
        <f>IF(A176="","",IFERROR(AVERAGEIFS(DATOS!$K$2:$K$20000,DATOS!$A$2:$A$20000,A176,DATOS!$G$2:$G$20000,CONFIG_METADATA!$B$4,DATOS!$I$2:$I$20000,"Lenguaje Musical"),""))</f>
        <v/>
      </c>
      <c r="C176" t="str">
        <f>IF(A176="","",IFERROR(AVERAGEIFS(DATOS!$K$2:$K$20000,DATOS!$A$2:$A$20000,A176,DATOS!$G$2:$G$20000,CONFIG_METADATA!$B$4,DATOS!$I$2:$I$20000,"Coro"),""))</f>
        <v/>
      </c>
      <c r="D176" t="str">
        <f>IF(A176="","",IFERROR(AVERAGEIFS(DATOS!$K$2:$K$20000,DATOS!$A$2:$A$20000,A176,DATOS!$G$2:$G$20000,CONFIG_METADATA!$B$4,DATOS!$I$2:$I$20000,"Conjunto"),""))</f>
        <v/>
      </c>
      <c r="E176" t="str" cm="1">
        <f t="array" ref="E176">IF(A176="","",IFERROR(AVERAGE(IF((DATOS!$A$2:$A$20000=A176)*(DATOS!$G$2:$G$20000=CONFIG_METADATA!$B$4)*(DATOS!$I$2:$I$20000&lt;&gt;"Lenguaje Musical")*(DATOS!$I$2:$I$20000&lt;&gt;"Coro")*(DATOS!$I$2:$I$20000&lt;&gt;"Conjunto"),DATOS!$K$2:$K$20000)),""))</f>
        <v/>
      </c>
      <c r="H176" t="str">
        <f>IF(G176="","",IFERROR(AVERAGEIFS(DATOS!$K$2:$K$20000,DATOS!$A$2:$A$20000,G176,DATOS!$G$2:$G$20000,CONFIG_METADATA!$B$4,DATOS!$I$2:$I$20000,"Lenguaje Musical"),""))</f>
        <v/>
      </c>
      <c r="I176" t="str">
        <f>IF(G176="","",IFERROR(AVERAGEIFS(DATOS!$K$2:$K$20000,DATOS!$A$2:$A$20000,G176,DATOS!$G$2:$G$20000,CONFIG_METADATA!$B$4,DATOS!$I$2:$I$20000,"Coro"),""))</f>
        <v/>
      </c>
      <c r="J176" t="str">
        <f>IF(G176="","",IFERROR(AVERAGEIFS(DATOS!$K$2:$K$20000,DATOS!$A$2:$A$20000,G176,DATOS!$G$2:$G$20000,CONFIG_METADATA!$B$4,DATOS!$I$2:$I$20000,"Conjunto"),""))</f>
        <v/>
      </c>
      <c r="K176" t="str" cm="1">
        <f t="array" ref="K176">IF(G176="","",IFERROR(AVERAGE(IF((DATOS!$A$2:$A$20000=G176)*(DATOS!$G$2:$G$20000=CONFIG_METADATA!$B$4)*(DATOS!$I$2:$I$20000&lt;&gt;"Lenguaje Musical")*(DATOS!$I$2:$I$20000&lt;&gt;"Coro")*(DATOS!$I$2:$I$20000&lt;&gt;"Conjunto"),DATOS!$K$2:$K$20000)),""))</f>
        <v/>
      </c>
      <c r="N176" t="str">
        <f>IF(M176="","",IFERROR(AVERAGEIFS(DATOS!$K$2:$K$20000,DATOS!$A$2:$A$20000,M176,DATOS!$G$2:$G$20000,CONFIG_METADATA!$B$4,DATOS!$I$2:$I$20000,"Lenguaje Musical"),""))</f>
        <v/>
      </c>
      <c r="O176" t="str">
        <f>IF(M176="","",IFERROR(AVERAGEIFS(DATOS!$K$2:$K$20000,DATOS!$A$2:$A$20000,M176,DATOS!$G$2:$G$20000,CONFIG_METADATA!$B$4,DATOS!$I$2:$I$20000,"Coro"),""))</f>
        <v/>
      </c>
      <c r="P176" t="str">
        <f>IF(M176="","",IFERROR(AVERAGEIFS(DATOS!$K$2:$K$20000,DATOS!$A$2:$A$20000,M176,DATOS!$G$2:$G$20000,CONFIG_METADATA!$B$4,DATOS!$I$2:$I$20000,"Conjunto"),""))</f>
        <v/>
      </c>
      <c r="Q176" t="str" cm="1">
        <f t="array" ref="Q176">IF(M176="","",IFERROR(AVERAGE(IF((DATOS!$A$2:$A$20000=M176)*(DATOS!$G$2:$G$20000=CONFIG_METADATA!$B$4)*(DATOS!$I$2:$I$20000&lt;&gt;"Lenguaje Musical")*(DATOS!$I$2:$I$20000&lt;&gt;"Coro")*(DATOS!$I$2:$I$20000&lt;&gt;"Conjunto"),DATOS!$K$2:$K$20000)),""))</f>
        <v/>
      </c>
      <c r="T176" t="str">
        <f>IF(S176="","",IFERROR(AVERAGEIFS(DATOS!$K$2:$K$20000,DATOS!$A$2:$A$20000,S176,DATOS!$G$2:$G$20000,CONFIG_METADATA!$B$4,DATOS!$I$2:$I$20000,"Lenguaje Musical"),""))</f>
        <v/>
      </c>
      <c r="U176" t="str">
        <f>IF(S176="","",IFERROR(AVERAGEIFS(DATOS!$K$2:$K$20000,DATOS!$A$2:$A$20000,S176,DATOS!$G$2:$G$20000,CONFIG_METADATA!$B$4,DATOS!$I$2:$I$20000,"Coro"),""))</f>
        <v/>
      </c>
      <c r="V176" t="str">
        <f>IF(S176="","",IFERROR(AVERAGEIFS(DATOS!$K$2:$K$20000,DATOS!$A$2:$A$20000,S176,DATOS!$G$2:$G$20000,CONFIG_METADATA!$B$4,DATOS!$I$2:$I$20000,"Conjunto"),""))</f>
        <v/>
      </c>
      <c r="W176" t="str" cm="1">
        <f t="array" ref="W176">IF(S176="","",IFERROR(AVERAGE(IF((DATOS!$A$2:$A$20000=S176)*(DATOS!$G$2:$G$20000=CONFIG_METADATA!$B$4)*(DATOS!$I$2:$I$20000&lt;&gt;"Lenguaje Musical")*(DATOS!$I$2:$I$20000&lt;&gt;"Coro")*(DATOS!$I$2:$I$20000&lt;&gt;"Conjunto"),DATOS!$K$2:$K$20000)),""))</f>
        <v/>
      </c>
    </row>
    <row r="177" spans="2:23" x14ac:dyDescent="0.2">
      <c r="B177" t="str">
        <f>IF(A177="","",IFERROR(AVERAGEIFS(DATOS!$K$2:$K$20000,DATOS!$A$2:$A$20000,A177,DATOS!$G$2:$G$20000,CONFIG_METADATA!$B$4,DATOS!$I$2:$I$20000,"Lenguaje Musical"),""))</f>
        <v/>
      </c>
      <c r="C177" t="str">
        <f>IF(A177="","",IFERROR(AVERAGEIFS(DATOS!$K$2:$K$20000,DATOS!$A$2:$A$20000,A177,DATOS!$G$2:$G$20000,CONFIG_METADATA!$B$4,DATOS!$I$2:$I$20000,"Coro"),""))</f>
        <v/>
      </c>
      <c r="D177" t="str">
        <f>IF(A177="","",IFERROR(AVERAGEIFS(DATOS!$K$2:$K$20000,DATOS!$A$2:$A$20000,A177,DATOS!$G$2:$G$20000,CONFIG_METADATA!$B$4,DATOS!$I$2:$I$20000,"Conjunto"),""))</f>
        <v/>
      </c>
      <c r="E177" t="str" cm="1">
        <f t="array" ref="E177">IF(A177="","",IFERROR(AVERAGE(IF((DATOS!$A$2:$A$20000=A177)*(DATOS!$G$2:$G$20000=CONFIG_METADATA!$B$4)*(DATOS!$I$2:$I$20000&lt;&gt;"Lenguaje Musical")*(DATOS!$I$2:$I$20000&lt;&gt;"Coro")*(DATOS!$I$2:$I$20000&lt;&gt;"Conjunto"),DATOS!$K$2:$K$20000)),""))</f>
        <v/>
      </c>
      <c r="H177" t="str">
        <f>IF(G177="","",IFERROR(AVERAGEIFS(DATOS!$K$2:$K$20000,DATOS!$A$2:$A$20000,G177,DATOS!$G$2:$G$20000,CONFIG_METADATA!$B$4,DATOS!$I$2:$I$20000,"Lenguaje Musical"),""))</f>
        <v/>
      </c>
      <c r="I177" t="str">
        <f>IF(G177="","",IFERROR(AVERAGEIFS(DATOS!$K$2:$K$20000,DATOS!$A$2:$A$20000,G177,DATOS!$G$2:$G$20000,CONFIG_METADATA!$B$4,DATOS!$I$2:$I$20000,"Coro"),""))</f>
        <v/>
      </c>
      <c r="J177" t="str">
        <f>IF(G177="","",IFERROR(AVERAGEIFS(DATOS!$K$2:$K$20000,DATOS!$A$2:$A$20000,G177,DATOS!$G$2:$G$20000,CONFIG_METADATA!$B$4,DATOS!$I$2:$I$20000,"Conjunto"),""))</f>
        <v/>
      </c>
      <c r="K177" t="str" cm="1">
        <f t="array" ref="K177">IF(G177="","",IFERROR(AVERAGE(IF((DATOS!$A$2:$A$20000=G177)*(DATOS!$G$2:$G$20000=CONFIG_METADATA!$B$4)*(DATOS!$I$2:$I$20000&lt;&gt;"Lenguaje Musical")*(DATOS!$I$2:$I$20000&lt;&gt;"Coro")*(DATOS!$I$2:$I$20000&lt;&gt;"Conjunto"),DATOS!$K$2:$K$20000)),""))</f>
        <v/>
      </c>
      <c r="N177" t="str">
        <f>IF(M177="","",IFERROR(AVERAGEIFS(DATOS!$K$2:$K$20000,DATOS!$A$2:$A$20000,M177,DATOS!$G$2:$G$20000,CONFIG_METADATA!$B$4,DATOS!$I$2:$I$20000,"Lenguaje Musical"),""))</f>
        <v/>
      </c>
      <c r="O177" t="str">
        <f>IF(M177="","",IFERROR(AVERAGEIFS(DATOS!$K$2:$K$20000,DATOS!$A$2:$A$20000,M177,DATOS!$G$2:$G$20000,CONFIG_METADATA!$B$4,DATOS!$I$2:$I$20000,"Coro"),""))</f>
        <v/>
      </c>
      <c r="P177" t="str">
        <f>IF(M177="","",IFERROR(AVERAGEIFS(DATOS!$K$2:$K$20000,DATOS!$A$2:$A$20000,M177,DATOS!$G$2:$G$20000,CONFIG_METADATA!$B$4,DATOS!$I$2:$I$20000,"Conjunto"),""))</f>
        <v/>
      </c>
      <c r="Q177" t="str" cm="1">
        <f t="array" ref="Q177">IF(M177="","",IFERROR(AVERAGE(IF((DATOS!$A$2:$A$20000=M177)*(DATOS!$G$2:$G$20000=CONFIG_METADATA!$B$4)*(DATOS!$I$2:$I$20000&lt;&gt;"Lenguaje Musical")*(DATOS!$I$2:$I$20000&lt;&gt;"Coro")*(DATOS!$I$2:$I$20000&lt;&gt;"Conjunto"),DATOS!$K$2:$K$20000)),""))</f>
        <v/>
      </c>
      <c r="T177" t="str">
        <f>IF(S177="","",IFERROR(AVERAGEIFS(DATOS!$K$2:$K$20000,DATOS!$A$2:$A$20000,S177,DATOS!$G$2:$G$20000,CONFIG_METADATA!$B$4,DATOS!$I$2:$I$20000,"Lenguaje Musical"),""))</f>
        <v/>
      </c>
      <c r="U177" t="str">
        <f>IF(S177="","",IFERROR(AVERAGEIFS(DATOS!$K$2:$K$20000,DATOS!$A$2:$A$20000,S177,DATOS!$G$2:$G$20000,CONFIG_METADATA!$B$4,DATOS!$I$2:$I$20000,"Coro"),""))</f>
        <v/>
      </c>
      <c r="V177" t="str">
        <f>IF(S177="","",IFERROR(AVERAGEIFS(DATOS!$K$2:$K$20000,DATOS!$A$2:$A$20000,S177,DATOS!$G$2:$G$20000,CONFIG_METADATA!$B$4,DATOS!$I$2:$I$20000,"Conjunto"),""))</f>
        <v/>
      </c>
      <c r="W177" t="str" cm="1">
        <f t="array" ref="W177">IF(S177="","",IFERROR(AVERAGE(IF((DATOS!$A$2:$A$20000=S177)*(DATOS!$G$2:$G$20000=CONFIG_METADATA!$B$4)*(DATOS!$I$2:$I$20000&lt;&gt;"Lenguaje Musical")*(DATOS!$I$2:$I$20000&lt;&gt;"Coro")*(DATOS!$I$2:$I$20000&lt;&gt;"Conjunto"),DATOS!$K$2:$K$20000)),""))</f>
        <v/>
      </c>
    </row>
    <row r="178" spans="2:23" x14ac:dyDescent="0.2">
      <c r="B178" t="str">
        <f>IF(A178="","",IFERROR(AVERAGEIFS(DATOS!$K$2:$K$20000,DATOS!$A$2:$A$20000,A178,DATOS!$G$2:$G$20000,CONFIG_METADATA!$B$4,DATOS!$I$2:$I$20000,"Lenguaje Musical"),""))</f>
        <v/>
      </c>
      <c r="C178" t="str">
        <f>IF(A178="","",IFERROR(AVERAGEIFS(DATOS!$K$2:$K$20000,DATOS!$A$2:$A$20000,A178,DATOS!$G$2:$G$20000,CONFIG_METADATA!$B$4,DATOS!$I$2:$I$20000,"Coro"),""))</f>
        <v/>
      </c>
      <c r="D178" t="str">
        <f>IF(A178="","",IFERROR(AVERAGEIFS(DATOS!$K$2:$K$20000,DATOS!$A$2:$A$20000,A178,DATOS!$G$2:$G$20000,CONFIG_METADATA!$B$4,DATOS!$I$2:$I$20000,"Conjunto"),""))</f>
        <v/>
      </c>
      <c r="E178" t="str" cm="1">
        <f t="array" ref="E178">IF(A178="","",IFERROR(AVERAGE(IF((DATOS!$A$2:$A$20000=A178)*(DATOS!$G$2:$G$20000=CONFIG_METADATA!$B$4)*(DATOS!$I$2:$I$20000&lt;&gt;"Lenguaje Musical")*(DATOS!$I$2:$I$20000&lt;&gt;"Coro")*(DATOS!$I$2:$I$20000&lt;&gt;"Conjunto"),DATOS!$K$2:$K$20000)),""))</f>
        <v/>
      </c>
      <c r="H178" t="str">
        <f>IF(G178="","",IFERROR(AVERAGEIFS(DATOS!$K$2:$K$20000,DATOS!$A$2:$A$20000,G178,DATOS!$G$2:$G$20000,CONFIG_METADATA!$B$4,DATOS!$I$2:$I$20000,"Lenguaje Musical"),""))</f>
        <v/>
      </c>
      <c r="I178" t="str">
        <f>IF(G178="","",IFERROR(AVERAGEIFS(DATOS!$K$2:$K$20000,DATOS!$A$2:$A$20000,G178,DATOS!$G$2:$G$20000,CONFIG_METADATA!$B$4,DATOS!$I$2:$I$20000,"Coro"),""))</f>
        <v/>
      </c>
      <c r="J178" t="str">
        <f>IF(G178="","",IFERROR(AVERAGEIFS(DATOS!$K$2:$K$20000,DATOS!$A$2:$A$20000,G178,DATOS!$G$2:$G$20000,CONFIG_METADATA!$B$4,DATOS!$I$2:$I$20000,"Conjunto"),""))</f>
        <v/>
      </c>
      <c r="K178" t="str" cm="1">
        <f t="array" ref="K178">IF(G178="","",IFERROR(AVERAGE(IF((DATOS!$A$2:$A$20000=G178)*(DATOS!$G$2:$G$20000=CONFIG_METADATA!$B$4)*(DATOS!$I$2:$I$20000&lt;&gt;"Lenguaje Musical")*(DATOS!$I$2:$I$20000&lt;&gt;"Coro")*(DATOS!$I$2:$I$20000&lt;&gt;"Conjunto"),DATOS!$K$2:$K$20000)),""))</f>
        <v/>
      </c>
      <c r="N178" t="str">
        <f>IF(M178="","",IFERROR(AVERAGEIFS(DATOS!$K$2:$K$20000,DATOS!$A$2:$A$20000,M178,DATOS!$G$2:$G$20000,CONFIG_METADATA!$B$4,DATOS!$I$2:$I$20000,"Lenguaje Musical"),""))</f>
        <v/>
      </c>
      <c r="O178" t="str">
        <f>IF(M178="","",IFERROR(AVERAGEIFS(DATOS!$K$2:$K$20000,DATOS!$A$2:$A$20000,M178,DATOS!$G$2:$G$20000,CONFIG_METADATA!$B$4,DATOS!$I$2:$I$20000,"Coro"),""))</f>
        <v/>
      </c>
      <c r="P178" t="str">
        <f>IF(M178="","",IFERROR(AVERAGEIFS(DATOS!$K$2:$K$20000,DATOS!$A$2:$A$20000,M178,DATOS!$G$2:$G$20000,CONFIG_METADATA!$B$4,DATOS!$I$2:$I$20000,"Conjunto"),""))</f>
        <v/>
      </c>
      <c r="Q178" t="str" cm="1">
        <f t="array" ref="Q178">IF(M178="","",IFERROR(AVERAGE(IF((DATOS!$A$2:$A$20000=M178)*(DATOS!$G$2:$G$20000=CONFIG_METADATA!$B$4)*(DATOS!$I$2:$I$20000&lt;&gt;"Lenguaje Musical")*(DATOS!$I$2:$I$20000&lt;&gt;"Coro")*(DATOS!$I$2:$I$20000&lt;&gt;"Conjunto"),DATOS!$K$2:$K$20000)),""))</f>
        <v/>
      </c>
      <c r="T178" t="str">
        <f>IF(S178="","",IFERROR(AVERAGEIFS(DATOS!$K$2:$K$20000,DATOS!$A$2:$A$20000,S178,DATOS!$G$2:$G$20000,CONFIG_METADATA!$B$4,DATOS!$I$2:$I$20000,"Lenguaje Musical"),""))</f>
        <v/>
      </c>
      <c r="U178" t="str">
        <f>IF(S178="","",IFERROR(AVERAGEIFS(DATOS!$K$2:$K$20000,DATOS!$A$2:$A$20000,S178,DATOS!$G$2:$G$20000,CONFIG_METADATA!$B$4,DATOS!$I$2:$I$20000,"Coro"),""))</f>
        <v/>
      </c>
      <c r="V178" t="str">
        <f>IF(S178="","",IFERROR(AVERAGEIFS(DATOS!$K$2:$K$20000,DATOS!$A$2:$A$20000,S178,DATOS!$G$2:$G$20000,CONFIG_METADATA!$B$4,DATOS!$I$2:$I$20000,"Conjunto"),""))</f>
        <v/>
      </c>
      <c r="W178" t="str" cm="1">
        <f t="array" ref="W178">IF(S178="","",IFERROR(AVERAGE(IF((DATOS!$A$2:$A$20000=S178)*(DATOS!$G$2:$G$20000=CONFIG_METADATA!$B$4)*(DATOS!$I$2:$I$20000&lt;&gt;"Lenguaje Musical")*(DATOS!$I$2:$I$20000&lt;&gt;"Coro")*(DATOS!$I$2:$I$20000&lt;&gt;"Conjunto"),DATOS!$K$2:$K$20000)),""))</f>
        <v/>
      </c>
    </row>
    <row r="179" spans="2:23" x14ac:dyDescent="0.2">
      <c r="B179" t="str">
        <f>IF(A179="","",IFERROR(AVERAGEIFS(DATOS!$K$2:$K$20000,DATOS!$A$2:$A$20000,A179,DATOS!$G$2:$G$20000,CONFIG_METADATA!$B$4,DATOS!$I$2:$I$20000,"Lenguaje Musical"),""))</f>
        <v/>
      </c>
      <c r="C179" t="str">
        <f>IF(A179="","",IFERROR(AVERAGEIFS(DATOS!$K$2:$K$20000,DATOS!$A$2:$A$20000,A179,DATOS!$G$2:$G$20000,CONFIG_METADATA!$B$4,DATOS!$I$2:$I$20000,"Coro"),""))</f>
        <v/>
      </c>
      <c r="D179" t="str">
        <f>IF(A179="","",IFERROR(AVERAGEIFS(DATOS!$K$2:$K$20000,DATOS!$A$2:$A$20000,A179,DATOS!$G$2:$G$20000,CONFIG_METADATA!$B$4,DATOS!$I$2:$I$20000,"Conjunto"),""))</f>
        <v/>
      </c>
      <c r="E179" t="str" cm="1">
        <f t="array" ref="E179">IF(A179="","",IFERROR(AVERAGE(IF((DATOS!$A$2:$A$20000=A179)*(DATOS!$G$2:$G$20000=CONFIG_METADATA!$B$4)*(DATOS!$I$2:$I$20000&lt;&gt;"Lenguaje Musical")*(DATOS!$I$2:$I$20000&lt;&gt;"Coro")*(DATOS!$I$2:$I$20000&lt;&gt;"Conjunto"),DATOS!$K$2:$K$20000)),""))</f>
        <v/>
      </c>
      <c r="H179" t="str">
        <f>IF(G179="","",IFERROR(AVERAGEIFS(DATOS!$K$2:$K$20000,DATOS!$A$2:$A$20000,G179,DATOS!$G$2:$G$20000,CONFIG_METADATA!$B$4,DATOS!$I$2:$I$20000,"Lenguaje Musical"),""))</f>
        <v/>
      </c>
      <c r="I179" t="str">
        <f>IF(G179="","",IFERROR(AVERAGEIFS(DATOS!$K$2:$K$20000,DATOS!$A$2:$A$20000,G179,DATOS!$G$2:$G$20000,CONFIG_METADATA!$B$4,DATOS!$I$2:$I$20000,"Coro"),""))</f>
        <v/>
      </c>
      <c r="J179" t="str">
        <f>IF(G179="","",IFERROR(AVERAGEIFS(DATOS!$K$2:$K$20000,DATOS!$A$2:$A$20000,G179,DATOS!$G$2:$G$20000,CONFIG_METADATA!$B$4,DATOS!$I$2:$I$20000,"Conjunto"),""))</f>
        <v/>
      </c>
      <c r="K179" t="str" cm="1">
        <f t="array" ref="K179">IF(G179="","",IFERROR(AVERAGE(IF((DATOS!$A$2:$A$20000=G179)*(DATOS!$G$2:$G$20000=CONFIG_METADATA!$B$4)*(DATOS!$I$2:$I$20000&lt;&gt;"Lenguaje Musical")*(DATOS!$I$2:$I$20000&lt;&gt;"Coro")*(DATOS!$I$2:$I$20000&lt;&gt;"Conjunto"),DATOS!$K$2:$K$20000)),""))</f>
        <v/>
      </c>
      <c r="N179" t="str">
        <f>IF(M179="","",IFERROR(AVERAGEIFS(DATOS!$K$2:$K$20000,DATOS!$A$2:$A$20000,M179,DATOS!$G$2:$G$20000,CONFIG_METADATA!$B$4,DATOS!$I$2:$I$20000,"Lenguaje Musical"),""))</f>
        <v/>
      </c>
      <c r="O179" t="str">
        <f>IF(M179="","",IFERROR(AVERAGEIFS(DATOS!$K$2:$K$20000,DATOS!$A$2:$A$20000,M179,DATOS!$G$2:$G$20000,CONFIG_METADATA!$B$4,DATOS!$I$2:$I$20000,"Coro"),""))</f>
        <v/>
      </c>
      <c r="P179" t="str">
        <f>IF(M179="","",IFERROR(AVERAGEIFS(DATOS!$K$2:$K$20000,DATOS!$A$2:$A$20000,M179,DATOS!$G$2:$G$20000,CONFIG_METADATA!$B$4,DATOS!$I$2:$I$20000,"Conjunto"),""))</f>
        <v/>
      </c>
      <c r="Q179" t="str" cm="1">
        <f t="array" ref="Q179">IF(M179="","",IFERROR(AVERAGE(IF((DATOS!$A$2:$A$20000=M179)*(DATOS!$G$2:$G$20000=CONFIG_METADATA!$B$4)*(DATOS!$I$2:$I$20000&lt;&gt;"Lenguaje Musical")*(DATOS!$I$2:$I$20000&lt;&gt;"Coro")*(DATOS!$I$2:$I$20000&lt;&gt;"Conjunto"),DATOS!$K$2:$K$20000)),""))</f>
        <v/>
      </c>
      <c r="T179" t="str">
        <f>IF(S179="","",IFERROR(AVERAGEIFS(DATOS!$K$2:$K$20000,DATOS!$A$2:$A$20000,S179,DATOS!$G$2:$G$20000,CONFIG_METADATA!$B$4,DATOS!$I$2:$I$20000,"Lenguaje Musical"),""))</f>
        <v/>
      </c>
      <c r="U179" t="str">
        <f>IF(S179="","",IFERROR(AVERAGEIFS(DATOS!$K$2:$K$20000,DATOS!$A$2:$A$20000,S179,DATOS!$G$2:$G$20000,CONFIG_METADATA!$B$4,DATOS!$I$2:$I$20000,"Coro"),""))</f>
        <v/>
      </c>
      <c r="V179" t="str">
        <f>IF(S179="","",IFERROR(AVERAGEIFS(DATOS!$K$2:$K$20000,DATOS!$A$2:$A$20000,S179,DATOS!$G$2:$G$20000,CONFIG_METADATA!$B$4,DATOS!$I$2:$I$20000,"Conjunto"),""))</f>
        <v/>
      </c>
      <c r="W179" t="str" cm="1">
        <f t="array" ref="W179">IF(S179="","",IFERROR(AVERAGE(IF((DATOS!$A$2:$A$20000=S179)*(DATOS!$G$2:$G$20000=CONFIG_METADATA!$B$4)*(DATOS!$I$2:$I$20000&lt;&gt;"Lenguaje Musical")*(DATOS!$I$2:$I$20000&lt;&gt;"Coro")*(DATOS!$I$2:$I$20000&lt;&gt;"Conjunto"),DATOS!$K$2:$K$20000)),""))</f>
        <v/>
      </c>
    </row>
    <row r="180" spans="2:23" x14ac:dyDescent="0.2">
      <c r="B180" t="str">
        <f>IF(A180="","",IFERROR(AVERAGEIFS(DATOS!$K$2:$K$20000,DATOS!$A$2:$A$20000,A180,DATOS!$G$2:$G$20000,CONFIG_METADATA!$B$4,DATOS!$I$2:$I$20000,"Lenguaje Musical"),""))</f>
        <v/>
      </c>
      <c r="C180" t="str">
        <f>IF(A180="","",IFERROR(AVERAGEIFS(DATOS!$K$2:$K$20000,DATOS!$A$2:$A$20000,A180,DATOS!$G$2:$G$20000,CONFIG_METADATA!$B$4,DATOS!$I$2:$I$20000,"Coro"),""))</f>
        <v/>
      </c>
      <c r="D180" t="str">
        <f>IF(A180="","",IFERROR(AVERAGEIFS(DATOS!$K$2:$K$20000,DATOS!$A$2:$A$20000,A180,DATOS!$G$2:$G$20000,CONFIG_METADATA!$B$4,DATOS!$I$2:$I$20000,"Conjunto"),""))</f>
        <v/>
      </c>
      <c r="E180" t="str" cm="1">
        <f t="array" ref="E180">IF(A180="","",IFERROR(AVERAGE(IF((DATOS!$A$2:$A$20000=A180)*(DATOS!$G$2:$G$20000=CONFIG_METADATA!$B$4)*(DATOS!$I$2:$I$20000&lt;&gt;"Lenguaje Musical")*(DATOS!$I$2:$I$20000&lt;&gt;"Coro")*(DATOS!$I$2:$I$20000&lt;&gt;"Conjunto"),DATOS!$K$2:$K$20000)),""))</f>
        <v/>
      </c>
      <c r="H180" t="str">
        <f>IF(G180="","",IFERROR(AVERAGEIFS(DATOS!$K$2:$K$20000,DATOS!$A$2:$A$20000,G180,DATOS!$G$2:$G$20000,CONFIG_METADATA!$B$4,DATOS!$I$2:$I$20000,"Lenguaje Musical"),""))</f>
        <v/>
      </c>
      <c r="I180" t="str">
        <f>IF(G180="","",IFERROR(AVERAGEIFS(DATOS!$K$2:$K$20000,DATOS!$A$2:$A$20000,G180,DATOS!$G$2:$G$20000,CONFIG_METADATA!$B$4,DATOS!$I$2:$I$20000,"Coro"),""))</f>
        <v/>
      </c>
      <c r="J180" t="str">
        <f>IF(G180="","",IFERROR(AVERAGEIFS(DATOS!$K$2:$K$20000,DATOS!$A$2:$A$20000,G180,DATOS!$G$2:$G$20000,CONFIG_METADATA!$B$4,DATOS!$I$2:$I$20000,"Conjunto"),""))</f>
        <v/>
      </c>
      <c r="K180" t="str" cm="1">
        <f t="array" ref="K180">IF(G180="","",IFERROR(AVERAGE(IF((DATOS!$A$2:$A$20000=G180)*(DATOS!$G$2:$G$20000=CONFIG_METADATA!$B$4)*(DATOS!$I$2:$I$20000&lt;&gt;"Lenguaje Musical")*(DATOS!$I$2:$I$20000&lt;&gt;"Coro")*(DATOS!$I$2:$I$20000&lt;&gt;"Conjunto"),DATOS!$K$2:$K$20000)),""))</f>
        <v/>
      </c>
      <c r="N180" t="str">
        <f>IF(M180="","",IFERROR(AVERAGEIFS(DATOS!$K$2:$K$20000,DATOS!$A$2:$A$20000,M180,DATOS!$G$2:$G$20000,CONFIG_METADATA!$B$4,DATOS!$I$2:$I$20000,"Lenguaje Musical"),""))</f>
        <v/>
      </c>
      <c r="O180" t="str">
        <f>IF(M180="","",IFERROR(AVERAGEIFS(DATOS!$K$2:$K$20000,DATOS!$A$2:$A$20000,M180,DATOS!$G$2:$G$20000,CONFIG_METADATA!$B$4,DATOS!$I$2:$I$20000,"Coro"),""))</f>
        <v/>
      </c>
      <c r="P180" t="str">
        <f>IF(M180="","",IFERROR(AVERAGEIFS(DATOS!$K$2:$K$20000,DATOS!$A$2:$A$20000,M180,DATOS!$G$2:$G$20000,CONFIG_METADATA!$B$4,DATOS!$I$2:$I$20000,"Conjunto"),""))</f>
        <v/>
      </c>
      <c r="Q180" t="str" cm="1">
        <f t="array" ref="Q180">IF(M180="","",IFERROR(AVERAGE(IF((DATOS!$A$2:$A$20000=M180)*(DATOS!$G$2:$G$20000=CONFIG_METADATA!$B$4)*(DATOS!$I$2:$I$20000&lt;&gt;"Lenguaje Musical")*(DATOS!$I$2:$I$20000&lt;&gt;"Coro")*(DATOS!$I$2:$I$20000&lt;&gt;"Conjunto"),DATOS!$K$2:$K$20000)),""))</f>
        <v/>
      </c>
      <c r="T180" t="str">
        <f>IF(S180="","",IFERROR(AVERAGEIFS(DATOS!$K$2:$K$20000,DATOS!$A$2:$A$20000,S180,DATOS!$G$2:$G$20000,CONFIG_METADATA!$B$4,DATOS!$I$2:$I$20000,"Lenguaje Musical"),""))</f>
        <v/>
      </c>
      <c r="U180" t="str">
        <f>IF(S180="","",IFERROR(AVERAGEIFS(DATOS!$K$2:$K$20000,DATOS!$A$2:$A$20000,S180,DATOS!$G$2:$G$20000,CONFIG_METADATA!$B$4,DATOS!$I$2:$I$20000,"Coro"),""))</f>
        <v/>
      </c>
      <c r="V180" t="str">
        <f>IF(S180="","",IFERROR(AVERAGEIFS(DATOS!$K$2:$K$20000,DATOS!$A$2:$A$20000,S180,DATOS!$G$2:$G$20000,CONFIG_METADATA!$B$4,DATOS!$I$2:$I$20000,"Conjunto"),""))</f>
        <v/>
      </c>
      <c r="W180" t="str" cm="1">
        <f t="array" ref="W180">IF(S180="","",IFERROR(AVERAGE(IF((DATOS!$A$2:$A$20000=S180)*(DATOS!$G$2:$G$20000=CONFIG_METADATA!$B$4)*(DATOS!$I$2:$I$20000&lt;&gt;"Lenguaje Musical")*(DATOS!$I$2:$I$20000&lt;&gt;"Coro")*(DATOS!$I$2:$I$20000&lt;&gt;"Conjunto"),DATOS!$K$2:$K$20000)),""))</f>
        <v/>
      </c>
    </row>
    <row r="181" spans="2:23" x14ac:dyDescent="0.2">
      <c r="B181" t="str">
        <f>IF(A181="","",IFERROR(AVERAGEIFS(DATOS!$K$2:$K$20000,DATOS!$A$2:$A$20000,A181,DATOS!$G$2:$G$20000,CONFIG_METADATA!$B$4,DATOS!$I$2:$I$20000,"Lenguaje Musical"),""))</f>
        <v/>
      </c>
      <c r="C181" t="str">
        <f>IF(A181="","",IFERROR(AVERAGEIFS(DATOS!$K$2:$K$20000,DATOS!$A$2:$A$20000,A181,DATOS!$G$2:$G$20000,CONFIG_METADATA!$B$4,DATOS!$I$2:$I$20000,"Coro"),""))</f>
        <v/>
      </c>
      <c r="D181" t="str">
        <f>IF(A181="","",IFERROR(AVERAGEIFS(DATOS!$K$2:$K$20000,DATOS!$A$2:$A$20000,A181,DATOS!$G$2:$G$20000,CONFIG_METADATA!$B$4,DATOS!$I$2:$I$20000,"Conjunto"),""))</f>
        <v/>
      </c>
      <c r="E181" t="str" cm="1">
        <f t="array" ref="E181">IF(A181="","",IFERROR(AVERAGE(IF((DATOS!$A$2:$A$20000=A181)*(DATOS!$G$2:$G$20000=CONFIG_METADATA!$B$4)*(DATOS!$I$2:$I$20000&lt;&gt;"Lenguaje Musical")*(DATOS!$I$2:$I$20000&lt;&gt;"Coro")*(DATOS!$I$2:$I$20000&lt;&gt;"Conjunto"),DATOS!$K$2:$K$20000)),""))</f>
        <v/>
      </c>
      <c r="H181" t="str">
        <f>IF(G181="","",IFERROR(AVERAGEIFS(DATOS!$K$2:$K$20000,DATOS!$A$2:$A$20000,G181,DATOS!$G$2:$G$20000,CONFIG_METADATA!$B$4,DATOS!$I$2:$I$20000,"Lenguaje Musical"),""))</f>
        <v/>
      </c>
      <c r="I181" t="str">
        <f>IF(G181="","",IFERROR(AVERAGEIFS(DATOS!$K$2:$K$20000,DATOS!$A$2:$A$20000,G181,DATOS!$G$2:$G$20000,CONFIG_METADATA!$B$4,DATOS!$I$2:$I$20000,"Coro"),""))</f>
        <v/>
      </c>
      <c r="J181" t="str">
        <f>IF(G181="","",IFERROR(AVERAGEIFS(DATOS!$K$2:$K$20000,DATOS!$A$2:$A$20000,G181,DATOS!$G$2:$G$20000,CONFIG_METADATA!$B$4,DATOS!$I$2:$I$20000,"Conjunto"),""))</f>
        <v/>
      </c>
      <c r="K181" t="str" cm="1">
        <f t="array" ref="K181">IF(G181="","",IFERROR(AVERAGE(IF((DATOS!$A$2:$A$20000=G181)*(DATOS!$G$2:$G$20000=CONFIG_METADATA!$B$4)*(DATOS!$I$2:$I$20000&lt;&gt;"Lenguaje Musical")*(DATOS!$I$2:$I$20000&lt;&gt;"Coro")*(DATOS!$I$2:$I$20000&lt;&gt;"Conjunto"),DATOS!$K$2:$K$20000)),""))</f>
        <v/>
      </c>
      <c r="N181" t="str">
        <f>IF(M181="","",IFERROR(AVERAGEIFS(DATOS!$K$2:$K$20000,DATOS!$A$2:$A$20000,M181,DATOS!$G$2:$G$20000,CONFIG_METADATA!$B$4,DATOS!$I$2:$I$20000,"Lenguaje Musical"),""))</f>
        <v/>
      </c>
      <c r="O181" t="str">
        <f>IF(M181="","",IFERROR(AVERAGEIFS(DATOS!$K$2:$K$20000,DATOS!$A$2:$A$20000,M181,DATOS!$G$2:$G$20000,CONFIG_METADATA!$B$4,DATOS!$I$2:$I$20000,"Coro"),""))</f>
        <v/>
      </c>
      <c r="P181" t="str">
        <f>IF(M181="","",IFERROR(AVERAGEIFS(DATOS!$K$2:$K$20000,DATOS!$A$2:$A$20000,M181,DATOS!$G$2:$G$20000,CONFIG_METADATA!$B$4,DATOS!$I$2:$I$20000,"Conjunto"),""))</f>
        <v/>
      </c>
      <c r="Q181" t="str" cm="1">
        <f t="array" ref="Q181">IF(M181="","",IFERROR(AVERAGE(IF((DATOS!$A$2:$A$20000=M181)*(DATOS!$G$2:$G$20000=CONFIG_METADATA!$B$4)*(DATOS!$I$2:$I$20000&lt;&gt;"Lenguaje Musical")*(DATOS!$I$2:$I$20000&lt;&gt;"Coro")*(DATOS!$I$2:$I$20000&lt;&gt;"Conjunto"),DATOS!$K$2:$K$20000)),""))</f>
        <v/>
      </c>
      <c r="T181" t="str">
        <f>IF(S181="","",IFERROR(AVERAGEIFS(DATOS!$K$2:$K$20000,DATOS!$A$2:$A$20000,S181,DATOS!$G$2:$G$20000,CONFIG_METADATA!$B$4,DATOS!$I$2:$I$20000,"Lenguaje Musical"),""))</f>
        <v/>
      </c>
      <c r="U181" t="str">
        <f>IF(S181="","",IFERROR(AVERAGEIFS(DATOS!$K$2:$K$20000,DATOS!$A$2:$A$20000,S181,DATOS!$G$2:$G$20000,CONFIG_METADATA!$B$4,DATOS!$I$2:$I$20000,"Coro"),""))</f>
        <v/>
      </c>
      <c r="V181" t="str">
        <f>IF(S181="","",IFERROR(AVERAGEIFS(DATOS!$K$2:$K$20000,DATOS!$A$2:$A$20000,S181,DATOS!$G$2:$G$20000,CONFIG_METADATA!$B$4,DATOS!$I$2:$I$20000,"Conjunto"),""))</f>
        <v/>
      </c>
      <c r="W181" t="str" cm="1">
        <f t="array" ref="W181">IF(S181="","",IFERROR(AVERAGE(IF((DATOS!$A$2:$A$20000=S181)*(DATOS!$G$2:$G$20000=CONFIG_METADATA!$B$4)*(DATOS!$I$2:$I$20000&lt;&gt;"Lenguaje Musical")*(DATOS!$I$2:$I$20000&lt;&gt;"Coro")*(DATOS!$I$2:$I$20000&lt;&gt;"Conjunto"),DATOS!$K$2:$K$20000)),""))</f>
        <v/>
      </c>
    </row>
    <row r="182" spans="2:23" x14ac:dyDescent="0.2">
      <c r="B182" t="str">
        <f>IF(A182="","",IFERROR(AVERAGEIFS(DATOS!$K$2:$K$20000,DATOS!$A$2:$A$20000,A182,DATOS!$G$2:$G$20000,CONFIG_METADATA!$B$4,DATOS!$I$2:$I$20000,"Lenguaje Musical"),""))</f>
        <v/>
      </c>
      <c r="C182" t="str">
        <f>IF(A182="","",IFERROR(AVERAGEIFS(DATOS!$K$2:$K$20000,DATOS!$A$2:$A$20000,A182,DATOS!$G$2:$G$20000,CONFIG_METADATA!$B$4,DATOS!$I$2:$I$20000,"Coro"),""))</f>
        <v/>
      </c>
      <c r="D182" t="str">
        <f>IF(A182="","",IFERROR(AVERAGEIFS(DATOS!$K$2:$K$20000,DATOS!$A$2:$A$20000,A182,DATOS!$G$2:$G$20000,CONFIG_METADATA!$B$4,DATOS!$I$2:$I$20000,"Conjunto"),""))</f>
        <v/>
      </c>
      <c r="E182" t="str" cm="1">
        <f t="array" ref="E182">IF(A182="","",IFERROR(AVERAGE(IF((DATOS!$A$2:$A$20000=A182)*(DATOS!$G$2:$G$20000=CONFIG_METADATA!$B$4)*(DATOS!$I$2:$I$20000&lt;&gt;"Lenguaje Musical")*(DATOS!$I$2:$I$20000&lt;&gt;"Coro")*(DATOS!$I$2:$I$20000&lt;&gt;"Conjunto"),DATOS!$K$2:$K$20000)),""))</f>
        <v/>
      </c>
      <c r="H182" t="str">
        <f>IF(G182="","",IFERROR(AVERAGEIFS(DATOS!$K$2:$K$20000,DATOS!$A$2:$A$20000,G182,DATOS!$G$2:$G$20000,CONFIG_METADATA!$B$4,DATOS!$I$2:$I$20000,"Lenguaje Musical"),""))</f>
        <v/>
      </c>
      <c r="I182" t="str">
        <f>IF(G182="","",IFERROR(AVERAGEIFS(DATOS!$K$2:$K$20000,DATOS!$A$2:$A$20000,G182,DATOS!$G$2:$G$20000,CONFIG_METADATA!$B$4,DATOS!$I$2:$I$20000,"Coro"),""))</f>
        <v/>
      </c>
      <c r="J182" t="str">
        <f>IF(G182="","",IFERROR(AVERAGEIFS(DATOS!$K$2:$K$20000,DATOS!$A$2:$A$20000,G182,DATOS!$G$2:$G$20000,CONFIG_METADATA!$B$4,DATOS!$I$2:$I$20000,"Conjunto"),""))</f>
        <v/>
      </c>
      <c r="K182" t="str" cm="1">
        <f t="array" ref="K182">IF(G182="","",IFERROR(AVERAGE(IF((DATOS!$A$2:$A$20000=G182)*(DATOS!$G$2:$G$20000=CONFIG_METADATA!$B$4)*(DATOS!$I$2:$I$20000&lt;&gt;"Lenguaje Musical")*(DATOS!$I$2:$I$20000&lt;&gt;"Coro")*(DATOS!$I$2:$I$20000&lt;&gt;"Conjunto"),DATOS!$K$2:$K$20000)),""))</f>
        <v/>
      </c>
      <c r="N182" t="str">
        <f>IF(M182="","",IFERROR(AVERAGEIFS(DATOS!$K$2:$K$20000,DATOS!$A$2:$A$20000,M182,DATOS!$G$2:$G$20000,CONFIG_METADATA!$B$4,DATOS!$I$2:$I$20000,"Lenguaje Musical"),""))</f>
        <v/>
      </c>
      <c r="O182" t="str">
        <f>IF(M182="","",IFERROR(AVERAGEIFS(DATOS!$K$2:$K$20000,DATOS!$A$2:$A$20000,M182,DATOS!$G$2:$G$20000,CONFIG_METADATA!$B$4,DATOS!$I$2:$I$20000,"Coro"),""))</f>
        <v/>
      </c>
      <c r="P182" t="str">
        <f>IF(M182="","",IFERROR(AVERAGEIFS(DATOS!$K$2:$K$20000,DATOS!$A$2:$A$20000,M182,DATOS!$G$2:$G$20000,CONFIG_METADATA!$B$4,DATOS!$I$2:$I$20000,"Conjunto"),""))</f>
        <v/>
      </c>
      <c r="Q182" t="str" cm="1">
        <f t="array" ref="Q182">IF(M182="","",IFERROR(AVERAGE(IF((DATOS!$A$2:$A$20000=M182)*(DATOS!$G$2:$G$20000=CONFIG_METADATA!$B$4)*(DATOS!$I$2:$I$20000&lt;&gt;"Lenguaje Musical")*(DATOS!$I$2:$I$20000&lt;&gt;"Coro")*(DATOS!$I$2:$I$20000&lt;&gt;"Conjunto"),DATOS!$K$2:$K$20000)),""))</f>
        <v/>
      </c>
      <c r="T182" t="str">
        <f>IF(S182="","",IFERROR(AVERAGEIFS(DATOS!$K$2:$K$20000,DATOS!$A$2:$A$20000,S182,DATOS!$G$2:$G$20000,CONFIG_METADATA!$B$4,DATOS!$I$2:$I$20000,"Lenguaje Musical"),""))</f>
        <v/>
      </c>
      <c r="U182" t="str">
        <f>IF(S182="","",IFERROR(AVERAGEIFS(DATOS!$K$2:$K$20000,DATOS!$A$2:$A$20000,S182,DATOS!$G$2:$G$20000,CONFIG_METADATA!$B$4,DATOS!$I$2:$I$20000,"Coro"),""))</f>
        <v/>
      </c>
      <c r="V182" t="str">
        <f>IF(S182="","",IFERROR(AVERAGEIFS(DATOS!$K$2:$K$20000,DATOS!$A$2:$A$20000,S182,DATOS!$G$2:$G$20000,CONFIG_METADATA!$B$4,DATOS!$I$2:$I$20000,"Conjunto"),""))</f>
        <v/>
      </c>
      <c r="W182" t="str" cm="1">
        <f t="array" ref="W182">IF(S182="","",IFERROR(AVERAGE(IF((DATOS!$A$2:$A$20000=S182)*(DATOS!$G$2:$G$20000=CONFIG_METADATA!$B$4)*(DATOS!$I$2:$I$20000&lt;&gt;"Lenguaje Musical")*(DATOS!$I$2:$I$20000&lt;&gt;"Coro")*(DATOS!$I$2:$I$20000&lt;&gt;"Conjunto"),DATOS!$K$2:$K$20000)),""))</f>
        <v/>
      </c>
    </row>
    <row r="183" spans="2:23" x14ac:dyDescent="0.2">
      <c r="B183" t="str">
        <f>IF(A183="","",IFERROR(AVERAGEIFS(DATOS!$K$2:$K$20000,DATOS!$A$2:$A$20000,A183,DATOS!$G$2:$G$20000,CONFIG_METADATA!$B$4,DATOS!$I$2:$I$20000,"Lenguaje Musical"),""))</f>
        <v/>
      </c>
      <c r="C183" t="str">
        <f>IF(A183="","",IFERROR(AVERAGEIFS(DATOS!$K$2:$K$20000,DATOS!$A$2:$A$20000,A183,DATOS!$G$2:$G$20000,CONFIG_METADATA!$B$4,DATOS!$I$2:$I$20000,"Coro"),""))</f>
        <v/>
      </c>
      <c r="D183" t="str">
        <f>IF(A183="","",IFERROR(AVERAGEIFS(DATOS!$K$2:$K$20000,DATOS!$A$2:$A$20000,A183,DATOS!$G$2:$G$20000,CONFIG_METADATA!$B$4,DATOS!$I$2:$I$20000,"Conjunto"),""))</f>
        <v/>
      </c>
      <c r="E183" t="str" cm="1">
        <f t="array" ref="E183">IF(A183="","",IFERROR(AVERAGE(IF((DATOS!$A$2:$A$20000=A183)*(DATOS!$G$2:$G$20000=CONFIG_METADATA!$B$4)*(DATOS!$I$2:$I$20000&lt;&gt;"Lenguaje Musical")*(DATOS!$I$2:$I$20000&lt;&gt;"Coro")*(DATOS!$I$2:$I$20000&lt;&gt;"Conjunto"),DATOS!$K$2:$K$20000)),""))</f>
        <v/>
      </c>
      <c r="H183" t="str">
        <f>IF(G183="","",IFERROR(AVERAGEIFS(DATOS!$K$2:$K$20000,DATOS!$A$2:$A$20000,G183,DATOS!$G$2:$G$20000,CONFIG_METADATA!$B$4,DATOS!$I$2:$I$20000,"Lenguaje Musical"),""))</f>
        <v/>
      </c>
      <c r="I183" t="str">
        <f>IF(G183="","",IFERROR(AVERAGEIFS(DATOS!$K$2:$K$20000,DATOS!$A$2:$A$20000,G183,DATOS!$G$2:$G$20000,CONFIG_METADATA!$B$4,DATOS!$I$2:$I$20000,"Coro"),""))</f>
        <v/>
      </c>
      <c r="J183" t="str">
        <f>IF(G183="","",IFERROR(AVERAGEIFS(DATOS!$K$2:$K$20000,DATOS!$A$2:$A$20000,G183,DATOS!$G$2:$G$20000,CONFIG_METADATA!$B$4,DATOS!$I$2:$I$20000,"Conjunto"),""))</f>
        <v/>
      </c>
      <c r="K183" t="str" cm="1">
        <f t="array" ref="K183">IF(G183="","",IFERROR(AVERAGE(IF((DATOS!$A$2:$A$20000=G183)*(DATOS!$G$2:$G$20000=CONFIG_METADATA!$B$4)*(DATOS!$I$2:$I$20000&lt;&gt;"Lenguaje Musical")*(DATOS!$I$2:$I$20000&lt;&gt;"Coro")*(DATOS!$I$2:$I$20000&lt;&gt;"Conjunto"),DATOS!$K$2:$K$20000)),""))</f>
        <v/>
      </c>
      <c r="N183" t="str">
        <f>IF(M183="","",IFERROR(AVERAGEIFS(DATOS!$K$2:$K$20000,DATOS!$A$2:$A$20000,M183,DATOS!$G$2:$G$20000,CONFIG_METADATA!$B$4,DATOS!$I$2:$I$20000,"Lenguaje Musical"),""))</f>
        <v/>
      </c>
      <c r="O183" t="str">
        <f>IF(M183="","",IFERROR(AVERAGEIFS(DATOS!$K$2:$K$20000,DATOS!$A$2:$A$20000,M183,DATOS!$G$2:$G$20000,CONFIG_METADATA!$B$4,DATOS!$I$2:$I$20000,"Coro"),""))</f>
        <v/>
      </c>
      <c r="P183" t="str">
        <f>IF(M183="","",IFERROR(AVERAGEIFS(DATOS!$K$2:$K$20000,DATOS!$A$2:$A$20000,M183,DATOS!$G$2:$G$20000,CONFIG_METADATA!$B$4,DATOS!$I$2:$I$20000,"Conjunto"),""))</f>
        <v/>
      </c>
      <c r="Q183" t="str" cm="1">
        <f t="array" ref="Q183">IF(M183="","",IFERROR(AVERAGE(IF((DATOS!$A$2:$A$20000=M183)*(DATOS!$G$2:$G$20000=CONFIG_METADATA!$B$4)*(DATOS!$I$2:$I$20000&lt;&gt;"Lenguaje Musical")*(DATOS!$I$2:$I$20000&lt;&gt;"Coro")*(DATOS!$I$2:$I$20000&lt;&gt;"Conjunto"),DATOS!$K$2:$K$20000)),""))</f>
        <v/>
      </c>
      <c r="T183" t="str">
        <f>IF(S183="","",IFERROR(AVERAGEIFS(DATOS!$K$2:$K$20000,DATOS!$A$2:$A$20000,S183,DATOS!$G$2:$G$20000,CONFIG_METADATA!$B$4,DATOS!$I$2:$I$20000,"Lenguaje Musical"),""))</f>
        <v/>
      </c>
      <c r="U183" t="str">
        <f>IF(S183="","",IFERROR(AVERAGEIFS(DATOS!$K$2:$K$20000,DATOS!$A$2:$A$20000,S183,DATOS!$G$2:$G$20000,CONFIG_METADATA!$B$4,DATOS!$I$2:$I$20000,"Coro"),""))</f>
        <v/>
      </c>
      <c r="V183" t="str">
        <f>IF(S183="","",IFERROR(AVERAGEIFS(DATOS!$K$2:$K$20000,DATOS!$A$2:$A$20000,S183,DATOS!$G$2:$G$20000,CONFIG_METADATA!$B$4,DATOS!$I$2:$I$20000,"Conjunto"),""))</f>
        <v/>
      </c>
      <c r="W183" t="str" cm="1">
        <f t="array" ref="W183">IF(S183="","",IFERROR(AVERAGE(IF((DATOS!$A$2:$A$20000=S183)*(DATOS!$G$2:$G$20000=CONFIG_METADATA!$B$4)*(DATOS!$I$2:$I$20000&lt;&gt;"Lenguaje Musical")*(DATOS!$I$2:$I$20000&lt;&gt;"Coro")*(DATOS!$I$2:$I$20000&lt;&gt;"Conjunto"),DATOS!$K$2:$K$20000)),""))</f>
        <v/>
      </c>
    </row>
    <row r="184" spans="2:23" x14ac:dyDescent="0.2">
      <c r="B184" t="str">
        <f>IF(A184="","",IFERROR(AVERAGEIFS(DATOS!$K$2:$K$20000,DATOS!$A$2:$A$20000,A184,DATOS!$G$2:$G$20000,CONFIG_METADATA!$B$4,DATOS!$I$2:$I$20000,"Lenguaje Musical"),""))</f>
        <v/>
      </c>
      <c r="C184" t="str">
        <f>IF(A184="","",IFERROR(AVERAGEIFS(DATOS!$K$2:$K$20000,DATOS!$A$2:$A$20000,A184,DATOS!$G$2:$G$20000,CONFIG_METADATA!$B$4,DATOS!$I$2:$I$20000,"Coro"),""))</f>
        <v/>
      </c>
      <c r="D184" t="str">
        <f>IF(A184="","",IFERROR(AVERAGEIFS(DATOS!$K$2:$K$20000,DATOS!$A$2:$A$20000,A184,DATOS!$G$2:$G$20000,CONFIG_METADATA!$B$4,DATOS!$I$2:$I$20000,"Conjunto"),""))</f>
        <v/>
      </c>
      <c r="E184" t="str" cm="1">
        <f t="array" ref="E184">IF(A184="","",IFERROR(AVERAGE(IF((DATOS!$A$2:$A$20000=A184)*(DATOS!$G$2:$G$20000=CONFIG_METADATA!$B$4)*(DATOS!$I$2:$I$20000&lt;&gt;"Lenguaje Musical")*(DATOS!$I$2:$I$20000&lt;&gt;"Coro")*(DATOS!$I$2:$I$20000&lt;&gt;"Conjunto"),DATOS!$K$2:$K$20000)),""))</f>
        <v/>
      </c>
      <c r="H184" t="str">
        <f>IF(G184="","",IFERROR(AVERAGEIFS(DATOS!$K$2:$K$20000,DATOS!$A$2:$A$20000,G184,DATOS!$G$2:$G$20000,CONFIG_METADATA!$B$4,DATOS!$I$2:$I$20000,"Lenguaje Musical"),""))</f>
        <v/>
      </c>
      <c r="I184" t="str">
        <f>IF(G184="","",IFERROR(AVERAGEIFS(DATOS!$K$2:$K$20000,DATOS!$A$2:$A$20000,G184,DATOS!$G$2:$G$20000,CONFIG_METADATA!$B$4,DATOS!$I$2:$I$20000,"Coro"),""))</f>
        <v/>
      </c>
      <c r="J184" t="str">
        <f>IF(G184="","",IFERROR(AVERAGEIFS(DATOS!$K$2:$K$20000,DATOS!$A$2:$A$20000,G184,DATOS!$G$2:$G$20000,CONFIG_METADATA!$B$4,DATOS!$I$2:$I$20000,"Conjunto"),""))</f>
        <v/>
      </c>
      <c r="K184" t="str" cm="1">
        <f t="array" ref="K184">IF(G184="","",IFERROR(AVERAGE(IF((DATOS!$A$2:$A$20000=G184)*(DATOS!$G$2:$G$20000=CONFIG_METADATA!$B$4)*(DATOS!$I$2:$I$20000&lt;&gt;"Lenguaje Musical")*(DATOS!$I$2:$I$20000&lt;&gt;"Coro")*(DATOS!$I$2:$I$20000&lt;&gt;"Conjunto"),DATOS!$K$2:$K$20000)),""))</f>
        <v/>
      </c>
      <c r="N184" t="str">
        <f>IF(M184="","",IFERROR(AVERAGEIFS(DATOS!$K$2:$K$20000,DATOS!$A$2:$A$20000,M184,DATOS!$G$2:$G$20000,CONFIG_METADATA!$B$4,DATOS!$I$2:$I$20000,"Lenguaje Musical"),""))</f>
        <v/>
      </c>
      <c r="O184" t="str">
        <f>IF(M184="","",IFERROR(AVERAGEIFS(DATOS!$K$2:$K$20000,DATOS!$A$2:$A$20000,M184,DATOS!$G$2:$G$20000,CONFIG_METADATA!$B$4,DATOS!$I$2:$I$20000,"Coro"),""))</f>
        <v/>
      </c>
      <c r="P184" t="str">
        <f>IF(M184="","",IFERROR(AVERAGEIFS(DATOS!$K$2:$K$20000,DATOS!$A$2:$A$20000,M184,DATOS!$G$2:$G$20000,CONFIG_METADATA!$B$4,DATOS!$I$2:$I$20000,"Conjunto"),""))</f>
        <v/>
      </c>
      <c r="Q184" t="str" cm="1">
        <f t="array" ref="Q184">IF(M184="","",IFERROR(AVERAGE(IF((DATOS!$A$2:$A$20000=M184)*(DATOS!$G$2:$G$20000=CONFIG_METADATA!$B$4)*(DATOS!$I$2:$I$20000&lt;&gt;"Lenguaje Musical")*(DATOS!$I$2:$I$20000&lt;&gt;"Coro")*(DATOS!$I$2:$I$20000&lt;&gt;"Conjunto"),DATOS!$K$2:$K$20000)),""))</f>
        <v/>
      </c>
      <c r="T184" t="str">
        <f>IF(S184="","",IFERROR(AVERAGEIFS(DATOS!$K$2:$K$20000,DATOS!$A$2:$A$20000,S184,DATOS!$G$2:$G$20000,CONFIG_METADATA!$B$4,DATOS!$I$2:$I$20000,"Lenguaje Musical"),""))</f>
        <v/>
      </c>
      <c r="U184" t="str">
        <f>IF(S184="","",IFERROR(AVERAGEIFS(DATOS!$K$2:$K$20000,DATOS!$A$2:$A$20000,S184,DATOS!$G$2:$G$20000,CONFIG_METADATA!$B$4,DATOS!$I$2:$I$20000,"Coro"),""))</f>
        <v/>
      </c>
      <c r="V184" t="str">
        <f>IF(S184="","",IFERROR(AVERAGEIFS(DATOS!$K$2:$K$20000,DATOS!$A$2:$A$20000,S184,DATOS!$G$2:$G$20000,CONFIG_METADATA!$B$4,DATOS!$I$2:$I$20000,"Conjunto"),""))</f>
        <v/>
      </c>
      <c r="W184" t="str" cm="1">
        <f t="array" ref="W184">IF(S184="","",IFERROR(AVERAGE(IF((DATOS!$A$2:$A$20000=S184)*(DATOS!$G$2:$G$20000=CONFIG_METADATA!$B$4)*(DATOS!$I$2:$I$20000&lt;&gt;"Lenguaje Musical")*(DATOS!$I$2:$I$20000&lt;&gt;"Coro")*(DATOS!$I$2:$I$20000&lt;&gt;"Conjunto"),DATOS!$K$2:$K$20000)),""))</f>
        <v/>
      </c>
    </row>
    <row r="185" spans="2:23" x14ac:dyDescent="0.2">
      <c r="B185" t="str">
        <f>IF(A185="","",IFERROR(AVERAGEIFS(DATOS!$K$2:$K$20000,DATOS!$A$2:$A$20000,A185,DATOS!$G$2:$G$20000,CONFIG_METADATA!$B$4,DATOS!$I$2:$I$20000,"Lenguaje Musical"),""))</f>
        <v/>
      </c>
      <c r="C185" t="str">
        <f>IF(A185="","",IFERROR(AVERAGEIFS(DATOS!$K$2:$K$20000,DATOS!$A$2:$A$20000,A185,DATOS!$G$2:$G$20000,CONFIG_METADATA!$B$4,DATOS!$I$2:$I$20000,"Coro"),""))</f>
        <v/>
      </c>
      <c r="D185" t="str">
        <f>IF(A185="","",IFERROR(AVERAGEIFS(DATOS!$K$2:$K$20000,DATOS!$A$2:$A$20000,A185,DATOS!$G$2:$G$20000,CONFIG_METADATA!$B$4,DATOS!$I$2:$I$20000,"Conjunto"),""))</f>
        <v/>
      </c>
      <c r="E185" t="str" cm="1">
        <f t="array" ref="E185">IF(A185="","",IFERROR(AVERAGE(IF((DATOS!$A$2:$A$20000=A185)*(DATOS!$G$2:$G$20000=CONFIG_METADATA!$B$4)*(DATOS!$I$2:$I$20000&lt;&gt;"Lenguaje Musical")*(DATOS!$I$2:$I$20000&lt;&gt;"Coro")*(DATOS!$I$2:$I$20000&lt;&gt;"Conjunto"),DATOS!$K$2:$K$20000)),""))</f>
        <v/>
      </c>
      <c r="H185" t="str">
        <f>IF(G185="","",IFERROR(AVERAGEIFS(DATOS!$K$2:$K$20000,DATOS!$A$2:$A$20000,G185,DATOS!$G$2:$G$20000,CONFIG_METADATA!$B$4,DATOS!$I$2:$I$20000,"Lenguaje Musical"),""))</f>
        <v/>
      </c>
      <c r="I185" t="str">
        <f>IF(G185="","",IFERROR(AVERAGEIFS(DATOS!$K$2:$K$20000,DATOS!$A$2:$A$20000,G185,DATOS!$G$2:$G$20000,CONFIG_METADATA!$B$4,DATOS!$I$2:$I$20000,"Coro"),""))</f>
        <v/>
      </c>
      <c r="J185" t="str">
        <f>IF(G185="","",IFERROR(AVERAGEIFS(DATOS!$K$2:$K$20000,DATOS!$A$2:$A$20000,G185,DATOS!$G$2:$G$20000,CONFIG_METADATA!$B$4,DATOS!$I$2:$I$20000,"Conjunto"),""))</f>
        <v/>
      </c>
      <c r="K185" t="str" cm="1">
        <f t="array" ref="K185">IF(G185="","",IFERROR(AVERAGE(IF((DATOS!$A$2:$A$20000=G185)*(DATOS!$G$2:$G$20000=CONFIG_METADATA!$B$4)*(DATOS!$I$2:$I$20000&lt;&gt;"Lenguaje Musical")*(DATOS!$I$2:$I$20000&lt;&gt;"Coro")*(DATOS!$I$2:$I$20000&lt;&gt;"Conjunto"),DATOS!$K$2:$K$20000)),""))</f>
        <v/>
      </c>
      <c r="N185" t="str">
        <f>IF(M185="","",IFERROR(AVERAGEIFS(DATOS!$K$2:$K$20000,DATOS!$A$2:$A$20000,M185,DATOS!$G$2:$G$20000,CONFIG_METADATA!$B$4,DATOS!$I$2:$I$20000,"Lenguaje Musical"),""))</f>
        <v/>
      </c>
      <c r="O185" t="str">
        <f>IF(M185="","",IFERROR(AVERAGEIFS(DATOS!$K$2:$K$20000,DATOS!$A$2:$A$20000,M185,DATOS!$G$2:$G$20000,CONFIG_METADATA!$B$4,DATOS!$I$2:$I$20000,"Coro"),""))</f>
        <v/>
      </c>
      <c r="P185" t="str">
        <f>IF(M185="","",IFERROR(AVERAGEIFS(DATOS!$K$2:$K$20000,DATOS!$A$2:$A$20000,M185,DATOS!$G$2:$G$20000,CONFIG_METADATA!$B$4,DATOS!$I$2:$I$20000,"Conjunto"),""))</f>
        <v/>
      </c>
      <c r="Q185" t="str" cm="1">
        <f t="array" ref="Q185">IF(M185="","",IFERROR(AVERAGE(IF((DATOS!$A$2:$A$20000=M185)*(DATOS!$G$2:$G$20000=CONFIG_METADATA!$B$4)*(DATOS!$I$2:$I$20000&lt;&gt;"Lenguaje Musical")*(DATOS!$I$2:$I$20000&lt;&gt;"Coro")*(DATOS!$I$2:$I$20000&lt;&gt;"Conjunto"),DATOS!$K$2:$K$20000)),""))</f>
        <v/>
      </c>
      <c r="T185" t="str">
        <f>IF(S185="","",IFERROR(AVERAGEIFS(DATOS!$K$2:$K$20000,DATOS!$A$2:$A$20000,S185,DATOS!$G$2:$G$20000,CONFIG_METADATA!$B$4,DATOS!$I$2:$I$20000,"Lenguaje Musical"),""))</f>
        <v/>
      </c>
      <c r="U185" t="str">
        <f>IF(S185="","",IFERROR(AVERAGEIFS(DATOS!$K$2:$K$20000,DATOS!$A$2:$A$20000,S185,DATOS!$G$2:$G$20000,CONFIG_METADATA!$B$4,DATOS!$I$2:$I$20000,"Coro"),""))</f>
        <v/>
      </c>
      <c r="V185" t="str">
        <f>IF(S185="","",IFERROR(AVERAGEIFS(DATOS!$K$2:$K$20000,DATOS!$A$2:$A$20000,S185,DATOS!$G$2:$G$20000,CONFIG_METADATA!$B$4,DATOS!$I$2:$I$20000,"Conjunto"),""))</f>
        <v/>
      </c>
      <c r="W185" t="str" cm="1">
        <f t="array" ref="W185">IF(S185="","",IFERROR(AVERAGE(IF((DATOS!$A$2:$A$20000=S185)*(DATOS!$G$2:$G$20000=CONFIG_METADATA!$B$4)*(DATOS!$I$2:$I$20000&lt;&gt;"Lenguaje Musical")*(DATOS!$I$2:$I$20000&lt;&gt;"Coro")*(DATOS!$I$2:$I$20000&lt;&gt;"Conjunto"),DATOS!$K$2:$K$20000)),""))</f>
        <v/>
      </c>
    </row>
    <row r="186" spans="2:23" x14ac:dyDescent="0.2">
      <c r="B186" t="str">
        <f>IF(A186="","",IFERROR(AVERAGEIFS(DATOS!$K$2:$K$20000,DATOS!$A$2:$A$20000,A186,DATOS!$G$2:$G$20000,CONFIG_METADATA!$B$4,DATOS!$I$2:$I$20000,"Lenguaje Musical"),""))</f>
        <v/>
      </c>
      <c r="C186" t="str">
        <f>IF(A186="","",IFERROR(AVERAGEIFS(DATOS!$K$2:$K$20000,DATOS!$A$2:$A$20000,A186,DATOS!$G$2:$G$20000,CONFIG_METADATA!$B$4,DATOS!$I$2:$I$20000,"Coro"),""))</f>
        <v/>
      </c>
      <c r="D186" t="str">
        <f>IF(A186="","",IFERROR(AVERAGEIFS(DATOS!$K$2:$K$20000,DATOS!$A$2:$A$20000,A186,DATOS!$G$2:$G$20000,CONFIG_METADATA!$B$4,DATOS!$I$2:$I$20000,"Conjunto"),""))</f>
        <v/>
      </c>
      <c r="E186" t="str" cm="1">
        <f t="array" ref="E186">IF(A186="","",IFERROR(AVERAGE(IF((DATOS!$A$2:$A$20000=A186)*(DATOS!$G$2:$G$20000=CONFIG_METADATA!$B$4)*(DATOS!$I$2:$I$20000&lt;&gt;"Lenguaje Musical")*(DATOS!$I$2:$I$20000&lt;&gt;"Coro")*(DATOS!$I$2:$I$20000&lt;&gt;"Conjunto"),DATOS!$K$2:$K$20000)),""))</f>
        <v/>
      </c>
      <c r="H186" t="str">
        <f>IF(G186="","",IFERROR(AVERAGEIFS(DATOS!$K$2:$K$20000,DATOS!$A$2:$A$20000,G186,DATOS!$G$2:$G$20000,CONFIG_METADATA!$B$4,DATOS!$I$2:$I$20000,"Lenguaje Musical"),""))</f>
        <v/>
      </c>
      <c r="I186" t="str">
        <f>IF(G186="","",IFERROR(AVERAGEIFS(DATOS!$K$2:$K$20000,DATOS!$A$2:$A$20000,G186,DATOS!$G$2:$G$20000,CONFIG_METADATA!$B$4,DATOS!$I$2:$I$20000,"Coro"),""))</f>
        <v/>
      </c>
      <c r="J186" t="str">
        <f>IF(G186="","",IFERROR(AVERAGEIFS(DATOS!$K$2:$K$20000,DATOS!$A$2:$A$20000,G186,DATOS!$G$2:$G$20000,CONFIG_METADATA!$B$4,DATOS!$I$2:$I$20000,"Conjunto"),""))</f>
        <v/>
      </c>
      <c r="K186" t="str" cm="1">
        <f t="array" ref="K186">IF(G186="","",IFERROR(AVERAGE(IF((DATOS!$A$2:$A$20000=G186)*(DATOS!$G$2:$G$20000=CONFIG_METADATA!$B$4)*(DATOS!$I$2:$I$20000&lt;&gt;"Lenguaje Musical")*(DATOS!$I$2:$I$20000&lt;&gt;"Coro")*(DATOS!$I$2:$I$20000&lt;&gt;"Conjunto"),DATOS!$K$2:$K$20000)),""))</f>
        <v/>
      </c>
      <c r="N186" t="str">
        <f>IF(M186="","",IFERROR(AVERAGEIFS(DATOS!$K$2:$K$20000,DATOS!$A$2:$A$20000,M186,DATOS!$G$2:$G$20000,CONFIG_METADATA!$B$4,DATOS!$I$2:$I$20000,"Lenguaje Musical"),""))</f>
        <v/>
      </c>
      <c r="O186" t="str">
        <f>IF(M186="","",IFERROR(AVERAGEIFS(DATOS!$K$2:$K$20000,DATOS!$A$2:$A$20000,M186,DATOS!$G$2:$G$20000,CONFIG_METADATA!$B$4,DATOS!$I$2:$I$20000,"Coro"),""))</f>
        <v/>
      </c>
      <c r="P186" t="str">
        <f>IF(M186="","",IFERROR(AVERAGEIFS(DATOS!$K$2:$K$20000,DATOS!$A$2:$A$20000,M186,DATOS!$G$2:$G$20000,CONFIG_METADATA!$B$4,DATOS!$I$2:$I$20000,"Conjunto"),""))</f>
        <v/>
      </c>
      <c r="Q186" t="str" cm="1">
        <f t="array" ref="Q186">IF(M186="","",IFERROR(AVERAGE(IF((DATOS!$A$2:$A$20000=M186)*(DATOS!$G$2:$G$20000=CONFIG_METADATA!$B$4)*(DATOS!$I$2:$I$20000&lt;&gt;"Lenguaje Musical")*(DATOS!$I$2:$I$20000&lt;&gt;"Coro")*(DATOS!$I$2:$I$20000&lt;&gt;"Conjunto"),DATOS!$K$2:$K$20000)),""))</f>
        <v/>
      </c>
      <c r="T186" t="str">
        <f>IF(S186="","",IFERROR(AVERAGEIFS(DATOS!$K$2:$K$20000,DATOS!$A$2:$A$20000,S186,DATOS!$G$2:$G$20000,CONFIG_METADATA!$B$4,DATOS!$I$2:$I$20000,"Lenguaje Musical"),""))</f>
        <v/>
      </c>
      <c r="U186" t="str">
        <f>IF(S186="","",IFERROR(AVERAGEIFS(DATOS!$K$2:$K$20000,DATOS!$A$2:$A$20000,S186,DATOS!$G$2:$G$20000,CONFIG_METADATA!$B$4,DATOS!$I$2:$I$20000,"Coro"),""))</f>
        <v/>
      </c>
      <c r="V186" t="str">
        <f>IF(S186="","",IFERROR(AVERAGEIFS(DATOS!$K$2:$K$20000,DATOS!$A$2:$A$20000,S186,DATOS!$G$2:$G$20000,CONFIG_METADATA!$B$4,DATOS!$I$2:$I$20000,"Conjunto"),""))</f>
        <v/>
      </c>
      <c r="W186" t="str" cm="1">
        <f t="array" ref="W186">IF(S186="","",IFERROR(AVERAGE(IF((DATOS!$A$2:$A$20000=S186)*(DATOS!$G$2:$G$20000=CONFIG_METADATA!$B$4)*(DATOS!$I$2:$I$20000&lt;&gt;"Lenguaje Musical")*(DATOS!$I$2:$I$20000&lt;&gt;"Coro")*(DATOS!$I$2:$I$20000&lt;&gt;"Conjunto"),DATOS!$K$2:$K$20000)),""))</f>
        <v/>
      </c>
    </row>
    <row r="187" spans="2:23" x14ac:dyDescent="0.2">
      <c r="B187" t="str">
        <f>IF(A187="","",IFERROR(AVERAGEIFS(DATOS!$K$2:$K$20000,DATOS!$A$2:$A$20000,A187,DATOS!$G$2:$G$20000,CONFIG_METADATA!$B$4,DATOS!$I$2:$I$20000,"Lenguaje Musical"),""))</f>
        <v/>
      </c>
      <c r="C187" t="str">
        <f>IF(A187="","",IFERROR(AVERAGEIFS(DATOS!$K$2:$K$20000,DATOS!$A$2:$A$20000,A187,DATOS!$G$2:$G$20000,CONFIG_METADATA!$B$4,DATOS!$I$2:$I$20000,"Coro"),""))</f>
        <v/>
      </c>
      <c r="D187" t="str">
        <f>IF(A187="","",IFERROR(AVERAGEIFS(DATOS!$K$2:$K$20000,DATOS!$A$2:$A$20000,A187,DATOS!$G$2:$G$20000,CONFIG_METADATA!$B$4,DATOS!$I$2:$I$20000,"Conjunto"),""))</f>
        <v/>
      </c>
      <c r="E187" t="str" cm="1">
        <f t="array" ref="E187">IF(A187="","",IFERROR(AVERAGE(IF((DATOS!$A$2:$A$20000=A187)*(DATOS!$G$2:$G$20000=CONFIG_METADATA!$B$4)*(DATOS!$I$2:$I$20000&lt;&gt;"Lenguaje Musical")*(DATOS!$I$2:$I$20000&lt;&gt;"Coro")*(DATOS!$I$2:$I$20000&lt;&gt;"Conjunto"),DATOS!$K$2:$K$20000)),""))</f>
        <v/>
      </c>
      <c r="H187" t="str">
        <f>IF(G187="","",IFERROR(AVERAGEIFS(DATOS!$K$2:$K$20000,DATOS!$A$2:$A$20000,G187,DATOS!$G$2:$G$20000,CONFIG_METADATA!$B$4,DATOS!$I$2:$I$20000,"Lenguaje Musical"),""))</f>
        <v/>
      </c>
      <c r="I187" t="str">
        <f>IF(G187="","",IFERROR(AVERAGEIFS(DATOS!$K$2:$K$20000,DATOS!$A$2:$A$20000,G187,DATOS!$G$2:$G$20000,CONFIG_METADATA!$B$4,DATOS!$I$2:$I$20000,"Coro"),""))</f>
        <v/>
      </c>
      <c r="J187" t="str">
        <f>IF(G187="","",IFERROR(AVERAGEIFS(DATOS!$K$2:$K$20000,DATOS!$A$2:$A$20000,G187,DATOS!$G$2:$G$20000,CONFIG_METADATA!$B$4,DATOS!$I$2:$I$20000,"Conjunto"),""))</f>
        <v/>
      </c>
      <c r="K187" t="str" cm="1">
        <f t="array" ref="K187">IF(G187="","",IFERROR(AVERAGE(IF((DATOS!$A$2:$A$20000=G187)*(DATOS!$G$2:$G$20000=CONFIG_METADATA!$B$4)*(DATOS!$I$2:$I$20000&lt;&gt;"Lenguaje Musical")*(DATOS!$I$2:$I$20000&lt;&gt;"Coro")*(DATOS!$I$2:$I$20000&lt;&gt;"Conjunto"),DATOS!$K$2:$K$20000)),""))</f>
        <v/>
      </c>
      <c r="N187" t="str">
        <f>IF(M187="","",IFERROR(AVERAGEIFS(DATOS!$K$2:$K$20000,DATOS!$A$2:$A$20000,M187,DATOS!$G$2:$G$20000,CONFIG_METADATA!$B$4,DATOS!$I$2:$I$20000,"Lenguaje Musical"),""))</f>
        <v/>
      </c>
      <c r="O187" t="str">
        <f>IF(M187="","",IFERROR(AVERAGEIFS(DATOS!$K$2:$K$20000,DATOS!$A$2:$A$20000,M187,DATOS!$G$2:$G$20000,CONFIG_METADATA!$B$4,DATOS!$I$2:$I$20000,"Coro"),""))</f>
        <v/>
      </c>
      <c r="P187" t="str">
        <f>IF(M187="","",IFERROR(AVERAGEIFS(DATOS!$K$2:$K$20000,DATOS!$A$2:$A$20000,M187,DATOS!$G$2:$G$20000,CONFIG_METADATA!$B$4,DATOS!$I$2:$I$20000,"Conjunto"),""))</f>
        <v/>
      </c>
      <c r="Q187" t="str" cm="1">
        <f t="array" ref="Q187">IF(M187="","",IFERROR(AVERAGE(IF((DATOS!$A$2:$A$20000=M187)*(DATOS!$G$2:$G$20000=CONFIG_METADATA!$B$4)*(DATOS!$I$2:$I$20000&lt;&gt;"Lenguaje Musical")*(DATOS!$I$2:$I$20000&lt;&gt;"Coro")*(DATOS!$I$2:$I$20000&lt;&gt;"Conjunto"),DATOS!$K$2:$K$20000)),""))</f>
        <v/>
      </c>
      <c r="T187" t="str">
        <f>IF(S187="","",IFERROR(AVERAGEIFS(DATOS!$K$2:$K$20000,DATOS!$A$2:$A$20000,S187,DATOS!$G$2:$G$20000,CONFIG_METADATA!$B$4,DATOS!$I$2:$I$20000,"Lenguaje Musical"),""))</f>
        <v/>
      </c>
      <c r="U187" t="str">
        <f>IF(S187="","",IFERROR(AVERAGEIFS(DATOS!$K$2:$K$20000,DATOS!$A$2:$A$20000,S187,DATOS!$G$2:$G$20000,CONFIG_METADATA!$B$4,DATOS!$I$2:$I$20000,"Coro"),""))</f>
        <v/>
      </c>
      <c r="V187" t="str">
        <f>IF(S187="","",IFERROR(AVERAGEIFS(DATOS!$K$2:$K$20000,DATOS!$A$2:$A$20000,S187,DATOS!$G$2:$G$20000,CONFIG_METADATA!$B$4,DATOS!$I$2:$I$20000,"Conjunto"),""))</f>
        <v/>
      </c>
      <c r="W187" t="str" cm="1">
        <f t="array" ref="W187">IF(S187="","",IFERROR(AVERAGE(IF((DATOS!$A$2:$A$20000=S187)*(DATOS!$G$2:$G$20000=CONFIG_METADATA!$B$4)*(DATOS!$I$2:$I$20000&lt;&gt;"Lenguaje Musical")*(DATOS!$I$2:$I$20000&lt;&gt;"Coro")*(DATOS!$I$2:$I$20000&lt;&gt;"Conjunto"),DATOS!$K$2:$K$20000)),""))</f>
        <v/>
      </c>
    </row>
    <row r="188" spans="2:23" x14ac:dyDescent="0.2">
      <c r="B188" t="str">
        <f>IF(A188="","",IFERROR(AVERAGEIFS(DATOS!$K$2:$K$20000,DATOS!$A$2:$A$20000,A188,DATOS!$G$2:$G$20000,CONFIG_METADATA!$B$4,DATOS!$I$2:$I$20000,"Lenguaje Musical"),""))</f>
        <v/>
      </c>
      <c r="C188" t="str">
        <f>IF(A188="","",IFERROR(AVERAGEIFS(DATOS!$K$2:$K$20000,DATOS!$A$2:$A$20000,A188,DATOS!$G$2:$G$20000,CONFIG_METADATA!$B$4,DATOS!$I$2:$I$20000,"Coro"),""))</f>
        <v/>
      </c>
      <c r="D188" t="str">
        <f>IF(A188="","",IFERROR(AVERAGEIFS(DATOS!$K$2:$K$20000,DATOS!$A$2:$A$20000,A188,DATOS!$G$2:$G$20000,CONFIG_METADATA!$B$4,DATOS!$I$2:$I$20000,"Conjunto"),""))</f>
        <v/>
      </c>
      <c r="E188" t="str" cm="1">
        <f t="array" ref="E188">IF(A188="","",IFERROR(AVERAGE(IF((DATOS!$A$2:$A$20000=A188)*(DATOS!$G$2:$G$20000=CONFIG_METADATA!$B$4)*(DATOS!$I$2:$I$20000&lt;&gt;"Lenguaje Musical")*(DATOS!$I$2:$I$20000&lt;&gt;"Coro")*(DATOS!$I$2:$I$20000&lt;&gt;"Conjunto"),DATOS!$K$2:$K$20000)),""))</f>
        <v/>
      </c>
      <c r="H188" t="str">
        <f>IF(G188="","",IFERROR(AVERAGEIFS(DATOS!$K$2:$K$20000,DATOS!$A$2:$A$20000,G188,DATOS!$G$2:$G$20000,CONFIG_METADATA!$B$4,DATOS!$I$2:$I$20000,"Lenguaje Musical"),""))</f>
        <v/>
      </c>
      <c r="I188" t="str">
        <f>IF(G188="","",IFERROR(AVERAGEIFS(DATOS!$K$2:$K$20000,DATOS!$A$2:$A$20000,G188,DATOS!$G$2:$G$20000,CONFIG_METADATA!$B$4,DATOS!$I$2:$I$20000,"Coro"),""))</f>
        <v/>
      </c>
      <c r="J188" t="str">
        <f>IF(G188="","",IFERROR(AVERAGEIFS(DATOS!$K$2:$K$20000,DATOS!$A$2:$A$20000,G188,DATOS!$G$2:$G$20000,CONFIG_METADATA!$B$4,DATOS!$I$2:$I$20000,"Conjunto"),""))</f>
        <v/>
      </c>
      <c r="K188" t="str" cm="1">
        <f t="array" ref="K188">IF(G188="","",IFERROR(AVERAGE(IF((DATOS!$A$2:$A$20000=G188)*(DATOS!$G$2:$G$20000=CONFIG_METADATA!$B$4)*(DATOS!$I$2:$I$20000&lt;&gt;"Lenguaje Musical")*(DATOS!$I$2:$I$20000&lt;&gt;"Coro")*(DATOS!$I$2:$I$20000&lt;&gt;"Conjunto"),DATOS!$K$2:$K$20000)),""))</f>
        <v/>
      </c>
      <c r="N188" t="str">
        <f>IF(M188="","",IFERROR(AVERAGEIFS(DATOS!$K$2:$K$20000,DATOS!$A$2:$A$20000,M188,DATOS!$G$2:$G$20000,CONFIG_METADATA!$B$4,DATOS!$I$2:$I$20000,"Lenguaje Musical"),""))</f>
        <v/>
      </c>
      <c r="O188" t="str">
        <f>IF(M188="","",IFERROR(AVERAGEIFS(DATOS!$K$2:$K$20000,DATOS!$A$2:$A$20000,M188,DATOS!$G$2:$G$20000,CONFIG_METADATA!$B$4,DATOS!$I$2:$I$20000,"Coro"),""))</f>
        <v/>
      </c>
      <c r="P188" t="str">
        <f>IF(M188="","",IFERROR(AVERAGEIFS(DATOS!$K$2:$K$20000,DATOS!$A$2:$A$20000,M188,DATOS!$G$2:$G$20000,CONFIG_METADATA!$B$4,DATOS!$I$2:$I$20000,"Conjunto"),""))</f>
        <v/>
      </c>
      <c r="Q188" t="str" cm="1">
        <f t="array" ref="Q188">IF(M188="","",IFERROR(AVERAGE(IF((DATOS!$A$2:$A$20000=M188)*(DATOS!$G$2:$G$20000=CONFIG_METADATA!$B$4)*(DATOS!$I$2:$I$20000&lt;&gt;"Lenguaje Musical")*(DATOS!$I$2:$I$20000&lt;&gt;"Coro")*(DATOS!$I$2:$I$20000&lt;&gt;"Conjunto"),DATOS!$K$2:$K$20000)),""))</f>
        <v/>
      </c>
      <c r="T188" t="str">
        <f>IF(S188="","",IFERROR(AVERAGEIFS(DATOS!$K$2:$K$20000,DATOS!$A$2:$A$20000,S188,DATOS!$G$2:$G$20000,CONFIG_METADATA!$B$4,DATOS!$I$2:$I$20000,"Lenguaje Musical"),""))</f>
        <v/>
      </c>
      <c r="U188" t="str">
        <f>IF(S188="","",IFERROR(AVERAGEIFS(DATOS!$K$2:$K$20000,DATOS!$A$2:$A$20000,S188,DATOS!$G$2:$G$20000,CONFIG_METADATA!$B$4,DATOS!$I$2:$I$20000,"Coro"),""))</f>
        <v/>
      </c>
      <c r="V188" t="str">
        <f>IF(S188="","",IFERROR(AVERAGEIFS(DATOS!$K$2:$K$20000,DATOS!$A$2:$A$20000,S188,DATOS!$G$2:$G$20000,CONFIG_METADATA!$B$4,DATOS!$I$2:$I$20000,"Conjunto"),""))</f>
        <v/>
      </c>
      <c r="W188" t="str" cm="1">
        <f t="array" ref="W188">IF(S188="","",IFERROR(AVERAGE(IF((DATOS!$A$2:$A$20000=S188)*(DATOS!$G$2:$G$20000=CONFIG_METADATA!$B$4)*(DATOS!$I$2:$I$20000&lt;&gt;"Lenguaje Musical")*(DATOS!$I$2:$I$20000&lt;&gt;"Coro")*(DATOS!$I$2:$I$20000&lt;&gt;"Conjunto"),DATOS!$K$2:$K$20000)),""))</f>
        <v/>
      </c>
    </row>
    <row r="189" spans="2:23" x14ac:dyDescent="0.2">
      <c r="B189" t="str">
        <f>IF(A189="","",IFERROR(AVERAGEIFS(DATOS!$K$2:$K$20000,DATOS!$A$2:$A$20000,A189,DATOS!$G$2:$G$20000,CONFIG_METADATA!$B$4,DATOS!$I$2:$I$20000,"Lenguaje Musical"),""))</f>
        <v/>
      </c>
      <c r="C189" t="str">
        <f>IF(A189="","",IFERROR(AVERAGEIFS(DATOS!$K$2:$K$20000,DATOS!$A$2:$A$20000,A189,DATOS!$G$2:$G$20000,CONFIG_METADATA!$B$4,DATOS!$I$2:$I$20000,"Coro"),""))</f>
        <v/>
      </c>
      <c r="D189" t="str">
        <f>IF(A189="","",IFERROR(AVERAGEIFS(DATOS!$K$2:$K$20000,DATOS!$A$2:$A$20000,A189,DATOS!$G$2:$G$20000,CONFIG_METADATA!$B$4,DATOS!$I$2:$I$20000,"Conjunto"),""))</f>
        <v/>
      </c>
      <c r="E189" t="str" cm="1">
        <f t="array" ref="E189">IF(A189="","",IFERROR(AVERAGE(IF((DATOS!$A$2:$A$20000=A189)*(DATOS!$G$2:$G$20000=CONFIG_METADATA!$B$4)*(DATOS!$I$2:$I$20000&lt;&gt;"Lenguaje Musical")*(DATOS!$I$2:$I$20000&lt;&gt;"Coro")*(DATOS!$I$2:$I$20000&lt;&gt;"Conjunto"),DATOS!$K$2:$K$20000)),""))</f>
        <v/>
      </c>
      <c r="H189" t="str">
        <f>IF(G189="","",IFERROR(AVERAGEIFS(DATOS!$K$2:$K$20000,DATOS!$A$2:$A$20000,G189,DATOS!$G$2:$G$20000,CONFIG_METADATA!$B$4,DATOS!$I$2:$I$20000,"Lenguaje Musical"),""))</f>
        <v/>
      </c>
      <c r="I189" t="str">
        <f>IF(G189="","",IFERROR(AVERAGEIFS(DATOS!$K$2:$K$20000,DATOS!$A$2:$A$20000,G189,DATOS!$G$2:$G$20000,CONFIG_METADATA!$B$4,DATOS!$I$2:$I$20000,"Coro"),""))</f>
        <v/>
      </c>
      <c r="J189" t="str">
        <f>IF(G189="","",IFERROR(AVERAGEIFS(DATOS!$K$2:$K$20000,DATOS!$A$2:$A$20000,G189,DATOS!$G$2:$G$20000,CONFIG_METADATA!$B$4,DATOS!$I$2:$I$20000,"Conjunto"),""))</f>
        <v/>
      </c>
      <c r="K189" t="str" cm="1">
        <f t="array" ref="K189">IF(G189="","",IFERROR(AVERAGE(IF((DATOS!$A$2:$A$20000=G189)*(DATOS!$G$2:$G$20000=CONFIG_METADATA!$B$4)*(DATOS!$I$2:$I$20000&lt;&gt;"Lenguaje Musical")*(DATOS!$I$2:$I$20000&lt;&gt;"Coro")*(DATOS!$I$2:$I$20000&lt;&gt;"Conjunto"),DATOS!$K$2:$K$20000)),""))</f>
        <v/>
      </c>
      <c r="N189" t="str">
        <f>IF(M189="","",IFERROR(AVERAGEIFS(DATOS!$K$2:$K$20000,DATOS!$A$2:$A$20000,M189,DATOS!$G$2:$G$20000,CONFIG_METADATA!$B$4,DATOS!$I$2:$I$20000,"Lenguaje Musical"),""))</f>
        <v/>
      </c>
      <c r="O189" t="str">
        <f>IF(M189="","",IFERROR(AVERAGEIFS(DATOS!$K$2:$K$20000,DATOS!$A$2:$A$20000,M189,DATOS!$G$2:$G$20000,CONFIG_METADATA!$B$4,DATOS!$I$2:$I$20000,"Coro"),""))</f>
        <v/>
      </c>
      <c r="P189" t="str">
        <f>IF(M189="","",IFERROR(AVERAGEIFS(DATOS!$K$2:$K$20000,DATOS!$A$2:$A$20000,M189,DATOS!$G$2:$G$20000,CONFIG_METADATA!$B$4,DATOS!$I$2:$I$20000,"Conjunto"),""))</f>
        <v/>
      </c>
      <c r="Q189" t="str" cm="1">
        <f t="array" ref="Q189">IF(M189="","",IFERROR(AVERAGE(IF((DATOS!$A$2:$A$20000=M189)*(DATOS!$G$2:$G$20000=CONFIG_METADATA!$B$4)*(DATOS!$I$2:$I$20000&lt;&gt;"Lenguaje Musical")*(DATOS!$I$2:$I$20000&lt;&gt;"Coro")*(DATOS!$I$2:$I$20000&lt;&gt;"Conjunto"),DATOS!$K$2:$K$20000)),""))</f>
        <v/>
      </c>
      <c r="T189" t="str">
        <f>IF(S189="","",IFERROR(AVERAGEIFS(DATOS!$K$2:$K$20000,DATOS!$A$2:$A$20000,S189,DATOS!$G$2:$G$20000,CONFIG_METADATA!$B$4,DATOS!$I$2:$I$20000,"Lenguaje Musical"),""))</f>
        <v/>
      </c>
      <c r="U189" t="str">
        <f>IF(S189="","",IFERROR(AVERAGEIFS(DATOS!$K$2:$K$20000,DATOS!$A$2:$A$20000,S189,DATOS!$G$2:$G$20000,CONFIG_METADATA!$B$4,DATOS!$I$2:$I$20000,"Coro"),""))</f>
        <v/>
      </c>
      <c r="V189" t="str">
        <f>IF(S189="","",IFERROR(AVERAGEIFS(DATOS!$K$2:$K$20000,DATOS!$A$2:$A$20000,S189,DATOS!$G$2:$G$20000,CONFIG_METADATA!$B$4,DATOS!$I$2:$I$20000,"Conjunto"),""))</f>
        <v/>
      </c>
      <c r="W189" t="str" cm="1">
        <f t="array" ref="W189">IF(S189="","",IFERROR(AVERAGE(IF((DATOS!$A$2:$A$20000=S189)*(DATOS!$G$2:$G$20000=CONFIG_METADATA!$B$4)*(DATOS!$I$2:$I$20000&lt;&gt;"Lenguaje Musical")*(DATOS!$I$2:$I$20000&lt;&gt;"Coro")*(DATOS!$I$2:$I$20000&lt;&gt;"Conjunto"),DATOS!$K$2:$K$20000)),""))</f>
        <v/>
      </c>
    </row>
    <row r="190" spans="2:23" x14ac:dyDescent="0.2">
      <c r="B190" t="str">
        <f>IF(A190="","",IFERROR(AVERAGEIFS(DATOS!$K$2:$K$20000,DATOS!$A$2:$A$20000,A190,DATOS!$G$2:$G$20000,CONFIG_METADATA!$B$4,DATOS!$I$2:$I$20000,"Lenguaje Musical"),""))</f>
        <v/>
      </c>
      <c r="C190" t="str">
        <f>IF(A190="","",IFERROR(AVERAGEIFS(DATOS!$K$2:$K$20000,DATOS!$A$2:$A$20000,A190,DATOS!$G$2:$G$20000,CONFIG_METADATA!$B$4,DATOS!$I$2:$I$20000,"Coro"),""))</f>
        <v/>
      </c>
      <c r="D190" t="str">
        <f>IF(A190="","",IFERROR(AVERAGEIFS(DATOS!$K$2:$K$20000,DATOS!$A$2:$A$20000,A190,DATOS!$G$2:$G$20000,CONFIG_METADATA!$B$4,DATOS!$I$2:$I$20000,"Conjunto"),""))</f>
        <v/>
      </c>
      <c r="E190" t="str" cm="1">
        <f t="array" ref="E190">IF(A190="","",IFERROR(AVERAGE(IF((DATOS!$A$2:$A$20000=A190)*(DATOS!$G$2:$G$20000=CONFIG_METADATA!$B$4)*(DATOS!$I$2:$I$20000&lt;&gt;"Lenguaje Musical")*(DATOS!$I$2:$I$20000&lt;&gt;"Coro")*(DATOS!$I$2:$I$20000&lt;&gt;"Conjunto"),DATOS!$K$2:$K$20000)),""))</f>
        <v/>
      </c>
      <c r="H190" t="str">
        <f>IF(G190="","",IFERROR(AVERAGEIFS(DATOS!$K$2:$K$20000,DATOS!$A$2:$A$20000,G190,DATOS!$G$2:$G$20000,CONFIG_METADATA!$B$4,DATOS!$I$2:$I$20000,"Lenguaje Musical"),""))</f>
        <v/>
      </c>
      <c r="I190" t="str">
        <f>IF(G190="","",IFERROR(AVERAGEIFS(DATOS!$K$2:$K$20000,DATOS!$A$2:$A$20000,G190,DATOS!$G$2:$G$20000,CONFIG_METADATA!$B$4,DATOS!$I$2:$I$20000,"Coro"),""))</f>
        <v/>
      </c>
      <c r="J190" t="str">
        <f>IF(G190="","",IFERROR(AVERAGEIFS(DATOS!$K$2:$K$20000,DATOS!$A$2:$A$20000,G190,DATOS!$G$2:$G$20000,CONFIG_METADATA!$B$4,DATOS!$I$2:$I$20000,"Conjunto"),""))</f>
        <v/>
      </c>
      <c r="K190" t="str" cm="1">
        <f t="array" ref="K190">IF(G190="","",IFERROR(AVERAGE(IF((DATOS!$A$2:$A$20000=G190)*(DATOS!$G$2:$G$20000=CONFIG_METADATA!$B$4)*(DATOS!$I$2:$I$20000&lt;&gt;"Lenguaje Musical")*(DATOS!$I$2:$I$20000&lt;&gt;"Coro")*(DATOS!$I$2:$I$20000&lt;&gt;"Conjunto"),DATOS!$K$2:$K$20000)),""))</f>
        <v/>
      </c>
      <c r="N190" t="str">
        <f>IF(M190="","",IFERROR(AVERAGEIFS(DATOS!$K$2:$K$20000,DATOS!$A$2:$A$20000,M190,DATOS!$G$2:$G$20000,CONFIG_METADATA!$B$4,DATOS!$I$2:$I$20000,"Lenguaje Musical"),""))</f>
        <v/>
      </c>
      <c r="O190" t="str">
        <f>IF(M190="","",IFERROR(AVERAGEIFS(DATOS!$K$2:$K$20000,DATOS!$A$2:$A$20000,M190,DATOS!$G$2:$G$20000,CONFIG_METADATA!$B$4,DATOS!$I$2:$I$20000,"Coro"),""))</f>
        <v/>
      </c>
      <c r="P190" t="str">
        <f>IF(M190="","",IFERROR(AVERAGEIFS(DATOS!$K$2:$K$20000,DATOS!$A$2:$A$20000,M190,DATOS!$G$2:$G$20000,CONFIG_METADATA!$B$4,DATOS!$I$2:$I$20000,"Conjunto"),""))</f>
        <v/>
      </c>
      <c r="Q190" t="str" cm="1">
        <f t="array" ref="Q190">IF(M190="","",IFERROR(AVERAGE(IF((DATOS!$A$2:$A$20000=M190)*(DATOS!$G$2:$G$20000=CONFIG_METADATA!$B$4)*(DATOS!$I$2:$I$20000&lt;&gt;"Lenguaje Musical")*(DATOS!$I$2:$I$20000&lt;&gt;"Coro")*(DATOS!$I$2:$I$20000&lt;&gt;"Conjunto"),DATOS!$K$2:$K$20000)),""))</f>
        <v/>
      </c>
      <c r="T190" t="str">
        <f>IF(S190="","",IFERROR(AVERAGEIFS(DATOS!$K$2:$K$20000,DATOS!$A$2:$A$20000,S190,DATOS!$G$2:$G$20000,CONFIG_METADATA!$B$4,DATOS!$I$2:$I$20000,"Lenguaje Musical"),""))</f>
        <v/>
      </c>
      <c r="U190" t="str">
        <f>IF(S190="","",IFERROR(AVERAGEIFS(DATOS!$K$2:$K$20000,DATOS!$A$2:$A$20000,S190,DATOS!$G$2:$G$20000,CONFIG_METADATA!$B$4,DATOS!$I$2:$I$20000,"Coro"),""))</f>
        <v/>
      </c>
      <c r="V190" t="str">
        <f>IF(S190="","",IFERROR(AVERAGEIFS(DATOS!$K$2:$K$20000,DATOS!$A$2:$A$20000,S190,DATOS!$G$2:$G$20000,CONFIG_METADATA!$B$4,DATOS!$I$2:$I$20000,"Conjunto"),""))</f>
        <v/>
      </c>
      <c r="W190" t="str" cm="1">
        <f t="array" ref="W190">IF(S190="","",IFERROR(AVERAGE(IF((DATOS!$A$2:$A$20000=S190)*(DATOS!$G$2:$G$20000=CONFIG_METADATA!$B$4)*(DATOS!$I$2:$I$20000&lt;&gt;"Lenguaje Musical")*(DATOS!$I$2:$I$20000&lt;&gt;"Coro")*(DATOS!$I$2:$I$20000&lt;&gt;"Conjunto"),DATOS!$K$2:$K$20000)),""))</f>
        <v/>
      </c>
    </row>
    <row r="191" spans="2:23" x14ac:dyDescent="0.2">
      <c r="B191" t="str">
        <f>IF(A191="","",IFERROR(AVERAGEIFS(DATOS!$K$2:$K$20000,DATOS!$A$2:$A$20000,A191,DATOS!$G$2:$G$20000,CONFIG_METADATA!$B$4,DATOS!$I$2:$I$20000,"Lenguaje Musical"),""))</f>
        <v/>
      </c>
      <c r="C191" t="str">
        <f>IF(A191="","",IFERROR(AVERAGEIFS(DATOS!$K$2:$K$20000,DATOS!$A$2:$A$20000,A191,DATOS!$G$2:$G$20000,CONFIG_METADATA!$B$4,DATOS!$I$2:$I$20000,"Coro"),""))</f>
        <v/>
      </c>
      <c r="D191" t="str">
        <f>IF(A191="","",IFERROR(AVERAGEIFS(DATOS!$K$2:$K$20000,DATOS!$A$2:$A$20000,A191,DATOS!$G$2:$G$20000,CONFIG_METADATA!$B$4,DATOS!$I$2:$I$20000,"Conjunto"),""))</f>
        <v/>
      </c>
      <c r="E191" t="str" cm="1">
        <f t="array" ref="E191">IF(A191="","",IFERROR(AVERAGE(IF((DATOS!$A$2:$A$20000=A191)*(DATOS!$G$2:$G$20000=CONFIG_METADATA!$B$4)*(DATOS!$I$2:$I$20000&lt;&gt;"Lenguaje Musical")*(DATOS!$I$2:$I$20000&lt;&gt;"Coro")*(DATOS!$I$2:$I$20000&lt;&gt;"Conjunto"),DATOS!$K$2:$K$20000)),""))</f>
        <v/>
      </c>
      <c r="H191" t="str">
        <f>IF(G191="","",IFERROR(AVERAGEIFS(DATOS!$K$2:$K$20000,DATOS!$A$2:$A$20000,G191,DATOS!$G$2:$G$20000,CONFIG_METADATA!$B$4,DATOS!$I$2:$I$20000,"Lenguaje Musical"),""))</f>
        <v/>
      </c>
      <c r="I191" t="str">
        <f>IF(G191="","",IFERROR(AVERAGEIFS(DATOS!$K$2:$K$20000,DATOS!$A$2:$A$20000,G191,DATOS!$G$2:$G$20000,CONFIG_METADATA!$B$4,DATOS!$I$2:$I$20000,"Coro"),""))</f>
        <v/>
      </c>
      <c r="J191" t="str">
        <f>IF(G191="","",IFERROR(AVERAGEIFS(DATOS!$K$2:$K$20000,DATOS!$A$2:$A$20000,G191,DATOS!$G$2:$G$20000,CONFIG_METADATA!$B$4,DATOS!$I$2:$I$20000,"Conjunto"),""))</f>
        <v/>
      </c>
      <c r="K191" t="str" cm="1">
        <f t="array" ref="K191">IF(G191="","",IFERROR(AVERAGE(IF((DATOS!$A$2:$A$20000=G191)*(DATOS!$G$2:$G$20000=CONFIG_METADATA!$B$4)*(DATOS!$I$2:$I$20000&lt;&gt;"Lenguaje Musical")*(DATOS!$I$2:$I$20000&lt;&gt;"Coro")*(DATOS!$I$2:$I$20000&lt;&gt;"Conjunto"),DATOS!$K$2:$K$20000)),""))</f>
        <v/>
      </c>
      <c r="N191" t="str">
        <f>IF(M191="","",IFERROR(AVERAGEIFS(DATOS!$K$2:$K$20000,DATOS!$A$2:$A$20000,M191,DATOS!$G$2:$G$20000,CONFIG_METADATA!$B$4,DATOS!$I$2:$I$20000,"Lenguaje Musical"),""))</f>
        <v/>
      </c>
      <c r="O191" t="str">
        <f>IF(M191="","",IFERROR(AVERAGEIFS(DATOS!$K$2:$K$20000,DATOS!$A$2:$A$20000,M191,DATOS!$G$2:$G$20000,CONFIG_METADATA!$B$4,DATOS!$I$2:$I$20000,"Coro"),""))</f>
        <v/>
      </c>
      <c r="P191" t="str">
        <f>IF(M191="","",IFERROR(AVERAGEIFS(DATOS!$K$2:$K$20000,DATOS!$A$2:$A$20000,M191,DATOS!$G$2:$G$20000,CONFIG_METADATA!$B$4,DATOS!$I$2:$I$20000,"Conjunto"),""))</f>
        <v/>
      </c>
      <c r="Q191" t="str" cm="1">
        <f t="array" ref="Q191">IF(M191="","",IFERROR(AVERAGE(IF((DATOS!$A$2:$A$20000=M191)*(DATOS!$G$2:$G$20000=CONFIG_METADATA!$B$4)*(DATOS!$I$2:$I$20000&lt;&gt;"Lenguaje Musical")*(DATOS!$I$2:$I$20000&lt;&gt;"Coro")*(DATOS!$I$2:$I$20000&lt;&gt;"Conjunto"),DATOS!$K$2:$K$20000)),""))</f>
        <v/>
      </c>
      <c r="T191" t="str">
        <f>IF(S191="","",IFERROR(AVERAGEIFS(DATOS!$K$2:$K$20000,DATOS!$A$2:$A$20000,S191,DATOS!$G$2:$G$20000,CONFIG_METADATA!$B$4,DATOS!$I$2:$I$20000,"Lenguaje Musical"),""))</f>
        <v/>
      </c>
      <c r="U191" t="str">
        <f>IF(S191="","",IFERROR(AVERAGEIFS(DATOS!$K$2:$K$20000,DATOS!$A$2:$A$20000,S191,DATOS!$G$2:$G$20000,CONFIG_METADATA!$B$4,DATOS!$I$2:$I$20000,"Coro"),""))</f>
        <v/>
      </c>
      <c r="V191" t="str">
        <f>IF(S191="","",IFERROR(AVERAGEIFS(DATOS!$K$2:$K$20000,DATOS!$A$2:$A$20000,S191,DATOS!$G$2:$G$20000,CONFIG_METADATA!$B$4,DATOS!$I$2:$I$20000,"Conjunto"),""))</f>
        <v/>
      </c>
      <c r="W191" t="str" cm="1">
        <f t="array" ref="W191">IF(S191="","",IFERROR(AVERAGE(IF((DATOS!$A$2:$A$20000=S191)*(DATOS!$G$2:$G$20000=CONFIG_METADATA!$B$4)*(DATOS!$I$2:$I$20000&lt;&gt;"Lenguaje Musical")*(DATOS!$I$2:$I$20000&lt;&gt;"Coro")*(DATOS!$I$2:$I$20000&lt;&gt;"Conjunto"),DATOS!$K$2:$K$20000)),""))</f>
        <v/>
      </c>
    </row>
    <row r="192" spans="2:23" x14ac:dyDescent="0.2">
      <c r="B192" t="str">
        <f>IF(A192="","",IFERROR(AVERAGEIFS(DATOS!$K$2:$K$20000,DATOS!$A$2:$A$20000,A192,DATOS!$G$2:$G$20000,CONFIG_METADATA!$B$4,DATOS!$I$2:$I$20000,"Lenguaje Musical"),""))</f>
        <v/>
      </c>
      <c r="C192" t="str">
        <f>IF(A192="","",IFERROR(AVERAGEIFS(DATOS!$K$2:$K$20000,DATOS!$A$2:$A$20000,A192,DATOS!$G$2:$G$20000,CONFIG_METADATA!$B$4,DATOS!$I$2:$I$20000,"Coro"),""))</f>
        <v/>
      </c>
      <c r="D192" t="str">
        <f>IF(A192="","",IFERROR(AVERAGEIFS(DATOS!$K$2:$K$20000,DATOS!$A$2:$A$20000,A192,DATOS!$G$2:$G$20000,CONFIG_METADATA!$B$4,DATOS!$I$2:$I$20000,"Conjunto"),""))</f>
        <v/>
      </c>
      <c r="E192" t="str" cm="1">
        <f t="array" ref="E192">IF(A192="","",IFERROR(AVERAGE(IF((DATOS!$A$2:$A$20000=A192)*(DATOS!$G$2:$G$20000=CONFIG_METADATA!$B$4)*(DATOS!$I$2:$I$20000&lt;&gt;"Lenguaje Musical")*(DATOS!$I$2:$I$20000&lt;&gt;"Coro")*(DATOS!$I$2:$I$20000&lt;&gt;"Conjunto"),DATOS!$K$2:$K$20000)),""))</f>
        <v/>
      </c>
      <c r="H192" t="str">
        <f>IF(G192="","",IFERROR(AVERAGEIFS(DATOS!$K$2:$K$20000,DATOS!$A$2:$A$20000,G192,DATOS!$G$2:$G$20000,CONFIG_METADATA!$B$4,DATOS!$I$2:$I$20000,"Lenguaje Musical"),""))</f>
        <v/>
      </c>
      <c r="I192" t="str">
        <f>IF(G192="","",IFERROR(AVERAGEIFS(DATOS!$K$2:$K$20000,DATOS!$A$2:$A$20000,G192,DATOS!$G$2:$G$20000,CONFIG_METADATA!$B$4,DATOS!$I$2:$I$20000,"Coro"),""))</f>
        <v/>
      </c>
      <c r="J192" t="str">
        <f>IF(G192="","",IFERROR(AVERAGEIFS(DATOS!$K$2:$K$20000,DATOS!$A$2:$A$20000,G192,DATOS!$G$2:$G$20000,CONFIG_METADATA!$B$4,DATOS!$I$2:$I$20000,"Conjunto"),""))</f>
        <v/>
      </c>
      <c r="K192" t="str" cm="1">
        <f t="array" ref="K192">IF(G192="","",IFERROR(AVERAGE(IF((DATOS!$A$2:$A$20000=G192)*(DATOS!$G$2:$G$20000=CONFIG_METADATA!$B$4)*(DATOS!$I$2:$I$20000&lt;&gt;"Lenguaje Musical")*(DATOS!$I$2:$I$20000&lt;&gt;"Coro")*(DATOS!$I$2:$I$20000&lt;&gt;"Conjunto"),DATOS!$K$2:$K$20000)),""))</f>
        <v/>
      </c>
      <c r="N192" t="str">
        <f>IF(M192="","",IFERROR(AVERAGEIFS(DATOS!$K$2:$K$20000,DATOS!$A$2:$A$20000,M192,DATOS!$G$2:$G$20000,CONFIG_METADATA!$B$4,DATOS!$I$2:$I$20000,"Lenguaje Musical"),""))</f>
        <v/>
      </c>
      <c r="O192" t="str">
        <f>IF(M192="","",IFERROR(AVERAGEIFS(DATOS!$K$2:$K$20000,DATOS!$A$2:$A$20000,M192,DATOS!$G$2:$G$20000,CONFIG_METADATA!$B$4,DATOS!$I$2:$I$20000,"Coro"),""))</f>
        <v/>
      </c>
      <c r="P192" t="str">
        <f>IF(M192="","",IFERROR(AVERAGEIFS(DATOS!$K$2:$K$20000,DATOS!$A$2:$A$20000,M192,DATOS!$G$2:$G$20000,CONFIG_METADATA!$B$4,DATOS!$I$2:$I$20000,"Conjunto"),""))</f>
        <v/>
      </c>
      <c r="Q192" t="str" cm="1">
        <f t="array" ref="Q192">IF(M192="","",IFERROR(AVERAGE(IF((DATOS!$A$2:$A$20000=M192)*(DATOS!$G$2:$G$20000=CONFIG_METADATA!$B$4)*(DATOS!$I$2:$I$20000&lt;&gt;"Lenguaje Musical")*(DATOS!$I$2:$I$20000&lt;&gt;"Coro")*(DATOS!$I$2:$I$20000&lt;&gt;"Conjunto"),DATOS!$K$2:$K$20000)),""))</f>
        <v/>
      </c>
      <c r="T192" t="str">
        <f>IF(S192="","",IFERROR(AVERAGEIFS(DATOS!$K$2:$K$20000,DATOS!$A$2:$A$20000,S192,DATOS!$G$2:$G$20000,CONFIG_METADATA!$B$4,DATOS!$I$2:$I$20000,"Lenguaje Musical"),""))</f>
        <v/>
      </c>
      <c r="U192" t="str">
        <f>IF(S192="","",IFERROR(AVERAGEIFS(DATOS!$K$2:$K$20000,DATOS!$A$2:$A$20000,S192,DATOS!$G$2:$G$20000,CONFIG_METADATA!$B$4,DATOS!$I$2:$I$20000,"Coro"),""))</f>
        <v/>
      </c>
      <c r="V192" t="str">
        <f>IF(S192="","",IFERROR(AVERAGEIFS(DATOS!$K$2:$K$20000,DATOS!$A$2:$A$20000,S192,DATOS!$G$2:$G$20000,CONFIG_METADATA!$B$4,DATOS!$I$2:$I$20000,"Conjunto"),""))</f>
        <v/>
      </c>
      <c r="W192" t="str" cm="1">
        <f t="array" ref="W192">IF(S192="","",IFERROR(AVERAGE(IF((DATOS!$A$2:$A$20000=S192)*(DATOS!$G$2:$G$20000=CONFIG_METADATA!$B$4)*(DATOS!$I$2:$I$20000&lt;&gt;"Lenguaje Musical")*(DATOS!$I$2:$I$20000&lt;&gt;"Coro")*(DATOS!$I$2:$I$20000&lt;&gt;"Conjunto"),DATOS!$K$2:$K$20000)),""))</f>
        <v/>
      </c>
    </row>
    <row r="193" spans="2:23" x14ac:dyDescent="0.2">
      <c r="B193" t="str">
        <f>IF(A193="","",IFERROR(AVERAGEIFS(DATOS!$K$2:$K$20000,DATOS!$A$2:$A$20000,A193,DATOS!$G$2:$G$20000,CONFIG_METADATA!$B$4,DATOS!$I$2:$I$20000,"Lenguaje Musical"),""))</f>
        <v/>
      </c>
      <c r="C193" t="str">
        <f>IF(A193="","",IFERROR(AVERAGEIFS(DATOS!$K$2:$K$20000,DATOS!$A$2:$A$20000,A193,DATOS!$G$2:$G$20000,CONFIG_METADATA!$B$4,DATOS!$I$2:$I$20000,"Coro"),""))</f>
        <v/>
      </c>
      <c r="D193" t="str">
        <f>IF(A193="","",IFERROR(AVERAGEIFS(DATOS!$K$2:$K$20000,DATOS!$A$2:$A$20000,A193,DATOS!$G$2:$G$20000,CONFIG_METADATA!$B$4,DATOS!$I$2:$I$20000,"Conjunto"),""))</f>
        <v/>
      </c>
      <c r="E193" t="str" cm="1">
        <f t="array" ref="E193">IF(A193="","",IFERROR(AVERAGE(IF((DATOS!$A$2:$A$20000=A193)*(DATOS!$G$2:$G$20000=CONFIG_METADATA!$B$4)*(DATOS!$I$2:$I$20000&lt;&gt;"Lenguaje Musical")*(DATOS!$I$2:$I$20000&lt;&gt;"Coro")*(DATOS!$I$2:$I$20000&lt;&gt;"Conjunto"),DATOS!$K$2:$K$20000)),""))</f>
        <v/>
      </c>
      <c r="H193" t="str">
        <f>IF(G193="","",IFERROR(AVERAGEIFS(DATOS!$K$2:$K$20000,DATOS!$A$2:$A$20000,G193,DATOS!$G$2:$G$20000,CONFIG_METADATA!$B$4,DATOS!$I$2:$I$20000,"Lenguaje Musical"),""))</f>
        <v/>
      </c>
      <c r="I193" t="str">
        <f>IF(G193="","",IFERROR(AVERAGEIFS(DATOS!$K$2:$K$20000,DATOS!$A$2:$A$20000,G193,DATOS!$G$2:$G$20000,CONFIG_METADATA!$B$4,DATOS!$I$2:$I$20000,"Coro"),""))</f>
        <v/>
      </c>
      <c r="J193" t="str">
        <f>IF(G193="","",IFERROR(AVERAGEIFS(DATOS!$K$2:$K$20000,DATOS!$A$2:$A$20000,G193,DATOS!$G$2:$G$20000,CONFIG_METADATA!$B$4,DATOS!$I$2:$I$20000,"Conjunto"),""))</f>
        <v/>
      </c>
      <c r="K193" t="str" cm="1">
        <f t="array" ref="K193">IF(G193="","",IFERROR(AVERAGE(IF((DATOS!$A$2:$A$20000=G193)*(DATOS!$G$2:$G$20000=CONFIG_METADATA!$B$4)*(DATOS!$I$2:$I$20000&lt;&gt;"Lenguaje Musical")*(DATOS!$I$2:$I$20000&lt;&gt;"Coro")*(DATOS!$I$2:$I$20000&lt;&gt;"Conjunto"),DATOS!$K$2:$K$20000)),""))</f>
        <v/>
      </c>
      <c r="N193" t="str">
        <f>IF(M193="","",IFERROR(AVERAGEIFS(DATOS!$K$2:$K$20000,DATOS!$A$2:$A$20000,M193,DATOS!$G$2:$G$20000,CONFIG_METADATA!$B$4,DATOS!$I$2:$I$20000,"Lenguaje Musical"),""))</f>
        <v/>
      </c>
      <c r="O193" t="str">
        <f>IF(M193="","",IFERROR(AVERAGEIFS(DATOS!$K$2:$K$20000,DATOS!$A$2:$A$20000,M193,DATOS!$G$2:$G$20000,CONFIG_METADATA!$B$4,DATOS!$I$2:$I$20000,"Coro"),""))</f>
        <v/>
      </c>
      <c r="P193" t="str">
        <f>IF(M193="","",IFERROR(AVERAGEIFS(DATOS!$K$2:$K$20000,DATOS!$A$2:$A$20000,M193,DATOS!$G$2:$G$20000,CONFIG_METADATA!$B$4,DATOS!$I$2:$I$20000,"Conjunto"),""))</f>
        <v/>
      </c>
      <c r="Q193" t="str" cm="1">
        <f t="array" ref="Q193">IF(M193="","",IFERROR(AVERAGE(IF((DATOS!$A$2:$A$20000=M193)*(DATOS!$G$2:$G$20000=CONFIG_METADATA!$B$4)*(DATOS!$I$2:$I$20000&lt;&gt;"Lenguaje Musical")*(DATOS!$I$2:$I$20000&lt;&gt;"Coro")*(DATOS!$I$2:$I$20000&lt;&gt;"Conjunto"),DATOS!$K$2:$K$20000)),""))</f>
        <v/>
      </c>
      <c r="T193" t="str">
        <f>IF(S193="","",IFERROR(AVERAGEIFS(DATOS!$K$2:$K$20000,DATOS!$A$2:$A$20000,S193,DATOS!$G$2:$G$20000,CONFIG_METADATA!$B$4,DATOS!$I$2:$I$20000,"Lenguaje Musical"),""))</f>
        <v/>
      </c>
      <c r="U193" t="str">
        <f>IF(S193="","",IFERROR(AVERAGEIFS(DATOS!$K$2:$K$20000,DATOS!$A$2:$A$20000,S193,DATOS!$G$2:$G$20000,CONFIG_METADATA!$B$4,DATOS!$I$2:$I$20000,"Coro"),""))</f>
        <v/>
      </c>
      <c r="V193" t="str">
        <f>IF(S193="","",IFERROR(AVERAGEIFS(DATOS!$K$2:$K$20000,DATOS!$A$2:$A$20000,S193,DATOS!$G$2:$G$20000,CONFIG_METADATA!$B$4,DATOS!$I$2:$I$20000,"Conjunto"),""))</f>
        <v/>
      </c>
      <c r="W193" t="str" cm="1">
        <f t="array" ref="W193">IF(S193="","",IFERROR(AVERAGE(IF((DATOS!$A$2:$A$20000=S193)*(DATOS!$G$2:$G$20000=CONFIG_METADATA!$B$4)*(DATOS!$I$2:$I$20000&lt;&gt;"Lenguaje Musical")*(DATOS!$I$2:$I$20000&lt;&gt;"Coro")*(DATOS!$I$2:$I$20000&lt;&gt;"Conjunto"),DATOS!$K$2:$K$20000)),""))</f>
        <v/>
      </c>
    </row>
    <row r="194" spans="2:23" x14ac:dyDescent="0.2">
      <c r="B194" t="str">
        <f>IF(A194="","",IFERROR(AVERAGEIFS(DATOS!$K$2:$K$20000,DATOS!$A$2:$A$20000,A194,DATOS!$G$2:$G$20000,CONFIG_METADATA!$B$4,DATOS!$I$2:$I$20000,"Lenguaje Musical"),""))</f>
        <v/>
      </c>
      <c r="C194" t="str">
        <f>IF(A194="","",IFERROR(AVERAGEIFS(DATOS!$K$2:$K$20000,DATOS!$A$2:$A$20000,A194,DATOS!$G$2:$G$20000,CONFIG_METADATA!$B$4,DATOS!$I$2:$I$20000,"Coro"),""))</f>
        <v/>
      </c>
      <c r="D194" t="str">
        <f>IF(A194="","",IFERROR(AVERAGEIFS(DATOS!$K$2:$K$20000,DATOS!$A$2:$A$20000,A194,DATOS!$G$2:$G$20000,CONFIG_METADATA!$B$4,DATOS!$I$2:$I$20000,"Conjunto"),""))</f>
        <v/>
      </c>
      <c r="E194" t="str" cm="1">
        <f t="array" ref="E194">IF(A194="","",IFERROR(AVERAGE(IF((DATOS!$A$2:$A$20000=A194)*(DATOS!$G$2:$G$20000=CONFIG_METADATA!$B$4)*(DATOS!$I$2:$I$20000&lt;&gt;"Lenguaje Musical")*(DATOS!$I$2:$I$20000&lt;&gt;"Coro")*(DATOS!$I$2:$I$20000&lt;&gt;"Conjunto"),DATOS!$K$2:$K$20000)),""))</f>
        <v/>
      </c>
      <c r="H194" t="str">
        <f>IF(G194="","",IFERROR(AVERAGEIFS(DATOS!$K$2:$K$20000,DATOS!$A$2:$A$20000,G194,DATOS!$G$2:$G$20000,CONFIG_METADATA!$B$4,DATOS!$I$2:$I$20000,"Lenguaje Musical"),""))</f>
        <v/>
      </c>
      <c r="I194" t="str">
        <f>IF(G194="","",IFERROR(AVERAGEIFS(DATOS!$K$2:$K$20000,DATOS!$A$2:$A$20000,G194,DATOS!$G$2:$G$20000,CONFIG_METADATA!$B$4,DATOS!$I$2:$I$20000,"Coro"),""))</f>
        <v/>
      </c>
      <c r="J194" t="str">
        <f>IF(G194="","",IFERROR(AVERAGEIFS(DATOS!$K$2:$K$20000,DATOS!$A$2:$A$20000,G194,DATOS!$G$2:$G$20000,CONFIG_METADATA!$B$4,DATOS!$I$2:$I$20000,"Conjunto"),""))</f>
        <v/>
      </c>
      <c r="K194" t="str" cm="1">
        <f t="array" ref="K194">IF(G194="","",IFERROR(AVERAGE(IF((DATOS!$A$2:$A$20000=G194)*(DATOS!$G$2:$G$20000=CONFIG_METADATA!$B$4)*(DATOS!$I$2:$I$20000&lt;&gt;"Lenguaje Musical")*(DATOS!$I$2:$I$20000&lt;&gt;"Coro")*(DATOS!$I$2:$I$20000&lt;&gt;"Conjunto"),DATOS!$K$2:$K$20000)),""))</f>
        <v/>
      </c>
      <c r="N194" t="str">
        <f>IF(M194="","",IFERROR(AVERAGEIFS(DATOS!$K$2:$K$20000,DATOS!$A$2:$A$20000,M194,DATOS!$G$2:$G$20000,CONFIG_METADATA!$B$4,DATOS!$I$2:$I$20000,"Lenguaje Musical"),""))</f>
        <v/>
      </c>
      <c r="O194" t="str">
        <f>IF(M194="","",IFERROR(AVERAGEIFS(DATOS!$K$2:$K$20000,DATOS!$A$2:$A$20000,M194,DATOS!$G$2:$G$20000,CONFIG_METADATA!$B$4,DATOS!$I$2:$I$20000,"Coro"),""))</f>
        <v/>
      </c>
      <c r="P194" t="str">
        <f>IF(M194="","",IFERROR(AVERAGEIFS(DATOS!$K$2:$K$20000,DATOS!$A$2:$A$20000,M194,DATOS!$G$2:$G$20000,CONFIG_METADATA!$B$4,DATOS!$I$2:$I$20000,"Conjunto"),""))</f>
        <v/>
      </c>
      <c r="Q194" t="str" cm="1">
        <f t="array" ref="Q194">IF(M194="","",IFERROR(AVERAGE(IF((DATOS!$A$2:$A$20000=M194)*(DATOS!$G$2:$G$20000=CONFIG_METADATA!$B$4)*(DATOS!$I$2:$I$20000&lt;&gt;"Lenguaje Musical")*(DATOS!$I$2:$I$20000&lt;&gt;"Coro")*(DATOS!$I$2:$I$20000&lt;&gt;"Conjunto"),DATOS!$K$2:$K$20000)),""))</f>
        <v/>
      </c>
      <c r="T194" t="str">
        <f>IF(S194="","",IFERROR(AVERAGEIFS(DATOS!$K$2:$K$20000,DATOS!$A$2:$A$20000,S194,DATOS!$G$2:$G$20000,CONFIG_METADATA!$B$4,DATOS!$I$2:$I$20000,"Lenguaje Musical"),""))</f>
        <v/>
      </c>
      <c r="U194" t="str">
        <f>IF(S194="","",IFERROR(AVERAGEIFS(DATOS!$K$2:$K$20000,DATOS!$A$2:$A$20000,S194,DATOS!$G$2:$G$20000,CONFIG_METADATA!$B$4,DATOS!$I$2:$I$20000,"Coro"),""))</f>
        <v/>
      </c>
      <c r="V194" t="str">
        <f>IF(S194="","",IFERROR(AVERAGEIFS(DATOS!$K$2:$K$20000,DATOS!$A$2:$A$20000,S194,DATOS!$G$2:$G$20000,CONFIG_METADATA!$B$4,DATOS!$I$2:$I$20000,"Conjunto"),""))</f>
        <v/>
      </c>
      <c r="W194" t="str" cm="1">
        <f t="array" ref="W194">IF(S194="","",IFERROR(AVERAGE(IF((DATOS!$A$2:$A$20000=S194)*(DATOS!$G$2:$G$20000=CONFIG_METADATA!$B$4)*(DATOS!$I$2:$I$20000&lt;&gt;"Lenguaje Musical")*(DATOS!$I$2:$I$20000&lt;&gt;"Coro")*(DATOS!$I$2:$I$20000&lt;&gt;"Conjunto"),DATOS!$K$2:$K$20000)),""))</f>
        <v/>
      </c>
    </row>
    <row r="195" spans="2:23" x14ac:dyDescent="0.2">
      <c r="B195" t="str">
        <f>IF(A195="","",IFERROR(AVERAGEIFS(DATOS!$K$2:$K$20000,DATOS!$A$2:$A$20000,A195,DATOS!$G$2:$G$20000,CONFIG_METADATA!$B$4,DATOS!$I$2:$I$20000,"Lenguaje Musical"),""))</f>
        <v/>
      </c>
      <c r="C195" t="str">
        <f>IF(A195="","",IFERROR(AVERAGEIFS(DATOS!$K$2:$K$20000,DATOS!$A$2:$A$20000,A195,DATOS!$G$2:$G$20000,CONFIG_METADATA!$B$4,DATOS!$I$2:$I$20000,"Coro"),""))</f>
        <v/>
      </c>
      <c r="D195" t="str">
        <f>IF(A195="","",IFERROR(AVERAGEIFS(DATOS!$K$2:$K$20000,DATOS!$A$2:$A$20000,A195,DATOS!$G$2:$G$20000,CONFIG_METADATA!$B$4,DATOS!$I$2:$I$20000,"Conjunto"),""))</f>
        <v/>
      </c>
      <c r="E195" t="str" cm="1">
        <f t="array" ref="E195">IF(A195="","",IFERROR(AVERAGE(IF((DATOS!$A$2:$A$20000=A195)*(DATOS!$G$2:$G$20000=CONFIG_METADATA!$B$4)*(DATOS!$I$2:$I$20000&lt;&gt;"Lenguaje Musical")*(DATOS!$I$2:$I$20000&lt;&gt;"Coro")*(DATOS!$I$2:$I$20000&lt;&gt;"Conjunto"),DATOS!$K$2:$K$20000)),""))</f>
        <v/>
      </c>
      <c r="H195" t="str">
        <f>IF(G195="","",IFERROR(AVERAGEIFS(DATOS!$K$2:$K$20000,DATOS!$A$2:$A$20000,G195,DATOS!$G$2:$G$20000,CONFIG_METADATA!$B$4,DATOS!$I$2:$I$20000,"Lenguaje Musical"),""))</f>
        <v/>
      </c>
      <c r="I195" t="str">
        <f>IF(G195="","",IFERROR(AVERAGEIFS(DATOS!$K$2:$K$20000,DATOS!$A$2:$A$20000,G195,DATOS!$G$2:$G$20000,CONFIG_METADATA!$B$4,DATOS!$I$2:$I$20000,"Coro"),""))</f>
        <v/>
      </c>
      <c r="J195" t="str">
        <f>IF(G195="","",IFERROR(AVERAGEIFS(DATOS!$K$2:$K$20000,DATOS!$A$2:$A$20000,G195,DATOS!$G$2:$G$20000,CONFIG_METADATA!$B$4,DATOS!$I$2:$I$20000,"Conjunto"),""))</f>
        <v/>
      </c>
      <c r="K195" t="str" cm="1">
        <f t="array" ref="K195">IF(G195="","",IFERROR(AVERAGE(IF((DATOS!$A$2:$A$20000=G195)*(DATOS!$G$2:$G$20000=CONFIG_METADATA!$B$4)*(DATOS!$I$2:$I$20000&lt;&gt;"Lenguaje Musical")*(DATOS!$I$2:$I$20000&lt;&gt;"Coro")*(DATOS!$I$2:$I$20000&lt;&gt;"Conjunto"),DATOS!$K$2:$K$20000)),""))</f>
        <v/>
      </c>
      <c r="N195" t="str">
        <f>IF(M195="","",IFERROR(AVERAGEIFS(DATOS!$K$2:$K$20000,DATOS!$A$2:$A$20000,M195,DATOS!$G$2:$G$20000,CONFIG_METADATA!$B$4,DATOS!$I$2:$I$20000,"Lenguaje Musical"),""))</f>
        <v/>
      </c>
      <c r="O195" t="str">
        <f>IF(M195="","",IFERROR(AVERAGEIFS(DATOS!$K$2:$K$20000,DATOS!$A$2:$A$20000,M195,DATOS!$G$2:$G$20000,CONFIG_METADATA!$B$4,DATOS!$I$2:$I$20000,"Coro"),""))</f>
        <v/>
      </c>
      <c r="P195" t="str">
        <f>IF(M195="","",IFERROR(AVERAGEIFS(DATOS!$K$2:$K$20000,DATOS!$A$2:$A$20000,M195,DATOS!$G$2:$G$20000,CONFIG_METADATA!$B$4,DATOS!$I$2:$I$20000,"Conjunto"),""))</f>
        <v/>
      </c>
      <c r="Q195" t="str" cm="1">
        <f t="array" ref="Q195">IF(M195="","",IFERROR(AVERAGE(IF((DATOS!$A$2:$A$20000=M195)*(DATOS!$G$2:$G$20000=CONFIG_METADATA!$B$4)*(DATOS!$I$2:$I$20000&lt;&gt;"Lenguaje Musical")*(DATOS!$I$2:$I$20000&lt;&gt;"Coro")*(DATOS!$I$2:$I$20000&lt;&gt;"Conjunto"),DATOS!$K$2:$K$20000)),""))</f>
        <v/>
      </c>
      <c r="T195" t="str">
        <f>IF(S195="","",IFERROR(AVERAGEIFS(DATOS!$K$2:$K$20000,DATOS!$A$2:$A$20000,S195,DATOS!$G$2:$G$20000,CONFIG_METADATA!$B$4,DATOS!$I$2:$I$20000,"Lenguaje Musical"),""))</f>
        <v/>
      </c>
      <c r="U195" t="str">
        <f>IF(S195="","",IFERROR(AVERAGEIFS(DATOS!$K$2:$K$20000,DATOS!$A$2:$A$20000,S195,DATOS!$G$2:$G$20000,CONFIG_METADATA!$B$4,DATOS!$I$2:$I$20000,"Coro"),""))</f>
        <v/>
      </c>
      <c r="V195" t="str">
        <f>IF(S195="","",IFERROR(AVERAGEIFS(DATOS!$K$2:$K$20000,DATOS!$A$2:$A$20000,S195,DATOS!$G$2:$G$20000,CONFIG_METADATA!$B$4,DATOS!$I$2:$I$20000,"Conjunto"),""))</f>
        <v/>
      </c>
      <c r="W195" t="str" cm="1">
        <f t="array" ref="W195">IF(S195="","",IFERROR(AVERAGE(IF((DATOS!$A$2:$A$20000=S195)*(DATOS!$G$2:$G$20000=CONFIG_METADATA!$B$4)*(DATOS!$I$2:$I$20000&lt;&gt;"Lenguaje Musical")*(DATOS!$I$2:$I$20000&lt;&gt;"Coro")*(DATOS!$I$2:$I$20000&lt;&gt;"Conjunto"),DATOS!$K$2:$K$20000)),""))</f>
        <v/>
      </c>
    </row>
    <row r="196" spans="2:23" x14ac:dyDescent="0.2">
      <c r="B196" t="str">
        <f>IF(A196="","",IFERROR(AVERAGEIFS(DATOS!$K$2:$K$20000,DATOS!$A$2:$A$20000,A196,DATOS!$G$2:$G$20000,CONFIG_METADATA!$B$4,DATOS!$I$2:$I$20000,"Lenguaje Musical"),""))</f>
        <v/>
      </c>
      <c r="C196" t="str">
        <f>IF(A196="","",IFERROR(AVERAGEIFS(DATOS!$K$2:$K$20000,DATOS!$A$2:$A$20000,A196,DATOS!$G$2:$G$20000,CONFIG_METADATA!$B$4,DATOS!$I$2:$I$20000,"Coro"),""))</f>
        <v/>
      </c>
      <c r="D196" t="str">
        <f>IF(A196="","",IFERROR(AVERAGEIFS(DATOS!$K$2:$K$20000,DATOS!$A$2:$A$20000,A196,DATOS!$G$2:$G$20000,CONFIG_METADATA!$B$4,DATOS!$I$2:$I$20000,"Conjunto"),""))</f>
        <v/>
      </c>
      <c r="E196" t="str" cm="1">
        <f t="array" ref="E196">IF(A196="","",IFERROR(AVERAGE(IF((DATOS!$A$2:$A$20000=A196)*(DATOS!$G$2:$G$20000=CONFIG_METADATA!$B$4)*(DATOS!$I$2:$I$20000&lt;&gt;"Lenguaje Musical")*(DATOS!$I$2:$I$20000&lt;&gt;"Coro")*(DATOS!$I$2:$I$20000&lt;&gt;"Conjunto"),DATOS!$K$2:$K$20000)),""))</f>
        <v/>
      </c>
      <c r="H196" t="str">
        <f>IF(G196="","",IFERROR(AVERAGEIFS(DATOS!$K$2:$K$20000,DATOS!$A$2:$A$20000,G196,DATOS!$G$2:$G$20000,CONFIG_METADATA!$B$4,DATOS!$I$2:$I$20000,"Lenguaje Musical"),""))</f>
        <v/>
      </c>
      <c r="I196" t="str">
        <f>IF(G196="","",IFERROR(AVERAGEIFS(DATOS!$K$2:$K$20000,DATOS!$A$2:$A$20000,G196,DATOS!$G$2:$G$20000,CONFIG_METADATA!$B$4,DATOS!$I$2:$I$20000,"Coro"),""))</f>
        <v/>
      </c>
      <c r="J196" t="str">
        <f>IF(G196="","",IFERROR(AVERAGEIFS(DATOS!$K$2:$K$20000,DATOS!$A$2:$A$20000,G196,DATOS!$G$2:$G$20000,CONFIG_METADATA!$B$4,DATOS!$I$2:$I$20000,"Conjunto"),""))</f>
        <v/>
      </c>
      <c r="K196" t="str" cm="1">
        <f t="array" ref="K196">IF(G196="","",IFERROR(AVERAGE(IF((DATOS!$A$2:$A$20000=G196)*(DATOS!$G$2:$G$20000=CONFIG_METADATA!$B$4)*(DATOS!$I$2:$I$20000&lt;&gt;"Lenguaje Musical")*(DATOS!$I$2:$I$20000&lt;&gt;"Coro")*(DATOS!$I$2:$I$20000&lt;&gt;"Conjunto"),DATOS!$K$2:$K$20000)),""))</f>
        <v/>
      </c>
      <c r="N196" t="str">
        <f>IF(M196="","",IFERROR(AVERAGEIFS(DATOS!$K$2:$K$20000,DATOS!$A$2:$A$20000,M196,DATOS!$G$2:$G$20000,CONFIG_METADATA!$B$4,DATOS!$I$2:$I$20000,"Lenguaje Musical"),""))</f>
        <v/>
      </c>
      <c r="O196" t="str">
        <f>IF(M196="","",IFERROR(AVERAGEIFS(DATOS!$K$2:$K$20000,DATOS!$A$2:$A$20000,M196,DATOS!$G$2:$G$20000,CONFIG_METADATA!$B$4,DATOS!$I$2:$I$20000,"Coro"),""))</f>
        <v/>
      </c>
      <c r="P196" t="str">
        <f>IF(M196="","",IFERROR(AVERAGEIFS(DATOS!$K$2:$K$20000,DATOS!$A$2:$A$20000,M196,DATOS!$G$2:$G$20000,CONFIG_METADATA!$B$4,DATOS!$I$2:$I$20000,"Conjunto"),""))</f>
        <v/>
      </c>
      <c r="Q196" t="str" cm="1">
        <f t="array" ref="Q196">IF(M196="","",IFERROR(AVERAGE(IF((DATOS!$A$2:$A$20000=M196)*(DATOS!$G$2:$G$20000=CONFIG_METADATA!$B$4)*(DATOS!$I$2:$I$20000&lt;&gt;"Lenguaje Musical")*(DATOS!$I$2:$I$20000&lt;&gt;"Coro")*(DATOS!$I$2:$I$20000&lt;&gt;"Conjunto"),DATOS!$K$2:$K$20000)),""))</f>
        <v/>
      </c>
      <c r="T196" t="str">
        <f>IF(S196="","",IFERROR(AVERAGEIFS(DATOS!$K$2:$K$20000,DATOS!$A$2:$A$20000,S196,DATOS!$G$2:$G$20000,CONFIG_METADATA!$B$4,DATOS!$I$2:$I$20000,"Lenguaje Musical"),""))</f>
        <v/>
      </c>
      <c r="U196" t="str">
        <f>IF(S196="","",IFERROR(AVERAGEIFS(DATOS!$K$2:$K$20000,DATOS!$A$2:$A$20000,S196,DATOS!$G$2:$G$20000,CONFIG_METADATA!$B$4,DATOS!$I$2:$I$20000,"Coro"),""))</f>
        <v/>
      </c>
      <c r="V196" t="str">
        <f>IF(S196="","",IFERROR(AVERAGEIFS(DATOS!$K$2:$K$20000,DATOS!$A$2:$A$20000,S196,DATOS!$G$2:$G$20000,CONFIG_METADATA!$B$4,DATOS!$I$2:$I$20000,"Conjunto"),""))</f>
        <v/>
      </c>
      <c r="W196" t="str" cm="1">
        <f t="array" ref="W196">IF(S196="","",IFERROR(AVERAGE(IF((DATOS!$A$2:$A$20000=S196)*(DATOS!$G$2:$G$20000=CONFIG_METADATA!$B$4)*(DATOS!$I$2:$I$20000&lt;&gt;"Lenguaje Musical")*(DATOS!$I$2:$I$20000&lt;&gt;"Coro")*(DATOS!$I$2:$I$20000&lt;&gt;"Conjunto"),DATOS!$K$2:$K$20000)),""))</f>
        <v/>
      </c>
    </row>
    <row r="197" spans="2:23" x14ac:dyDescent="0.2">
      <c r="B197" t="str">
        <f>IF(A197="","",IFERROR(AVERAGEIFS(DATOS!$K$2:$K$20000,DATOS!$A$2:$A$20000,A197,DATOS!$G$2:$G$20000,CONFIG_METADATA!$B$4,DATOS!$I$2:$I$20000,"Lenguaje Musical"),""))</f>
        <v/>
      </c>
      <c r="C197" t="str">
        <f>IF(A197="","",IFERROR(AVERAGEIFS(DATOS!$K$2:$K$20000,DATOS!$A$2:$A$20000,A197,DATOS!$G$2:$G$20000,CONFIG_METADATA!$B$4,DATOS!$I$2:$I$20000,"Coro"),""))</f>
        <v/>
      </c>
      <c r="D197" t="str">
        <f>IF(A197="","",IFERROR(AVERAGEIFS(DATOS!$K$2:$K$20000,DATOS!$A$2:$A$20000,A197,DATOS!$G$2:$G$20000,CONFIG_METADATA!$B$4,DATOS!$I$2:$I$20000,"Conjunto"),""))</f>
        <v/>
      </c>
      <c r="E197" t="str" cm="1">
        <f t="array" ref="E197">IF(A197="","",IFERROR(AVERAGE(IF((DATOS!$A$2:$A$20000=A197)*(DATOS!$G$2:$G$20000=CONFIG_METADATA!$B$4)*(DATOS!$I$2:$I$20000&lt;&gt;"Lenguaje Musical")*(DATOS!$I$2:$I$20000&lt;&gt;"Coro")*(DATOS!$I$2:$I$20000&lt;&gt;"Conjunto"),DATOS!$K$2:$K$20000)),""))</f>
        <v/>
      </c>
      <c r="H197" t="str">
        <f>IF(G197="","",IFERROR(AVERAGEIFS(DATOS!$K$2:$K$20000,DATOS!$A$2:$A$20000,G197,DATOS!$G$2:$G$20000,CONFIG_METADATA!$B$4,DATOS!$I$2:$I$20000,"Lenguaje Musical"),""))</f>
        <v/>
      </c>
      <c r="I197" t="str">
        <f>IF(G197="","",IFERROR(AVERAGEIFS(DATOS!$K$2:$K$20000,DATOS!$A$2:$A$20000,G197,DATOS!$G$2:$G$20000,CONFIG_METADATA!$B$4,DATOS!$I$2:$I$20000,"Coro"),""))</f>
        <v/>
      </c>
      <c r="J197" t="str">
        <f>IF(G197="","",IFERROR(AVERAGEIFS(DATOS!$K$2:$K$20000,DATOS!$A$2:$A$20000,G197,DATOS!$G$2:$G$20000,CONFIG_METADATA!$B$4,DATOS!$I$2:$I$20000,"Conjunto"),""))</f>
        <v/>
      </c>
      <c r="K197" t="str" cm="1">
        <f t="array" ref="K197">IF(G197="","",IFERROR(AVERAGE(IF((DATOS!$A$2:$A$20000=G197)*(DATOS!$G$2:$G$20000=CONFIG_METADATA!$B$4)*(DATOS!$I$2:$I$20000&lt;&gt;"Lenguaje Musical")*(DATOS!$I$2:$I$20000&lt;&gt;"Coro")*(DATOS!$I$2:$I$20000&lt;&gt;"Conjunto"),DATOS!$K$2:$K$20000)),""))</f>
        <v/>
      </c>
      <c r="N197" t="str">
        <f>IF(M197="","",IFERROR(AVERAGEIFS(DATOS!$K$2:$K$20000,DATOS!$A$2:$A$20000,M197,DATOS!$G$2:$G$20000,CONFIG_METADATA!$B$4,DATOS!$I$2:$I$20000,"Lenguaje Musical"),""))</f>
        <v/>
      </c>
      <c r="O197" t="str">
        <f>IF(M197="","",IFERROR(AVERAGEIFS(DATOS!$K$2:$K$20000,DATOS!$A$2:$A$20000,M197,DATOS!$G$2:$G$20000,CONFIG_METADATA!$B$4,DATOS!$I$2:$I$20000,"Coro"),""))</f>
        <v/>
      </c>
      <c r="P197" t="str">
        <f>IF(M197="","",IFERROR(AVERAGEIFS(DATOS!$K$2:$K$20000,DATOS!$A$2:$A$20000,M197,DATOS!$G$2:$G$20000,CONFIG_METADATA!$B$4,DATOS!$I$2:$I$20000,"Conjunto"),""))</f>
        <v/>
      </c>
      <c r="Q197" t="str" cm="1">
        <f t="array" ref="Q197">IF(M197="","",IFERROR(AVERAGE(IF((DATOS!$A$2:$A$20000=M197)*(DATOS!$G$2:$G$20000=CONFIG_METADATA!$B$4)*(DATOS!$I$2:$I$20000&lt;&gt;"Lenguaje Musical")*(DATOS!$I$2:$I$20000&lt;&gt;"Coro")*(DATOS!$I$2:$I$20000&lt;&gt;"Conjunto"),DATOS!$K$2:$K$20000)),""))</f>
        <v/>
      </c>
      <c r="T197" t="str">
        <f>IF(S197="","",IFERROR(AVERAGEIFS(DATOS!$K$2:$K$20000,DATOS!$A$2:$A$20000,S197,DATOS!$G$2:$G$20000,CONFIG_METADATA!$B$4,DATOS!$I$2:$I$20000,"Lenguaje Musical"),""))</f>
        <v/>
      </c>
      <c r="U197" t="str">
        <f>IF(S197="","",IFERROR(AVERAGEIFS(DATOS!$K$2:$K$20000,DATOS!$A$2:$A$20000,S197,DATOS!$G$2:$G$20000,CONFIG_METADATA!$B$4,DATOS!$I$2:$I$20000,"Coro"),""))</f>
        <v/>
      </c>
      <c r="V197" t="str">
        <f>IF(S197="","",IFERROR(AVERAGEIFS(DATOS!$K$2:$K$20000,DATOS!$A$2:$A$20000,S197,DATOS!$G$2:$G$20000,CONFIG_METADATA!$B$4,DATOS!$I$2:$I$20000,"Conjunto"),""))</f>
        <v/>
      </c>
      <c r="W197" t="str" cm="1">
        <f t="array" ref="W197">IF(S197="","",IFERROR(AVERAGE(IF((DATOS!$A$2:$A$20000=S197)*(DATOS!$G$2:$G$20000=CONFIG_METADATA!$B$4)*(DATOS!$I$2:$I$20000&lt;&gt;"Lenguaje Musical")*(DATOS!$I$2:$I$20000&lt;&gt;"Coro")*(DATOS!$I$2:$I$20000&lt;&gt;"Conjunto"),DATOS!$K$2:$K$20000)),""))</f>
        <v/>
      </c>
    </row>
    <row r="198" spans="2:23" x14ac:dyDescent="0.2">
      <c r="B198" t="str">
        <f>IF(A198="","",IFERROR(AVERAGEIFS(DATOS!$K$2:$K$20000,DATOS!$A$2:$A$20000,A198,DATOS!$G$2:$G$20000,CONFIG_METADATA!$B$4,DATOS!$I$2:$I$20000,"Lenguaje Musical"),""))</f>
        <v/>
      </c>
      <c r="C198" t="str">
        <f>IF(A198="","",IFERROR(AVERAGEIFS(DATOS!$K$2:$K$20000,DATOS!$A$2:$A$20000,A198,DATOS!$G$2:$G$20000,CONFIG_METADATA!$B$4,DATOS!$I$2:$I$20000,"Coro"),""))</f>
        <v/>
      </c>
      <c r="D198" t="str">
        <f>IF(A198="","",IFERROR(AVERAGEIFS(DATOS!$K$2:$K$20000,DATOS!$A$2:$A$20000,A198,DATOS!$G$2:$G$20000,CONFIG_METADATA!$B$4,DATOS!$I$2:$I$20000,"Conjunto"),""))</f>
        <v/>
      </c>
      <c r="E198" t="str" cm="1">
        <f t="array" ref="E198">IF(A198="","",IFERROR(AVERAGE(IF((DATOS!$A$2:$A$20000=A198)*(DATOS!$G$2:$G$20000=CONFIG_METADATA!$B$4)*(DATOS!$I$2:$I$20000&lt;&gt;"Lenguaje Musical")*(DATOS!$I$2:$I$20000&lt;&gt;"Coro")*(DATOS!$I$2:$I$20000&lt;&gt;"Conjunto"),DATOS!$K$2:$K$20000)),""))</f>
        <v/>
      </c>
      <c r="H198" t="str">
        <f>IF(G198="","",IFERROR(AVERAGEIFS(DATOS!$K$2:$K$20000,DATOS!$A$2:$A$20000,G198,DATOS!$G$2:$G$20000,CONFIG_METADATA!$B$4,DATOS!$I$2:$I$20000,"Lenguaje Musical"),""))</f>
        <v/>
      </c>
      <c r="I198" t="str">
        <f>IF(G198="","",IFERROR(AVERAGEIFS(DATOS!$K$2:$K$20000,DATOS!$A$2:$A$20000,G198,DATOS!$G$2:$G$20000,CONFIG_METADATA!$B$4,DATOS!$I$2:$I$20000,"Coro"),""))</f>
        <v/>
      </c>
      <c r="J198" t="str">
        <f>IF(G198="","",IFERROR(AVERAGEIFS(DATOS!$K$2:$K$20000,DATOS!$A$2:$A$20000,G198,DATOS!$G$2:$G$20000,CONFIG_METADATA!$B$4,DATOS!$I$2:$I$20000,"Conjunto"),""))</f>
        <v/>
      </c>
      <c r="K198" t="str" cm="1">
        <f t="array" ref="K198">IF(G198="","",IFERROR(AVERAGE(IF((DATOS!$A$2:$A$20000=G198)*(DATOS!$G$2:$G$20000=CONFIG_METADATA!$B$4)*(DATOS!$I$2:$I$20000&lt;&gt;"Lenguaje Musical")*(DATOS!$I$2:$I$20000&lt;&gt;"Coro")*(DATOS!$I$2:$I$20000&lt;&gt;"Conjunto"),DATOS!$K$2:$K$20000)),""))</f>
        <v/>
      </c>
      <c r="N198" t="str">
        <f>IF(M198="","",IFERROR(AVERAGEIFS(DATOS!$K$2:$K$20000,DATOS!$A$2:$A$20000,M198,DATOS!$G$2:$G$20000,CONFIG_METADATA!$B$4,DATOS!$I$2:$I$20000,"Lenguaje Musical"),""))</f>
        <v/>
      </c>
      <c r="O198" t="str">
        <f>IF(M198="","",IFERROR(AVERAGEIFS(DATOS!$K$2:$K$20000,DATOS!$A$2:$A$20000,M198,DATOS!$G$2:$G$20000,CONFIG_METADATA!$B$4,DATOS!$I$2:$I$20000,"Coro"),""))</f>
        <v/>
      </c>
      <c r="P198" t="str">
        <f>IF(M198="","",IFERROR(AVERAGEIFS(DATOS!$K$2:$K$20000,DATOS!$A$2:$A$20000,M198,DATOS!$G$2:$G$20000,CONFIG_METADATA!$B$4,DATOS!$I$2:$I$20000,"Conjunto"),""))</f>
        <v/>
      </c>
      <c r="Q198" t="str" cm="1">
        <f t="array" ref="Q198">IF(M198="","",IFERROR(AVERAGE(IF((DATOS!$A$2:$A$20000=M198)*(DATOS!$G$2:$G$20000=CONFIG_METADATA!$B$4)*(DATOS!$I$2:$I$20000&lt;&gt;"Lenguaje Musical")*(DATOS!$I$2:$I$20000&lt;&gt;"Coro")*(DATOS!$I$2:$I$20000&lt;&gt;"Conjunto"),DATOS!$K$2:$K$20000)),""))</f>
        <v/>
      </c>
      <c r="T198" t="str">
        <f>IF(S198="","",IFERROR(AVERAGEIFS(DATOS!$K$2:$K$20000,DATOS!$A$2:$A$20000,S198,DATOS!$G$2:$G$20000,CONFIG_METADATA!$B$4,DATOS!$I$2:$I$20000,"Lenguaje Musical"),""))</f>
        <v/>
      </c>
      <c r="U198" t="str">
        <f>IF(S198="","",IFERROR(AVERAGEIFS(DATOS!$K$2:$K$20000,DATOS!$A$2:$A$20000,S198,DATOS!$G$2:$G$20000,CONFIG_METADATA!$B$4,DATOS!$I$2:$I$20000,"Coro"),""))</f>
        <v/>
      </c>
      <c r="V198" t="str">
        <f>IF(S198="","",IFERROR(AVERAGEIFS(DATOS!$K$2:$K$20000,DATOS!$A$2:$A$20000,S198,DATOS!$G$2:$G$20000,CONFIG_METADATA!$B$4,DATOS!$I$2:$I$20000,"Conjunto"),""))</f>
        <v/>
      </c>
      <c r="W198" t="str" cm="1">
        <f t="array" ref="W198">IF(S198="","",IFERROR(AVERAGE(IF((DATOS!$A$2:$A$20000=S198)*(DATOS!$G$2:$G$20000=CONFIG_METADATA!$B$4)*(DATOS!$I$2:$I$20000&lt;&gt;"Lenguaje Musical")*(DATOS!$I$2:$I$20000&lt;&gt;"Coro")*(DATOS!$I$2:$I$20000&lt;&gt;"Conjunto"),DATOS!$K$2:$K$20000)),""))</f>
        <v/>
      </c>
    </row>
    <row r="199" spans="2:23" x14ac:dyDescent="0.2">
      <c r="B199" t="str">
        <f>IF(A199="","",IFERROR(AVERAGEIFS(DATOS!$K$2:$K$20000,DATOS!$A$2:$A$20000,A199,DATOS!$G$2:$G$20000,CONFIG_METADATA!$B$4,DATOS!$I$2:$I$20000,"Lenguaje Musical"),""))</f>
        <v/>
      </c>
      <c r="C199" t="str">
        <f>IF(A199="","",IFERROR(AVERAGEIFS(DATOS!$K$2:$K$20000,DATOS!$A$2:$A$20000,A199,DATOS!$G$2:$G$20000,CONFIG_METADATA!$B$4,DATOS!$I$2:$I$20000,"Coro"),""))</f>
        <v/>
      </c>
      <c r="D199" t="str">
        <f>IF(A199="","",IFERROR(AVERAGEIFS(DATOS!$K$2:$K$20000,DATOS!$A$2:$A$20000,A199,DATOS!$G$2:$G$20000,CONFIG_METADATA!$B$4,DATOS!$I$2:$I$20000,"Conjunto"),""))</f>
        <v/>
      </c>
      <c r="E199" t="str" cm="1">
        <f t="array" ref="E199">IF(A199="","",IFERROR(AVERAGE(IF((DATOS!$A$2:$A$20000=A199)*(DATOS!$G$2:$G$20000=CONFIG_METADATA!$B$4)*(DATOS!$I$2:$I$20000&lt;&gt;"Lenguaje Musical")*(DATOS!$I$2:$I$20000&lt;&gt;"Coro")*(DATOS!$I$2:$I$20000&lt;&gt;"Conjunto"),DATOS!$K$2:$K$20000)),""))</f>
        <v/>
      </c>
      <c r="H199" t="str">
        <f>IF(G199="","",IFERROR(AVERAGEIFS(DATOS!$K$2:$K$20000,DATOS!$A$2:$A$20000,G199,DATOS!$G$2:$G$20000,CONFIG_METADATA!$B$4,DATOS!$I$2:$I$20000,"Lenguaje Musical"),""))</f>
        <v/>
      </c>
      <c r="I199" t="str">
        <f>IF(G199="","",IFERROR(AVERAGEIFS(DATOS!$K$2:$K$20000,DATOS!$A$2:$A$20000,G199,DATOS!$G$2:$G$20000,CONFIG_METADATA!$B$4,DATOS!$I$2:$I$20000,"Coro"),""))</f>
        <v/>
      </c>
      <c r="J199" t="str">
        <f>IF(G199="","",IFERROR(AVERAGEIFS(DATOS!$K$2:$K$20000,DATOS!$A$2:$A$20000,G199,DATOS!$G$2:$G$20000,CONFIG_METADATA!$B$4,DATOS!$I$2:$I$20000,"Conjunto"),""))</f>
        <v/>
      </c>
      <c r="K199" t="str" cm="1">
        <f t="array" ref="K199">IF(G199="","",IFERROR(AVERAGE(IF((DATOS!$A$2:$A$20000=G199)*(DATOS!$G$2:$G$20000=CONFIG_METADATA!$B$4)*(DATOS!$I$2:$I$20000&lt;&gt;"Lenguaje Musical")*(DATOS!$I$2:$I$20000&lt;&gt;"Coro")*(DATOS!$I$2:$I$20000&lt;&gt;"Conjunto"),DATOS!$K$2:$K$20000)),""))</f>
        <v/>
      </c>
      <c r="N199" t="str">
        <f>IF(M199="","",IFERROR(AVERAGEIFS(DATOS!$K$2:$K$20000,DATOS!$A$2:$A$20000,M199,DATOS!$G$2:$G$20000,CONFIG_METADATA!$B$4,DATOS!$I$2:$I$20000,"Lenguaje Musical"),""))</f>
        <v/>
      </c>
      <c r="O199" t="str">
        <f>IF(M199="","",IFERROR(AVERAGEIFS(DATOS!$K$2:$K$20000,DATOS!$A$2:$A$20000,M199,DATOS!$G$2:$G$20000,CONFIG_METADATA!$B$4,DATOS!$I$2:$I$20000,"Coro"),""))</f>
        <v/>
      </c>
      <c r="P199" t="str">
        <f>IF(M199="","",IFERROR(AVERAGEIFS(DATOS!$K$2:$K$20000,DATOS!$A$2:$A$20000,M199,DATOS!$G$2:$G$20000,CONFIG_METADATA!$B$4,DATOS!$I$2:$I$20000,"Conjunto"),""))</f>
        <v/>
      </c>
      <c r="Q199" t="str" cm="1">
        <f t="array" ref="Q199">IF(M199="","",IFERROR(AVERAGE(IF((DATOS!$A$2:$A$20000=M199)*(DATOS!$G$2:$G$20000=CONFIG_METADATA!$B$4)*(DATOS!$I$2:$I$20000&lt;&gt;"Lenguaje Musical")*(DATOS!$I$2:$I$20000&lt;&gt;"Coro")*(DATOS!$I$2:$I$20000&lt;&gt;"Conjunto"),DATOS!$K$2:$K$20000)),""))</f>
        <v/>
      </c>
      <c r="T199" t="str">
        <f>IF(S199="","",IFERROR(AVERAGEIFS(DATOS!$K$2:$K$20000,DATOS!$A$2:$A$20000,S199,DATOS!$G$2:$G$20000,CONFIG_METADATA!$B$4,DATOS!$I$2:$I$20000,"Lenguaje Musical"),""))</f>
        <v/>
      </c>
      <c r="U199" t="str">
        <f>IF(S199="","",IFERROR(AVERAGEIFS(DATOS!$K$2:$K$20000,DATOS!$A$2:$A$20000,S199,DATOS!$G$2:$G$20000,CONFIG_METADATA!$B$4,DATOS!$I$2:$I$20000,"Coro"),""))</f>
        <v/>
      </c>
      <c r="V199" t="str">
        <f>IF(S199="","",IFERROR(AVERAGEIFS(DATOS!$K$2:$K$20000,DATOS!$A$2:$A$20000,S199,DATOS!$G$2:$G$20000,CONFIG_METADATA!$B$4,DATOS!$I$2:$I$20000,"Conjunto"),""))</f>
        <v/>
      </c>
      <c r="W199" t="str" cm="1">
        <f t="array" ref="W199">IF(S199="","",IFERROR(AVERAGE(IF((DATOS!$A$2:$A$20000=S199)*(DATOS!$G$2:$G$20000=CONFIG_METADATA!$B$4)*(DATOS!$I$2:$I$20000&lt;&gt;"Lenguaje Musical")*(DATOS!$I$2:$I$20000&lt;&gt;"Coro")*(DATOS!$I$2:$I$20000&lt;&gt;"Conjunto"),DATOS!$K$2:$K$20000)),""))</f>
        <v/>
      </c>
    </row>
    <row r="200" spans="2:23" x14ac:dyDescent="0.2">
      <c r="B200" t="str">
        <f>IF(A200="","",IFERROR(AVERAGEIFS(DATOS!$K$2:$K$20000,DATOS!$A$2:$A$20000,A200,DATOS!$G$2:$G$20000,CONFIG_METADATA!$B$4,DATOS!$I$2:$I$20000,"Lenguaje Musical"),""))</f>
        <v/>
      </c>
      <c r="C200" t="str">
        <f>IF(A200="","",IFERROR(AVERAGEIFS(DATOS!$K$2:$K$20000,DATOS!$A$2:$A$20000,A200,DATOS!$G$2:$G$20000,CONFIG_METADATA!$B$4,DATOS!$I$2:$I$20000,"Coro"),""))</f>
        <v/>
      </c>
      <c r="D200" t="str">
        <f>IF(A200="","",IFERROR(AVERAGEIFS(DATOS!$K$2:$K$20000,DATOS!$A$2:$A$20000,A200,DATOS!$G$2:$G$20000,CONFIG_METADATA!$B$4,DATOS!$I$2:$I$20000,"Conjunto"),""))</f>
        <v/>
      </c>
      <c r="E200" t="str" cm="1">
        <f t="array" ref="E200">IF(A200="","",IFERROR(AVERAGE(IF((DATOS!$A$2:$A$20000=A200)*(DATOS!$G$2:$G$20000=CONFIG_METADATA!$B$4)*(DATOS!$I$2:$I$20000&lt;&gt;"Lenguaje Musical")*(DATOS!$I$2:$I$20000&lt;&gt;"Coro")*(DATOS!$I$2:$I$20000&lt;&gt;"Conjunto"),DATOS!$K$2:$K$20000)),""))</f>
        <v/>
      </c>
      <c r="H200" t="str">
        <f>IF(G200="","",IFERROR(AVERAGEIFS(DATOS!$K$2:$K$20000,DATOS!$A$2:$A$20000,G200,DATOS!$G$2:$G$20000,CONFIG_METADATA!$B$4,DATOS!$I$2:$I$20000,"Lenguaje Musical"),""))</f>
        <v/>
      </c>
      <c r="I200" t="str">
        <f>IF(G200="","",IFERROR(AVERAGEIFS(DATOS!$K$2:$K$20000,DATOS!$A$2:$A$20000,G200,DATOS!$G$2:$G$20000,CONFIG_METADATA!$B$4,DATOS!$I$2:$I$20000,"Coro"),""))</f>
        <v/>
      </c>
      <c r="J200" t="str">
        <f>IF(G200="","",IFERROR(AVERAGEIFS(DATOS!$K$2:$K$20000,DATOS!$A$2:$A$20000,G200,DATOS!$G$2:$G$20000,CONFIG_METADATA!$B$4,DATOS!$I$2:$I$20000,"Conjunto"),""))</f>
        <v/>
      </c>
      <c r="K200" t="str" cm="1">
        <f t="array" ref="K200">IF(G200="","",IFERROR(AVERAGE(IF((DATOS!$A$2:$A$20000=G200)*(DATOS!$G$2:$G$20000=CONFIG_METADATA!$B$4)*(DATOS!$I$2:$I$20000&lt;&gt;"Lenguaje Musical")*(DATOS!$I$2:$I$20000&lt;&gt;"Coro")*(DATOS!$I$2:$I$20000&lt;&gt;"Conjunto"),DATOS!$K$2:$K$20000)),""))</f>
        <v/>
      </c>
      <c r="N200" t="str">
        <f>IF(M200="","",IFERROR(AVERAGEIFS(DATOS!$K$2:$K$20000,DATOS!$A$2:$A$20000,M200,DATOS!$G$2:$G$20000,CONFIG_METADATA!$B$4,DATOS!$I$2:$I$20000,"Lenguaje Musical"),""))</f>
        <v/>
      </c>
      <c r="O200" t="str">
        <f>IF(M200="","",IFERROR(AVERAGEIFS(DATOS!$K$2:$K$20000,DATOS!$A$2:$A$20000,M200,DATOS!$G$2:$G$20000,CONFIG_METADATA!$B$4,DATOS!$I$2:$I$20000,"Coro"),""))</f>
        <v/>
      </c>
      <c r="P200" t="str">
        <f>IF(M200="","",IFERROR(AVERAGEIFS(DATOS!$K$2:$K$20000,DATOS!$A$2:$A$20000,M200,DATOS!$G$2:$G$20000,CONFIG_METADATA!$B$4,DATOS!$I$2:$I$20000,"Conjunto"),""))</f>
        <v/>
      </c>
      <c r="Q200" t="str" cm="1">
        <f t="array" ref="Q200">IF(M200="","",IFERROR(AVERAGE(IF((DATOS!$A$2:$A$20000=M200)*(DATOS!$G$2:$G$20000=CONFIG_METADATA!$B$4)*(DATOS!$I$2:$I$20000&lt;&gt;"Lenguaje Musical")*(DATOS!$I$2:$I$20000&lt;&gt;"Coro")*(DATOS!$I$2:$I$20000&lt;&gt;"Conjunto"),DATOS!$K$2:$K$20000)),""))</f>
        <v/>
      </c>
      <c r="T200" t="str">
        <f>IF(S200="","",IFERROR(AVERAGEIFS(DATOS!$K$2:$K$20000,DATOS!$A$2:$A$20000,S200,DATOS!$G$2:$G$20000,CONFIG_METADATA!$B$4,DATOS!$I$2:$I$20000,"Lenguaje Musical"),""))</f>
        <v/>
      </c>
      <c r="U200" t="str">
        <f>IF(S200="","",IFERROR(AVERAGEIFS(DATOS!$K$2:$K$20000,DATOS!$A$2:$A$20000,S200,DATOS!$G$2:$G$20000,CONFIG_METADATA!$B$4,DATOS!$I$2:$I$20000,"Coro"),""))</f>
        <v/>
      </c>
      <c r="V200" t="str">
        <f>IF(S200="","",IFERROR(AVERAGEIFS(DATOS!$K$2:$K$20000,DATOS!$A$2:$A$20000,S200,DATOS!$G$2:$G$20000,CONFIG_METADATA!$B$4,DATOS!$I$2:$I$20000,"Conjunto"),""))</f>
        <v/>
      </c>
      <c r="W200" t="str" cm="1">
        <f t="array" ref="W200">IF(S200="","",IFERROR(AVERAGE(IF((DATOS!$A$2:$A$20000=S200)*(DATOS!$G$2:$G$20000=CONFIG_METADATA!$B$4)*(DATOS!$I$2:$I$20000&lt;&gt;"Lenguaje Musical")*(DATOS!$I$2:$I$20000&lt;&gt;"Coro")*(DATOS!$I$2:$I$20000&lt;&gt;"Conjunto"),DATOS!$K$2:$K$20000)),""))</f>
        <v/>
      </c>
    </row>
    <row r="201" spans="2:23" x14ac:dyDescent="0.2">
      <c r="B201" t="str">
        <f>IF(A201="","",IFERROR(AVERAGEIFS(DATOS!$K$2:$K$20000,DATOS!$A$2:$A$20000,A201,DATOS!$G$2:$G$20000,CONFIG_METADATA!$B$4,DATOS!$I$2:$I$20000,"Lenguaje Musical"),""))</f>
        <v/>
      </c>
      <c r="C201" t="str">
        <f>IF(A201="","",IFERROR(AVERAGEIFS(DATOS!$K$2:$K$20000,DATOS!$A$2:$A$20000,A201,DATOS!$G$2:$G$20000,CONFIG_METADATA!$B$4,DATOS!$I$2:$I$20000,"Coro"),""))</f>
        <v/>
      </c>
      <c r="D201" t="str">
        <f>IF(A201="","",IFERROR(AVERAGEIFS(DATOS!$K$2:$K$20000,DATOS!$A$2:$A$20000,A201,DATOS!$G$2:$G$20000,CONFIG_METADATA!$B$4,DATOS!$I$2:$I$20000,"Conjunto"),""))</f>
        <v/>
      </c>
      <c r="E201" t="str" cm="1">
        <f t="array" ref="E201">IF(A201="","",IFERROR(AVERAGE(IF((DATOS!$A$2:$A$20000=A201)*(DATOS!$G$2:$G$20000=CONFIG_METADATA!$B$4)*(DATOS!$I$2:$I$20000&lt;&gt;"Lenguaje Musical")*(DATOS!$I$2:$I$20000&lt;&gt;"Coro")*(DATOS!$I$2:$I$20000&lt;&gt;"Conjunto"),DATOS!$K$2:$K$20000)),""))</f>
        <v/>
      </c>
      <c r="H201" t="str">
        <f>IF(G201="","",IFERROR(AVERAGEIFS(DATOS!$K$2:$K$20000,DATOS!$A$2:$A$20000,G201,DATOS!$G$2:$G$20000,CONFIG_METADATA!$B$4,DATOS!$I$2:$I$20000,"Lenguaje Musical"),""))</f>
        <v/>
      </c>
      <c r="I201" t="str">
        <f>IF(G201="","",IFERROR(AVERAGEIFS(DATOS!$K$2:$K$20000,DATOS!$A$2:$A$20000,G201,DATOS!$G$2:$G$20000,CONFIG_METADATA!$B$4,DATOS!$I$2:$I$20000,"Coro"),""))</f>
        <v/>
      </c>
      <c r="J201" t="str">
        <f>IF(G201="","",IFERROR(AVERAGEIFS(DATOS!$K$2:$K$20000,DATOS!$A$2:$A$20000,G201,DATOS!$G$2:$G$20000,CONFIG_METADATA!$B$4,DATOS!$I$2:$I$20000,"Conjunto"),""))</f>
        <v/>
      </c>
      <c r="K201" t="str" cm="1">
        <f t="array" ref="K201">IF(G201="","",IFERROR(AVERAGE(IF((DATOS!$A$2:$A$20000=G201)*(DATOS!$G$2:$G$20000=CONFIG_METADATA!$B$4)*(DATOS!$I$2:$I$20000&lt;&gt;"Lenguaje Musical")*(DATOS!$I$2:$I$20000&lt;&gt;"Coro")*(DATOS!$I$2:$I$20000&lt;&gt;"Conjunto"),DATOS!$K$2:$K$20000)),""))</f>
        <v/>
      </c>
      <c r="N201" t="str">
        <f>IF(M201="","",IFERROR(AVERAGEIFS(DATOS!$K$2:$K$20000,DATOS!$A$2:$A$20000,M201,DATOS!$G$2:$G$20000,CONFIG_METADATA!$B$4,DATOS!$I$2:$I$20000,"Lenguaje Musical"),""))</f>
        <v/>
      </c>
      <c r="O201" t="str">
        <f>IF(M201="","",IFERROR(AVERAGEIFS(DATOS!$K$2:$K$20000,DATOS!$A$2:$A$20000,M201,DATOS!$G$2:$G$20000,CONFIG_METADATA!$B$4,DATOS!$I$2:$I$20000,"Coro"),""))</f>
        <v/>
      </c>
      <c r="P201" t="str">
        <f>IF(M201="","",IFERROR(AVERAGEIFS(DATOS!$K$2:$K$20000,DATOS!$A$2:$A$20000,M201,DATOS!$G$2:$G$20000,CONFIG_METADATA!$B$4,DATOS!$I$2:$I$20000,"Conjunto"),""))</f>
        <v/>
      </c>
      <c r="Q201" t="str" cm="1">
        <f t="array" ref="Q201">IF(M201="","",IFERROR(AVERAGE(IF((DATOS!$A$2:$A$20000=M201)*(DATOS!$G$2:$G$20000=CONFIG_METADATA!$B$4)*(DATOS!$I$2:$I$20000&lt;&gt;"Lenguaje Musical")*(DATOS!$I$2:$I$20000&lt;&gt;"Coro")*(DATOS!$I$2:$I$20000&lt;&gt;"Conjunto"),DATOS!$K$2:$K$20000)),""))</f>
        <v/>
      </c>
      <c r="T201" t="str">
        <f>IF(S201="","",IFERROR(AVERAGEIFS(DATOS!$K$2:$K$20000,DATOS!$A$2:$A$20000,S201,DATOS!$G$2:$G$20000,CONFIG_METADATA!$B$4,DATOS!$I$2:$I$20000,"Lenguaje Musical"),""))</f>
        <v/>
      </c>
      <c r="U201" t="str">
        <f>IF(S201="","",IFERROR(AVERAGEIFS(DATOS!$K$2:$K$20000,DATOS!$A$2:$A$20000,S201,DATOS!$G$2:$G$20000,CONFIG_METADATA!$B$4,DATOS!$I$2:$I$20000,"Coro"),""))</f>
        <v/>
      </c>
      <c r="V201" t="str">
        <f>IF(S201="","",IFERROR(AVERAGEIFS(DATOS!$K$2:$K$20000,DATOS!$A$2:$A$20000,S201,DATOS!$G$2:$G$20000,CONFIG_METADATA!$B$4,DATOS!$I$2:$I$20000,"Conjunto"),""))</f>
        <v/>
      </c>
      <c r="W201" t="str" cm="1">
        <f t="array" ref="W201">IF(S201="","",IFERROR(AVERAGE(IF((DATOS!$A$2:$A$20000=S201)*(DATOS!$G$2:$G$20000=CONFIG_METADATA!$B$4)*(DATOS!$I$2:$I$20000&lt;&gt;"Lenguaje Musical")*(DATOS!$I$2:$I$20000&lt;&gt;"Coro")*(DATOS!$I$2:$I$20000&lt;&gt;"Conjunto"),DATOS!$K$2:$K$20000)),""))</f>
        <v/>
      </c>
    </row>
    <row r="202" spans="2:23" x14ac:dyDescent="0.2">
      <c r="B202" t="str">
        <f>IF(A202="","",IFERROR(AVERAGEIFS(DATOS!$K$2:$K$20000,DATOS!$A$2:$A$20000,A202,DATOS!$G$2:$G$20000,CONFIG_METADATA!$B$4,DATOS!$I$2:$I$20000,"Lenguaje Musical"),""))</f>
        <v/>
      </c>
      <c r="C202" t="str">
        <f>IF(A202="","",IFERROR(AVERAGEIFS(DATOS!$K$2:$K$20000,DATOS!$A$2:$A$20000,A202,DATOS!$G$2:$G$20000,CONFIG_METADATA!$B$4,DATOS!$I$2:$I$20000,"Coro"),""))</f>
        <v/>
      </c>
      <c r="D202" t="str">
        <f>IF(A202="","",IFERROR(AVERAGEIFS(DATOS!$K$2:$K$20000,DATOS!$A$2:$A$20000,A202,DATOS!$G$2:$G$20000,CONFIG_METADATA!$B$4,DATOS!$I$2:$I$20000,"Conjunto"),""))</f>
        <v/>
      </c>
      <c r="E202" t="str" cm="1">
        <f t="array" ref="E202">IF(A202="","",IFERROR(AVERAGE(IF((DATOS!$A$2:$A$20000=A202)*(DATOS!$G$2:$G$20000=CONFIG_METADATA!$B$4)*(DATOS!$I$2:$I$20000&lt;&gt;"Lenguaje Musical")*(DATOS!$I$2:$I$20000&lt;&gt;"Coro")*(DATOS!$I$2:$I$20000&lt;&gt;"Conjunto"),DATOS!$K$2:$K$20000)),""))</f>
        <v/>
      </c>
      <c r="H202" t="str">
        <f>IF(G202="","",IFERROR(AVERAGEIFS(DATOS!$K$2:$K$20000,DATOS!$A$2:$A$20000,G202,DATOS!$G$2:$G$20000,CONFIG_METADATA!$B$4,DATOS!$I$2:$I$20000,"Lenguaje Musical"),""))</f>
        <v/>
      </c>
      <c r="I202" t="str">
        <f>IF(G202="","",IFERROR(AVERAGEIFS(DATOS!$K$2:$K$20000,DATOS!$A$2:$A$20000,G202,DATOS!$G$2:$G$20000,CONFIG_METADATA!$B$4,DATOS!$I$2:$I$20000,"Coro"),""))</f>
        <v/>
      </c>
      <c r="J202" t="str">
        <f>IF(G202="","",IFERROR(AVERAGEIFS(DATOS!$K$2:$K$20000,DATOS!$A$2:$A$20000,G202,DATOS!$G$2:$G$20000,CONFIG_METADATA!$B$4,DATOS!$I$2:$I$20000,"Conjunto"),""))</f>
        <v/>
      </c>
      <c r="K202" t="str" cm="1">
        <f t="array" ref="K202">IF(G202="","",IFERROR(AVERAGE(IF((DATOS!$A$2:$A$20000=G202)*(DATOS!$G$2:$G$20000=CONFIG_METADATA!$B$4)*(DATOS!$I$2:$I$20000&lt;&gt;"Lenguaje Musical")*(DATOS!$I$2:$I$20000&lt;&gt;"Coro")*(DATOS!$I$2:$I$20000&lt;&gt;"Conjunto"),DATOS!$K$2:$K$20000)),""))</f>
        <v/>
      </c>
      <c r="N202" t="str">
        <f>IF(M202="","",IFERROR(AVERAGEIFS(DATOS!$K$2:$K$20000,DATOS!$A$2:$A$20000,M202,DATOS!$G$2:$G$20000,CONFIG_METADATA!$B$4,DATOS!$I$2:$I$20000,"Lenguaje Musical"),""))</f>
        <v/>
      </c>
      <c r="O202" t="str">
        <f>IF(M202="","",IFERROR(AVERAGEIFS(DATOS!$K$2:$K$20000,DATOS!$A$2:$A$20000,M202,DATOS!$G$2:$G$20000,CONFIG_METADATA!$B$4,DATOS!$I$2:$I$20000,"Coro"),""))</f>
        <v/>
      </c>
      <c r="P202" t="str">
        <f>IF(M202="","",IFERROR(AVERAGEIFS(DATOS!$K$2:$K$20000,DATOS!$A$2:$A$20000,M202,DATOS!$G$2:$G$20000,CONFIG_METADATA!$B$4,DATOS!$I$2:$I$20000,"Conjunto"),""))</f>
        <v/>
      </c>
      <c r="Q202" t="str" cm="1">
        <f t="array" ref="Q202">IF(M202="","",IFERROR(AVERAGE(IF((DATOS!$A$2:$A$20000=M202)*(DATOS!$G$2:$G$20000=CONFIG_METADATA!$B$4)*(DATOS!$I$2:$I$20000&lt;&gt;"Lenguaje Musical")*(DATOS!$I$2:$I$20000&lt;&gt;"Coro")*(DATOS!$I$2:$I$20000&lt;&gt;"Conjunto"),DATOS!$K$2:$K$20000)),""))</f>
        <v/>
      </c>
      <c r="T202" t="str">
        <f>IF(S202="","",IFERROR(AVERAGEIFS(DATOS!$K$2:$K$20000,DATOS!$A$2:$A$20000,S202,DATOS!$G$2:$G$20000,CONFIG_METADATA!$B$4,DATOS!$I$2:$I$20000,"Lenguaje Musical"),""))</f>
        <v/>
      </c>
      <c r="U202" t="str">
        <f>IF(S202="","",IFERROR(AVERAGEIFS(DATOS!$K$2:$K$20000,DATOS!$A$2:$A$20000,S202,DATOS!$G$2:$G$20000,CONFIG_METADATA!$B$4,DATOS!$I$2:$I$20000,"Coro"),""))</f>
        <v/>
      </c>
      <c r="V202" t="str">
        <f>IF(S202="","",IFERROR(AVERAGEIFS(DATOS!$K$2:$K$20000,DATOS!$A$2:$A$20000,S202,DATOS!$G$2:$G$20000,CONFIG_METADATA!$B$4,DATOS!$I$2:$I$20000,"Conjunto"),""))</f>
        <v/>
      </c>
      <c r="W202" t="str" cm="1">
        <f t="array" ref="W202">IF(S202="","",IFERROR(AVERAGE(IF((DATOS!$A$2:$A$20000=S202)*(DATOS!$G$2:$G$20000=CONFIG_METADATA!$B$4)*(DATOS!$I$2:$I$20000&lt;&gt;"Lenguaje Musical")*(DATOS!$I$2:$I$20000&lt;&gt;"Coro")*(DATOS!$I$2:$I$20000&lt;&gt;"Conjunto"),DATOS!$K$2:$K$20000)),""))</f>
        <v/>
      </c>
    </row>
    <row r="203" spans="2:23" x14ac:dyDescent="0.2">
      <c r="B203" t="str">
        <f>IF(A203="","",IFERROR(AVERAGEIFS(DATOS!$K$2:$K$20000,DATOS!$A$2:$A$20000,A203,DATOS!$G$2:$G$20000,CONFIG_METADATA!$B$4,DATOS!$I$2:$I$20000,"Lenguaje Musical"),""))</f>
        <v/>
      </c>
      <c r="C203" t="str">
        <f>IF(A203="","",IFERROR(AVERAGEIFS(DATOS!$K$2:$K$20000,DATOS!$A$2:$A$20000,A203,DATOS!$G$2:$G$20000,CONFIG_METADATA!$B$4,DATOS!$I$2:$I$20000,"Coro"),""))</f>
        <v/>
      </c>
      <c r="D203" t="str">
        <f>IF(A203="","",IFERROR(AVERAGEIFS(DATOS!$K$2:$K$20000,DATOS!$A$2:$A$20000,A203,DATOS!$G$2:$G$20000,CONFIG_METADATA!$B$4,DATOS!$I$2:$I$20000,"Conjunto"),""))</f>
        <v/>
      </c>
      <c r="E203" t="str" cm="1">
        <f t="array" ref="E203">IF(A203="","",IFERROR(AVERAGE(IF((DATOS!$A$2:$A$20000=A203)*(DATOS!$G$2:$G$20000=CONFIG_METADATA!$B$4)*(DATOS!$I$2:$I$20000&lt;&gt;"Lenguaje Musical")*(DATOS!$I$2:$I$20000&lt;&gt;"Coro")*(DATOS!$I$2:$I$20000&lt;&gt;"Conjunto"),DATOS!$K$2:$K$20000)),""))</f>
        <v/>
      </c>
      <c r="H203" t="str">
        <f>IF(G203="","",IFERROR(AVERAGEIFS(DATOS!$K$2:$K$20000,DATOS!$A$2:$A$20000,G203,DATOS!$G$2:$G$20000,CONFIG_METADATA!$B$4,DATOS!$I$2:$I$20000,"Lenguaje Musical"),""))</f>
        <v/>
      </c>
      <c r="I203" t="str">
        <f>IF(G203="","",IFERROR(AVERAGEIFS(DATOS!$K$2:$K$20000,DATOS!$A$2:$A$20000,G203,DATOS!$G$2:$G$20000,CONFIG_METADATA!$B$4,DATOS!$I$2:$I$20000,"Coro"),""))</f>
        <v/>
      </c>
      <c r="J203" t="str">
        <f>IF(G203="","",IFERROR(AVERAGEIFS(DATOS!$K$2:$K$20000,DATOS!$A$2:$A$20000,G203,DATOS!$G$2:$G$20000,CONFIG_METADATA!$B$4,DATOS!$I$2:$I$20000,"Conjunto"),""))</f>
        <v/>
      </c>
      <c r="K203" t="str" cm="1">
        <f t="array" ref="K203">IF(G203="","",IFERROR(AVERAGE(IF((DATOS!$A$2:$A$20000=G203)*(DATOS!$G$2:$G$20000=CONFIG_METADATA!$B$4)*(DATOS!$I$2:$I$20000&lt;&gt;"Lenguaje Musical")*(DATOS!$I$2:$I$20000&lt;&gt;"Coro")*(DATOS!$I$2:$I$20000&lt;&gt;"Conjunto"),DATOS!$K$2:$K$20000)),""))</f>
        <v/>
      </c>
      <c r="N203" t="str">
        <f>IF(M203="","",IFERROR(AVERAGEIFS(DATOS!$K$2:$K$20000,DATOS!$A$2:$A$20000,M203,DATOS!$G$2:$G$20000,CONFIG_METADATA!$B$4,DATOS!$I$2:$I$20000,"Lenguaje Musical"),""))</f>
        <v/>
      </c>
      <c r="O203" t="str">
        <f>IF(M203="","",IFERROR(AVERAGEIFS(DATOS!$K$2:$K$20000,DATOS!$A$2:$A$20000,M203,DATOS!$G$2:$G$20000,CONFIG_METADATA!$B$4,DATOS!$I$2:$I$20000,"Coro"),""))</f>
        <v/>
      </c>
      <c r="P203" t="str">
        <f>IF(M203="","",IFERROR(AVERAGEIFS(DATOS!$K$2:$K$20000,DATOS!$A$2:$A$20000,M203,DATOS!$G$2:$G$20000,CONFIG_METADATA!$B$4,DATOS!$I$2:$I$20000,"Conjunto"),""))</f>
        <v/>
      </c>
      <c r="Q203" t="str" cm="1">
        <f t="array" ref="Q203">IF(M203="","",IFERROR(AVERAGE(IF((DATOS!$A$2:$A$20000=M203)*(DATOS!$G$2:$G$20000=CONFIG_METADATA!$B$4)*(DATOS!$I$2:$I$20000&lt;&gt;"Lenguaje Musical")*(DATOS!$I$2:$I$20000&lt;&gt;"Coro")*(DATOS!$I$2:$I$20000&lt;&gt;"Conjunto"),DATOS!$K$2:$K$20000)),""))</f>
        <v/>
      </c>
      <c r="T203" t="str">
        <f>IF(S203="","",IFERROR(AVERAGEIFS(DATOS!$K$2:$K$20000,DATOS!$A$2:$A$20000,S203,DATOS!$G$2:$G$20000,CONFIG_METADATA!$B$4,DATOS!$I$2:$I$20000,"Lenguaje Musical"),""))</f>
        <v/>
      </c>
      <c r="U203" t="str">
        <f>IF(S203="","",IFERROR(AVERAGEIFS(DATOS!$K$2:$K$20000,DATOS!$A$2:$A$20000,S203,DATOS!$G$2:$G$20000,CONFIG_METADATA!$B$4,DATOS!$I$2:$I$20000,"Coro"),""))</f>
        <v/>
      </c>
      <c r="V203" t="str">
        <f>IF(S203="","",IFERROR(AVERAGEIFS(DATOS!$K$2:$K$20000,DATOS!$A$2:$A$20000,S203,DATOS!$G$2:$G$20000,CONFIG_METADATA!$B$4,DATOS!$I$2:$I$20000,"Conjunto"),""))</f>
        <v/>
      </c>
      <c r="W203" t="str" cm="1">
        <f t="array" ref="W203">IF(S203="","",IFERROR(AVERAGE(IF((DATOS!$A$2:$A$20000=S203)*(DATOS!$G$2:$G$20000=CONFIG_METADATA!$B$4)*(DATOS!$I$2:$I$20000&lt;&gt;"Lenguaje Musical")*(DATOS!$I$2:$I$20000&lt;&gt;"Coro")*(DATOS!$I$2:$I$20000&lt;&gt;"Conjunto"),DATOS!$K$2:$K$20000)),""))</f>
        <v/>
      </c>
    </row>
    <row r="204" spans="2:23" x14ac:dyDescent="0.2">
      <c r="B204" t="str">
        <f>IF(A204="","",IFERROR(AVERAGEIFS(DATOS!$K$2:$K$20000,DATOS!$A$2:$A$20000,A204,DATOS!$G$2:$G$20000,CONFIG_METADATA!$B$4,DATOS!$I$2:$I$20000,"Lenguaje Musical"),""))</f>
        <v/>
      </c>
      <c r="C204" t="str">
        <f>IF(A204="","",IFERROR(AVERAGEIFS(DATOS!$K$2:$K$20000,DATOS!$A$2:$A$20000,A204,DATOS!$G$2:$G$20000,CONFIG_METADATA!$B$4,DATOS!$I$2:$I$20000,"Coro"),""))</f>
        <v/>
      </c>
      <c r="D204" t="str">
        <f>IF(A204="","",IFERROR(AVERAGEIFS(DATOS!$K$2:$K$20000,DATOS!$A$2:$A$20000,A204,DATOS!$G$2:$G$20000,CONFIG_METADATA!$B$4,DATOS!$I$2:$I$20000,"Conjunto"),""))</f>
        <v/>
      </c>
      <c r="E204" t="str" cm="1">
        <f t="array" ref="E204">IF(A204="","",IFERROR(AVERAGE(IF((DATOS!$A$2:$A$20000=A204)*(DATOS!$G$2:$G$20000=CONFIG_METADATA!$B$4)*(DATOS!$I$2:$I$20000&lt;&gt;"Lenguaje Musical")*(DATOS!$I$2:$I$20000&lt;&gt;"Coro")*(DATOS!$I$2:$I$20000&lt;&gt;"Conjunto"),DATOS!$K$2:$K$20000)),""))</f>
        <v/>
      </c>
      <c r="H204" t="str">
        <f>IF(G204="","",IFERROR(AVERAGEIFS(DATOS!$K$2:$K$20000,DATOS!$A$2:$A$20000,G204,DATOS!$G$2:$G$20000,CONFIG_METADATA!$B$4,DATOS!$I$2:$I$20000,"Lenguaje Musical"),""))</f>
        <v/>
      </c>
      <c r="I204" t="str">
        <f>IF(G204="","",IFERROR(AVERAGEIFS(DATOS!$K$2:$K$20000,DATOS!$A$2:$A$20000,G204,DATOS!$G$2:$G$20000,CONFIG_METADATA!$B$4,DATOS!$I$2:$I$20000,"Coro"),""))</f>
        <v/>
      </c>
      <c r="J204" t="str">
        <f>IF(G204="","",IFERROR(AVERAGEIFS(DATOS!$K$2:$K$20000,DATOS!$A$2:$A$20000,G204,DATOS!$G$2:$G$20000,CONFIG_METADATA!$B$4,DATOS!$I$2:$I$20000,"Conjunto"),""))</f>
        <v/>
      </c>
      <c r="K204" t="str" cm="1">
        <f t="array" ref="K204">IF(G204="","",IFERROR(AVERAGE(IF((DATOS!$A$2:$A$20000=G204)*(DATOS!$G$2:$G$20000=CONFIG_METADATA!$B$4)*(DATOS!$I$2:$I$20000&lt;&gt;"Lenguaje Musical")*(DATOS!$I$2:$I$20000&lt;&gt;"Coro")*(DATOS!$I$2:$I$20000&lt;&gt;"Conjunto"),DATOS!$K$2:$K$20000)),""))</f>
        <v/>
      </c>
      <c r="N204" t="str">
        <f>IF(M204="","",IFERROR(AVERAGEIFS(DATOS!$K$2:$K$20000,DATOS!$A$2:$A$20000,M204,DATOS!$G$2:$G$20000,CONFIG_METADATA!$B$4,DATOS!$I$2:$I$20000,"Lenguaje Musical"),""))</f>
        <v/>
      </c>
      <c r="O204" t="str">
        <f>IF(M204="","",IFERROR(AVERAGEIFS(DATOS!$K$2:$K$20000,DATOS!$A$2:$A$20000,M204,DATOS!$G$2:$G$20000,CONFIG_METADATA!$B$4,DATOS!$I$2:$I$20000,"Coro"),""))</f>
        <v/>
      </c>
      <c r="P204" t="str">
        <f>IF(M204="","",IFERROR(AVERAGEIFS(DATOS!$K$2:$K$20000,DATOS!$A$2:$A$20000,M204,DATOS!$G$2:$G$20000,CONFIG_METADATA!$B$4,DATOS!$I$2:$I$20000,"Conjunto"),""))</f>
        <v/>
      </c>
      <c r="Q204" t="str" cm="1">
        <f t="array" ref="Q204">IF(M204="","",IFERROR(AVERAGE(IF((DATOS!$A$2:$A$20000=M204)*(DATOS!$G$2:$G$20000=CONFIG_METADATA!$B$4)*(DATOS!$I$2:$I$20000&lt;&gt;"Lenguaje Musical")*(DATOS!$I$2:$I$20000&lt;&gt;"Coro")*(DATOS!$I$2:$I$20000&lt;&gt;"Conjunto"),DATOS!$K$2:$K$20000)),""))</f>
        <v/>
      </c>
      <c r="T204" t="str">
        <f>IF(S204="","",IFERROR(AVERAGEIFS(DATOS!$K$2:$K$20000,DATOS!$A$2:$A$20000,S204,DATOS!$G$2:$G$20000,CONFIG_METADATA!$B$4,DATOS!$I$2:$I$20000,"Lenguaje Musical"),""))</f>
        <v/>
      </c>
      <c r="U204" t="str">
        <f>IF(S204="","",IFERROR(AVERAGEIFS(DATOS!$K$2:$K$20000,DATOS!$A$2:$A$20000,S204,DATOS!$G$2:$G$20000,CONFIG_METADATA!$B$4,DATOS!$I$2:$I$20000,"Coro"),""))</f>
        <v/>
      </c>
      <c r="V204" t="str">
        <f>IF(S204="","",IFERROR(AVERAGEIFS(DATOS!$K$2:$K$20000,DATOS!$A$2:$A$20000,S204,DATOS!$G$2:$G$20000,CONFIG_METADATA!$B$4,DATOS!$I$2:$I$20000,"Conjunto"),""))</f>
        <v/>
      </c>
      <c r="W204" t="str" cm="1">
        <f t="array" ref="W204">IF(S204="","",IFERROR(AVERAGE(IF((DATOS!$A$2:$A$20000=S204)*(DATOS!$G$2:$G$20000=CONFIG_METADATA!$B$4)*(DATOS!$I$2:$I$20000&lt;&gt;"Lenguaje Musical")*(DATOS!$I$2:$I$20000&lt;&gt;"Coro")*(DATOS!$I$2:$I$20000&lt;&gt;"Conjunto"),DATOS!$K$2:$K$20000)),""))</f>
        <v/>
      </c>
    </row>
    <row r="205" spans="2:23" x14ac:dyDescent="0.2">
      <c r="B205" t="str">
        <f>IF(A205="","",IFERROR(AVERAGEIFS(DATOS!$K$2:$K$20000,DATOS!$A$2:$A$20000,A205,DATOS!$G$2:$G$20000,CONFIG_METADATA!$B$4,DATOS!$I$2:$I$20000,"Lenguaje Musical"),""))</f>
        <v/>
      </c>
      <c r="C205" t="str">
        <f>IF(A205="","",IFERROR(AVERAGEIFS(DATOS!$K$2:$K$20000,DATOS!$A$2:$A$20000,A205,DATOS!$G$2:$G$20000,CONFIG_METADATA!$B$4,DATOS!$I$2:$I$20000,"Coro"),""))</f>
        <v/>
      </c>
      <c r="D205" t="str">
        <f>IF(A205="","",IFERROR(AVERAGEIFS(DATOS!$K$2:$K$20000,DATOS!$A$2:$A$20000,A205,DATOS!$G$2:$G$20000,CONFIG_METADATA!$B$4,DATOS!$I$2:$I$20000,"Conjunto"),""))</f>
        <v/>
      </c>
      <c r="E205" t="str" cm="1">
        <f t="array" ref="E205">IF(A205="","",IFERROR(AVERAGE(IF((DATOS!$A$2:$A$20000=A205)*(DATOS!$G$2:$G$20000=CONFIG_METADATA!$B$4)*(DATOS!$I$2:$I$20000&lt;&gt;"Lenguaje Musical")*(DATOS!$I$2:$I$20000&lt;&gt;"Coro")*(DATOS!$I$2:$I$20000&lt;&gt;"Conjunto"),DATOS!$K$2:$K$20000)),""))</f>
        <v/>
      </c>
      <c r="H205" t="str">
        <f>IF(G205="","",IFERROR(AVERAGEIFS(DATOS!$K$2:$K$20000,DATOS!$A$2:$A$20000,G205,DATOS!$G$2:$G$20000,CONFIG_METADATA!$B$4,DATOS!$I$2:$I$20000,"Lenguaje Musical"),""))</f>
        <v/>
      </c>
      <c r="I205" t="str">
        <f>IF(G205="","",IFERROR(AVERAGEIFS(DATOS!$K$2:$K$20000,DATOS!$A$2:$A$20000,G205,DATOS!$G$2:$G$20000,CONFIG_METADATA!$B$4,DATOS!$I$2:$I$20000,"Coro"),""))</f>
        <v/>
      </c>
      <c r="J205" t="str">
        <f>IF(G205="","",IFERROR(AVERAGEIFS(DATOS!$K$2:$K$20000,DATOS!$A$2:$A$20000,G205,DATOS!$G$2:$G$20000,CONFIG_METADATA!$B$4,DATOS!$I$2:$I$20000,"Conjunto"),""))</f>
        <v/>
      </c>
      <c r="K205" t="str" cm="1">
        <f t="array" ref="K205">IF(G205="","",IFERROR(AVERAGE(IF((DATOS!$A$2:$A$20000=G205)*(DATOS!$G$2:$G$20000=CONFIG_METADATA!$B$4)*(DATOS!$I$2:$I$20000&lt;&gt;"Lenguaje Musical")*(DATOS!$I$2:$I$20000&lt;&gt;"Coro")*(DATOS!$I$2:$I$20000&lt;&gt;"Conjunto"),DATOS!$K$2:$K$20000)),""))</f>
        <v/>
      </c>
      <c r="N205" t="str">
        <f>IF(M205="","",IFERROR(AVERAGEIFS(DATOS!$K$2:$K$20000,DATOS!$A$2:$A$20000,M205,DATOS!$G$2:$G$20000,CONFIG_METADATA!$B$4,DATOS!$I$2:$I$20000,"Lenguaje Musical"),""))</f>
        <v/>
      </c>
      <c r="O205" t="str">
        <f>IF(M205="","",IFERROR(AVERAGEIFS(DATOS!$K$2:$K$20000,DATOS!$A$2:$A$20000,M205,DATOS!$G$2:$G$20000,CONFIG_METADATA!$B$4,DATOS!$I$2:$I$20000,"Coro"),""))</f>
        <v/>
      </c>
      <c r="P205" t="str">
        <f>IF(M205="","",IFERROR(AVERAGEIFS(DATOS!$K$2:$K$20000,DATOS!$A$2:$A$20000,M205,DATOS!$G$2:$G$20000,CONFIG_METADATA!$B$4,DATOS!$I$2:$I$20000,"Conjunto"),""))</f>
        <v/>
      </c>
      <c r="Q205" t="str" cm="1">
        <f t="array" ref="Q205">IF(M205="","",IFERROR(AVERAGE(IF((DATOS!$A$2:$A$20000=M205)*(DATOS!$G$2:$G$20000=CONFIG_METADATA!$B$4)*(DATOS!$I$2:$I$20000&lt;&gt;"Lenguaje Musical")*(DATOS!$I$2:$I$20000&lt;&gt;"Coro")*(DATOS!$I$2:$I$20000&lt;&gt;"Conjunto"),DATOS!$K$2:$K$20000)),""))</f>
        <v/>
      </c>
      <c r="T205" t="str">
        <f>IF(S205="","",IFERROR(AVERAGEIFS(DATOS!$K$2:$K$20000,DATOS!$A$2:$A$20000,S205,DATOS!$G$2:$G$20000,CONFIG_METADATA!$B$4,DATOS!$I$2:$I$20000,"Lenguaje Musical"),""))</f>
        <v/>
      </c>
      <c r="U205" t="str">
        <f>IF(S205="","",IFERROR(AVERAGEIFS(DATOS!$K$2:$K$20000,DATOS!$A$2:$A$20000,S205,DATOS!$G$2:$G$20000,CONFIG_METADATA!$B$4,DATOS!$I$2:$I$20000,"Coro"),""))</f>
        <v/>
      </c>
      <c r="V205" t="str">
        <f>IF(S205="","",IFERROR(AVERAGEIFS(DATOS!$K$2:$K$20000,DATOS!$A$2:$A$20000,S205,DATOS!$G$2:$G$20000,CONFIG_METADATA!$B$4,DATOS!$I$2:$I$20000,"Conjunto"),""))</f>
        <v/>
      </c>
      <c r="W205" t="str" cm="1">
        <f t="array" ref="W205">IF(S205="","",IFERROR(AVERAGE(IF((DATOS!$A$2:$A$20000=S205)*(DATOS!$G$2:$G$20000=CONFIG_METADATA!$B$4)*(DATOS!$I$2:$I$20000&lt;&gt;"Lenguaje Musical")*(DATOS!$I$2:$I$20000&lt;&gt;"Coro")*(DATOS!$I$2:$I$20000&lt;&gt;"Conjunto"),DATOS!$K$2:$K$20000)),""))</f>
        <v/>
      </c>
    </row>
    <row r="206" spans="2:23" x14ac:dyDescent="0.2">
      <c r="B206" t="str">
        <f>IF(A206="","",IFERROR(AVERAGEIFS(DATOS!$K$2:$K$20000,DATOS!$A$2:$A$20000,A206,DATOS!$G$2:$G$20000,CONFIG_METADATA!$B$4,DATOS!$I$2:$I$20000,"Lenguaje Musical"),""))</f>
        <v/>
      </c>
      <c r="C206" t="str">
        <f>IF(A206="","",IFERROR(AVERAGEIFS(DATOS!$K$2:$K$20000,DATOS!$A$2:$A$20000,A206,DATOS!$G$2:$G$20000,CONFIG_METADATA!$B$4,DATOS!$I$2:$I$20000,"Coro"),""))</f>
        <v/>
      </c>
      <c r="D206" t="str">
        <f>IF(A206="","",IFERROR(AVERAGEIFS(DATOS!$K$2:$K$20000,DATOS!$A$2:$A$20000,A206,DATOS!$G$2:$G$20000,CONFIG_METADATA!$B$4,DATOS!$I$2:$I$20000,"Conjunto"),""))</f>
        <v/>
      </c>
      <c r="E206" t="str" cm="1">
        <f t="array" ref="E206">IF(A206="","",IFERROR(AVERAGE(IF((DATOS!$A$2:$A$20000=A206)*(DATOS!$G$2:$G$20000=CONFIG_METADATA!$B$4)*(DATOS!$I$2:$I$20000&lt;&gt;"Lenguaje Musical")*(DATOS!$I$2:$I$20000&lt;&gt;"Coro")*(DATOS!$I$2:$I$20000&lt;&gt;"Conjunto"),DATOS!$K$2:$K$20000)),""))</f>
        <v/>
      </c>
      <c r="H206" t="str">
        <f>IF(G206="","",IFERROR(AVERAGEIFS(DATOS!$K$2:$K$20000,DATOS!$A$2:$A$20000,G206,DATOS!$G$2:$G$20000,CONFIG_METADATA!$B$4,DATOS!$I$2:$I$20000,"Lenguaje Musical"),""))</f>
        <v/>
      </c>
      <c r="I206" t="str">
        <f>IF(G206="","",IFERROR(AVERAGEIFS(DATOS!$K$2:$K$20000,DATOS!$A$2:$A$20000,G206,DATOS!$G$2:$G$20000,CONFIG_METADATA!$B$4,DATOS!$I$2:$I$20000,"Coro"),""))</f>
        <v/>
      </c>
      <c r="J206" t="str">
        <f>IF(G206="","",IFERROR(AVERAGEIFS(DATOS!$K$2:$K$20000,DATOS!$A$2:$A$20000,G206,DATOS!$G$2:$G$20000,CONFIG_METADATA!$B$4,DATOS!$I$2:$I$20000,"Conjunto"),""))</f>
        <v/>
      </c>
      <c r="K206" t="str" cm="1">
        <f t="array" ref="K206">IF(G206="","",IFERROR(AVERAGE(IF((DATOS!$A$2:$A$20000=G206)*(DATOS!$G$2:$G$20000=CONFIG_METADATA!$B$4)*(DATOS!$I$2:$I$20000&lt;&gt;"Lenguaje Musical")*(DATOS!$I$2:$I$20000&lt;&gt;"Coro")*(DATOS!$I$2:$I$20000&lt;&gt;"Conjunto"),DATOS!$K$2:$K$20000)),""))</f>
        <v/>
      </c>
      <c r="N206" t="str">
        <f>IF(M206="","",IFERROR(AVERAGEIFS(DATOS!$K$2:$K$20000,DATOS!$A$2:$A$20000,M206,DATOS!$G$2:$G$20000,CONFIG_METADATA!$B$4,DATOS!$I$2:$I$20000,"Lenguaje Musical"),""))</f>
        <v/>
      </c>
      <c r="O206" t="str">
        <f>IF(M206="","",IFERROR(AVERAGEIFS(DATOS!$K$2:$K$20000,DATOS!$A$2:$A$20000,M206,DATOS!$G$2:$G$20000,CONFIG_METADATA!$B$4,DATOS!$I$2:$I$20000,"Coro"),""))</f>
        <v/>
      </c>
      <c r="P206" t="str">
        <f>IF(M206="","",IFERROR(AVERAGEIFS(DATOS!$K$2:$K$20000,DATOS!$A$2:$A$20000,M206,DATOS!$G$2:$G$20000,CONFIG_METADATA!$B$4,DATOS!$I$2:$I$20000,"Conjunto"),""))</f>
        <v/>
      </c>
      <c r="Q206" t="str" cm="1">
        <f t="array" ref="Q206">IF(M206="","",IFERROR(AVERAGE(IF((DATOS!$A$2:$A$20000=M206)*(DATOS!$G$2:$G$20000=CONFIG_METADATA!$B$4)*(DATOS!$I$2:$I$20000&lt;&gt;"Lenguaje Musical")*(DATOS!$I$2:$I$20000&lt;&gt;"Coro")*(DATOS!$I$2:$I$20000&lt;&gt;"Conjunto"),DATOS!$K$2:$K$20000)),""))</f>
        <v/>
      </c>
      <c r="T206" t="str">
        <f>IF(S206="","",IFERROR(AVERAGEIFS(DATOS!$K$2:$K$20000,DATOS!$A$2:$A$20000,S206,DATOS!$G$2:$G$20000,CONFIG_METADATA!$B$4,DATOS!$I$2:$I$20000,"Lenguaje Musical"),""))</f>
        <v/>
      </c>
      <c r="U206" t="str">
        <f>IF(S206="","",IFERROR(AVERAGEIFS(DATOS!$K$2:$K$20000,DATOS!$A$2:$A$20000,S206,DATOS!$G$2:$G$20000,CONFIG_METADATA!$B$4,DATOS!$I$2:$I$20000,"Coro"),""))</f>
        <v/>
      </c>
      <c r="V206" t="str">
        <f>IF(S206="","",IFERROR(AVERAGEIFS(DATOS!$K$2:$K$20000,DATOS!$A$2:$A$20000,S206,DATOS!$G$2:$G$20000,CONFIG_METADATA!$B$4,DATOS!$I$2:$I$20000,"Conjunto"),""))</f>
        <v/>
      </c>
      <c r="W206" t="str" cm="1">
        <f t="array" ref="W206">IF(S206="","",IFERROR(AVERAGE(IF((DATOS!$A$2:$A$20000=S206)*(DATOS!$G$2:$G$20000=CONFIG_METADATA!$B$4)*(DATOS!$I$2:$I$20000&lt;&gt;"Lenguaje Musical")*(DATOS!$I$2:$I$20000&lt;&gt;"Coro")*(DATOS!$I$2:$I$20000&lt;&gt;"Conjunto"),DATOS!$K$2:$K$20000)),""))</f>
        <v/>
      </c>
    </row>
    <row r="207" spans="2:23" x14ac:dyDescent="0.2">
      <c r="B207" t="str">
        <f>IF(A207="","",IFERROR(AVERAGEIFS(DATOS!$K$2:$K$20000,DATOS!$A$2:$A$20000,A207,DATOS!$G$2:$G$20000,CONFIG_METADATA!$B$4,DATOS!$I$2:$I$20000,"Lenguaje Musical"),""))</f>
        <v/>
      </c>
      <c r="C207" t="str">
        <f>IF(A207="","",IFERROR(AVERAGEIFS(DATOS!$K$2:$K$20000,DATOS!$A$2:$A$20000,A207,DATOS!$G$2:$G$20000,CONFIG_METADATA!$B$4,DATOS!$I$2:$I$20000,"Coro"),""))</f>
        <v/>
      </c>
      <c r="D207" t="str">
        <f>IF(A207="","",IFERROR(AVERAGEIFS(DATOS!$K$2:$K$20000,DATOS!$A$2:$A$20000,A207,DATOS!$G$2:$G$20000,CONFIG_METADATA!$B$4,DATOS!$I$2:$I$20000,"Conjunto"),""))</f>
        <v/>
      </c>
      <c r="E207" t="str" cm="1">
        <f t="array" ref="E207">IF(A207="","",IFERROR(AVERAGE(IF((DATOS!$A$2:$A$20000=A207)*(DATOS!$G$2:$G$20000=CONFIG_METADATA!$B$4)*(DATOS!$I$2:$I$20000&lt;&gt;"Lenguaje Musical")*(DATOS!$I$2:$I$20000&lt;&gt;"Coro")*(DATOS!$I$2:$I$20000&lt;&gt;"Conjunto"),DATOS!$K$2:$K$20000)),""))</f>
        <v/>
      </c>
      <c r="H207" t="str">
        <f>IF(G207="","",IFERROR(AVERAGEIFS(DATOS!$K$2:$K$20000,DATOS!$A$2:$A$20000,G207,DATOS!$G$2:$G$20000,CONFIG_METADATA!$B$4,DATOS!$I$2:$I$20000,"Lenguaje Musical"),""))</f>
        <v/>
      </c>
      <c r="I207" t="str">
        <f>IF(G207="","",IFERROR(AVERAGEIFS(DATOS!$K$2:$K$20000,DATOS!$A$2:$A$20000,G207,DATOS!$G$2:$G$20000,CONFIG_METADATA!$B$4,DATOS!$I$2:$I$20000,"Coro"),""))</f>
        <v/>
      </c>
      <c r="J207" t="str">
        <f>IF(G207="","",IFERROR(AVERAGEIFS(DATOS!$K$2:$K$20000,DATOS!$A$2:$A$20000,G207,DATOS!$G$2:$G$20000,CONFIG_METADATA!$B$4,DATOS!$I$2:$I$20000,"Conjunto"),""))</f>
        <v/>
      </c>
      <c r="K207" t="str" cm="1">
        <f t="array" ref="K207">IF(G207="","",IFERROR(AVERAGE(IF((DATOS!$A$2:$A$20000=G207)*(DATOS!$G$2:$G$20000=CONFIG_METADATA!$B$4)*(DATOS!$I$2:$I$20000&lt;&gt;"Lenguaje Musical")*(DATOS!$I$2:$I$20000&lt;&gt;"Coro")*(DATOS!$I$2:$I$20000&lt;&gt;"Conjunto"),DATOS!$K$2:$K$20000)),""))</f>
        <v/>
      </c>
      <c r="N207" t="str">
        <f>IF(M207="","",IFERROR(AVERAGEIFS(DATOS!$K$2:$K$20000,DATOS!$A$2:$A$20000,M207,DATOS!$G$2:$G$20000,CONFIG_METADATA!$B$4,DATOS!$I$2:$I$20000,"Lenguaje Musical"),""))</f>
        <v/>
      </c>
      <c r="O207" t="str">
        <f>IF(M207="","",IFERROR(AVERAGEIFS(DATOS!$K$2:$K$20000,DATOS!$A$2:$A$20000,M207,DATOS!$G$2:$G$20000,CONFIG_METADATA!$B$4,DATOS!$I$2:$I$20000,"Coro"),""))</f>
        <v/>
      </c>
      <c r="P207" t="str">
        <f>IF(M207="","",IFERROR(AVERAGEIFS(DATOS!$K$2:$K$20000,DATOS!$A$2:$A$20000,M207,DATOS!$G$2:$G$20000,CONFIG_METADATA!$B$4,DATOS!$I$2:$I$20000,"Conjunto"),""))</f>
        <v/>
      </c>
      <c r="Q207" t="str" cm="1">
        <f t="array" ref="Q207">IF(M207="","",IFERROR(AVERAGE(IF((DATOS!$A$2:$A$20000=M207)*(DATOS!$G$2:$G$20000=CONFIG_METADATA!$B$4)*(DATOS!$I$2:$I$20000&lt;&gt;"Lenguaje Musical")*(DATOS!$I$2:$I$20000&lt;&gt;"Coro")*(DATOS!$I$2:$I$20000&lt;&gt;"Conjunto"),DATOS!$K$2:$K$20000)),""))</f>
        <v/>
      </c>
      <c r="T207" t="str">
        <f>IF(S207="","",IFERROR(AVERAGEIFS(DATOS!$K$2:$K$20000,DATOS!$A$2:$A$20000,S207,DATOS!$G$2:$G$20000,CONFIG_METADATA!$B$4,DATOS!$I$2:$I$20000,"Lenguaje Musical"),""))</f>
        <v/>
      </c>
      <c r="U207" t="str">
        <f>IF(S207="","",IFERROR(AVERAGEIFS(DATOS!$K$2:$K$20000,DATOS!$A$2:$A$20000,S207,DATOS!$G$2:$G$20000,CONFIG_METADATA!$B$4,DATOS!$I$2:$I$20000,"Coro"),""))</f>
        <v/>
      </c>
      <c r="V207" t="str">
        <f>IF(S207="","",IFERROR(AVERAGEIFS(DATOS!$K$2:$K$20000,DATOS!$A$2:$A$20000,S207,DATOS!$G$2:$G$20000,CONFIG_METADATA!$B$4,DATOS!$I$2:$I$20000,"Conjunto"),""))</f>
        <v/>
      </c>
      <c r="W207" t="str" cm="1">
        <f t="array" ref="W207">IF(S207="","",IFERROR(AVERAGE(IF((DATOS!$A$2:$A$20000=S207)*(DATOS!$G$2:$G$20000=CONFIG_METADATA!$B$4)*(DATOS!$I$2:$I$20000&lt;&gt;"Lenguaje Musical")*(DATOS!$I$2:$I$20000&lt;&gt;"Coro")*(DATOS!$I$2:$I$20000&lt;&gt;"Conjunto"),DATOS!$K$2:$K$20000)),""))</f>
        <v/>
      </c>
    </row>
    <row r="208" spans="2:23" x14ac:dyDescent="0.2">
      <c r="B208" t="str">
        <f>IF(A208="","",IFERROR(AVERAGEIFS(DATOS!$K$2:$K$20000,DATOS!$A$2:$A$20000,A208,DATOS!$G$2:$G$20000,CONFIG_METADATA!$B$4,DATOS!$I$2:$I$20000,"Lenguaje Musical"),""))</f>
        <v/>
      </c>
      <c r="C208" t="str">
        <f>IF(A208="","",IFERROR(AVERAGEIFS(DATOS!$K$2:$K$20000,DATOS!$A$2:$A$20000,A208,DATOS!$G$2:$G$20000,CONFIG_METADATA!$B$4,DATOS!$I$2:$I$20000,"Coro"),""))</f>
        <v/>
      </c>
      <c r="D208" t="str">
        <f>IF(A208="","",IFERROR(AVERAGEIFS(DATOS!$K$2:$K$20000,DATOS!$A$2:$A$20000,A208,DATOS!$G$2:$G$20000,CONFIG_METADATA!$B$4,DATOS!$I$2:$I$20000,"Conjunto"),""))</f>
        <v/>
      </c>
      <c r="E208" t="str" cm="1">
        <f t="array" ref="E208">IF(A208="","",IFERROR(AVERAGE(IF((DATOS!$A$2:$A$20000=A208)*(DATOS!$G$2:$G$20000=CONFIG_METADATA!$B$4)*(DATOS!$I$2:$I$20000&lt;&gt;"Lenguaje Musical")*(DATOS!$I$2:$I$20000&lt;&gt;"Coro")*(DATOS!$I$2:$I$20000&lt;&gt;"Conjunto"),DATOS!$K$2:$K$20000)),""))</f>
        <v/>
      </c>
      <c r="H208" t="str">
        <f>IF(G208="","",IFERROR(AVERAGEIFS(DATOS!$K$2:$K$20000,DATOS!$A$2:$A$20000,G208,DATOS!$G$2:$G$20000,CONFIG_METADATA!$B$4,DATOS!$I$2:$I$20000,"Lenguaje Musical"),""))</f>
        <v/>
      </c>
      <c r="I208" t="str">
        <f>IF(G208="","",IFERROR(AVERAGEIFS(DATOS!$K$2:$K$20000,DATOS!$A$2:$A$20000,G208,DATOS!$G$2:$G$20000,CONFIG_METADATA!$B$4,DATOS!$I$2:$I$20000,"Coro"),""))</f>
        <v/>
      </c>
      <c r="J208" t="str">
        <f>IF(G208="","",IFERROR(AVERAGEIFS(DATOS!$K$2:$K$20000,DATOS!$A$2:$A$20000,G208,DATOS!$G$2:$G$20000,CONFIG_METADATA!$B$4,DATOS!$I$2:$I$20000,"Conjunto"),""))</f>
        <v/>
      </c>
      <c r="K208" t="str" cm="1">
        <f t="array" ref="K208">IF(G208="","",IFERROR(AVERAGE(IF((DATOS!$A$2:$A$20000=G208)*(DATOS!$G$2:$G$20000=CONFIG_METADATA!$B$4)*(DATOS!$I$2:$I$20000&lt;&gt;"Lenguaje Musical")*(DATOS!$I$2:$I$20000&lt;&gt;"Coro")*(DATOS!$I$2:$I$20000&lt;&gt;"Conjunto"),DATOS!$K$2:$K$20000)),""))</f>
        <v/>
      </c>
      <c r="N208" t="str">
        <f>IF(M208="","",IFERROR(AVERAGEIFS(DATOS!$K$2:$K$20000,DATOS!$A$2:$A$20000,M208,DATOS!$G$2:$G$20000,CONFIG_METADATA!$B$4,DATOS!$I$2:$I$20000,"Lenguaje Musical"),""))</f>
        <v/>
      </c>
      <c r="O208" t="str">
        <f>IF(M208="","",IFERROR(AVERAGEIFS(DATOS!$K$2:$K$20000,DATOS!$A$2:$A$20000,M208,DATOS!$G$2:$G$20000,CONFIG_METADATA!$B$4,DATOS!$I$2:$I$20000,"Coro"),""))</f>
        <v/>
      </c>
      <c r="P208" t="str">
        <f>IF(M208="","",IFERROR(AVERAGEIFS(DATOS!$K$2:$K$20000,DATOS!$A$2:$A$20000,M208,DATOS!$G$2:$G$20000,CONFIG_METADATA!$B$4,DATOS!$I$2:$I$20000,"Conjunto"),""))</f>
        <v/>
      </c>
      <c r="Q208" t="str" cm="1">
        <f t="array" ref="Q208">IF(M208="","",IFERROR(AVERAGE(IF((DATOS!$A$2:$A$20000=M208)*(DATOS!$G$2:$G$20000=CONFIG_METADATA!$B$4)*(DATOS!$I$2:$I$20000&lt;&gt;"Lenguaje Musical")*(DATOS!$I$2:$I$20000&lt;&gt;"Coro")*(DATOS!$I$2:$I$20000&lt;&gt;"Conjunto"),DATOS!$K$2:$K$20000)),""))</f>
        <v/>
      </c>
      <c r="T208" t="str">
        <f>IF(S208="","",IFERROR(AVERAGEIFS(DATOS!$K$2:$K$20000,DATOS!$A$2:$A$20000,S208,DATOS!$G$2:$G$20000,CONFIG_METADATA!$B$4,DATOS!$I$2:$I$20000,"Lenguaje Musical"),""))</f>
        <v/>
      </c>
      <c r="U208" t="str">
        <f>IF(S208="","",IFERROR(AVERAGEIFS(DATOS!$K$2:$K$20000,DATOS!$A$2:$A$20000,S208,DATOS!$G$2:$G$20000,CONFIG_METADATA!$B$4,DATOS!$I$2:$I$20000,"Coro"),""))</f>
        <v/>
      </c>
      <c r="V208" t="str">
        <f>IF(S208="","",IFERROR(AVERAGEIFS(DATOS!$K$2:$K$20000,DATOS!$A$2:$A$20000,S208,DATOS!$G$2:$G$20000,CONFIG_METADATA!$B$4,DATOS!$I$2:$I$20000,"Conjunto"),""))</f>
        <v/>
      </c>
      <c r="W208" t="str" cm="1">
        <f t="array" ref="W208">IF(S208="","",IFERROR(AVERAGE(IF((DATOS!$A$2:$A$20000=S208)*(DATOS!$G$2:$G$20000=CONFIG_METADATA!$B$4)*(DATOS!$I$2:$I$20000&lt;&gt;"Lenguaje Musical")*(DATOS!$I$2:$I$20000&lt;&gt;"Coro")*(DATOS!$I$2:$I$20000&lt;&gt;"Conjunto"),DATOS!$K$2:$K$20000)),""))</f>
        <v/>
      </c>
    </row>
    <row r="209" spans="2:23" x14ac:dyDescent="0.2">
      <c r="B209" t="str">
        <f>IF(A209="","",IFERROR(AVERAGEIFS(DATOS!$K$2:$K$20000,DATOS!$A$2:$A$20000,A209,DATOS!$G$2:$G$20000,CONFIG_METADATA!$B$4,DATOS!$I$2:$I$20000,"Lenguaje Musical"),""))</f>
        <v/>
      </c>
      <c r="C209" t="str">
        <f>IF(A209="","",IFERROR(AVERAGEIFS(DATOS!$K$2:$K$20000,DATOS!$A$2:$A$20000,A209,DATOS!$G$2:$G$20000,CONFIG_METADATA!$B$4,DATOS!$I$2:$I$20000,"Coro"),""))</f>
        <v/>
      </c>
      <c r="D209" t="str">
        <f>IF(A209="","",IFERROR(AVERAGEIFS(DATOS!$K$2:$K$20000,DATOS!$A$2:$A$20000,A209,DATOS!$G$2:$G$20000,CONFIG_METADATA!$B$4,DATOS!$I$2:$I$20000,"Conjunto"),""))</f>
        <v/>
      </c>
      <c r="E209" t="str" cm="1">
        <f t="array" ref="E209">IF(A209="","",IFERROR(AVERAGE(IF((DATOS!$A$2:$A$20000=A209)*(DATOS!$G$2:$G$20000=CONFIG_METADATA!$B$4)*(DATOS!$I$2:$I$20000&lt;&gt;"Lenguaje Musical")*(DATOS!$I$2:$I$20000&lt;&gt;"Coro")*(DATOS!$I$2:$I$20000&lt;&gt;"Conjunto"),DATOS!$K$2:$K$20000)),""))</f>
        <v/>
      </c>
      <c r="H209" t="str">
        <f>IF(G209="","",IFERROR(AVERAGEIFS(DATOS!$K$2:$K$20000,DATOS!$A$2:$A$20000,G209,DATOS!$G$2:$G$20000,CONFIG_METADATA!$B$4,DATOS!$I$2:$I$20000,"Lenguaje Musical"),""))</f>
        <v/>
      </c>
      <c r="I209" t="str">
        <f>IF(G209="","",IFERROR(AVERAGEIFS(DATOS!$K$2:$K$20000,DATOS!$A$2:$A$20000,G209,DATOS!$G$2:$G$20000,CONFIG_METADATA!$B$4,DATOS!$I$2:$I$20000,"Coro"),""))</f>
        <v/>
      </c>
      <c r="J209" t="str">
        <f>IF(G209="","",IFERROR(AVERAGEIFS(DATOS!$K$2:$K$20000,DATOS!$A$2:$A$20000,G209,DATOS!$G$2:$G$20000,CONFIG_METADATA!$B$4,DATOS!$I$2:$I$20000,"Conjunto"),""))</f>
        <v/>
      </c>
      <c r="K209" t="str" cm="1">
        <f t="array" ref="K209">IF(G209="","",IFERROR(AVERAGE(IF((DATOS!$A$2:$A$20000=G209)*(DATOS!$G$2:$G$20000=CONFIG_METADATA!$B$4)*(DATOS!$I$2:$I$20000&lt;&gt;"Lenguaje Musical")*(DATOS!$I$2:$I$20000&lt;&gt;"Coro")*(DATOS!$I$2:$I$20000&lt;&gt;"Conjunto"),DATOS!$K$2:$K$20000)),""))</f>
        <v/>
      </c>
      <c r="N209" t="str">
        <f>IF(M209="","",IFERROR(AVERAGEIFS(DATOS!$K$2:$K$20000,DATOS!$A$2:$A$20000,M209,DATOS!$G$2:$G$20000,CONFIG_METADATA!$B$4,DATOS!$I$2:$I$20000,"Lenguaje Musical"),""))</f>
        <v/>
      </c>
      <c r="O209" t="str">
        <f>IF(M209="","",IFERROR(AVERAGEIFS(DATOS!$K$2:$K$20000,DATOS!$A$2:$A$20000,M209,DATOS!$G$2:$G$20000,CONFIG_METADATA!$B$4,DATOS!$I$2:$I$20000,"Coro"),""))</f>
        <v/>
      </c>
      <c r="P209" t="str">
        <f>IF(M209="","",IFERROR(AVERAGEIFS(DATOS!$K$2:$K$20000,DATOS!$A$2:$A$20000,M209,DATOS!$G$2:$G$20000,CONFIG_METADATA!$B$4,DATOS!$I$2:$I$20000,"Conjunto"),""))</f>
        <v/>
      </c>
      <c r="Q209" t="str" cm="1">
        <f t="array" ref="Q209">IF(M209="","",IFERROR(AVERAGE(IF((DATOS!$A$2:$A$20000=M209)*(DATOS!$G$2:$G$20000=CONFIG_METADATA!$B$4)*(DATOS!$I$2:$I$20000&lt;&gt;"Lenguaje Musical")*(DATOS!$I$2:$I$20000&lt;&gt;"Coro")*(DATOS!$I$2:$I$20000&lt;&gt;"Conjunto"),DATOS!$K$2:$K$20000)),""))</f>
        <v/>
      </c>
      <c r="T209" t="str">
        <f>IF(S209="","",IFERROR(AVERAGEIFS(DATOS!$K$2:$K$20000,DATOS!$A$2:$A$20000,S209,DATOS!$G$2:$G$20000,CONFIG_METADATA!$B$4,DATOS!$I$2:$I$20000,"Lenguaje Musical"),""))</f>
        <v/>
      </c>
      <c r="U209" t="str">
        <f>IF(S209="","",IFERROR(AVERAGEIFS(DATOS!$K$2:$K$20000,DATOS!$A$2:$A$20000,S209,DATOS!$G$2:$G$20000,CONFIG_METADATA!$B$4,DATOS!$I$2:$I$20000,"Coro"),""))</f>
        <v/>
      </c>
      <c r="V209" t="str">
        <f>IF(S209="","",IFERROR(AVERAGEIFS(DATOS!$K$2:$K$20000,DATOS!$A$2:$A$20000,S209,DATOS!$G$2:$G$20000,CONFIG_METADATA!$B$4,DATOS!$I$2:$I$20000,"Conjunto"),""))</f>
        <v/>
      </c>
      <c r="W209" t="str" cm="1">
        <f t="array" ref="W209">IF(S209="","",IFERROR(AVERAGE(IF((DATOS!$A$2:$A$20000=S209)*(DATOS!$G$2:$G$20000=CONFIG_METADATA!$B$4)*(DATOS!$I$2:$I$20000&lt;&gt;"Lenguaje Musical")*(DATOS!$I$2:$I$20000&lt;&gt;"Coro")*(DATOS!$I$2:$I$20000&lt;&gt;"Conjunto"),DATOS!$K$2:$K$20000)),""))</f>
        <v/>
      </c>
    </row>
    <row r="210" spans="2:23" x14ac:dyDescent="0.2">
      <c r="B210" t="str">
        <f>IF(A210="","",IFERROR(AVERAGEIFS(DATOS!$K$2:$K$20000,DATOS!$A$2:$A$20000,A210,DATOS!$G$2:$G$20000,CONFIG_METADATA!$B$4,DATOS!$I$2:$I$20000,"Lenguaje Musical"),""))</f>
        <v/>
      </c>
      <c r="C210" t="str">
        <f>IF(A210="","",IFERROR(AVERAGEIFS(DATOS!$K$2:$K$20000,DATOS!$A$2:$A$20000,A210,DATOS!$G$2:$G$20000,CONFIG_METADATA!$B$4,DATOS!$I$2:$I$20000,"Coro"),""))</f>
        <v/>
      </c>
      <c r="D210" t="str">
        <f>IF(A210="","",IFERROR(AVERAGEIFS(DATOS!$K$2:$K$20000,DATOS!$A$2:$A$20000,A210,DATOS!$G$2:$G$20000,CONFIG_METADATA!$B$4,DATOS!$I$2:$I$20000,"Conjunto"),""))</f>
        <v/>
      </c>
      <c r="E210" t="str" cm="1">
        <f t="array" ref="E210">IF(A210="","",IFERROR(AVERAGE(IF((DATOS!$A$2:$A$20000=A210)*(DATOS!$G$2:$G$20000=CONFIG_METADATA!$B$4)*(DATOS!$I$2:$I$20000&lt;&gt;"Lenguaje Musical")*(DATOS!$I$2:$I$20000&lt;&gt;"Coro")*(DATOS!$I$2:$I$20000&lt;&gt;"Conjunto"),DATOS!$K$2:$K$20000)),""))</f>
        <v/>
      </c>
      <c r="H210" t="str">
        <f>IF(G210="","",IFERROR(AVERAGEIFS(DATOS!$K$2:$K$20000,DATOS!$A$2:$A$20000,G210,DATOS!$G$2:$G$20000,CONFIG_METADATA!$B$4,DATOS!$I$2:$I$20000,"Lenguaje Musical"),""))</f>
        <v/>
      </c>
      <c r="I210" t="str">
        <f>IF(G210="","",IFERROR(AVERAGEIFS(DATOS!$K$2:$K$20000,DATOS!$A$2:$A$20000,G210,DATOS!$G$2:$G$20000,CONFIG_METADATA!$B$4,DATOS!$I$2:$I$20000,"Coro"),""))</f>
        <v/>
      </c>
      <c r="J210" t="str">
        <f>IF(G210="","",IFERROR(AVERAGEIFS(DATOS!$K$2:$K$20000,DATOS!$A$2:$A$20000,G210,DATOS!$G$2:$G$20000,CONFIG_METADATA!$B$4,DATOS!$I$2:$I$20000,"Conjunto"),""))</f>
        <v/>
      </c>
      <c r="K210" t="str" cm="1">
        <f t="array" ref="K210">IF(G210="","",IFERROR(AVERAGE(IF((DATOS!$A$2:$A$20000=G210)*(DATOS!$G$2:$G$20000=CONFIG_METADATA!$B$4)*(DATOS!$I$2:$I$20000&lt;&gt;"Lenguaje Musical")*(DATOS!$I$2:$I$20000&lt;&gt;"Coro")*(DATOS!$I$2:$I$20000&lt;&gt;"Conjunto"),DATOS!$K$2:$K$20000)),""))</f>
        <v/>
      </c>
      <c r="N210" t="str">
        <f>IF(M210="","",IFERROR(AVERAGEIFS(DATOS!$K$2:$K$20000,DATOS!$A$2:$A$20000,M210,DATOS!$G$2:$G$20000,CONFIG_METADATA!$B$4,DATOS!$I$2:$I$20000,"Lenguaje Musical"),""))</f>
        <v/>
      </c>
      <c r="O210" t="str">
        <f>IF(M210="","",IFERROR(AVERAGEIFS(DATOS!$K$2:$K$20000,DATOS!$A$2:$A$20000,M210,DATOS!$G$2:$G$20000,CONFIG_METADATA!$B$4,DATOS!$I$2:$I$20000,"Coro"),""))</f>
        <v/>
      </c>
      <c r="P210" t="str">
        <f>IF(M210="","",IFERROR(AVERAGEIFS(DATOS!$K$2:$K$20000,DATOS!$A$2:$A$20000,M210,DATOS!$G$2:$G$20000,CONFIG_METADATA!$B$4,DATOS!$I$2:$I$20000,"Conjunto"),""))</f>
        <v/>
      </c>
      <c r="Q210" t="str" cm="1">
        <f t="array" ref="Q210">IF(M210="","",IFERROR(AVERAGE(IF((DATOS!$A$2:$A$20000=M210)*(DATOS!$G$2:$G$20000=CONFIG_METADATA!$B$4)*(DATOS!$I$2:$I$20000&lt;&gt;"Lenguaje Musical")*(DATOS!$I$2:$I$20000&lt;&gt;"Coro")*(DATOS!$I$2:$I$20000&lt;&gt;"Conjunto"),DATOS!$K$2:$K$20000)),""))</f>
        <v/>
      </c>
      <c r="T210" t="str">
        <f>IF(S210="","",IFERROR(AVERAGEIFS(DATOS!$K$2:$K$20000,DATOS!$A$2:$A$20000,S210,DATOS!$G$2:$G$20000,CONFIG_METADATA!$B$4,DATOS!$I$2:$I$20000,"Lenguaje Musical"),""))</f>
        <v/>
      </c>
      <c r="U210" t="str">
        <f>IF(S210="","",IFERROR(AVERAGEIFS(DATOS!$K$2:$K$20000,DATOS!$A$2:$A$20000,S210,DATOS!$G$2:$G$20000,CONFIG_METADATA!$B$4,DATOS!$I$2:$I$20000,"Coro"),""))</f>
        <v/>
      </c>
      <c r="V210" t="str">
        <f>IF(S210="","",IFERROR(AVERAGEIFS(DATOS!$K$2:$K$20000,DATOS!$A$2:$A$20000,S210,DATOS!$G$2:$G$20000,CONFIG_METADATA!$B$4,DATOS!$I$2:$I$20000,"Conjunto"),""))</f>
        <v/>
      </c>
      <c r="W210" t="str" cm="1">
        <f t="array" ref="W210">IF(S210="","",IFERROR(AVERAGE(IF((DATOS!$A$2:$A$20000=S210)*(DATOS!$G$2:$G$20000=CONFIG_METADATA!$B$4)*(DATOS!$I$2:$I$20000&lt;&gt;"Lenguaje Musical")*(DATOS!$I$2:$I$20000&lt;&gt;"Coro")*(DATOS!$I$2:$I$20000&lt;&gt;"Conjunto"),DATOS!$K$2:$K$20000)),""))</f>
        <v/>
      </c>
    </row>
    <row r="211" spans="2:23" x14ac:dyDescent="0.2">
      <c r="B211" t="str">
        <f>IF(A211="","",IFERROR(AVERAGEIFS(DATOS!$K$2:$K$20000,DATOS!$A$2:$A$20000,A211,DATOS!$G$2:$G$20000,CONFIG_METADATA!$B$4,DATOS!$I$2:$I$20000,"Lenguaje Musical"),""))</f>
        <v/>
      </c>
      <c r="C211" t="str">
        <f>IF(A211="","",IFERROR(AVERAGEIFS(DATOS!$K$2:$K$20000,DATOS!$A$2:$A$20000,A211,DATOS!$G$2:$G$20000,CONFIG_METADATA!$B$4,DATOS!$I$2:$I$20000,"Coro"),""))</f>
        <v/>
      </c>
      <c r="D211" t="str">
        <f>IF(A211="","",IFERROR(AVERAGEIFS(DATOS!$K$2:$K$20000,DATOS!$A$2:$A$20000,A211,DATOS!$G$2:$G$20000,CONFIG_METADATA!$B$4,DATOS!$I$2:$I$20000,"Conjunto"),""))</f>
        <v/>
      </c>
      <c r="E211" t="str" cm="1">
        <f t="array" ref="E211">IF(A211="","",IFERROR(AVERAGE(IF((DATOS!$A$2:$A$20000=A211)*(DATOS!$G$2:$G$20000=CONFIG_METADATA!$B$4)*(DATOS!$I$2:$I$20000&lt;&gt;"Lenguaje Musical")*(DATOS!$I$2:$I$20000&lt;&gt;"Coro")*(DATOS!$I$2:$I$20000&lt;&gt;"Conjunto"),DATOS!$K$2:$K$20000)),""))</f>
        <v/>
      </c>
      <c r="H211" t="str">
        <f>IF(G211="","",IFERROR(AVERAGEIFS(DATOS!$K$2:$K$20000,DATOS!$A$2:$A$20000,G211,DATOS!$G$2:$G$20000,CONFIG_METADATA!$B$4,DATOS!$I$2:$I$20000,"Lenguaje Musical"),""))</f>
        <v/>
      </c>
      <c r="I211" t="str">
        <f>IF(G211="","",IFERROR(AVERAGEIFS(DATOS!$K$2:$K$20000,DATOS!$A$2:$A$20000,G211,DATOS!$G$2:$G$20000,CONFIG_METADATA!$B$4,DATOS!$I$2:$I$20000,"Coro"),""))</f>
        <v/>
      </c>
      <c r="J211" t="str">
        <f>IF(G211="","",IFERROR(AVERAGEIFS(DATOS!$K$2:$K$20000,DATOS!$A$2:$A$20000,G211,DATOS!$G$2:$G$20000,CONFIG_METADATA!$B$4,DATOS!$I$2:$I$20000,"Conjunto"),""))</f>
        <v/>
      </c>
      <c r="K211" t="str" cm="1">
        <f t="array" ref="K211">IF(G211="","",IFERROR(AVERAGE(IF((DATOS!$A$2:$A$20000=G211)*(DATOS!$G$2:$G$20000=CONFIG_METADATA!$B$4)*(DATOS!$I$2:$I$20000&lt;&gt;"Lenguaje Musical")*(DATOS!$I$2:$I$20000&lt;&gt;"Coro")*(DATOS!$I$2:$I$20000&lt;&gt;"Conjunto"),DATOS!$K$2:$K$20000)),""))</f>
        <v/>
      </c>
      <c r="N211" t="str">
        <f>IF(M211="","",IFERROR(AVERAGEIFS(DATOS!$K$2:$K$20000,DATOS!$A$2:$A$20000,M211,DATOS!$G$2:$G$20000,CONFIG_METADATA!$B$4,DATOS!$I$2:$I$20000,"Lenguaje Musical"),""))</f>
        <v/>
      </c>
      <c r="O211" t="str">
        <f>IF(M211="","",IFERROR(AVERAGEIFS(DATOS!$K$2:$K$20000,DATOS!$A$2:$A$20000,M211,DATOS!$G$2:$G$20000,CONFIG_METADATA!$B$4,DATOS!$I$2:$I$20000,"Coro"),""))</f>
        <v/>
      </c>
      <c r="P211" t="str">
        <f>IF(M211="","",IFERROR(AVERAGEIFS(DATOS!$K$2:$K$20000,DATOS!$A$2:$A$20000,M211,DATOS!$G$2:$G$20000,CONFIG_METADATA!$B$4,DATOS!$I$2:$I$20000,"Conjunto"),""))</f>
        <v/>
      </c>
      <c r="Q211" t="str">
        <f>IF(M211="","",IFERROR(AVERAGEIFS(DATOS!$K$2:$K$20000,DATOS!$A$2:$A$20000,M211,DATOS!$G$2:$G$20000,CONFIG_METADATA!$B$4,DATOS!$I$2:$I$20000,"&lt;&gt;Lenguaje Musical",DATOS!$I$2:$I$20000,"&lt;&gt;Coro",DATOS!$I$2:$I$20000,"&lt;&gt;Conjunto"),""))</f>
        <v/>
      </c>
      <c r="T211" t="str">
        <f>IF(S211="","",IFERROR(AVERAGEIFS(DATOS!$K$2:$K$20000,DATOS!$A$2:$A$20000,S211,DATOS!$G$2:$G$20000,CONFIG_METADATA!$B$4,DATOS!$I$2:$I$20000,"Lenguaje Musical"),""))</f>
        <v/>
      </c>
      <c r="U211" t="str">
        <f>IF(S211="","",IFERROR(AVERAGEIFS(DATOS!$K$2:$K$20000,DATOS!$A$2:$A$20000,S211,DATOS!$G$2:$G$20000,CONFIG_METADATA!$B$4,DATOS!$I$2:$I$20000,"Coro"),""))</f>
        <v/>
      </c>
      <c r="V211" t="str">
        <f>IF(S211="","",IFERROR(AVERAGEIFS(DATOS!$K$2:$K$20000,DATOS!$A$2:$A$20000,S211,DATOS!$G$2:$G$20000,CONFIG_METADATA!$B$4,DATOS!$I$2:$I$20000,"Conjunto"),""))</f>
        <v/>
      </c>
      <c r="W211" t="str" cm="1">
        <f t="array" ref="W211">IF(S211="","",IFERROR(AVERAGE(IF((DATOS!$A$2:$A$20000=S211)*(DATOS!$G$2:$G$20000=CONFIG_METADATA!$B$4)*(DATOS!$I$2:$I$20000&lt;&gt;"Lenguaje Musical")*(DATOS!$I$2:$I$20000&lt;&gt;"Coro")*(DATOS!$I$2:$I$20000&lt;&gt;"Conjunto"),DATOS!$K$2:$K$20000)),""))</f>
        <v/>
      </c>
    </row>
    <row r="212" spans="2:23" x14ac:dyDescent="0.2">
      <c r="B212" t="str">
        <f>IF(A212="","",IFERROR(AVERAGEIFS(DATOS!$K$2:$K$20000,DATOS!$A$2:$A$20000,A212,DATOS!$G$2:$G$20000,CONFIG_METADATA!$B$4,DATOS!$I$2:$I$20000,"Lenguaje Musical"),""))</f>
        <v/>
      </c>
      <c r="C212" t="str">
        <f>IF(A212="","",IFERROR(AVERAGEIFS(DATOS!$K$2:$K$20000,DATOS!$A$2:$A$20000,A212,DATOS!$G$2:$G$20000,CONFIG_METADATA!$B$4,DATOS!$I$2:$I$20000,"Coro"),""))</f>
        <v/>
      </c>
      <c r="D212" t="str">
        <f>IF(A212="","",IFERROR(AVERAGEIFS(DATOS!$K$2:$K$20000,DATOS!$A$2:$A$20000,A212,DATOS!$G$2:$G$20000,CONFIG_METADATA!$B$4,DATOS!$I$2:$I$20000,"Conjunto"),""))</f>
        <v/>
      </c>
      <c r="E212" t="str" cm="1">
        <f t="array" ref="E212">IF(A212="","",IFERROR(AVERAGE(IF((DATOS!$A$2:$A$20000=A212)*(DATOS!$G$2:$G$20000=CONFIG_METADATA!$B$4)*(DATOS!$I$2:$I$20000&lt;&gt;"Lenguaje Musical")*(DATOS!$I$2:$I$20000&lt;&gt;"Coro")*(DATOS!$I$2:$I$20000&lt;&gt;"Conjunto"),DATOS!$K$2:$K$20000)),""))</f>
        <v/>
      </c>
      <c r="H212" t="str">
        <f>IF(G212="","",IFERROR(AVERAGEIFS(DATOS!$K$2:$K$20000,DATOS!$A$2:$A$20000,G212,DATOS!$G$2:$G$20000,CONFIG_METADATA!$B$4,DATOS!$I$2:$I$20000,"Lenguaje Musical"),""))</f>
        <v/>
      </c>
      <c r="I212" t="str">
        <f>IF(G212="","",IFERROR(AVERAGEIFS(DATOS!$K$2:$K$20000,DATOS!$A$2:$A$20000,G212,DATOS!$G$2:$G$20000,CONFIG_METADATA!$B$4,DATOS!$I$2:$I$20000,"Coro"),""))</f>
        <v/>
      </c>
      <c r="J212" t="str">
        <f>IF(G212="","",IFERROR(AVERAGEIFS(DATOS!$K$2:$K$20000,DATOS!$A$2:$A$20000,G212,DATOS!$G$2:$G$20000,CONFIG_METADATA!$B$4,DATOS!$I$2:$I$20000,"Conjunto"),""))</f>
        <v/>
      </c>
      <c r="K212" t="str" cm="1">
        <f t="array" ref="K212">IF(G212="","",IFERROR(AVERAGE(IF((DATOS!$A$2:$A$20000=G212)*(DATOS!$G$2:$G$20000=CONFIG_METADATA!$B$4)*(DATOS!$I$2:$I$20000&lt;&gt;"Lenguaje Musical")*(DATOS!$I$2:$I$20000&lt;&gt;"Coro")*(DATOS!$I$2:$I$20000&lt;&gt;"Conjunto"),DATOS!$K$2:$K$20000)),""))</f>
        <v/>
      </c>
      <c r="N212" t="str">
        <f>IF(M212="","",IFERROR(AVERAGEIFS(DATOS!$K$2:$K$20000,DATOS!$A$2:$A$20000,M212,DATOS!$G$2:$G$20000,CONFIG_METADATA!$B$4,DATOS!$I$2:$I$20000,"Lenguaje Musical"),""))</f>
        <v/>
      </c>
      <c r="O212" t="str">
        <f>IF(M212="","",IFERROR(AVERAGEIFS(DATOS!$K$2:$K$20000,DATOS!$A$2:$A$20000,M212,DATOS!$G$2:$G$20000,CONFIG_METADATA!$B$4,DATOS!$I$2:$I$20000,"Coro"),""))</f>
        <v/>
      </c>
      <c r="P212" t="str">
        <f>IF(M212="","",IFERROR(AVERAGEIFS(DATOS!$K$2:$K$20000,DATOS!$A$2:$A$20000,M212,DATOS!$G$2:$G$20000,CONFIG_METADATA!$B$4,DATOS!$I$2:$I$20000,"Conjunto"),""))</f>
        <v/>
      </c>
      <c r="Q212" t="str">
        <f>IF(M212="","",IFERROR(AVERAGEIFS(DATOS!$K$2:$K$20000,DATOS!$A$2:$A$20000,M212,DATOS!$G$2:$G$20000,CONFIG_METADATA!$B$4,DATOS!$I$2:$I$20000,"&lt;&gt;Lenguaje Musical",DATOS!$I$2:$I$20000,"&lt;&gt;Coro",DATOS!$I$2:$I$20000,"&lt;&gt;Conjunto"),""))</f>
        <v/>
      </c>
      <c r="T212" t="str">
        <f>IF(S212="","",IFERROR(AVERAGEIFS(DATOS!$K$2:$K$20000,DATOS!$A$2:$A$20000,S212,DATOS!$G$2:$G$20000,CONFIG_METADATA!$B$4,DATOS!$I$2:$I$20000,"Lenguaje Musical"),""))</f>
        <v/>
      </c>
      <c r="U212" t="str">
        <f>IF(S212="","",IFERROR(AVERAGEIFS(DATOS!$K$2:$K$20000,DATOS!$A$2:$A$20000,S212,DATOS!$G$2:$G$20000,CONFIG_METADATA!$B$4,DATOS!$I$2:$I$20000,"Coro"),""))</f>
        <v/>
      </c>
      <c r="V212" t="str">
        <f>IF(S212="","",IFERROR(AVERAGEIFS(DATOS!$K$2:$K$20000,DATOS!$A$2:$A$20000,S212,DATOS!$G$2:$G$20000,CONFIG_METADATA!$B$4,DATOS!$I$2:$I$20000,"Conjunto"),""))</f>
        <v/>
      </c>
      <c r="W212" t="str" cm="1">
        <f t="array" ref="W212">IF(S212="","",IFERROR(AVERAGE(IF((DATOS!$A$2:$A$20000=S212)*(DATOS!$G$2:$G$20000=CONFIG_METADATA!$B$4)*(DATOS!$I$2:$I$20000&lt;&gt;"Lenguaje Musical")*(DATOS!$I$2:$I$20000&lt;&gt;"Coro")*(DATOS!$I$2:$I$20000&lt;&gt;"Conjunto"),DATOS!$K$2:$K$20000)),""))</f>
        <v/>
      </c>
    </row>
    <row r="213" spans="2:23" x14ac:dyDescent="0.2">
      <c r="B213" t="str">
        <f>IF(A213="","",IFERROR(AVERAGEIFS(DATOS!$K$2:$K$20000,DATOS!$A$2:$A$20000,A213,DATOS!$G$2:$G$20000,CONFIG_METADATA!$B$4,DATOS!$I$2:$I$20000,"Lenguaje Musical"),""))</f>
        <v/>
      </c>
      <c r="C213" t="str">
        <f>IF(A213="","",IFERROR(AVERAGEIFS(DATOS!$K$2:$K$20000,DATOS!$A$2:$A$20000,A213,DATOS!$G$2:$G$20000,CONFIG_METADATA!$B$4,DATOS!$I$2:$I$20000,"Coro"),""))</f>
        <v/>
      </c>
      <c r="D213" t="str">
        <f>IF(A213="","",IFERROR(AVERAGEIFS(DATOS!$K$2:$K$20000,DATOS!$A$2:$A$20000,A213,DATOS!$G$2:$G$20000,CONFIG_METADATA!$B$4,DATOS!$I$2:$I$20000,"Conjunto"),""))</f>
        <v/>
      </c>
      <c r="E213" t="str" cm="1">
        <f t="array" ref="E213">IF(A213="","",IFERROR(AVERAGE(IF((DATOS!$A$2:$A$20000=A213)*(DATOS!$G$2:$G$20000=CONFIG_METADATA!$B$4)*(DATOS!$I$2:$I$20000&lt;&gt;"Lenguaje Musical")*(DATOS!$I$2:$I$20000&lt;&gt;"Coro")*(DATOS!$I$2:$I$20000&lt;&gt;"Conjunto"),DATOS!$K$2:$K$20000)),""))</f>
        <v/>
      </c>
      <c r="H213" t="str">
        <f>IF(G213="","",IFERROR(AVERAGEIFS(DATOS!$K$2:$K$20000,DATOS!$A$2:$A$20000,G213,DATOS!$G$2:$G$20000,CONFIG_METADATA!$B$4,DATOS!$I$2:$I$20000,"Lenguaje Musical"),""))</f>
        <v/>
      </c>
      <c r="I213" t="str">
        <f>IF(G213="","",IFERROR(AVERAGEIFS(DATOS!$K$2:$K$20000,DATOS!$A$2:$A$20000,G213,DATOS!$G$2:$G$20000,CONFIG_METADATA!$B$4,DATOS!$I$2:$I$20000,"Coro"),""))</f>
        <v/>
      </c>
      <c r="J213" t="str">
        <f>IF(G213="","",IFERROR(AVERAGEIFS(DATOS!$K$2:$K$20000,DATOS!$A$2:$A$20000,G213,DATOS!$G$2:$G$20000,CONFIG_METADATA!$B$4,DATOS!$I$2:$I$20000,"Conjunto"),""))</f>
        <v/>
      </c>
      <c r="K213" t="str" cm="1">
        <f t="array" ref="K213">IF(G213="","",IFERROR(AVERAGE(IF((DATOS!$A$2:$A$20000=G213)*(DATOS!$G$2:$G$20000=CONFIG_METADATA!$B$4)*(DATOS!$I$2:$I$20000&lt;&gt;"Lenguaje Musical")*(DATOS!$I$2:$I$20000&lt;&gt;"Coro")*(DATOS!$I$2:$I$20000&lt;&gt;"Conjunto"),DATOS!$K$2:$K$20000)),""))</f>
        <v/>
      </c>
      <c r="N213" t="str">
        <f>IF(M213="","",IFERROR(AVERAGEIFS(DATOS!$K$2:$K$20000,DATOS!$A$2:$A$20000,M213,DATOS!$G$2:$G$20000,CONFIG_METADATA!$B$4,DATOS!$I$2:$I$20000,"Lenguaje Musical"),""))</f>
        <v/>
      </c>
      <c r="O213" t="str">
        <f>IF(M213="","",IFERROR(AVERAGEIFS(DATOS!$K$2:$K$20000,DATOS!$A$2:$A$20000,M213,DATOS!$G$2:$G$20000,CONFIG_METADATA!$B$4,DATOS!$I$2:$I$20000,"Coro"),""))</f>
        <v/>
      </c>
      <c r="P213" t="str">
        <f>IF(M213="","",IFERROR(AVERAGEIFS(DATOS!$K$2:$K$20000,DATOS!$A$2:$A$20000,M213,DATOS!$G$2:$G$20000,CONFIG_METADATA!$B$4,DATOS!$I$2:$I$20000,"Conjunto"),""))</f>
        <v/>
      </c>
      <c r="Q213" t="str">
        <f>IF(M213="","",IFERROR(AVERAGEIFS(DATOS!$K$2:$K$20000,DATOS!$A$2:$A$20000,M213,DATOS!$G$2:$G$20000,CONFIG_METADATA!$B$4,DATOS!$I$2:$I$20000,"&lt;&gt;Lenguaje Musical",DATOS!$I$2:$I$20000,"&lt;&gt;Coro",DATOS!$I$2:$I$20000,"&lt;&gt;Conjunto"),""))</f>
        <v/>
      </c>
      <c r="T213" t="str">
        <f>IF(S213="","",IFERROR(AVERAGEIFS(DATOS!$K$2:$K$20000,DATOS!$A$2:$A$20000,S213,DATOS!$G$2:$G$20000,CONFIG_METADATA!$B$4,DATOS!$I$2:$I$20000,"Lenguaje Musical"),""))</f>
        <v/>
      </c>
      <c r="U213" t="str">
        <f>IF(S213="","",IFERROR(AVERAGEIFS(DATOS!$K$2:$K$20000,DATOS!$A$2:$A$20000,S213,DATOS!$G$2:$G$20000,CONFIG_METADATA!$B$4,DATOS!$I$2:$I$20000,"Coro"),""))</f>
        <v/>
      </c>
      <c r="V213" t="str">
        <f>IF(S213="","",IFERROR(AVERAGEIFS(DATOS!$K$2:$K$20000,DATOS!$A$2:$A$20000,S213,DATOS!$G$2:$G$20000,CONFIG_METADATA!$B$4,DATOS!$I$2:$I$20000,"Conjunto"),""))</f>
        <v/>
      </c>
      <c r="W213" t="str" cm="1">
        <f t="array" ref="W213">IF(S213="","",IFERROR(AVERAGE(IF((DATOS!$A$2:$A$20000=S213)*(DATOS!$G$2:$G$20000=CONFIG_METADATA!$B$4)*(DATOS!$I$2:$I$20000&lt;&gt;"Lenguaje Musical")*(DATOS!$I$2:$I$20000&lt;&gt;"Coro")*(DATOS!$I$2:$I$20000&lt;&gt;"Conjunto"),DATOS!$K$2:$K$20000)),""))</f>
        <v/>
      </c>
    </row>
    <row r="214" spans="2:23" x14ac:dyDescent="0.2">
      <c r="B214" t="str">
        <f>IF(A214="","",IFERROR(AVERAGEIFS(DATOS!$K$2:$K$20000,DATOS!$A$2:$A$20000,A214,DATOS!$G$2:$G$20000,CONFIG_METADATA!$B$4,DATOS!$I$2:$I$20000,"Lenguaje Musical"),""))</f>
        <v/>
      </c>
      <c r="C214" t="str">
        <f>IF(A214="","",IFERROR(AVERAGEIFS(DATOS!$K$2:$K$20000,DATOS!$A$2:$A$20000,A214,DATOS!$G$2:$G$20000,CONFIG_METADATA!$B$4,DATOS!$I$2:$I$20000,"Coro"),""))</f>
        <v/>
      </c>
      <c r="D214" t="str">
        <f>IF(A214="","",IFERROR(AVERAGEIFS(DATOS!$K$2:$K$20000,DATOS!$A$2:$A$20000,A214,DATOS!$G$2:$G$20000,CONFIG_METADATA!$B$4,DATOS!$I$2:$I$20000,"Conjunto"),""))</f>
        <v/>
      </c>
      <c r="E214" t="str" cm="1">
        <f t="array" ref="E214">IF(A214="","",IFERROR(AVERAGE(IF((DATOS!$A$2:$A$20000=A214)*(DATOS!$G$2:$G$20000=CONFIG_METADATA!$B$4)*(DATOS!$I$2:$I$20000&lt;&gt;"Lenguaje Musical")*(DATOS!$I$2:$I$20000&lt;&gt;"Coro")*(DATOS!$I$2:$I$20000&lt;&gt;"Conjunto"),DATOS!$K$2:$K$20000)),""))</f>
        <v/>
      </c>
      <c r="H214" t="str">
        <f>IF(G214="","",IFERROR(AVERAGEIFS(DATOS!$K$2:$K$20000,DATOS!$A$2:$A$20000,G214,DATOS!$G$2:$G$20000,CONFIG_METADATA!$B$4,DATOS!$I$2:$I$20000,"Lenguaje Musical"),""))</f>
        <v/>
      </c>
      <c r="I214" t="str">
        <f>IF(G214="","",IFERROR(AVERAGEIFS(DATOS!$K$2:$K$20000,DATOS!$A$2:$A$20000,G214,DATOS!$G$2:$G$20000,CONFIG_METADATA!$B$4,DATOS!$I$2:$I$20000,"Coro"),""))</f>
        <v/>
      </c>
      <c r="J214" t="str">
        <f>IF(G214="","",IFERROR(AVERAGEIFS(DATOS!$K$2:$K$20000,DATOS!$A$2:$A$20000,G214,DATOS!$G$2:$G$20000,CONFIG_METADATA!$B$4,DATOS!$I$2:$I$20000,"Conjunto"),""))</f>
        <v/>
      </c>
      <c r="K214" t="str" cm="1">
        <f t="array" ref="K214">IF(G214="","",IFERROR(AVERAGE(IF((DATOS!$A$2:$A$20000=G214)*(DATOS!$G$2:$G$20000=CONFIG_METADATA!$B$4)*(DATOS!$I$2:$I$20000&lt;&gt;"Lenguaje Musical")*(DATOS!$I$2:$I$20000&lt;&gt;"Coro")*(DATOS!$I$2:$I$20000&lt;&gt;"Conjunto"),DATOS!$K$2:$K$20000)),""))</f>
        <v/>
      </c>
      <c r="N214" t="str">
        <f>IF(M214="","",IFERROR(AVERAGEIFS(DATOS!$K$2:$K$20000,DATOS!$A$2:$A$20000,M214,DATOS!$G$2:$G$20000,CONFIG_METADATA!$B$4,DATOS!$I$2:$I$20000,"Lenguaje Musical"),""))</f>
        <v/>
      </c>
      <c r="O214" t="str">
        <f>IF(M214="","",IFERROR(AVERAGEIFS(DATOS!$K$2:$K$20000,DATOS!$A$2:$A$20000,M214,DATOS!$G$2:$G$20000,CONFIG_METADATA!$B$4,DATOS!$I$2:$I$20000,"Coro"),""))</f>
        <v/>
      </c>
      <c r="P214" t="str">
        <f>IF(M214="","",IFERROR(AVERAGEIFS(DATOS!$K$2:$K$20000,DATOS!$A$2:$A$20000,M214,DATOS!$G$2:$G$20000,CONFIG_METADATA!$B$4,DATOS!$I$2:$I$20000,"Conjunto"),""))</f>
        <v/>
      </c>
      <c r="Q214" t="str">
        <f>IF(M214="","",IFERROR(AVERAGEIFS(DATOS!$K$2:$K$20000,DATOS!$A$2:$A$20000,M214,DATOS!$G$2:$G$20000,CONFIG_METADATA!$B$4,DATOS!$I$2:$I$20000,"&lt;&gt;Lenguaje Musical",DATOS!$I$2:$I$20000,"&lt;&gt;Coro",DATOS!$I$2:$I$20000,"&lt;&gt;Conjunto"),""))</f>
        <v/>
      </c>
      <c r="T214" t="str">
        <f>IF(S214="","",IFERROR(AVERAGEIFS(DATOS!$K$2:$K$20000,DATOS!$A$2:$A$20000,S214,DATOS!$G$2:$G$20000,CONFIG_METADATA!$B$4,DATOS!$I$2:$I$20000,"Lenguaje Musical"),""))</f>
        <v/>
      </c>
      <c r="U214" t="str">
        <f>IF(S214="","",IFERROR(AVERAGEIFS(DATOS!$K$2:$K$20000,DATOS!$A$2:$A$20000,S214,DATOS!$G$2:$G$20000,CONFIG_METADATA!$B$4,DATOS!$I$2:$I$20000,"Coro"),""))</f>
        <v/>
      </c>
      <c r="V214" t="str">
        <f>IF(S214="","",IFERROR(AVERAGEIFS(DATOS!$K$2:$K$20000,DATOS!$A$2:$A$20000,S214,DATOS!$G$2:$G$20000,CONFIG_METADATA!$B$4,DATOS!$I$2:$I$20000,"Conjunto"),""))</f>
        <v/>
      </c>
      <c r="W214" t="str" cm="1">
        <f t="array" ref="W214">IF(S214="","",IFERROR(AVERAGE(IF((DATOS!$A$2:$A$20000=S214)*(DATOS!$G$2:$G$20000=CONFIG_METADATA!$B$4)*(DATOS!$I$2:$I$20000&lt;&gt;"Lenguaje Musical")*(DATOS!$I$2:$I$20000&lt;&gt;"Coro")*(DATOS!$I$2:$I$20000&lt;&gt;"Conjunto"),DATOS!$K$2:$K$20000)),""))</f>
        <v/>
      </c>
    </row>
    <row r="215" spans="2:23" x14ac:dyDescent="0.2">
      <c r="B215" t="str">
        <f>IF(A215="","",IFERROR(AVERAGEIFS(DATOS!$K$2:$K$20000,DATOS!$A$2:$A$20000,A215,DATOS!$G$2:$G$20000,CONFIG_METADATA!$B$4,DATOS!$I$2:$I$20000,"Lenguaje Musical"),""))</f>
        <v/>
      </c>
      <c r="C215" t="str">
        <f>IF(A215="","",IFERROR(AVERAGEIFS(DATOS!$K$2:$K$20000,DATOS!$A$2:$A$20000,A215,DATOS!$G$2:$G$20000,CONFIG_METADATA!$B$4,DATOS!$I$2:$I$20000,"Coro"),""))</f>
        <v/>
      </c>
      <c r="D215" t="str">
        <f>IF(A215="","",IFERROR(AVERAGEIFS(DATOS!$K$2:$K$20000,DATOS!$A$2:$A$20000,A215,DATOS!$G$2:$G$20000,CONFIG_METADATA!$B$4,DATOS!$I$2:$I$20000,"Conjunto"),""))</f>
        <v/>
      </c>
      <c r="E215" t="str" cm="1">
        <f t="array" ref="E215">IF(A215="","",IFERROR(AVERAGE(IF((DATOS!$A$2:$A$20000=A215)*(DATOS!$G$2:$G$20000=CONFIG_METADATA!$B$4)*(DATOS!$I$2:$I$20000&lt;&gt;"Lenguaje Musical")*(DATOS!$I$2:$I$20000&lt;&gt;"Coro")*(DATOS!$I$2:$I$20000&lt;&gt;"Conjunto"),DATOS!$K$2:$K$20000)),""))</f>
        <v/>
      </c>
      <c r="H215" t="str">
        <f>IF(G215="","",IFERROR(AVERAGEIFS(DATOS!$K$2:$K$20000,DATOS!$A$2:$A$20000,G215,DATOS!$G$2:$G$20000,CONFIG_METADATA!$B$4,DATOS!$I$2:$I$20000,"Lenguaje Musical"),""))</f>
        <v/>
      </c>
      <c r="I215" t="str">
        <f>IF(G215="","",IFERROR(AVERAGEIFS(DATOS!$K$2:$K$20000,DATOS!$A$2:$A$20000,G215,DATOS!$G$2:$G$20000,CONFIG_METADATA!$B$4,DATOS!$I$2:$I$20000,"Coro"),""))</f>
        <v/>
      </c>
      <c r="J215" t="str">
        <f>IF(G215="","",IFERROR(AVERAGEIFS(DATOS!$K$2:$K$20000,DATOS!$A$2:$A$20000,G215,DATOS!$G$2:$G$20000,CONFIG_METADATA!$B$4,DATOS!$I$2:$I$20000,"Conjunto"),""))</f>
        <v/>
      </c>
      <c r="K215" t="str" cm="1">
        <f t="array" ref="K215">IF(G215="","",IFERROR(AVERAGE(IF((DATOS!$A$2:$A$20000=G215)*(DATOS!$G$2:$G$20000=CONFIG_METADATA!$B$4)*(DATOS!$I$2:$I$20000&lt;&gt;"Lenguaje Musical")*(DATOS!$I$2:$I$20000&lt;&gt;"Coro")*(DATOS!$I$2:$I$20000&lt;&gt;"Conjunto"),DATOS!$K$2:$K$20000)),""))</f>
        <v/>
      </c>
      <c r="N215" t="str">
        <f>IF(M215="","",IFERROR(AVERAGEIFS(DATOS!$K$2:$K$20000,DATOS!$A$2:$A$20000,M215,DATOS!$G$2:$G$20000,CONFIG_METADATA!$B$4,DATOS!$I$2:$I$20000,"Lenguaje Musical"),""))</f>
        <v/>
      </c>
      <c r="O215" t="str">
        <f>IF(M215="","",IFERROR(AVERAGEIFS(DATOS!$K$2:$K$20000,DATOS!$A$2:$A$20000,M215,DATOS!$G$2:$G$20000,CONFIG_METADATA!$B$4,DATOS!$I$2:$I$20000,"Coro"),""))</f>
        <v/>
      </c>
      <c r="P215" t="str">
        <f>IF(M215="","",IFERROR(AVERAGEIFS(DATOS!$K$2:$K$20000,DATOS!$A$2:$A$20000,M215,DATOS!$G$2:$G$20000,CONFIG_METADATA!$B$4,DATOS!$I$2:$I$20000,"Conjunto"),""))</f>
        <v/>
      </c>
      <c r="Q215" t="str">
        <f>IF(M215="","",IFERROR(AVERAGEIFS(DATOS!$K$2:$K$20000,DATOS!$A$2:$A$20000,M215,DATOS!$G$2:$G$20000,CONFIG_METADATA!$B$4,DATOS!$I$2:$I$20000,"&lt;&gt;Lenguaje Musical",DATOS!$I$2:$I$20000,"&lt;&gt;Coro",DATOS!$I$2:$I$20000,"&lt;&gt;Conjunto"),""))</f>
        <v/>
      </c>
      <c r="T215" t="str">
        <f>IF(S215="","",IFERROR(AVERAGEIFS(DATOS!$K$2:$K$20000,DATOS!$A$2:$A$20000,S215,DATOS!$G$2:$G$20000,CONFIG_METADATA!$B$4,DATOS!$I$2:$I$20000,"Lenguaje Musical"),""))</f>
        <v/>
      </c>
      <c r="U215" t="str">
        <f>IF(S215="","",IFERROR(AVERAGEIFS(DATOS!$K$2:$K$20000,DATOS!$A$2:$A$20000,S215,DATOS!$G$2:$G$20000,CONFIG_METADATA!$B$4,DATOS!$I$2:$I$20000,"Coro"),""))</f>
        <v/>
      </c>
      <c r="V215" t="str">
        <f>IF(S215="","",IFERROR(AVERAGEIFS(DATOS!$K$2:$K$20000,DATOS!$A$2:$A$20000,S215,DATOS!$G$2:$G$20000,CONFIG_METADATA!$B$4,DATOS!$I$2:$I$20000,"Conjunto"),""))</f>
        <v/>
      </c>
      <c r="W215" t="str" cm="1">
        <f t="array" ref="W215">IF(S215="","",IFERROR(AVERAGE(IF((DATOS!$A$2:$A$20000=S215)*(DATOS!$G$2:$G$20000=CONFIG_METADATA!$B$4)*(DATOS!$I$2:$I$20000&lt;&gt;"Lenguaje Musical")*(DATOS!$I$2:$I$20000&lt;&gt;"Coro")*(DATOS!$I$2:$I$20000&lt;&gt;"Conjunto"),DATOS!$K$2:$K$20000)),""))</f>
        <v/>
      </c>
    </row>
    <row r="216" spans="2:23" x14ac:dyDescent="0.2">
      <c r="B216" t="str">
        <f>IF(A216="","",IFERROR(AVERAGEIFS(DATOS!$K$2:$K$20000,DATOS!$A$2:$A$20000,A216,DATOS!$G$2:$G$20000,CONFIG_METADATA!$B$4,DATOS!$I$2:$I$20000,"Lenguaje Musical"),""))</f>
        <v/>
      </c>
      <c r="C216" t="str">
        <f>IF(A216="","",IFERROR(AVERAGEIFS(DATOS!$K$2:$K$20000,DATOS!$A$2:$A$20000,A216,DATOS!$G$2:$G$20000,CONFIG_METADATA!$B$4,DATOS!$I$2:$I$20000,"Coro"),""))</f>
        <v/>
      </c>
      <c r="D216" t="str">
        <f>IF(A216="","",IFERROR(AVERAGEIFS(DATOS!$K$2:$K$20000,DATOS!$A$2:$A$20000,A216,DATOS!$G$2:$G$20000,CONFIG_METADATA!$B$4,DATOS!$I$2:$I$20000,"Conjunto"),""))</f>
        <v/>
      </c>
      <c r="E216" t="str" cm="1">
        <f t="array" ref="E216">IF(A216="","",IFERROR(AVERAGE(IF((DATOS!$A$2:$A$20000=A216)*(DATOS!$G$2:$G$20000=CONFIG_METADATA!$B$4)*(DATOS!$I$2:$I$20000&lt;&gt;"Lenguaje Musical")*(DATOS!$I$2:$I$20000&lt;&gt;"Coro")*(DATOS!$I$2:$I$20000&lt;&gt;"Conjunto"),DATOS!$K$2:$K$20000)),""))</f>
        <v/>
      </c>
      <c r="H216" t="str">
        <f>IF(G216="","",IFERROR(AVERAGEIFS(DATOS!$K$2:$K$20000,DATOS!$A$2:$A$20000,G216,DATOS!$G$2:$G$20000,CONFIG_METADATA!$B$4,DATOS!$I$2:$I$20000,"Lenguaje Musical"),""))</f>
        <v/>
      </c>
      <c r="I216" t="str">
        <f>IF(G216="","",IFERROR(AVERAGEIFS(DATOS!$K$2:$K$20000,DATOS!$A$2:$A$20000,G216,DATOS!$G$2:$G$20000,CONFIG_METADATA!$B$4,DATOS!$I$2:$I$20000,"Coro"),""))</f>
        <v/>
      </c>
      <c r="J216" t="str">
        <f>IF(G216="","",IFERROR(AVERAGEIFS(DATOS!$K$2:$K$20000,DATOS!$A$2:$A$20000,G216,DATOS!$G$2:$G$20000,CONFIG_METADATA!$B$4,DATOS!$I$2:$I$20000,"Conjunto"),""))</f>
        <v/>
      </c>
      <c r="K216" t="str" cm="1">
        <f t="array" ref="K216">IF(G216="","",IFERROR(AVERAGE(IF((DATOS!$A$2:$A$20000=G216)*(DATOS!$G$2:$G$20000=CONFIG_METADATA!$B$4)*(DATOS!$I$2:$I$20000&lt;&gt;"Lenguaje Musical")*(DATOS!$I$2:$I$20000&lt;&gt;"Coro")*(DATOS!$I$2:$I$20000&lt;&gt;"Conjunto"),DATOS!$K$2:$K$20000)),""))</f>
        <v/>
      </c>
      <c r="N216" t="str">
        <f>IF(M216="","",IFERROR(AVERAGEIFS(DATOS!$K$2:$K$20000,DATOS!$A$2:$A$20000,M216,DATOS!$G$2:$G$20000,CONFIG_METADATA!$B$4,DATOS!$I$2:$I$20000,"Lenguaje Musical"),""))</f>
        <v/>
      </c>
      <c r="O216" t="str">
        <f>IF(M216="","",IFERROR(AVERAGEIFS(DATOS!$K$2:$K$20000,DATOS!$A$2:$A$20000,M216,DATOS!$G$2:$G$20000,CONFIG_METADATA!$B$4,DATOS!$I$2:$I$20000,"Coro"),""))</f>
        <v/>
      </c>
      <c r="P216" t="str">
        <f>IF(M216="","",IFERROR(AVERAGEIFS(DATOS!$K$2:$K$20000,DATOS!$A$2:$A$20000,M216,DATOS!$G$2:$G$20000,CONFIG_METADATA!$B$4,DATOS!$I$2:$I$20000,"Conjunto"),""))</f>
        <v/>
      </c>
      <c r="Q216" t="str">
        <f>IF(M216="","",IFERROR(AVERAGEIFS(DATOS!$K$2:$K$20000,DATOS!$A$2:$A$20000,M216,DATOS!$G$2:$G$20000,CONFIG_METADATA!$B$4,DATOS!$I$2:$I$20000,"&lt;&gt;Lenguaje Musical",DATOS!$I$2:$I$20000,"&lt;&gt;Coro",DATOS!$I$2:$I$20000,"&lt;&gt;Conjunto"),""))</f>
        <v/>
      </c>
      <c r="T216" t="str">
        <f>IF(S216="","",IFERROR(AVERAGEIFS(DATOS!$K$2:$K$20000,DATOS!$A$2:$A$20000,S216,DATOS!$G$2:$G$20000,CONFIG_METADATA!$B$4,DATOS!$I$2:$I$20000,"Lenguaje Musical"),""))</f>
        <v/>
      </c>
      <c r="U216" t="str">
        <f>IF(S216="","",IFERROR(AVERAGEIFS(DATOS!$K$2:$K$20000,DATOS!$A$2:$A$20000,S216,DATOS!$G$2:$G$20000,CONFIG_METADATA!$B$4,DATOS!$I$2:$I$20000,"Coro"),""))</f>
        <v/>
      </c>
      <c r="V216" t="str">
        <f>IF(S216="","",IFERROR(AVERAGEIFS(DATOS!$K$2:$K$20000,DATOS!$A$2:$A$20000,S216,DATOS!$G$2:$G$20000,CONFIG_METADATA!$B$4,DATOS!$I$2:$I$20000,"Conjunto"),""))</f>
        <v/>
      </c>
      <c r="W216" t="str" cm="1">
        <f t="array" ref="W216">IF(S216="","",IFERROR(AVERAGE(IF((DATOS!$A$2:$A$20000=S216)*(DATOS!$G$2:$G$20000=CONFIG_METADATA!$B$4)*(DATOS!$I$2:$I$20000&lt;&gt;"Lenguaje Musical")*(DATOS!$I$2:$I$20000&lt;&gt;"Coro")*(DATOS!$I$2:$I$20000&lt;&gt;"Conjunto"),DATOS!$K$2:$K$20000)),""))</f>
        <v/>
      </c>
    </row>
    <row r="217" spans="2:23" x14ac:dyDescent="0.2">
      <c r="B217" t="str">
        <f>IF(A217="","",IFERROR(AVERAGEIFS(DATOS!$K$2:$K$20000,DATOS!$A$2:$A$20000,A217,DATOS!$G$2:$G$20000,CONFIG_METADATA!$B$4,DATOS!$I$2:$I$20000,"Lenguaje Musical"),""))</f>
        <v/>
      </c>
      <c r="C217" t="str">
        <f>IF(A217="","",IFERROR(AVERAGEIFS(DATOS!$K$2:$K$20000,DATOS!$A$2:$A$20000,A217,DATOS!$G$2:$G$20000,CONFIG_METADATA!$B$4,DATOS!$I$2:$I$20000,"Coro"),""))</f>
        <v/>
      </c>
      <c r="D217" t="str">
        <f>IF(A217="","",IFERROR(AVERAGEIFS(DATOS!$K$2:$K$20000,DATOS!$A$2:$A$20000,A217,DATOS!$G$2:$G$20000,CONFIG_METADATA!$B$4,DATOS!$I$2:$I$20000,"Conjunto"),""))</f>
        <v/>
      </c>
      <c r="E217" t="str" cm="1">
        <f t="array" ref="E217">IF(A217="","",IFERROR(AVERAGE(IF((DATOS!$A$2:$A$20000=A217)*(DATOS!$G$2:$G$20000=CONFIG_METADATA!$B$4)*(DATOS!$I$2:$I$20000&lt;&gt;"Lenguaje Musical")*(DATOS!$I$2:$I$20000&lt;&gt;"Coro")*(DATOS!$I$2:$I$20000&lt;&gt;"Conjunto"),DATOS!$K$2:$K$20000)),""))</f>
        <v/>
      </c>
      <c r="H217" t="str">
        <f>IF(G217="","",IFERROR(AVERAGEIFS(DATOS!$K$2:$K$20000,DATOS!$A$2:$A$20000,G217,DATOS!$G$2:$G$20000,CONFIG_METADATA!$B$4,DATOS!$I$2:$I$20000,"Lenguaje Musical"),""))</f>
        <v/>
      </c>
      <c r="I217" t="str">
        <f>IF(G217="","",IFERROR(AVERAGEIFS(DATOS!$K$2:$K$20000,DATOS!$A$2:$A$20000,G217,DATOS!$G$2:$G$20000,CONFIG_METADATA!$B$4,DATOS!$I$2:$I$20000,"Coro"),""))</f>
        <v/>
      </c>
      <c r="J217" t="str">
        <f>IF(G217="","",IFERROR(AVERAGEIFS(DATOS!$K$2:$K$20000,DATOS!$A$2:$A$20000,G217,DATOS!$G$2:$G$20000,CONFIG_METADATA!$B$4,DATOS!$I$2:$I$20000,"Conjunto"),""))</f>
        <v/>
      </c>
      <c r="K217" t="str" cm="1">
        <f t="array" ref="K217">IF(G217="","",IFERROR(AVERAGE(IF((DATOS!$A$2:$A$20000=G217)*(DATOS!$G$2:$G$20000=CONFIG_METADATA!$B$4)*(DATOS!$I$2:$I$20000&lt;&gt;"Lenguaje Musical")*(DATOS!$I$2:$I$20000&lt;&gt;"Coro")*(DATOS!$I$2:$I$20000&lt;&gt;"Conjunto"),DATOS!$K$2:$K$20000)),""))</f>
        <v/>
      </c>
      <c r="N217" t="str">
        <f>IF(M217="","",IFERROR(AVERAGEIFS(DATOS!$K$2:$K$20000,DATOS!$A$2:$A$20000,M217,DATOS!$G$2:$G$20000,CONFIG_METADATA!$B$4,DATOS!$I$2:$I$20000,"Lenguaje Musical"),""))</f>
        <v/>
      </c>
      <c r="O217" t="str">
        <f>IF(M217="","",IFERROR(AVERAGEIFS(DATOS!$K$2:$K$20000,DATOS!$A$2:$A$20000,M217,DATOS!$G$2:$G$20000,CONFIG_METADATA!$B$4,DATOS!$I$2:$I$20000,"Coro"),""))</f>
        <v/>
      </c>
      <c r="P217" t="str">
        <f>IF(M217="","",IFERROR(AVERAGEIFS(DATOS!$K$2:$K$20000,DATOS!$A$2:$A$20000,M217,DATOS!$G$2:$G$20000,CONFIG_METADATA!$B$4,DATOS!$I$2:$I$20000,"Conjunto"),""))</f>
        <v/>
      </c>
      <c r="Q217" t="str">
        <f>IF(M217="","",IFERROR(AVERAGEIFS(DATOS!$K$2:$K$20000,DATOS!$A$2:$A$20000,M217,DATOS!$G$2:$G$20000,CONFIG_METADATA!$B$4,DATOS!$I$2:$I$20000,"&lt;&gt;Lenguaje Musical",DATOS!$I$2:$I$20000,"&lt;&gt;Coro",DATOS!$I$2:$I$20000,"&lt;&gt;Conjunto"),""))</f>
        <v/>
      </c>
      <c r="T217" t="str">
        <f>IF(S217="","",IFERROR(AVERAGEIFS(DATOS!$K$2:$K$20000,DATOS!$A$2:$A$20000,S217,DATOS!$G$2:$G$20000,CONFIG_METADATA!$B$4,DATOS!$I$2:$I$20000,"Lenguaje Musical"),""))</f>
        <v/>
      </c>
      <c r="U217" t="str">
        <f>IF(S217="","",IFERROR(AVERAGEIFS(DATOS!$K$2:$K$20000,DATOS!$A$2:$A$20000,S217,DATOS!$G$2:$G$20000,CONFIG_METADATA!$B$4,DATOS!$I$2:$I$20000,"Coro"),""))</f>
        <v/>
      </c>
      <c r="V217" t="str">
        <f>IF(S217="","",IFERROR(AVERAGEIFS(DATOS!$K$2:$K$20000,DATOS!$A$2:$A$20000,S217,DATOS!$G$2:$G$20000,CONFIG_METADATA!$B$4,DATOS!$I$2:$I$20000,"Conjunto"),""))</f>
        <v/>
      </c>
      <c r="W217" t="str" cm="1">
        <f t="array" ref="W217">IF(S217="","",IFERROR(AVERAGE(IF((DATOS!$A$2:$A$20000=S217)*(DATOS!$G$2:$G$20000=CONFIG_METADATA!$B$4)*(DATOS!$I$2:$I$20000&lt;&gt;"Lenguaje Musical")*(DATOS!$I$2:$I$20000&lt;&gt;"Coro")*(DATOS!$I$2:$I$20000&lt;&gt;"Conjunto"),DATOS!$K$2:$K$20000)),""))</f>
        <v/>
      </c>
    </row>
    <row r="218" spans="2:23" x14ac:dyDescent="0.2">
      <c r="B218" t="str">
        <f>IF(A218="","",IFERROR(AVERAGEIFS(DATOS!$K$2:$K$20000,DATOS!$A$2:$A$20000,A218,DATOS!$G$2:$G$20000,CONFIG_METADATA!$B$4,DATOS!$I$2:$I$20000,"Lenguaje Musical"),""))</f>
        <v/>
      </c>
      <c r="C218" t="str">
        <f>IF(A218="","",IFERROR(AVERAGEIFS(DATOS!$K$2:$K$20000,DATOS!$A$2:$A$20000,A218,DATOS!$G$2:$G$20000,CONFIG_METADATA!$B$4,DATOS!$I$2:$I$20000,"Coro"),""))</f>
        <v/>
      </c>
      <c r="D218" t="str">
        <f>IF(A218="","",IFERROR(AVERAGEIFS(DATOS!$K$2:$K$20000,DATOS!$A$2:$A$20000,A218,DATOS!$G$2:$G$20000,CONFIG_METADATA!$B$4,DATOS!$I$2:$I$20000,"Conjunto"),""))</f>
        <v/>
      </c>
      <c r="E218" t="str" cm="1">
        <f t="array" ref="E218">IF(A218="","",IFERROR(AVERAGE(IF((DATOS!$A$2:$A$20000=A218)*(DATOS!$G$2:$G$20000=CONFIG_METADATA!$B$4)*(DATOS!$I$2:$I$20000&lt;&gt;"Lenguaje Musical")*(DATOS!$I$2:$I$20000&lt;&gt;"Coro")*(DATOS!$I$2:$I$20000&lt;&gt;"Conjunto"),DATOS!$K$2:$K$20000)),""))</f>
        <v/>
      </c>
      <c r="H218" t="str">
        <f>IF(G218="","",IFERROR(AVERAGEIFS(DATOS!$K$2:$K$20000,DATOS!$A$2:$A$20000,G218,DATOS!$G$2:$G$20000,CONFIG_METADATA!$B$4,DATOS!$I$2:$I$20000,"Lenguaje Musical"),""))</f>
        <v/>
      </c>
      <c r="I218" t="str">
        <f>IF(G218="","",IFERROR(AVERAGEIFS(DATOS!$K$2:$K$20000,DATOS!$A$2:$A$20000,G218,DATOS!$G$2:$G$20000,CONFIG_METADATA!$B$4,DATOS!$I$2:$I$20000,"Coro"),""))</f>
        <v/>
      </c>
      <c r="J218" t="str">
        <f>IF(G218="","",IFERROR(AVERAGEIFS(DATOS!$K$2:$K$20000,DATOS!$A$2:$A$20000,G218,DATOS!$G$2:$G$20000,CONFIG_METADATA!$B$4,DATOS!$I$2:$I$20000,"Conjunto"),""))</f>
        <v/>
      </c>
      <c r="K218" t="str" cm="1">
        <f t="array" ref="K218">IF(G218="","",IFERROR(AVERAGE(IF((DATOS!$A$2:$A$20000=G218)*(DATOS!$G$2:$G$20000=CONFIG_METADATA!$B$4)*(DATOS!$I$2:$I$20000&lt;&gt;"Lenguaje Musical")*(DATOS!$I$2:$I$20000&lt;&gt;"Coro")*(DATOS!$I$2:$I$20000&lt;&gt;"Conjunto"),DATOS!$K$2:$K$20000)),""))</f>
        <v/>
      </c>
      <c r="N218" t="str">
        <f>IF(M218="","",IFERROR(AVERAGEIFS(DATOS!$K$2:$K$20000,DATOS!$A$2:$A$20000,M218,DATOS!$G$2:$G$20000,CONFIG_METADATA!$B$4,DATOS!$I$2:$I$20000,"Lenguaje Musical"),""))</f>
        <v/>
      </c>
      <c r="O218" t="str">
        <f>IF(M218="","",IFERROR(AVERAGEIFS(DATOS!$K$2:$K$20000,DATOS!$A$2:$A$20000,M218,DATOS!$G$2:$G$20000,CONFIG_METADATA!$B$4,DATOS!$I$2:$I$20000,"Coro"),""))</f>
        <v/>
      </c>
      <c r="P218" t="str">
        <f>IF(M218="","",IFERROR(AVERAGEIFS(DATOS!$K$2:$K$20000,DATOS!$A$2:$A$20000,M218,DATOS!$G$2:$G$20000,CONFIG_METADATA!$B$4,DATOS!$I$2:$I$20000,"Conjunto"),""))</f>
        <v/>
      </c>
      <c r="Q218" t="str">
        <f>IF(M218="","",IFERROR(AVERAGEIFS(DATOS!$K$2:$K$20000,DATOS!$A$2:$A$20000,M218,DATOS!$G$2:$G$20000,CONFIG_METADATA!$B$4,DATOS!$I$2:$I$20000,"&lt;&gt;Lenguaje Musical",DATOS!$I$2:$I$20000,"&lt;&gt;Coro",DATOS!$I$2:$I$20000,"&lt;&gt;Conjunto"),""))</f>
        <v/>
      </c>
      <c r="T218" t="str">
        <f>IF(S218="","",IFERROR(AVERAGEIFS(DATOS!$K$2:$K$20000,DATOS!$A$2:$A$20000,S218,DATOS!$G$2:$G$20000,CONFIG_METADATA!$B$4,DATOS!$I$2:$I$20000,"Lenguaje Musical"),""))</f>
        <v/>
      </c>
      <c r="U218" t="str">
        <f>IF(S218="","",IFERROR(AVERAGEIFS(DATOS!$K$2:$K$20000,DATOS!$A$2:$A$20000,S218,DATOS!$G$2:$G$20000,CONFIG_METADATA!$B$4,DATOS!$I$2:$I$20000,"Coro"),""))</f>
        <v/>
      </c>
      <c r="V218" t="str">
        <f>IF(S218="","",IFERROR(AVERAGEIFS(DATOS!$K$2:$K$20000,DATOS!$A$2:$A$20000,S218,DATOS!$G$2:$G$20000,CONFIG_METADATA!$B$4,DATOS!$I$2:$I$20000,"Conjunto"),""))</f>
        <v/>
      </c>
      <c r="W218" t="str" cm="1">
        <f t="array" ref="W218">IF(S218="","",IFERROR(AVERAGE(IF((DATOS!$A$2:$A$20000=S218)*(DATOS!$G$2:$G$20000=CONFIG_METADATA!$B$4)*(DATOS!$I$2:$I$20000&lt;&gt;"Lenguaje Musical")*(DATOS!$I$2:$I$20000&lt;&gt;"Coro")*(DATOS!$I$2:$I$20000&lt;&gt;"Conjunto"),DATOS!$K$2:$K$20000)),""))</f>
        <v/>
      </c>
    </row>
    <row r="219" spans="2:23" x14ac:dyDescent="0.2">
      <c r="B219" t="str">
        <f>IF(A219="","",IFERROR(AVERAGEIFS(DATOS!$K$2:$K$20000,DATOS!$A$2:$A$20000,A219,DATOS!$G$2:$G$20000,CONFIG_METADATA!$B$4,DATOS!$I$2:$I$20000,"Lenguaje Musical"),""))</f>
        <v/>
      </c>
      <c r="C219" t="str">
        <f>IF(A219="","",IFERROR(AVERAGEIFS(DATOS!$K$2:$K$20000,DATOS!$A$2:$A$20000,A219,DATOS!$G$2:$G$20000,CONFIG_METADATA!$B$4,DATOS!$I$2:$I$20000,"Coro"),""))</f>
        <v/>
      </c>
      <c r="D219" t="str">
        <f>IF(A219="","",IFERROR(AVERAGEIFS(DATOS!$K$2:$K$20000,DATOS!$A$2:$A$20000,A219,DATOS!$G$2:$G$20000,CONFIG_METADATA!$B$4,DATOS!$I$2:$I$20000,"Conjunto"),""))</f>
        <v/>
      </c>
      <c r="E219" t="str" cm="1">
        <f t="array" ref="E219">IF(A219="","",IFERROR(AVERAGE(IF((DATOS!$A$2:$A$20000=A219)*(DATOS!$G$2:$G$20000=CONFIG_METADATA!$B$4)*(DATOS!$I$2:$I$20000&lt;&gt;"Lenguaje Musical")*(DATOS!$I$2:$I$20000&lt;&gt;"Coro")*(DATOS!$I$2:$I$20000&lt;&gt;"Conjunto"),DATOS!$K$2:$K$20000)),""))</f>
        <v/>
      </c>
      <c r="H219" t="str">
        <f>IF(G219="","",IFERROR(AVERAGEIFS(DATOS!$K$2:$K$20000,DATOS!$A$2:$A$20000,G219,DATOS!$G$2:$G$20000,CONFIG_METADATA!$B$4,DATOS!$I$2:$I$20000,"Lenguaje Musical"),""))</f>
        <v/>
      </c>
      <c r="I219" t="str">
        <f>IF(G219="","",IFERROR(AVERAGEIFS(DATOS!$K$2:$K$20000,DATOS!$A$2:$A$20000,G219,DATOS!$G$2:$G$20000,CONFIG_METADATA!$B$4,DATOS!$I$2:$I$20000,"Coro"),""))</f>
        <v/>
      </c>
      <c r="J219" t="str">
        <f>IF(G219="","",IFERROR(AVERAGEIFS(DATOS!$K$2:$K$20000,DATOS!$A$2:$A$20000,G219,DATOS!$G$2:$G$20000,CONFIG_METADATA!$B$4,DATOS!$I$2:$I$20000,"Conjunto"),""))</f>
        <v/>
      </c>
      <c r="K219" t="str" cm="1">
        <f t="array" ref="K219">IF(G219="","",IFERROR(AVERAGE(IF((DATOS!$A$2:$A$20000=G219)*(DATOS!$G$2:$G$20000=CONFIG_METADATA!$B$4)*(DATOS!$I$2:$I$20000&lt;&gt;"Lenguaje Musical")*(DATOS!$I$2:$I$20000&lt;&gt;"Coro")*(DATOS!$I$2:$I$20000&lt;&gt;"Conjunto"),DATOS!$K$2:$K$20000)),""))</f>
        <v/>
      </c>
      <c r="N219" t="str">
        <f>IF(M219="","",IFERROR(AVERAGEIFS(DATOS!$K$2:$K$20000,DATOS!$A$2:$A$20000,M219,DATOS!$G$2:$G$20000,CONFIG_METADATA!$B$4,DATOS!$I$2:$I$20000,"Lenguaje Musical"),""))</f>
        <v/>
      </c>
      <c r="O219" t="str">
        <f>IF(M219="","",IFERROR(AVERAGEIFS(DATOS!$K$2:$K$20000,DATOS!$A$2:$A$20000,M219,DATOS!$G$2:$G$20000,CONFIG_METADATA!$B$4,DATOS!$I$2:$I$20000,"Coro"),""))</f>
        <v/>
      </c>
      <c r="P219" t="str">
        <f>IF(M219="","",IFERROR(AVERAGEIFS(DATOS!$K$2:$K$20000,DATOS!$A$2:$A$20000,M219,DATOS!$G$2:$G$20000,CONFIG_METADATA!$B$4,DATOS!$I$2:$I$20000,"Conjunto"),""))</f>
        <v/>
      </c>
      <c r="Q219" t="str">
        <f>IF(M219="","",IFERROR(AVERAGEIFS(DATOS!$K$2:$K$20000,DATOS!$A$2:$A$20000,M219,DATOS!$G$2:$G$20000,CONFIG_METADATA!$B$4,DATOS!$I$2:$I$20000,"&lt;&gt;Lenguaje Musical",DATOS!$I$2:$I$20000,"&lt;&gt;Coro",DATOS!$I$2:$I$20000,"&lt;&gt;Conjunto"),""))</f>
        <v/>
      </c>
      <c r="T219" t="str">
        <f>IF(S219="","",IFERROR(AVERAGEIFS(DATOS!$K$2:$K$20000,DATOS!$A$2:$A$20000,S219,DATOS!$G$2:$G$20000,CONFIG_METADATA!$B$4,DATOS!$I$2:$I$20000,"Lenguaje Musical"),""))</f>
        <v/>
      </c>
      <c r="U219" t="str">
        <f>IF(S219="","",IFERROR(AVERAGEIFS(DATOS!$K$2:$K$20000,DATOS!$A$2:$A$20000,S219,DATOS!$G$2:$G$20000,CONFIG_METADATA!$B$4,DATOS!$I$2:$I$20000,"Coro"),""))</f>
        <v/>
      </c>
      <c r="V219" t="str">
        <f>IF(S219="","",IFERROR(AVERAGEIFS(DATOS!$K$2:$K$20000,DATOS!$A$2:$A$20000,S219,DATOS!$G$2:$G$20000,CONFIG_METADATA!$B$4,DATOS!$I$2:$I$20000,"Conjunto"),""))</f>
        <v/>
      </c>
      <c r="W219" t="str" cm="1">
        <f t="array" ref="W219">IF(S219="","",IFERROR(AVERAGE(IF((DATOS!$A$2:$A$20000=S219)*(DATOS!$G$2:$G$20000=CONFIG_METADATA!$B$4)*(DATOS!$I$2:$I$20000&lt;&gt;"Lenguaje Musical")*(DATOS!$I$2:$I$20000&lt;&gt;"Coro")*(DATOS!$I$2:$I$20000&lt;&gt;"Conjunto"),DATOS!$K$2:$K$20000)),""))</f>
        <v/>
      </c>
    </row>
    <row r="220" spans="2:23" x14ac:dyDescent="0.2">
      <c r="B220" t="str">
        <f>IF(A220="","",IFERROR(AVERAGEIFS(DATOS!$K$2:$K$20000,DATOS!$A$2:$A$20000,A220,DATOS!$G$2:$G$20000,CONFIG_METADATA!$B$4,DATOS!$I$2:$I$20000,"Lenguaje Musical"),""))</f>
        <v/>
      </c>
      <c r="C220" t="str">
        <f>IF(A220="","",IFERROR(AVERAGEIFS(DATOS!$K$2:$K$20000,DATOS!$A$2:$A$20000,A220,DATOS!$G$2:$G$20000,CONFIG_METADATA!$B$4,DATOS!$I$2:$I$20000,"Coro"),""))</f>
        <v/>
      </c>
      <c r="D220" t="str">
        <f>IF(A220="","",IFERROR(AVERAGEIFS(DATOS!$K$2:$K$20000,DATOS!$A$2:$A$20000,A220,DATOS!$G$2:$G$20000,CONFIG_METADATA!$B$4,DATOS!$I$2:$I$20000,"Conjunto"),""))</f>
        <v/>
      </c>
      <c r="E220" t="str" cm="1">
        <f t="array" ref="E220">IF(A220="","",IFERROR(AVERAGE(IF((DATOS!$A$2:$A$20000=A220)*(DATOS!$G$2:$G$20000=CONFIG_METADATA!$B$4)*(DATOS!$I$2:$I$20000&lt;&gt;"Lenguaje Musical")*(DATOS!$I$2:$I$20000&lt;&gt;"Coro")*(DATOS!$I$2:$I$20000&lt;&gt;"Conjunto"),DATOS!$K$2:$K$20000)),""))</f>
        <v/>
      </c>
      <c r="H220" t="str">
        <f>IF(G220="","",IFERROR(AVERAGEIFS(DATOS!$K$2:$K$20000,DATOS!$A$2:$A$20000,G220,DATOS!$G$2:$G$20000,CONFIG_METADATA!$B$4,DATOS!$I$2:$I$20000,"Lenguaje Musical"),""))</f>
        <v/>
      </c>
      <c r="I220" t="str">
        <f>IF(G220="","",IFERROR(AVERAGEIFS(DATOS!$K$2:$K$20000,DATOS!$A$2:$A$20000,G220,DATOS!$G$2:$G$20000,CONFIG_METADATA!$B$4,DATOS!$I$2:$I$20000,"Coro"),""))</f>
        <v/>
      </c>
      <c r="J220" t="str">
        <f>IF(G220="","",IFERROR(AVERAGEIFS(DATOS!$K$2:$K$20000,DATOS!$A$2:$A$20000,G220,DATOS!$G$2:$G$20000,CONFIG_METADATA!$B$4,DATOS!$I$2:$I$20000,"Conjunto"),""))</f>
        <v/>
      </c>
      <c r="K220" t="str" cm="1">
        <f t="array" ref="K220">IF(G220="","",IFERROR(AVERAGE(IF((DATOS!$A$2:$A$20000=G220)*(DATOS!$G$2:$G$20000=CONFIG_METADATA!$B$4)*(DATOS!$I$2:$I$20000&lt;&gt;"Lenguaje Musical")*(DATOS!$I$2:$I$20000&lt;&gt;"Coro")*(DATOS!$I$2:$I$20000&lt;&gt;"Conjunto"),DATOS!$K$2:$K$20000)),""))</f>
        <v/>
      </c>
      <c r="N220" t="str">
        <f>IF(M220="","",IFERROR(AVERAGEIFS(DATOS!$K$2:$K$20000,DATOS!$A$2:$A$20000,M220,DATOS!$G$2:$G$20000,CONFIG_METADATA!$B$4,DATOS!$I$2:$I$20000,"Lenguaje Musical"),""))</f>
        <v/>
      </c>
      <c r="O220" t="str">
        <f>IF(M220="","",IFERROR(AVERAGEIFS(DATOS!$K$2:$K$20000,DATOS!$A$2:$A$20000,M220,DATOS!$G$2:$G$20000,CONFIG_METADATA!$B$4,DATOS!$I$2:$I$20000,"Coro"),""))</f>
        <v/>
      </c>
      <c r="P220" t="str">
        <f>IF(M220="","",IFERROR(AVERAGEIFS(DATOS!$K$2:$K$20000,DATOS!$A$2:$A$20000,M220,DATOS!$G$2:$G$20000,CONFIG_METADATA!$B$4,DATOS!$I$2:$I$20000,"Conjunto"),""))</f>
        <v/>
      </c>
      <c r="Q220" t="str">
        <f>IF(M220="","",IFERROR(AVERAGEIFS(DATOS!$K$2:$K$20000,DATOS!$A$2:$A$20000,M220,DATOS!$G$2:$G$20000,CONFIG_METADATA!$B$4,DATOS!$I$2:$I$20000,"&lt;&gt;Lenguaje Musical",DATOS!$I$2:$I$20000,"&lt;&gt;Coro",DATOS!$I$2:$I$20000,"&lt;&gt;Conjunto"),""))</f>
        <v/>
      </c>
      <c r="T220" t="str">
        <f>IF(S220="","",IFERROR(AVERAGEIFS(DATOS!$K$2:$K$20000,DATOS!$A$2:$A$20000,S220,DATOS!$G$2:$G$20000,CONFIG_METADATA!$B$4,DATOS!$I$2:$I$20000,"Lenguaje Musical"),""))</f>
        <v/>
      </c>
      <c r="U220" t="str">
        <f>IF(S220="","",IFERROR(AVERAGEIFS(DATOS!$K$2:$K$20000,DATOS!$A$2:$A$20000,S220,DATOS!$G$2:$G$20000,CONFIG_METADATA!$B$4,DATOS!$I$2:$I$20000,"Coro"),""))</f>
        <v/>
      </c>
      <c r="V220" t="str">
        <f>IF(S220="","",IFERROR(AVERAGEIFS(DATOS!$K$2:$K$20000,DATOS!$A$2:$A$20000,S220,DATOS!$G$2:$G$20000,CONFIG_METADATA!$B$4,DATOS!$I$2:$I$20000,"Conjunto"),""))</f>
        <v/>
      </c>
      <c r="W220" t="str" cm="1">
        <f t="array" ref="W220">IF(S220="","",IFERROR(AVERAGE(IF((DATOS!$A$2:$A$20000=S220)*(DATOS!$G$2:$G$20000=CONFIG_METADATA!$B$4)*(DATOS!$I$2:$I$20000&lt;&gt;"Lenguaje Musical")*(DATOS!$I$2:$I$20000&lt;&gt;"Coro")*(DATOS!$I$2:$I$20000&lt;&gt;"Conjunto"),DATOS!$K$2:$K$20000)),""))</f>
        <v/>
      </c>
    </row>
    <row r="221" spans="2:23" x14ac:dyDescent="0.2">
      <c r="B221" t="str">
        <f>IF(A221="","",IFERROR(AVERAGEIFS(DATOS!$K$2:$K$20000,DATOS!$A$2:$A$20000,A221,DATOS!$G$2:$G$20000,CONFIG_METADATA!$B$4,DATOS!$I$2:$I$20000,"Lenguaje Musical"),""))</f>
        <v/>
      </c>
      <c r="C221" t="str">
        <f>IF(A221="","",IFERROR(AVERAGEIFS(DATOS!$K$2:$K$20000,DATOS!$A$2:$A$20000,A221,DATOS!$G$2:$G$20000,CONFIG_METADATA!$B$4,DATOS!$I$2:$I$20000,"Coro"),""))</f>
        <v/>
      </c>
      <c r="D221" t="str">
        <f>IF(A221="","",IFERROR(AVERAGEIFS(DATOS!$K$2:$K$20000,DATOS!$A$2:$A$20000,A221,DATOS!$G$2:$G$20000,CONFIG_METADATA!$B$4,DATOS!$I$2:$I$20000,"Conjunto"),""))</f>
        <v/>
      </c>
      <c r="E221" t="str" cm="1">
        <f t="array" ref="E221">IF(A221="","",IFERROR(AVERAGE(IF((DATOS!$A$2:$A$20000=A221)*(DATOS!$G$2:$G$20000=CONFIG_METADATA!$B$4)*(DATOS!$I$2:$I$20000&lt;&gt;"Lenguaje Musical")*(DATOS!$I$2:$I$20000&lt;&gt;"Coro")*(DATOS!$I$2:$I$20000&lt;&gt;"Conjunto"),DATOS!$K$2:$K$20000)),""))</f>
        <v/>
      </c>
      <c r="H221" t="str">
        <f>IF(G221="","",IFERROR(AVERAGEIFS(DATOS!$K$2:$K$20000,DATOS!$A$2:$A$20000,G221,DATOS!$G$2:$G$20000,CONFIG_METADATA!$B$4,DATOS!$I$2:$I$20000,"Lenguaje Musical"),""))</f>
        <v/>
      </c>
      <c r="I221" t="str">
        <f>IF(G221="","",IFERROR(AVERAGEIFS(DATOS!$K$2:$K$20000,DATOS!$A$2:$A$20000,G221,DATOS!$G$2:$G$20000,CONFIG_METADATA!$B$4,DATOS!$I$2:$I$20000,"Coro"),""))</f>
        <v/>
      </c>
      <c r="J221" t="str">
        <f>IF(G221="","",IFERROR(AVERAGEIFS(DATOS!$K$2:$K$20000,DATOS!$A$2:$A$20000,G221,DATOS!$G$2:$G$20000,CONFIG_METADATA!$B$4,DATOS!$I$2:$I$20000,"Conjunto"),""))</f>
        <v/>
      </c>
      <c r="K221" t="str" cm="1">
        <f t="array" ref="K221">IF(G221="","",IFERROR(AVERAGE(IF((DATOS!$A$2:$A$20000=G221)*(DATOS!$G$2:$G$20000=CONFIG_METADATA!$B$4)*(DATOS!$I$2:$I$20000&lt;&gt;"Lenguaje Musical")*(DATOS!$I$2:$I$20000&lt;&gt;"Coro")*(DATOS!$I$2:$I$20000&lt;&gt;"Conjunto"),DATOS!$K$2:$K$20000)),""))</f>
        <v/>
      </c>
      <c r="N221" t="str">
        <f>IF(M221="","",IFERROR(AVERAGEIFS(DATOS!$K$2:$K$20000,DATOS!$A$2:$A$20000,M221,DATOS!$G$2:$G$20000,CONFIG_METADATA!$B$4,DATOS!$I$2:$I$20000,"Lenguaje Musical"),""))</f>
        <v/>
      </c>
      <c r="O221" t="str">
        <f>IF(M221="","",IFERROR(AVERAGEIFS(DATOS!$K$2:$K$20000,DATOS!$A$2:$A$20000,M221,DATOS!$G$2:$G$20000,CONFIG_METADATA!$B$4,DATOS!$I$2:$I$20000,"Coro"),""))</f>
        <v/>
      </c>
      <c r="P221" t="str">
        <f>IF(M221="","",IFERROR(AVERAGEIFS(DATOS!$K$2:$K$20000,DATOS!$A$2:$A$20000,M221,DATOS!$G$2:$G$20000,CONFIG_METADATA!$B$4,DATOS!$I$2:$I$20000,"Conjunto"),""))</f>
        <v/>
      </c>
      <c r="Q221" t="str">
        <f>IF(M221="","",IFERROR(AVERAGEIFS(DATOS!$K$2:$K$20000,DATOS!$A$2:$A$20000,M221,DATOS!$G$2:$G$20000,CONFIG_METADATA!$B$4,DATOS!$I$2:$I$20000,"&lt;&gt;Lenguaje Musical",DATOS!$I$2:$I$20000,"&lt;&gt;Coro",DATOS!$I$2:$I$20000,"&lt;&gt;Conjunto"),""))</f>
        <v/>
      </c>
      <c r="T221" t="str">
        <f>IF(S221="","",IFERROR(AVERAGEIFS(DATOS!$K$2:$K$20000,DATOS!$A$2:$A$20000,S221,DATOS!$G$2:$G$20000,CONFIG_METADATA!$B$4,DATOS!$I$2:$I$20000,"Lenguaje Musical"),""))</f>
        <v/>
      </c>
      <c r="U221" t="str">
        <f>IF(S221="","",IFERROR(AVERAGEIFS(DATOS!$K$2:$K$20000,DATOS!$A$2:$A$20000,S221,DATOS!$G$2:$G$20000,CONFIG_METADATA!$B$4,DATOS!$I$2:$I$20000,"Coro"),""))</f>
        <v/>
      </c>
      <c r="V221" t="str">
        <f>IF(S221="","",IFERROR(AVERAGEIFS(DATOS!$K$2:$K$20000,DATOS!$A$2:$A$20000,S221,DATOS!$G$2:$G$20000,CONFIG_METADATA!$B$4,DATOS!$I$2:$I$20000,"Conjunto"),""))</f>
        <v/>
      </c>
      <c r="W221" t="str" cm="1">
        <f t="array" ref="W221">IF(S221="","",IFERROR(AVERAGE(IF((DATOS!$A$2:$A$20000=S221)*(DATOS!$G$2:$G$20000=CONFIG_METADATA!$B$4)*(DATOS!$I$2:$I$20000&lt;&gt;"Lenguaje Musical")*(DATOS!$I$2:$I$20000&lt;&gt;"Coro")*(DATOS!$I$2:$I$20000&lt;&gt;"Conjunto"),DATOS!$K$2:$K$20000)),""))</f>
        <v/>
      </c>
    </row>
    <row r="222" spans="2:23" x14ac:dyDescent="0.2">
      <c r="B222" t="str">
        <f>IF(A222="","",IFERROR(AVERAGEIFS(DATOS!$K$2:$K$20000,DATOS!$A$2:$A$20000,A222,DATOS!$G$2:$G$20000,CONFIG_METADATA!$B$4,DATOS!$I$2:$I$20000,"Lenguaje Musical"),""))</f>
        <v/>
      </c>
      <c r="C222" t="str">
        <f>IF(A222="","",IFERROR(AVERAGEIFS(DATOS!$K$2:$K$20000,DATOS!$A$2:$A$20000,A222,DATOS!$G$2:$G$20000,CONFIG_METADATA!$B$4,DATOS!$I$2:$I$20000,"Coro"),""))</f>
        <v/>
      </c>
      <c r="D222" t="str">
        <f>IF(A222="","",IFERROR(AVERAGEIFS(DATOS!$K$2:$K$20000,DATOS!$A$2:$A$20000,A222,DATOS!$G$2:$G$20000,CONFIG_METADATA!$B$4,DATOS!$I$2:$I$20000,"Conjunto"),""))</f>
        <v/>
      </c>
      <c r="E222" t="str" cm="1">
        <f t="array" ref="E222">IF(A222="","",IFERROR(AVERAGE(IF((DATOS!$A$2:$A$20000=A222)*(DATOS!$G$2:$G$20000=CONFIG_METADATA!$B$4)*(DATOS!$I$2:$I$20000&lt;&gt;"Lenguaje Musical")*(DATOS!$I$2:$I$20000&lt;&gt;"Coro")*(DATOS!$I$2:$I$20000&lt;&gt;"Conjunto"),DATOS!$K$2:$K$20000)),""))</f>
        <v/>
      </c>
      <c r="H222" t="str">
        <f>IF(G222="","",IFERROR(AVERAGEIFS(DATOS!$K$2:$K$20000,DATOS!$A$2:$A$20000,G222,DATOS!$G$2:$G$20000,CONFIG_METADATA!$B$4,DATOS!$I$2:$I$20000,"Lenguaje Musical"),""))</f>
        <v/>
      </c>
      <c r="I222" t="str">
        <f>IF(G222="","",IFERROR(AVERAGEIFS(DATOS!$K$2:$K$20000,DATOS!$A$2:$A$20000,G222,DATOS!$G$2:$G$20000,CONFIG_METADATA!$B$4,DATOS!$I$2:$I$20000,"Coro"),""))</f>
        <v/>
      </c>
      <c r="J222" t="str">
        <f>IF(G222="","",IFERROR(AVERAGEIFS(DATOS!$K$2:$K$20000,DATOS!$A$2:$A$20000,G222,DATOS!$G$2:$G$20000,CONFIG_METADATA!$B$4,DATOS!$I$2:$I$20000,"Conjunto"),""))</f>
        <v/>
      </c>
      <c r="K222" t="str" cm="1">
        <f t="array" ref="K222">IF(G222="","",IFERROR(AVERAGE(IF((DATOS!$A$2:$A$20000=G222)*(DATOS!$G$2:$G$20000=CONFIG_METADATA!$B$4)*(DATOS!$I$2:$I$20000&lt;&gt;"Lenguaje Musical")*(DATOS!$I$2:$I$20000&lt;&gt;"Coro")*(DATOS!$I$2:$I$20000&lt;&gt;"Conjunto"),DATOS!$K$2:$K$20000)),""))</f>
        <v/>
      </c>
      <c r="N222" t="str">
        <f>IF(M222="","",IFERROR(AVERAGEIFS(DATOS!$K$2:$K$20000,DATOS!$A$2:$A$20000,M222,DATOS!$G$2:$G$20000,CONFIG_METADATA!$B$4,DATOS!$I$2:$I$20000,"Lenguaje Musical"),""))</f>
        <v/>
      </c>
      <c r="O222" t="str">
        <f>IF(M222="","",IFERROR(AVERAGEIFS(DATOS!$K$2:$K$20000,DATOS!$A$2:$A$20000,M222,DATOS!$G$2:$G$20000,CONFIG_METADATA!$B$4,DATOS!$I$2:$I$20000,"Coro"),""))</f>
        <v/>
      </c>
      <c r="P222" t="str">
        <f>IF(M222="","",IFERROR(AVERAGEIFS(DATOS!$K$2:$K$20000,DATOS!$A$2:$A$20000,M222,DATOS!$G$2:$G$20000,CONFIG_METADATA!$B$4,DATOS!$I$2:$I$20000,"Conjunto"),""))</f>
        <v/>
      </c>
      <c r="Q222" t="str">
        <f>IF(M222="","",IFERROR(AVERAGEIFS(DATOS!$K$2:$K$20000,DATOS!$A$2:$A$20000,M222,DATOS!$G$2:$G$20000,CONFIG_METADATA!$B$4,DATOS!$I$2:$I$20000,"&lt;&gt;Lenguaje Musical",DATOS!$I$2:$I$20000,"&lt;&gt;Coro",DATOS!$I$2:$I$20000,"&lt;&gt;Conjunto"),""))</f>
        <v/>
      </c>
      <c r="T222" t="str">
        <f>IF(S222="","",IFERROR(AVERAGEIFS(DATOS!$K$2:$K$20000,DATOS!$A$2:$A$20000,S222,DATOS!$G$2:$G$20000,CONFIG_METADATA!$B$4,DATOS!$I$2:$I$20000,"Lenguaje Musical"),""))</f>
        <v/>
      </c>
      <c r="U222" t="str">
        <f>IF(S222="","",IFERROR(AVERAGEIFS(DATOS!$K$2:$K$20000,DATOS!$A$2:$A$20000,S222,DATOS!$G$2:$G$20000,CONFIG_METADATA!$B$4,DATOS!$I$2:$I$20000,"Coro"),""))</f>
        <v/>
      </c>
      <c r="V222" t="str">
        <f>IF(S222="","",IFERROR(AVERAGEIFS(DATOS!$K$2:$K$20000,DATOS!$A$2:$A$20000,S222,DATOS!$G$2:$G$20000,CONFIG_METADATA!$B$4,DATOS!$I$2:$I$20000,"Conjunto"),""))</f>
        <v/>
      </c>
      <c r="W222" t="str" cm="1">
        <f t="array" ref="W222">IF(S222="","",IFERROR(AVERAGE(IF((DATOS!$A$2:$A$20000=S222)*(DATOS!$G$2:$G$20000=CONFIG_METADATA!$B$4)*(DATOS!$I$2:$I$20000&lt;&gt;"Lenguaje Musical")*(DATOS!$I$2:$I$20000&lt;&gt;"Coro")*(DATOS!$I$2:$I$20000&lt;&gt;"Conjunto"),DATOS!$K$2:$K$20000)),""))</f>
        <v/>
      </c>
    </row>
    <row r="223" spans="2:23" x14ac:dyDescent="0.2">
      <c r="B223" t="str">
        <f>IF(A223="","",IFERROR(AVERAGEIFS(DATOS!$K$2:$K$20000,DATOS!$A$2:$A$20000,A223,DATOS!$G$2:$G$20000,CONFIG_METADATA!$B$4,DATOS!$I$2:$I$20000,"Lenguaje Musical"),""))</f>
        <v/>
      </c>
      <c r="C223" t="str">
        <f>IF(A223="","",IFERROR(AVERAGEIFS(DATOS!$K$2:$K$20000,DATOS!$A$2:$A$20000,A223,DATOS!$G$2:$G$20000,CONFIG_METADATA!$B$4,DATOS!$I$2:$I$20000,"Coro"),""))</f>
        <v/>
      </c>
      <c r="D223" t="str">
        <f>IF(A223="","",IFERROR(AVERAGEIFS(DATOS!$K$2:$K$20000,DATOS!$A$2:$A$20000,A223,DATOS!$G$2:$G$20000,CONFIG_METADATA!$B$4,DATOS!$I$2:$I$20000,"Conjunto"),""))</f>
        <v/>
      </c>
      <c r="E223" t="str" cm="1">
        <f t="array" ref="E223">IF(A223="","",IFERROR(AVERAGE(IF((DATOS!$A$2:$A$20000=A223)*(DATOS!$G$2:$G$20000=CONFIG_METADATA!$B$4)*(DATOS!$I$2:$I$20000&lt;&gt;"Lenguaje Musical")*(DATOS!$I$2:$I$20000&lt;&gt;"Coro")*(DATOS!$I$2:$I$20000&lt;&gt;"Conjunto"),DATOS!$K$2:$K$20000)),""))</f>
        <v/>
      </c>
      <c r="H223" t="str">
        <f>IF(G223="","",IFERROR(AVERAGEIFS(DATOS!$K$2:$K$20000,DATOS!$A$2:$A$20000,G223,DATOS!$G$2:$G$20000,CONFIG_METADATA!$B$4,DATOS!$I$2:$I$20000,"Lenguaje Musical"),""))</f>
        <v/>
      </c>
      <c r="I223" t="str">
        <f>IF(G223="","",IFERROR(AVERAGEIFS(DATOS!$K$2:$K$20000,DATOS!$A$2:$A$20000,G223,DATOS!$G$2:$G$20000,CONFIG_METADATA!$B$4,DATOS!$I$2:$I$20000,"Coro"),""))</f>
        <v/>
      </c>
      <c r="J223" t="str">
        <f>IF(G223="","",IFERROR(AVERAGEIFS(DATOS!$K$2:$K$20000,DATOS!$A$2:$A$20000,G223,DATOS!$G$2:$G$20000,CONFIG_METADATA!$B$4,DATOS!$I$2:$I$20000,"Conjunto"),""))</f>
        <v/>
      </c>
      <c r="K223" t="str" cm="1">
        <f t="array" ref="K223">IF(G223="","",IFERROR(AVERAGE(IF((DATOS!$A$2:$A$20000=G223)*(DATOS!$G$2:$G$20000=CONFIG_METADATA!$B$4)*(DATOS!$I$2:$I$20000&lt;&gt;"Lenguaje Musical")*(DATOS!$I$2:$I$20000&lt;&gt;"Coro")*(DATOS!$I$2:$I$20000&lt;&gt;"Conjunto"),DATOS!$K$2:$K$20000)),""))</f>
        <v/>
      </c>
      <c r="N223" t="str">
        <f>IF(M223="","",IFERROR(AVERAGEIFS(DATOS!$K$2:$K$20000,DATOS!$A$2:$A$20000,M223,DATOS!$G$2:$G$20000,CONFIG_METADATA!$B$4,DATOS!$I$2:$I$20000,"Lenguaje Musical"),""))</f>
        <v/>
      </c>
      <c r="O223" t="str">
        <f>IF(M223="","",IFERROR(AVERAGEIFS(DATOS!$K$2:$K$20000,DATOS!$A$2:$A$20000,M223,DATOS!$G$2:$G$20000,CONFIG_METADATA!$B$4,DATOS!$I$2:$I$20000,"Coro"),""))</f>
        <v/>
      </c>
      <c r="P223" t="str">
        <f>IF(M223="","",IFERROR(AVERAGEIFS(DATOS!$K$2:$K$20000,DATOS!$A$2:$A$20000,M223,DATOS!$G$2:$G$20000,CONFIG_METADATA!$B$4,DATOS!$I$2:$I$20000,"Conjunto"),""))</f>
        <v/>
      </c>
      <c r="Q223" t="str">
        <f>IF(M223="","",IFERROR(AVERAGEIFS(DATOS!$K$2:$K$20000,DATOS!$A$2:$A$20000,M223,DATOS!$G$2:$G$20000,CONFIG_METADATA!$B$4,DATOS!$I$2:$I$20000,"&lt;&gt;Lenguaje Musical",DATOS!$I$2:$I$20000,"&lt;&gt;Coro",DATOS!$I$2:$I$20000,"&lt;&gt;Conjunto"),""))</f>
        <v/>
      </c>
      <c r="T223" t="str">
        <f>IF(S223="","",IFERROR(AVERAGEIFS(DATOS!$K$2:$K$20000,DATOS!$A$2:$A$20000,S223,DATOS!$G$2:$G$20000,CONFIG_METADATA!$B$4,DATOS!$I$2:$I$20000,"Lenguaje Musical"),""))</f>
        <v/>
      </c>
      <c r="U223" t="str">
        <f>IF(S223="","",IFERROR(AVERAGEIFS(DATOS!$K$2:$K$20000,DATOS!$A$2:$A$20000,S223,DATOS!$G$2:$G$20000,CONFIG_METADATA!$B$4,DATOS!$I$2:$I$20000,"Coro"),""))</f>
        <v/>
      </c>
      <c r="V223" t="str">
        <f>IF(S223="","",IFERROR(AVERAGEIFS(DATOS!$K$2:$K$20000,DATOS!$A$2:$A$20000,S223,DATOS!$G$2:$G$20000,CONFIG_METADATA!$B$4,DATOS!$I$2:$I$20000,"Conjunto"),""))</f>
        <v/>
      </c>
      <c r="W223" t="str" cm="1">
        <f t="array" ref="W223">IF(S223="","",IFERROR(AVERAGE(IF((DATOS!$A$2:$A$20000=S223)*(DATOS!$G$2:$G$20000=CONFIG_METADATA!$B$4)*(DATOS!$I$2:$I$20000&lt;&gt;"Lenguaje Musical")*(DATOS!$I$2:$I$20000&lt;&gt;"Coro")*(DATOS!$I$2:$I$20000&lt;&gt;"Conjunto"),DATOS!$K$2:$K$20000)),""))</f>
        <v/>
      </c>
    </row>
    <row r="224" spans="2:23" x14ac:dyDescent="0.2">
      <c r="B224" t="str">
        <f>IF(A224="","",IFERROR(AVERAGEIFS(DATOS!$K$2:$K$20000,DATOS!$A$2:$A$20000,A224,DATOS!$G$2:$G$20000,CONFIG_METADATA!$B$4,DATOS!$I$2:$I$20000,"Lenguaje Musical"),""))</f>
        <v/>
      </c>
      <c r="C224" t="str">
        <f>IF(A224="","",IFERROR(AVERAGEIFS(DATOS!$K$2:$K$20000,DATOS!$A$2:$A$20000,A224,DATOS!$G$2:$G$20000,CONFIG_METADATA!$B$4,DATOS!$I$2:$I$20000,"Coro"),""))</f>
        <v/>
      </c>
      <c r="D224" t="str">
        <f>IF(A224="","",IFERROR(AVERAGEIFS(DATOS!$K$2:$K$20000,DATOS!$A$2:$A$20000,A224,DATOS!$G$2:$G$20000,CONFIG_METADATA!$B$4,DATOS!$I$2:$I$20000,"Conjunto"),""))</f>
        <v/>
      </c>
      <c r="E224" t="str" cm="1">
        <f t="array" ref="E224">IF(A224="","",IFERROR(AVERAGE(IF((DATOS!$A$2:$A$20000=A224)*(DATOS!$G$2:$G$20000=CONFIG_METADATA!$B$4)*(DATOS!$I$2:$I$20000&lt;&gt;"Lenguaje Musical")*(DATOS!$I$2:$I$20000&lt;&gt;"Coro")*(DATOS!$I$2:$I$20000&lt;&gt;"Conjunto"),DATOS!$K$2:$K$20000)),""))</f>
        <v/>
      </c>
      <c r="H224" t="str">
        <f>IF(G224="","",IFERROR(AVERAGEIFS(DATOS!$K$2:$K$20000,DATOS!$A$2:$A$20000,G224,DATOS!$G$2:$G$20000,CONFIG_METADATA!$B$4,DATOS!$I$2:$I$20000,"Lenguaje Musical"),""))</f>
        <v/>
      </c>
      <c r="I224" t="str">
        <f>IF(G224="","",IFERROR(AVERAGEIFS(DATOS!$K$2:$K$20000,DATOS!$A$2:$A$20000,G224,DATOS!$G$2:$G$20000,CONFIG_METADATA!$B$4,DATOS!$I$2:$I$20000,"Coro"),""))</f>
        <v/>
      </c>
      <c r="J224" t="str">
        <f>IF(G224="","",IFERROR(AVERAGEIFS(DATOS!$K$2:$K$20000,DATOS!$A$2:$A$20000,G224,DATOS!$G$2:$G$20000,CONFIG_METADATA!$B$4,DATOS!$I$2:$I$20000,"Conjunto"),""))</f>
        <v/>
      </c>
      <c r="K224" t="str" cm="1">
        <f t="array" ref="K224">IF(G224="","",IFERROR(AVERAGE(IF((DATOS!$A$2:$A$20000=G224)*(DATOS!$G$2:$G$20000=CONFIG_METADATA!$B$4)*(DATOS!$I$2:$I$20000&lt;&gt;"Lenguaje Musical")*(DATOS!$I$2:$I$20000&lt;&gt;"Coro")*(DATOS!$I$2:$I$20000&lt;&gt;"Conjunto"),DATOS!$K$2:$K$20000)),""))</f>
        <v/>
      </c>
      <c r="N224" t="str">
        <f>IF(M224="","",IFERROR(AVERAGEIFS(DATOS!$K$2:$K$20000,DATOS!$A$2:$A$20000,M224,DATOS!$G$2:$G$20000,CONFIG_METADATA!$B$4,DATOS!$I$2:$I$20000,"Lenguaje Musical"),""))</f>
        <v/>
      </c>
      <c r="O224" t="str">
        <f>IF(M224="","",IFERROR(AVERAGEIFS(DATOS!$K$2:$K$20000,DATOS!$A$2:$A$20000,M224,DATOS!$G$2:$G$20000,CONFIG_METADATA!$B$4,DATOS!$I$2:$I$20000,"Coro"),""))</f>
        <v/>
      </c>
      <c r="P224" t="str">
        <f>IF(M224="","",IFERROR(AVERAGEIFS(DATOS!$K$2:$K$20000,DATOS!$A$2:$A$20000,M224,DATOS!$G$2:$G$20000,CONFIG_METADATA!$B$4,DATOS!$I$2:$I$20000,"Conjunto"),""))</f>
        <v/>
      </c>
      <c r="Q224" t="str">
        <f>IF(M224="","",IFERROR(AVERAGEIFS(DATOS!$K$2:$K$20000,DATOS!$A$2:$A$20000,M224,DATOS!$G$2:$G$20000,CONFIG_METADATA!$B$4,DATOS!$I$2:$I$20000,"&lt;&gt;Lenguaje Musical",DATOS!$I$2:$I$20000,"&lt;&gt;Coro",DATOS!$I$2:$I$20000,"&lt;&gt;Conjunto"),""))</f>
        <v/>
      </c>
      <c r="T224" t="str">
        <f>IF(S224="","",IFERROR(AVERAGEIFS(DATOS!$K$2:$K$20000,DATOS!$A$2:$A$20000,S224,DATOS!$G$2:$G$20000,CONFIG_METADATA!$B$4,DATOS!$I$2:$I$20000,"Lenguaje Musical"),""))</f>
        <v/>
      </c>
      <c r="U224" t="str">
        <f>IF(S224="","",IFERROR(AVERAGEIFS(DATOS!$K$2:$K$20000,DATOS!$A$2:$A$20000,S224,DATOS!$G$2:$G$20000,CONFIG_METADATA!$B$4,DATOS!$I$2:$I$20000,"Coro"),""))</f>
        <v/>
      </c>
      <c r="V224" t="str">
        <f>IF(S224="","",IFERROR(AVERAGEIFS(DATOS!$K$2:$K$20000,DATOS!$A$2:$A$20000,S224,DATOS!$G$2:$G$20000,CONFIG_METADATA!$B$4,DATOS!$I$2:$I$20000,"Conjunto"),""))</f>
        <v/>
      </c>
      <c r="W224" t="str" cm="1">
        <f t="array" ref="W224">IF(S224="","",IFERROR(AVERAGE(IF((DATOS!$A$2:$A$20000=S224)*(DATOS!$G$2:$G$20000=CONFIG_METADATA!$B$4)*(DATOS!$I$2:$I$20000&lt;&gt;"Lenguaje Musical")*(DATOS!$I$2:$I$20000&lt;&gt;"Coro")*(DATOS!$I$2:$I$20000&lt;&gt;"Conjunto"),DATOS!$K$2:$K$20000)),""))</f>
        <v/>
      </c>
    </row>
    <row r="225" spans="2:23" x14ac:dyDescent="0.2">
      <c r="B225" t="str">
        <f>IF(A225="","",IFERROR(AVERAGEIFS(DATOS!$K$2:$K$20000,DATOS!$A$2:$A$20000,A225,DATOS!$G$2:$G$20000,CONFIG_METADATA!$B$4,DATOS!$I$2:$I$20000,"Lenguaje Musical"),""))</f>
        <v/>
      </c>
      <c r="C225" t="str">
        <f>IF(A225="","",IFERROR(AVERAGEIFS(DATOS!$K$2:$K$20000,DATOS!$A$2:$A$20000,A225,DATOS!$G$2:$G$20000,CONFIG_METADATA!$B$4,DATOS!$I$2:$I$20000,"Coro"),""))</f>
        <v/>
      </c>
      <c r="D225" t="str">
        <f>IF(A225="","",IFERROR(AVERAGEIFS(DATOS!$K$2:$K$20000,DATOS!$A$2:$A$20000,A225,DATOS!$G$2:$G$20000,CONFIG_METADATA!$B$4,DATOS!$I$2:$I$20000,"Conjunto"),""))</f>
        <v/>
      </c>
      <c r="E225" t="str" cm="1">
        <f t="array" ref="E225">IF(A225="","",IFERROR(AVERAGE(IF((DATOS!$A$2:$A$20000=A225)*(DATOS!$G$2:$G$20000=CONFIG_METADATA!$B$4)*(DATOS!$I$2:$I$20000&lt;&gt;"Lenguaje Musical")*(DATOS!$I$2:$I$20000&lt;&gt;"Coro")*(DATOS!$I$2:$I$20000&lt;&gt;"Conjunto"),DATOS!$K$2:$K$20000)),""))</f>
        <v/>
      </c>
      <c r="H225" t="str">
        <f>IF(G225="","",IFERROR(AVERAGEIFS(DATOS!$K$2:$K$20000,DATOS!$A$2:$A$20000,G225,DATOS!$G$2:$G$20000,CONFIG_METADATA!$B$4,DATOS!$I$2:$I$20000,"Lenguaje Musical"),""))</f>
        <v/>
      </c>
      <c r="I225" t="str">
        <f>IF(G225="","",IFERROR(AVERAGEIFS(DATOS!$K$2:$K$20000,DATOS!$A$2:$A$20000,G225,DATOS!$G$2:$G$20000,CONFIG_METADATA!$B$4,DATOS!$I$2:$I$20000,"Coro"),""))</f>
        <v/>
      </c>
      <c r="J225" t="str">
        <f>IF(G225="","",IFERROR(AVERAGEIFS(DATOS!$K$2:$K$20000,DATOS!$A$2:$A$20000,G225,DATOS!$G$2:$G$20000,CONFIG_METADATA!$B$4,DATOS!$I$2:$I$20000,"Conjunto"),""))</f>
        <v/>
      </c>
      <c r="K225" t="str" cm="1">
        <f t="array" ref="K225">IF(G225="","",IFERROR(AVERAGE(IF((DATOS!$A$2:$A$20000=G225)*(DATOS!$G$2:$G$20000=CONFIG_METADATA!$B$4)*(DATOS!$I$2:$I$20000&lt;&gt;"Lenguaje Musical")*(DATOS!$I$2:$I$20000&lt;&gt;"Coro")*(DATOS!$I$2:$I$20000&lt;&gt;"Conjunto"),DATOS!$K$2:$K$20000)),""))</f>
        <v/>
      </c>
      <c r="N225" t="str">
        <f>IF(M225="","",IFERROR(AVERAGEIFS(DATOS!$K$2:$K$20000,DATOS!$A$2:$A$20000,M225,DATOS!$G$2:$G$20000,CONFIG_METADATA!$B$4,DATOS!$I$2:$I$20000,"Lenguaje Musical"),""))</f>
        <v/>
      </c>
      <c r="O225" t="str">
        <f>IF(M225="","",IFERROR(AVERAGEIFS(DATOS!$K$2:$K$20000,DATOS!$A$2:$A$20000,M225,DATOS!$G$2:$G$20000,CONFIG_METADATA!$B$4,DATOS!$I$2:$I$20000,"Coro"),""))</f>
        <v/>
      </c>
      <c r="P225" t="str">
        <f>IF(M225="","",IFERROR(AVERAGEIFS(DATOS!$K$2:$K$20000,DATOS!$A$2:$A$20000,M225,DATOS!$G$2:$G$20000,CONFIG_METADATA!$B$4,DATOS!$I$2:$I$20000,"Conjunto"),""))</f>
        <v/>
      </c>
      <c r="Q225" t="str">
        <f>IF(M225="","",IFERROR(AVERAGEIFS(DATOS!$K$2:$K$20000,DATOS!$A$2:$A$20000,M225,DATOS!$G$2:$G$20000,CONFIG_METADATA!$B$4,DATOS!$I$2:$I$20000,"&lt;&gt;Lenguaje Musical",DATOS!$I$2:$I$20000,"&lt;&gt;Coro",DATOS!$I$2:$I$20000,"&lt;&gt;Conjunto"),""))</f>
        <v/>
      </c>
      <c r="T225" t="str">
        <f>IF(S225="","",IFERROR(AVERAGEIFS(DATOS!$K$2:$K$20000,DATOS!$A$2:$A$20000,S225,DATOS!$G$2:$G$20000,CONFIG_METADATA!$B$4,DATOS!$I$2:$I$20000,"Lenguaje Musical"),""))</f>
        <v/>
      </c>
      <c r="U225" t="str">
        <f>IF(S225="","",IFERROR(AVERAGEIFS(DATOS!$K$2:$K$20000,DATOS!$A$2:$A$20000,S225,DATOS!$G$2:$G$20000,CONFIG_METADATA!$B$4,DATOS!$I$2:$I$20000,"Coro"),""))</f>
        <v/>
      </c>
      <c r="V225" t="str">
        <f>IF(S225="","",IFERROR(AVERAGEIFS(DATOS!$K$2:$K$20000,DATOS!$A$2:$A$20000,S225,DATOS!$G$2:$G$20000,CONFIG_METADATA!$B$4,DATOS!$I$2:$I$20000,"Conjunto"),""))</f>
        <v/>
      </c>
      <c r="W225" t="str" cm="1">
        <f t="array" ref="W225">IF(S225="","",IFERROR(AVERAGE(IF((DATOS!$A$2:$A$20000=S225)*(DATOS!$G$2:$G$20000=CONFIG_METADATA!$B$4)*(DATOS!$I$2:$I$20000&lt;&gt;"Lenguaje Musical")*(DATOS!$I$2:$I$20000&lt;&gt;"Coro")*(DATOS!$I$2:$I$20000&lt;&gt;"Conjunto"),DATOS!$K$2:$K$20000)),""))</f>
        <v/>
      </c>
    </row>
    <row r="226" spans="2:23" x14ac:dyDescent="0.2">
      <c r="B226" t="str">
        <f>IF(A226="","",IFERROR(AVERAGEIFS(DATOS!$K$2:$K$20000,DATOS!$A$2:$A$20000,A226,DATOS!$G$2:$G$20000,CONFIG_METADATA!$B$4,DATOS!$I$2:$I$20000,"Lenguaje Musical"),""))</f>
        <v/>
      </c>
      <c r="C226" t="str">
        <f>IF(A226="","",IFERROR(AVERAGEIFS(DATOS!$K$2:$K$20000,DATOS!$A$2:$A$20000,A226,DATOS!$G$2:$G$20000,CONFIG_METADATA!$B$4,DATOS!$I$2:$I$20000,"Coro"),""))</f>
        <v/>
      </c>
      <c r="D226" t="str">
        <f>IF(A226="","",IFERROR(AVERAGEIFS(DATOS!$K$2:$K$20000,DATOS!$A$2:$A$20000,A226,DATOS!$G$2:$G$20000,CONFIG_METADATA!$B$4,DATOS!$I$2:$I$20000,"Conjunto"),""))</f>
        <v/>
      </c>
      <c r="E226" t="str" cm="1">
        <f t="array" ref="E226">IF(A226="","",IFERROR(AVERAGE(IF((DATOS!$A$2:$A$20000=A226)*(DATOS!$G$2:$G$20000=CONFIG_METADATA!$B$4)*(DATOS!$I$2:$I$20000&lt;&gt;"Lenguaje Musical")*(DATOS!$I$2:$I$20000&lt;&gt;"Coro")*(DATOS!$I$2:$I$20000&lt;&gt;"Conjunto"),DATOS!$K$2:$K$20000)),""))</f>
        <v/>
      </c>
      <c r="H226" t="str">
        <f>IF(G226="","",IFERROR(AVERAGEIFS(DATOS!$K$2:$K$20000,DATOS!$A$2:$A$20000,G226,DATOS!$G$2:$G$20000,CONFIG_METADATA!$B$4,DATOS!$I$2:$I$20000,"Lenguaje Musical"),""))</f>
        <v/>
      </c>
      <c r="I226" t="str">
        <f>IF(G226="","",IFERROR(AVERAGEIFS(DATOS!$K$2:$K$20000,DATOS!$A$2:$A$20000,G226,DATOS!$G$2:$G$20000,CONFIG_METADATA!$B$4,DATOS!$I$2:$I$20000,"Coro"),""))</f>
        <v/>
      </c>
      <c r="J226" t="str">
        <f>IF(G226="","",IFERROR(AVERAGEIFS(DATOS!$K$2:$K$20000,DATOS!$A$2:$A$20000,G226,DATOS!$G$2:$G$20000,CONFIG_METADATA!$B$4,DATOS!$I$2:$I$20000,"Conjunto"),""))</f>
        <v/>
      </c>
      <c r="K226" t="str" cm="1">
        <f t="array" ref="K226">IF(G226="","",IFERROR(AVERAGE(IF((DATOS!$A$2:$A$20000=G226)*(DATOS!$G$2:$G$20000=CONFIG_METADATA!$B$4)*(DATOS!$I$2:$I$20000&lt;&gt;"Lenguaje Musical")*(DATOS!$I$2:$I$20000&lt;&gt;"Coro")*(DATOS!$I$2:$I$20000&lt;&gt;"Conjunto"),DATOS!$K$2:$K$20000)),""))</f>
        <v/>
      </c>
      <c r="N226" t="str">
        <f>IF(M226="","",IFERROR(AVERAGEIFS(DATOS!$K$2:$K$20000,DATOS!$A$2:$A$20000,M226,DATOS!$G$2:$G$20000,CONFIG_METADATA!$B$4,DATOS!$I$2:$I$20000,"Lenguaje Musical"),""))</f>
        <v/>
      </c>
      <c r="O226" t="str">
        <f>IF(M226="","",IFERROR(AVERAGEIFS(DATOS!$K$2:$K$20000,DATOS!$A$2:$A$20000,M226,DATOS!$G$2:$G$20000,CONFIG_METADATA!$B$4,DATOS!$I$2:$I$20000,"Coro"),""))</f>
        <v/>
      </c>
      <c r="P226" t="str">
        <f>IF(M226="","",IFERROR(AVERAGEIFS(DATOS!$K$2:$K$20000,DATOS!$A$2:$A$20000,M226,DATOS!$G$2:$G$20000,CONFIG_METADATA!$B$4,DATOS!$I$2:$I$20000,"Conjunto"),""))</f>
        <v/>
      </c>
      <c r="Q226" t="str">
        <f>IF(M226="","",IFERROR(AVERAGEIFS(DATOS!$K$2:$K$20000,DATOS!$A$2:$A$20000,M226,DATOS!$G$2:$G$20000,CONFIG_METADATA!$B$4,DATOS!$I$2:$I$20000,"&lt;&gt;Lenguaje Musical",DATOS!$I$2:$I$20000,"&lt;&gt;Coro",DATOS!$I$2:$I$20000,"&lt;&gt;Conjunto"),""))</f>
        <v/>
      </c>
      <c r="T226" t="str">
        <f>IF(S226="","",IFERROR(AVERAGEIFS(DATOS!$K$2:$K$20000,DATOS!$A$2:$A$20000,S226,DATOS!$G$2:$G$20000,CONFIG_METADATA!$B$4,DATOS!$I$2:$I$20000,"Lenguaje Musical"),""))</f>
        <v/>
      </c>
      <c r="U226" t="str">
        <f>IF(S226="","",IFERROR(AVERAGEIFS(DATOS!$K$2:$K$20000,DATOS!$A$2:$A$20000,S226,DATOS!$G$2:$G$20000,CONFIG_METADATA!$B$4,DATOS!$I$2:$I$20000,"Coro"),""))</f>
        <v/>
      </c>
      <c r="V226" t="str">
        <f>IF(S226="","",IFERROR(AVERAGEIFS(DATOS!$K$2:$K$20000,DATOS!$A$2:$A$20000,S226,DATOS!$G$2:$G$20000,CONFIG_METADATA!$B$4,DATOS!$I$2:$I$20000,"Conjunto"),""))</f>
        <v/>
      </c>
      <c r="W226" t="str" cm="1">
        <f t="array" ref="W226">IF(S226="","",IFERROR(AVERAGE(IF((DATOS!$A$2:$A$20000=S226)*(DATOS!$G$2:$G$20000=CONFIG_METADATA!$B$4)*(DATOS!$I$2:$I$20000&lt;&gt;"Lenguaje Musical")*(DATOS!$I$2:$I$20000&lt;&gt;"Coro")*(DATOS!$I$2:$I$20000&lt;&gt;"Conjunto"),DATOS!$K$2:$K$20000)),""))</f>
        <v/>
      </c>
    </row>
    <row r="227" spans="2:23" x14ac:dyDescent="0.2">
      <c r="B227" t="str">
        <f>IF(A227="","",IFERROR(AVERAGEIFS(DATOS!$K$2:$K$20000,DATOS!$A$2:$A$20000,A227,DATOS!$G$2:$G$20000,CONFIG_METADATA!$B$4,DATOS!$I$2:$I$20000,"Lenguaje Musical"),""))</f>
        <v/>
      </c>
      <c r="C227" t="str">
        <f>IF(A227="","",IFERROR(AVERAGEIFS(DATOS!$K$2:$K$20000,DATOS!$A$2:$A$20000,A227,DATOS!$G$2:$G$20000,CONFIG_METADATA!$B$4,DATOS!$I$2:$I$20000,"Coro"),""))</f>
        <v/>
      </c>
      <c r="D227" t="str">
        <f>IF(A227="","",IFERROR(AVERAGEIFS(DATOS!$K$2:$K$20000,DATOS!$A$2:$A$20000,A227,DATOS!$G$2:$G$20000,CONFIG_METADATA!$B$4,DATOS!$I$2:$I$20000,"Conjunto"),""))</f>
        <v/>
      </c>
      <c r="E227" t="str" cm="1">
        <f t="array" ref="E227">IF(A227="","",IFERROR(AVERAGE(IF((DATOS!$A$2:$A$20000=A227)*(DATOS!$G$2:$G$20000=CONFIG_METADATA!$B$4)*(DATOS!$I$2:$I$20000&lt;&gt;"Lenguaje Musical")*(DATOS!$I$2:$I$20000&lt;&gt;"Coro")*(DATOS!$I$2:$I$20000&lt;&gt;"Conjunto"),DATOS!$K$2:$K$20000)),""))</f>
        <v/>
      </c>
      <c r="H227" t="str">
        <f>IF(G227="","",IFERROR(AVERAGEIFS(DATOS!$K$2:$K$20000,DATOS!$A$2:$A$20000,G227,DATOS!$G$2:$G$20000,CONFIG_METADATA!$B$4,DATOS!$I$2:$I$20000,"Lenguaje Musical"),""))</f>
        <v/>
      </c>
      <c r="I227" t="str">
        <f>IF(G227="","",IFERROR(AVERAGEIFS(DATOS!$K$2:$K$20000,DATOS!$A$2:$A$20000,G227,DATOS!$G$2:$G$20000,CONFIG_METADATA!$B$4,DATOS!$I$2:$I$20000,"Coro"),""))</f>
        <v/>
      </c>
      <c r="J227" t="str">
        <f>IF(G227="","",IFERROR(AVERAGEIFS(DATOS!$K$2:$K$20000,DATOS!$A$2:$A$20000,G227,DATOS!$G$2:$G$20000,CONFIG_METADATA!$B$4,DATOS!$I$2:$I$20000,"Conjunto"),""))</f>
        <v/>
      </c>
      <c r="K227" t="str" cm="1">
        <f t="array" ref="K227">IF(G227="","",IFERROR(AVERAGE(IF((DATOS!$A$2:$A$20000=G227)*(DATOS!$G$2:$G$20000=CONFIG_METADATA!$B$4)*(DATOS!$I$2:$I$20000&lt;&gt;"Lenguaje Musical")*(DATOS!$I$2:$I$20000&lt;&gt;"Coro")*(DATOS!$I$2:$I$20000&lt;&gt;"Conjunto"),DATOS!$K$2:$K$20000)),""))</f>
        <v/>
      </c>
      <c r="N227" t="str">
        <f>IF(M227="","",IFERROR(AVERAGEIFS(DATOS!$K$2:$K$20000,DATOS!$A$2:$A$20000,M227,DATOS!$G$2:$G$20000,CONFIG_METADATA!$B$4,DATOS!$I$2:$I$20000,"Lenguaje Musical"),""))</f>
        <v/>
      </c>
      <c r="O227" t="str">
        <f>IF(M227="","",IFERROR(AVERAGEIFS(DATOS!$K$2:$K$20000,DATOS!$A$2:$A$20000,M227,DATOS!$G$2:$G$20000,CONFIG_METADATA!$B$4,DATOS!$I$2:$I$20000,"Coro"),""))</f>
        <v/>
      </c>
      <c r="P227" t="str">
        <f>IF(M227="","",IFERROR(AVERAGEIFS(DATOS!$K$2:$K$20000,DATOS!$A$2:$A$20000,M227,DATOS!$G$2:$G$20000,CONFIG_METADATA!$B$4,DATOS!$I$2:$I$20000,"Conjunto"),""))</f>
        <v/>
      </c>
      <c r="Q227" t="str">
        <f>IF(M227="","",IFERROR(AVERAGEIFS(DATOS!$K$2:$K$20000,DATOS!$A$2:$A$20000,M227,DATOS!$G$2:$G$20000,CONFIG_METADATA!$B$4,DATOS!$I$2:$I$20000,"&lt;&gt;Lenguaje Musical",DATOS!$I$2:$I$20000,"&lt;&gt;Coro",DATOS!$I$2:$I$20000,"&lt;&gt;Conjunto"),""))</f>
        <v/>
      </c>
      <c r="T227" t="str">
        <f>IF(S227="","",IFERROR(AVERAGEIFS(DATOS!$K$2:$K$20000,DATOS!$A$2:$A$20000,S227,DATOS!$G$2:$G$20000,CONFIG_METADATA!$B$4,DATOS!$I$2:$I$20000,"Lenguaje Musical"),""))</f>
        <v/>
      </c>
      <c r="U227" t="str">
        <f>IF(S227="","",IFERROR(AVERAGEIFS(DATOS!$K$2:$K$20000,DATOS!$A$2:$A$20000,S227,DATOS!$G$2:$G$20000,CONFIG_METADATA!$B$4,DATOS!$I$2:$I$20000,"Coro"),""))</f>
        <v/>
      </c>
      <c r="V227" t="str">
        <f>IF(S227="","",IFERROR(AVERAGEIFS(DATOS!$K$2:$K$20000,DATOS!$A$2:$A$20000,S227,DATOS!$G$2:$G$20000,CONFIG_METADATA!$B$4,DATOS!$I$2:$I$20000,"Conjunto"),""))</f>
        <v/>
      </c>
      <c r="W227" t="str" cm="1">
        <f t="array" ref="W227">IF(S227="","",IFERROR(AVERAGE(IF((DATOS!$A$2:$A$20000=S227)*(DATOS!$G$2:$G$20000=CONFIG_METADATA!$B$4)*(DATOS!$I$2:$I$20000&lt;&gt;"Lenguaje Musical")*(DATOS!$I$2:$I$20000&lt;&gt;"Coro")*(DATOS!$I$2:$I$20000&lt;&gt;"Conjunto"),DATOS!$K$2:$K$20000)),""))</f>
        <v/>
      </c>
    </row>
    <row r="228" spans="2:23" x14ac:dyDescent="0.2">
      <c r="B228" t="str">
        <f>IF(A228="","",IFERROR(AVERAGEIFS(DATOS!$K$2:$K$20000,DATOS!$A$2:$A$20000,A228,DATOS!$G$2:$G$20000,CONFIG_METADATA!$B$4,DATOS!$I$2:$I$20000,"Lenguaje Musical"),""))</f>
        <v/>
      </c>
      <c r="C228" t="str">
        <f>IF(A228="","",IFERROR(AVERAGEIFS(DATOS!$K$2:$K$20000,DATOS!$A$2:$A$20000,A228,DATOS!$G$2:$G$20000,CONFIG_METADATA!$B$4,DATOS!$I$2:$I$20000,"Coro"),""))</f>
        <v/>
      </c>
      <c r="D228" t="str">
        <f>IF(A228="","",IFERROR(AVERAGEIFS(DATOS!$K$2:$K$20000,DATOS!$A$2:$A$20000,A228,DATOS!$G$2:$G$20000,CONFIG_METADATA!$B$4,DATOS!$I$2:$I$20000,"Conjunto"),""))</f>
        <v/>
      </c>
      <c r="E228" t="str" cm="1">
        <f t="array" ref="E228">IF(A228="","",IFERROR(AVERAGE(IF((DATOS!$A$2:$A$20000=A228)*(DATOS!$G$2:$G$20000=CONFIG_METADATA!$B$4)*(DATOS!$I$2:$I$20000&lt;&gt;"Lenguaje Musical")*(DATOS!$I$2:$I$20000&lt;&gt;"Coro")*(DATOS!$I$2:$I$20000&lt;&gt;"Conjunto"),DATOS!$K$2:$K$20000)),""))</f>
        <v/>
      </c>
      <c r="H228" t="str">
        <f>IF(G228="","",IFERROR(AVERAGEIFS(DATOS!$K$2:$K$20000,DATOS!$A$2:$A$20000,G228,DATOS!$G$2:$G$20000,CONFIG_METADATA!$B$4,DATOS!$I$2:$I$20000,"Lenguaje Musical"),""))</f>
        <v/>
      </c>
      <c r="I228" t="str">
        <f>IF(G228="","",IFERROR(AVERAGEIFS(DATOS!$K$2:$K$20000,DATOS!$A$2:$A$20000,G228,DATOS!$G$2:$G$20000,CONFIG_METADATA!$B$4,DATOS!$I$2:$I$20000,"Coro"),""))</f>
        <v/>
      </c>
      <c r="J228" t="str">
        <f>IF(G228="","",IFERROR(AVERAGEIFS(DATOS!$K$2:$K$20000,DATOS!$A$2:$A$20000,G228,DATOS!$G$2:$G$20000,CONFIG_METADATA!$B$4,DATOS!$I$2:$I$20000,"Conjunto"),""))</f>
        <v/>
      </c>
      <c r="K228" t="str" cm="1">
        <f t="array" ref="K228">IF(G228="","",IFERROR(AVERAGE(IF((DATOS!$A$2:$A$20000=G228)*(DATOS!$G$2:$G$20000=CONFIG_METADATA!$B$4)*(DATOS!$I$2:$I$20000&lt;&gt;"Lenguaje Musical")*(DATOS!$I$2:$I$20000&lt;&gt;"Coro")*(DATOS!$I$2:$I$20000&lt;&gt;"Conjunto"),DATOS!$K$2:$K$20000)),""))</f>
        <v/>
      </c>
      <c r="N228" t="str">
        <f>IF(M228="","",IFERROR(AVERAGEIFS(DATOS!$K$2:$K$20000,DATOS!$A$2:$A$20000,M228,DATOS!$G$2:$G$20000,CONFIG_METADATA!$B$4,DATOS!$I$2:$I$20000,"Lenguaje Musical"),""))</f>
        <v/>
      </c>
      <c r="O228" t="str">
        <f>IF(M228="","",IFERROR(AVERAGEIFS(DATOS!$K$2:$K$20000,DATOS!$A$2:$A$20000,M228,DATOS!$G$2:$G$20000,CONFIG_METADATA!$B$4,DATOS!$I$2:$I$20000,"Coro"),""))</f>
        <v/>
      </c>
      <c r="P228" t="str">
        <f>IF(M228="","",IFERROR(AVERAGEIFS(DATOS!$K$2:$K$20000,DATOS!$A$2:$A$20000,M228,DATOS!$G$2:$G$20000,CONFIG_METADATA!$B$4,DATOS!$I$2:$I$20000,"Conjunto"),""))</f>
        <v/>
      </c>
      <c r="Q228" t="str">
        <f>IF(M228="","",IFERROR(AVERAGEIFS(DATOS!$K$2:$K$20000,DATOS!$A$2:$A$20000,M228,DATOS!$G$2:$G$20000,CONFIG_METADATA!$B$4,DATOS!$I$2:$I$20000,"&lt;&gt;Lenguaje Musical",DATOS!$I$2:$I$20000,"&lt;&gt;Coro",DATOS!$I$2:$I$20000,"&lt;&gt;Conjunto"),""))</f>
        <v/>
      </c>
      <c r="T228" t="str">
        <f>IF(S228="","",IFERROR(AVERAGEIFS(DATOS!$K$2:$K$20000,DATOS!$A$2:$A$20000,S228,DATOS!$G$2:$G$20000,CONFIG_METADATA!$B$4,DATOS!$I$2:$I$20000,"Lenguaje Musical"),""))</f>
        <v/>
      </c>
      <c r="U228" t="str">
        <f>IF(S228="","",IFERROR(AVERAGEIFS(DATOS!$K$2:$K$20000,DATOS!$A$2:$A$20000,S228,DATOS!$G$2:$G$20000,CONFIG_METADATA!$B$4,DATOS!$I$2:$I$20000,"Coro"),""))</f>
        <v/>
      </c>
      <c r="V228" t="str">
        <f>IF(S228="","",IFERROR(AVERAGEIFS(DATOS!$K$2:$K$20000,DATOS!$A$2:$A$20000,S228,DATOS!$G$2:$G$20000,CONFIG_METADATA!$B$4,DATOS!$I$2:$I$20000,"Conjunto"),""))</f>
        <v/>
      </c>
      <c r="W228" t="str" cm="1">
        <f t="array" ref="W228">IF(S228="","",IFERROR(AVERAGE(IF((DATOS!$A$2:$A$20000=S228)*(DATOS!$G$2:$G$20000=CONFIG_METADATA!$B$4)*(DATOS!$I$2:$I$20000&lt;&gt;"Lenguaje Musical")*(DATOS!$I$2:$I$20000&lt;&gt;"Coro")*(DATOS!$I$2:$I$20000&lt;&gt;"Conjunto"),DATOS!$K$2:$K$20000)),""))</f>
        <v/>
      </c>
    </row>
    <row r="229" spans="2:23" x14ac:dyDescent="0.2">
      <c r="B229" t="str">
        <f>IF(A229="","",IFERROR(AVERAGEIFS(DATOS!$K$2:$K$20000,DATOS!$A$2:$A$20000,A229,DATOS!$G$2:$G$20000,CONFIG_METADATA!$B$4,DATOS!$I$2:$I$20000,"Lenguaje Musical"),""))</f>
        <v/>
      </c>
      <c r="C229" t="str">
        <f>IF(A229="","",IFERROR(AVERAGEIFS(DATOS!$K$2:$K$20000,DATOS!$A$2:$A$20000,A229,DATOS!$G$2:$G$20000,CONFIG_METADATA!$B$4,DATOS!$I$2:$I$20000,"Coro"),""))</f>
        <v/>
      </c>
      <c r="D229" t="str">
        <f>IF(A229="","",IFERROR(AVERAGEIFS(DATOS!$K$2:$K$20000,DATOS!$A$2:$A$20000,A229,DATOS!$G$2:$G$20000,CONFIG_METADATA!$B$4,DATOS!$I$2:$I$20000,"Conjunto"),""))</f>
        <v/>
      </c>
      <c r="E229" t="str" cm="1">
        <f t="array" ref="E229">IF(A229="","",IFERROR(AVERAGE(IF((DATOS!$A$2:$A$20000=A229)*(DATOS!$G$2:$G$20000=CONFIG_METADATA!$B$4)*(DATOS!$I$2:$I$20000&lt;&gt;"Lenguaje Musical")*(DATOS!$I$2:$I$20000&lt;&gt;"Coro")*(DATOS!$I$2:$I$20000&lt;&gt;"Conjunto"),DATOS!$K$2:$K$20000)),""))</f>
        <v/>
      </c>
      <c r="H229" t="str">
        <f>IF(G229="","",IFERROR(AVERAGEIFS(DATOS!$K$2:$K$20000,DATOS!$A$2:$A$20000,G229,DATOS!$G$2:$G$20000,CONFIG_METADATA!$B$4,DATOS!$I$2:$I$20000,"Lenguaje Musical"),""))</f>
        <v/>
      </c>
      <c r="I229" t="str">
        <f>IF(G229="","",IFERROR(AVERAGEIFS(DATOS!$K$2:$K$20000,DATOS!$A$2:$A$20000,G229,DATOS!$G$2:$G$20000,CONFIG_METADATA!$B$4,DATOS!$I$2:$I$20000,"Coro"),""))</f>
        <v/>
      </c>
      <c r="J229" t="str">
        <f>IF(G229="","",IFERROR(AVERAGEIFS(DATOS!$K$2:$K$20000,DATOS!$A$2:$A$20000,G229,DATOS!$G$2:$G$20000,CONFIG_METADATA!$B$4,DATOS!$I$2:$I$20000,"Conjunto"),""))</f>
        <v/>
      </c>
      <c r="K229" t="str" cm="1">
        <f t="array" ref="K229">IF(G229="","",IFERROR(AVERAGE(IF((DATOS!$A$2:$A$20000=G229)*(DATOS!$G$2:$G$20000=CONFIG_METADATA!$B$4)*(DATOS!$I$2:$I$20000&lt;&gt;"Lenguaje Musical")*(DATOS!$I$2:$I$20000&lt;&gt;"Coro")*(DATOS!$I$2:$I$20000&lt;&gt;"Conjunto"),DATOS!$K$2:$K$20000)),""))</f>
        <v/>
      </c>
      <c r="N229" t="str">
        <f>IF(M229="","",IFERROR(AVERAGEIFS(DATOS!$K$2:$K$20000,DATOS!$A$2:$A$20000,M229,DATOS!$G$2:$G$20000,CONFIG_METADATA!$B$4,DATOS!$I$2:$I$20000,"Lenguaje Musical"),""))</f>
        <v/>
      </c>
      <c r="O229" t="str">
        <f>IF(M229="","",IFERROR(AVERAGEIFS(DATOS!$K$2:$K$20000,DATOS!$A$2:$A$20000,M229,DATOS!$G$2:$G$20000,CONFIG_METADATA!$B$4,DATOS!$I$2:$I$20000,"Coro"),""))</f>
        <v/>
      </c>
      <c r="P229" t="str">
        <f>IF(M229="","",IFERROR(AVERAGEIFS(DATOS!$K$2:$K$20000,DATOS!$A$2:$A$20000,M229,DATOS!$G$2:$G$20000,CONFIG_METADATA!$B$4,DATOS!$I$2:$I$20000,"Conjunto"),""))</f>
        <v/>
      </c>
      <c r="Q229" t="str">
        <f>IF(M229="","",IFERROR(AVERAGEIFS(DATOS!$K$2:$K$20000,DATOS!$A$2:$A$20000,M229,DATOS!$G$2:$G$20000,CONFIG_METADATA!$B$4,DATOS!$I$2:$I$20000,"&lt;&gt;Lenguaje Musical",DATOS!$I$2:$I$20000,"&lt;&gt;Coro",DATOS!$I$2:$I$20000,"&lt;&gt;Conjunto"),""))</f>
        <v/>
      </c>
      <c r="T229" t="str">
        <f>IF(S229="","",IFERROR(AVERAGEIFS(DATOS!$K$2:$K$20000,DATOS!$A$2:$A$20000,S229,DATOS!$G$2:$G$20000,CONFIG_METADATA!$B$4,DATOS!$I$2:$I$20000,"Lenguaje Musical"),""))</f>
        <v/>
      </c>
      <c r="U229" t="str">
        <f>IF(S229="","",IFERROR(AVERAGEIFS(DATOS!$K$2:$K$20000,DATOS!$A$2:$A$20000,S229,DATOS!$G$2:$G$20000,CONFIG_METADATA!$B$4,DATOS!$I$2:$I$20000,"Coro"),""))</f>
        <v/>
      </c>
      <c r="V229" t="str">
        <f>IF(S229="","",IFERROR(AVERAGEIFS(DATOS!$K$2:$K$20000,DATOS!$A$2:$A$20000,S229,DATOS!$G$2:$G$20000,CONFIG_METADATA!$B$4,DATOS!$I$2:$I$20000,"Conjunto"),""))</f>
        <v/>
      </c>
      <c r="W229" t="str" cm="1">
        <f t="array" ref="W229">IF(S229="","",IFERROR(AVERAGE(IF((DATOS!$A$2:$A$20000=S229)*(DATOS!$G$2:$G$20000=CONFIG_METADATA!$B$4)*(DATOS!$I$2:$I$20000&lt;&gt;"Lenguaje Musical")*(DATOS!$I$2:$I$20000&lt;&gt;"Coro")*(DATOS!$I$2:$I$20000&lt;&gt;"Conjunto"),DATOS!$K$2:$K$20000)),""))</f>
        <v/>
      </c>
    </row>
    <row r="230" spans="2:23" x14ac:dyDescent="0.2">
      <c r="B230" t="str">
        <f>IF(A230="","",IFERROR(AVERAGEIFS(DATOS!$K$2:$K$20000,DATOS!$A$2:$A$20000,A230,DATOS!$G$2:$G$20000,CONFIG_METADATA!$B$4,DATOS!$I$2:$I$20000,"Lenguaje Musical"),""))</f>
        <v/>
      </c>
      <c r="C230" t="str">
        <f>IF(A230="","",IFERROR(AVERAGEIFS(DATOS!$K$2:$K$20000,DATOS!$A$2:$A$20000,A230,DATOS!$G$2:$G$20000,CONFIG_METADATA!$B$4,DATOS!$I$2:$I$20000,"Coro"),""))</f>
        <v/>
      </c>
      <c r="D230" t="str">
        <f>IF(A230="","",IFERROR(AVERAGEIFS(DATOS!$K$2:$K$20000,DATOS!$A$2:$A$20000,A230,DATOS!$G$2:$G$20000,CONFIG_METADATA!$B$4,DATOS!$I$2:$I$20000,"Conjunto"),""))</f>
        <v/>
      </c>
      <c r="E230" t="str" cm="1">
        <f t="array" ref="E230">IF(A230="","",IFERROR(AVERAGE(IF((DATOS!$A$2:$A$20000=A230)*(DATOS!$G$2:$G$20000=CONFIG_METADATA!$B$4)*(DATOS!$I$2:$I$20000&lt;&gt;"Lenguaje Musical")*(DATOS!$I$2:$I$20000&lt;&gt;"Coro")*(DATOS!$I$2:$I$20000&lt;&gt;"Conjunto"),DATOS!$K$2:$K$20000)),""))</f>
        <v/>
      </c>
      <c r="H230" t="str">
        <f>IF(G230="","",IFERROR(AVERAGEIFS(DATOS!$K$2:$K$20000,DATOS!$A$2:$A$20000,G230,DATOS!$G$2:$G$20000,CONFIG_METADATA!$B$4,DATOS!$I$2:$I$20000,"Lenguaje Musical"),""))</f>
        <v/>
      </c>
      <c r="I230" t="str">
        <f>IF(G230="","",IFERROR(AVERAGEIFS(DATOS!$K$2:$K$20000,DATOS!$A$2:$A$20000,G230,DATOS!$G$2:$G$20000,CONFIG_METADATA!$B$4,DATOS!$I$2:$I$20000,"Coro"),""))</f>
        <v/>
      </c>
      <c r="J230" t="str">
        <f>IF(G230="","",IFERROR(AVERAGEIFS(DATOS!$K$2:$K$20000,DATOS!$A$2:$A$20000,G230,DATOS!$G$2:$G$20000,CONFIG_METADATA!$B$4,DATOS!$I$2:$I$20000,"Conjunto"),""))</f>
        <v/>
      </c>
      <c r="K230" t="str" cm="1">
        <f t="array" ref="K230">IF(G230="","",IFERROR(AVERAGE(IF((DATOS!$A$2:$A$20000=G230)*(DATOS!$G$2:$G$20000=CONFIG_METADATA!$B$4)*(DATOS!$I$2:$I$20000&lt;&gt;"Lenguaje Musical")*(DATOS!$I$2:$I$20000&lt;&gt;"Coro")*(DATOS!$I$2:$I$20000&lt;&gt;"Conjunto"),DATOS!$K$2:$K$20000)),""))</f>
        <v/>
      </c>
      <c r="N230" t="str">
        <f>IF(M230="","",IFERROR(AVERAGEIFS(DATOS!$K$2:$K$20000,DATOS!$A$2:$A$20000,M230,DATOS!$G$2:$G$20000,CONFIG_METADATA!$B$4,DATOS!$I$2:$I$20000,"Lenguaje Musical"),""))</f>
        <v/>
      </c>
      <c r="O230" t="str">
        <f>IF(M230="","",IFERROR(AVERAGEIFS(DATOS!$K$2:$K$20000,DATOS!$A$2:$A$20000,M230,DATOS!$G$2:$G$20000,CONFIG_METADATA!$B$4,DATOS!$I$2:$I$20000,"Coro"),""))</f>
        <v/>
      </c>
      <c r="P230" t="str">
        <f>IF(M230="","",IFERROR(AVERAGEIFS(DATOS!$K$2:$K$20000,DATOS!$A$2:$A$20000,M230,DATOS!$G$2:$G$20000,CONFIG_METADATA!$B$4,DATOS!$I$2:$I$20000,"Conjunto"),""))</f>
        <v/>
      </c>
      <c r="Q230" t="str">
        <f>IF(M230="","",IFERROR(AVERAGEIFS(DATOS!$K$2:$K$20000,DATOS!$A$2:$A$20000,M230,DATOS!$G$2:$G$20000,CONFIG_METADATA!$B$4,DATOS!$I$2:$I$20000,"&lt;&gt;Lenguaje Musical",DATOS!$I$2:$I$20000,"&lt;&gt;Coro",DATOS!$I$2:$I$20000,"&lt;&gt;Conjunto"),""))</f>
        <v/>
      </c>
      <c r="T230" t="str">
        <f>IF(S230="","",IFERROR(AVERAGEIFS(DATOS!$K$2:$K$20000,DATOS!$A$2:$A$20000,S230,DATOS!$G$2:$G$20000,CONFIG_METADATA!$B$4,DATOS!$I$2:$I$20000,"Lenguaje Musical"),""))</f>
        <v/>
      </c>
      <c r="U230" t="str">
        <f>IF(S230="","",IFERROR(AVERAGEIFS(DATOS!$K$2:$K$20000,DATOS!$A$2:$A$20000,S230,DATOS!$G$2:$G$20000,CONFIG_METADATA!$B$4,DATOS!$I$2:$I$20000,"Coro"),""))</f>
        <v/>
      </c>
      <c r="V230" t="str">
        <f>IF(S230="","",IFERROR(AVERAGEIFS(DATOS!$K$2:$K$20000,DATOS!$A$2:$A$20000,S230,DATOS!$G$2:$G$20000,CONFIG_METADATA!$B$4,DATOS!$I$2:$I$20000,"Conjunto"),""))</f>
        <v/>
      </c>
      <c r="W230" t="str" cm="1">
        <f t="array" ref="W230">IF(S230="","",IFERROR(AVERAGE(IF((DATOS!$A$2:$A$20000=S230)*(DATOS!$G$2:$G$20000=CONFIG_METADATA!$B$4)*(DATOS!$I$2:$I$20000&lt;&gt;"Lenguaje Musical")*(DATOS!$I$2:$I$20000&lt;&gt;"Coro")*(DATOS!$I$2:$I$20000&lt;&gt;"Conjunto"),DATOS!$K$2:$K$20000)),""))</f>
        <v/>
      </c>
    </row>
    <row r="231" spans="2:23" x14ac:dyDescent="0.2">
      <c r="B231" t="str">
        <f>IF(A231="","",IFERROR(AVERAGEIFS(DATOS!$K$2:$K$20000,DATOS!$A$2:$A$20000,A231,DATOS!$G$2:$G$20000,CONFIG_METADATA!$B$4,DATOS!$I$2:$I$20000,"Lenguaje Musical"),""))</f>
        <v/>
      </c>
      <c r="C231" t="str">
        <f>IF(A231="","",IFERROR(AVERAGEIFS(DATOS!$K$2:$K$20000,DATOS!$A$2:$A$20000,A231,DATOS!$G$2:$G$20000,CONFIG_METADATA!$B$4,DATOS!$I$2:$I$20000,"Coro"),""))</f>
        <v/>
      </c>
      <c r="D231" t="str">
        <f>IF(A231="","",IFERROR(AVERAGEIFS(DATOS!$K$2:$K$20000,DATOS!$A$2:$A$20000,A231,DATOS!$G$2:$G$20000,CONFIG_METADATA!$B$4,DATOS!$I$2:$I$20000,"Conjunto"),""))</f>
        <v/>
      </c>
      <c r="E231" t="str" cm="1">
        <f t="array" ref="E231">IF(A231="","",IFERROR(AVERAGE(IF((DATOS!$A$2:$A$20000=A231)*(DATOS!$G$2:$G$20000=CONFIG_METADATA!$B$4)*(DATOS!$I$2:$I$20000&lt;&gt;"Lenguaje Musical")*(DATOS!$I$2:$I$20000&lt;&gt;"Coro")*(DATOS!$I$2:$I$20000&lt;&gt;"Conjunto"),DATOS!$K$2:$K$20000)),""))</f>
        <v/>
      </c>
      <c r="H231" t="str">
        <f>IF(G231="","",IFERROR(AVERAGEIFS(DATOS!$K$2:$K$20000,DATOS!$A$2:$A$20000,G231,DATOS!$G$2:$G$20000,CONFIG_METADATA!$B$4,DATOS!$I$2:$I$20000,"Lenguaje Musical"),""))</f>
        <v/>
      </c>
      <c r="I231" t="str">
        <f>IF(G231="","",IFERROR(AVERAGEIFS(DATOS!$K$2:$K$20000,DATOS!$A$2:$A$20000,G231,DATOS!$G$2:$G$20000,CONFIG_METADATA!$B$4,DATOS!$I$2:$I$20000,"Coro"),""))</f>
        <v/>
      </c>
      <c r="J231" t="str">
        <f>IF(G231="","",IFERROR(AVERAGEIFS(DATOS!$K$2:$K$20000,DATOS!$A$2:$A$20000,G231,DATOS!$G$2:$G$20000,CONFIG_METADATA!$B$4,DATOS!$I$2:$I$20000,"Conjunto"),""))</f>
        <v/>
      </c>
      <c r="K231" t="str" cm="1">
        <f t="array" ref="K231">IF(G231="","",IFERROR(AVERAGE(IF((DATOS!$A$2:$A$20000=G231)*(DATOS!$G$2:$G$20000=CONFIG_METADATA!$B$4)*(DATOS!$I$2:$I$20000&lt;&gt;"Lenguaje Musical")*(DATOS!$I$2:$I$20000&lt;&gt;"Coro")*(DATOS!$I$2:$I$20000&lt;&gt;"Conjunto"),DATOS!$K$2:$K$20000)),""))</f>
        <v/>
      </c>
      <c r="N231" t="str">
        <f>IF(M231="","",IFERROR(AVERAGEIFS(DATOS!$K$2:$K$20000,DATOS!$A$2:$A$20000,M231,DATOS!$G$2:$G$20000,CONFIG_METADATA!$B$4,DATOS!$I$2:$I$20000,"Lenguaje Musical"),""))</f>
        <v/>
      </c>
      <c r="O231" t="str">
        <f>IF(M231="","",IFERROR(AVERAGEIFS(DATOS!$K$2:$K$20000,DATOS!$A$2:$A$20000,M231,DATOS!$G$2:$G$20000,CONFIG_METADATA!$B$4,DATOS!$I$2:$I$20000,"Coro"),""))</f>
        <v/>
      </c>
      <c r="P231" t="str">
        <f>IF(M231="","",IFERROR(AVERAGEIFS(DATOS!$K$2:$K$20000,DATOS!$A$2:$A$20000,M231,DATOS!$G$2:$G$20000,CONFIG_METADATA!$B$4,DATOS!$I$2:$I$20000,"Conjunto"),""))</f>
        <v/>
      </c>
      <c r="Q231" t="str">
        <f>IF(M231="","",IFERROR(AVERAGEIFS(DATOS!$K$2:$K$20000,DATOS!$A$2:$A$20000,M231,DATOS!$G$2:$G$20000,CONFIG_METADATA!$B$4,DATOS!$I$2:$I$20000,"&lt;&gt;Lenguaje Musical",DATOS!$I$2:$I$20000,"&lt;&gt;Coro",DATOS!$I$2:$I$20000,"&lt;&gt;Conjunto"),""))</f>
        <v/>
      </c>
      <c r="T231" t="str">
        <f>IF(S231="","",IFERROR(AVERAGEIFS(DATOS!$K$2:$K$20000,DATOS!$A$2:$A$20000,S231,DATOS!$G$2:$G$20000,CONFIG_METADATA!$B$4,DATOS!$I$2:$I$20000,"Lenguaje Musical"),""))</f>
        <v/>
      </c>
      <c r="U231" t="str">
        <f>IF(S231="","",IFERROR(AVERAGEIFS(DATOS!$K$2:$K$20000,DATOS!$A$2:$A$20000,S231,DATOS!$G$2:$G$20000,CONFIG_METADATA!$B$4,DATOS!$I$2:$I$20000,"Coro"),""))</f>
        <v/>
      </c>
      <c r="V231" t="str">
        <f>IF(S231="","",IFERROR(AVERAGEIFS(DATOS!$K$2:$K$20000,DATOS!$A$2:$A$20000,S231,DATOS!$G$2:$G$20000,CONFIG_METADATA!$B$4,DATOS!$I$2:$I$20000,"Conjunto"),""))</f>
        <v/>
      </c>
      <c r="W231" t="str" cm="1">
        <f t="array" ref="W231">IF(S231="","",IFERROR(AVERAGE(IF((DATOS!$A$2:$A$20000=S231)*(DATOS!$G$2:$G$20000=CONFIG_METADATA!$B$4)*(DATOS!$I$2:$I$20000&lt;&gt;"Lenguaje Musical")*(DATOS!$I$2:$I$20000&lt;&gt;"Coro")*(DATOS!$I$2:$I$20000&lt;&gt;"Conjunto"),DATOS!$K$2:$K$20000)),""))</f>
        <v/>
      </c>
    </row>
    <row r="232" spans="2:23" x14ac:dyDescent="0.2">
      <c r="B232" t="str">
        <f>IF(A232="","",IFERROR(AVERAGEIFS(DATOS!$K$2:$K$20000,DATOS!$A$2:$A$20000,A232,DATOS!$G$2:$G$20000,CONFIG_METADATA!$B$4,DATOS!$I$2:$I$20000,"Lenguaje Musical"),""))</f>
        <v/>
      </c>
      <c r="C232" t="str">
        <f>IF(A232="","",IFERROR(AVERAGEIFS(DATOS!$K$2:$K$20000,DATOS!$A$2:$A$20000,A232,DATOS!$G$2:$G$20000,CONFIG_METADATA!$B$4,DATOS!$I$2:$I$20000,"Coro"),""))</f>
        <v/>
      </c>
      <c r="D232" t="str">
        <f>IF(A232="","",IFERROR(AVERAGEIFS(DATOS!$K$2:$K$20000,DATOS!$A$2:$A$20000,A232,DATOS!$G$2:$G$20000,CONFIG_METADATA!$B$4,DATOS!$I$2:$I$20000,"Conjunto"),""))</f>
        <v/>
      </c>
      <c r="E232" t="str" cm="1">
        <f t="array" ref="E232">IF(A232="","",IFERROR(AVERAGE(IF((DATOS!$A$2:$A$20000=A232)*(DATOS!$G$2:$G$20000=CONFIG_METADATA!$B$4)*(DATOS!$I$2:$I$20000&lt;&gt;"Lenguaje Musical")*(DATOS!$I$2:$I$20000&lt;&gt;"Coro")*(DATOS!$I$2:$I$20000&lt;&gt;"Conjunto"),DATOS!$K$2:$K$20000)),""))</f>
        <v/>
      </c>
      <c r="H232" t="str">
        <f>IF(G232="","",IFERROR(AVERAGEIFS(DATOS!$K$2:$K$20000,DATOS!$A$2:$A$20000,G232,DATOS!$G$2:$G$20000,CONFIG_METADATA!$B$4,DATOS!$I$2:$I$20000,"Lenguaje Musical"),""))</f>
        <v/>
      </c>
      <c r="I232" t="str">
        <f>IF(G232="","",IFERROR(AVERAGEIFS(DATOS!$K$2:$K$20000,DATOS!$A$2:$A$20000,G232,DATOS!$G$2:$G$20000,CONFIG_METADATA!$B$4,DATOS!$I$2:$I$20000,"Coro"),""))</f>
        <v/>
      </c>
      <c r="J232" t="str">
        <f>IF(G232="","",IFERROR(AVERAGEIFS(DATOS!$K$2:$K$20000,DATOS!$A$2:$A$20000,G232,DATOS!$G$2:$G$20000,CONFIG_METADATA!$B$4,DATOS!$I$2:$I$20000,"Conjunto"),""))</f>
        <v/>
      </c>
      <c r="K232" t="str" cm="1">
        <f t="array" ref="K232">IF(G232="","",IFERROR(AVERAGE(IF((DATOS!$A$2:$A$20000=G232)*(DATOS!$G$2:$G$20000=CONFIG_METADATA!$B$4)*(DATOS!$I$2:$I$20000&lt;&gt;"Lenguaje Musical")*(DATOS!$I$2:$I$20000&lt;&gt;"Coro")*(DATOS!$I$2:$I$20000&lt;&gt;"Conjunto"),DATOS!$K$2:$K$20000)),""))</f>
        <v/>
      </c>
      <c r="N232" t="str">
        <f>IF(M232="","",IFERROR(AVERAGEIFS(DATOS!$K$2:$K$20000,DATOS!$A$2:$A$20000,M232,DATOS!$G$2:$G$20000,CONFIG_METADATA!$B$4,DATOS!$I$2:$I$20000,"Lenguaje Musical"),""))</f>
        <v/>
      </c>
      <c r="O232" t="str">
        <f>IF(M232="","",IFERROR(AVERAGEIFS(DATOS!$K$2:$K$20000,DATOS!$A$2:$A$20000,M232,DATOS!$G$2:$G$20000,CONFIG_METADATA!$B$4,DATOS!$I$2:$I$20000,"Coro"),""))</f>
        <v/>
      </c>
      <c r="P232" t="str">
        <f>IF(M232="","",IFERROR(AVERAGEIFS(DATOS!$K$2:$K$20000,DATOS!$A$2:$A$20000,M232,DATOS!$G$2:$G$20000,CONFIG_METADATA!$B$4,DATOS!$I$2:$I$20000,"Conjunto"),""))</f>
        <v/>
      </c>
      <c r="Q232" t="str">
        <f>IF(M232="","",IFERROR(AVERAGEIFS(DATOS!$K$2:$K$20000,DATOS!$A$2:$A$20000,M232,DATOS!$G$2:$G$20000,CONFIG_METADATA!$B$4,DATOS!$I$2:$I$20000,"&lt;&gt;Lenguaje Musical",DATOS!$I$2:$I$20000,"&lt;&gt;Coro",DATOS!$I$2:$I$20000,"&lt;&gt;Conjunto"),""))</f>
        <v/>
      </c>
      <c r="T232" t="str">
        <f>IF(S232="","",IFERROR(AVERAGEIFS(DATOS!$K$2:$K$20000,DATOS!$A$2:$A$20000,S232,DATOS!$G$2:$G$20000,CONFIG_METADATA!$B$4,DATOS!$I$2:$I$20000,"Lenguaje Musical"),""))</f>
        <v/>
      </c>
      <c r="U232" t="str">
        <f>IF(S232="","",IFERROR(AVERAGEIFS(DATOS!$K$2:$K$20000,DATOS!$A$2:$A$20000,S232,DATOS!$G$2:$G$20000,CONFIG_METADATA!$B$4,DATOS!$I$2:$I$20000,"Coro"),""))</f>
        <v/>
      </c>
      <c r="V232" t="str">
        <f>IF(S232="","",IFERROR(AVERAGEIFS(DATOS!$K$2:$K$20000,DATOS!$A$2:$A$20000,S232,DATOS!$G$2:$G$20000,CONFIG_METADATA!$B$4,DATOS!$I$2:$I$20000,"Conjunto"),""))</f>
        <v/>
      </c>
      <c r="W232" t="str" cm="1">
        <f t="array" ref="W232">IF(S232="","",IFERROR(AVERAGE(IF((DATOS!$A$2:$A$20000=S232)*(DATOS!$G$2:$G$20000=CONFIG_METADATA!$B$4)*(DATOS!$I$2:$I$20000&lt;&gt;"Lenguaje Musical")*(DATOS!$I$2:$I$20000&lt;&gt;"Coro")*(DATOS!$I$2:$I$20000&lt;&gt;"Conjunto"),DATOS!$K$2:$K$20000)),""))</f>
        <v/>
      </c>
    </row>
    <row r="233" spans="2:23" x14ac:dyDescent="0.2">
      <c r="B233" t="str">
        <f>IF(A233="","",IFERROR(AVERAGEIFS(DATOS!$K$2:$K$20000,DATOS!$A$2:$A$20000,A233,DATOS!$G$2:$G$20000,CONFIG_METADATA!$B$4,DATOS!$I$2:$I$20000,"Lenguaje Musical"),""))</f>
        <v/>
      </c>
      <c r="C233" t="str">
        <f>IF(A233="","",IFERROR(AVERAGEIFS(DATOS!$K$2:$K$20000,DATOS!$A$2:$A$20000,A233,DATOS!$G$2:$G$20000,CONFIG_METADATA!$B$4,DATOS!$I$2:$I$20000,"Coro"),""))</f>
        <v/>
      </c>
      <c r="D233" t="str">
        <f>IF(A233="","",IFERROR(AVERAGEIFS(DATOS!$K$2:$K$20000,DATOS!$A$2:$A$20000,A233,DATOS!$G$2:$G$20000,CONFIG_METADATA!$B$4,DATOS!$I$2:$I$20000,"Conjunto"),""))</f>
        <v/>
      </c>
      <c r="E233" t="str" cm="1">
        <f t="array" ref="E233">IF(A233="","",IFERROR(AVERAGE(IF((DATOS!$A$2:$A$20000=A233)*(DATOS!$G$2:$G$20000=CONFIG_METADATA!$B$4)*(DATOS!$I$2:$I$20000&lt;&gt;"Lenguaje Musical")*(DATOS!$I$2:$I$20000&lt;&gt;"Coro")*(DATOS!$I$2:$I$20000&lt;&gt;"Conjunto"),DATOS!$K$2:$K$20000)),""))</f>
        <v/>
      </c>
      <c r="H233" t="str">
        <f>IF(G233="","",IFERROR(AVERAGEIFS(DATOS!$K$2:$K$20000,DATOS!$A$2:$A$20000,G233,DATOS!$G$2:$G$20000,CONFIG_METADATA!$B$4,DATOS!$I$2:$I$20000,"Lenguaje Musical"),""))</f>
        <v/>
      </c>
      <c r="I233" t="str">
        <f>IF(G233="","",IFERROR(AVERAGEIFS(DATOS!$K$2:$K$20000,DATOS!$A$2:$A$20000,G233,DATOS!$G$2:$G$20000,CONFIG_METADATA!$B$4,DATOS!$I$2:$I$20000,"Coro"),""))</f>
        <v/>
      </c>
      <c r="J233" t="str">
        <f>IF(G233="","",IFERROR(AVERAGEIFS(DATOS!$K$2:$K$20000,DATOS!$A$2:$A$20000,G233,DATOS!$G$2:$G$20000,CONFIG_METADATA!$B$4,DATOS!$I$2:$I$20000,"Conjunto"),""))</f>
        <v/>
      </c>
      <c r="K233" t="str" cm="1">
        <f t="array" ref="K233">IF(G233="","",IFERROR(AVERAGE(IF((DATOS!$A$2:$A$20000=G233)*(DATOS!$G$2:$G$20000=CONFIG_METADATA!$B$4)*(DATOS!$I$2:$I$20000&lt;&gt;"Lenguaje Musical")*(DATOS!$I$2:$I$20000&lt;&gt;"Coro")*(DATOS!$I$2:$I$20000&lt;&gt;"Conjunto"),DATOS!$K$2:$K$20000)),""))</f>
        <v/>
      </c>
      <c r="N233" t="str">
        <f>IF(M233="","",IFERROR(AVERAGEIFS(DATOS!$K$2:$K$20000,DATOS!$A$2:$A$20000,M233,DATOS!$G$2:$G$20000,CONFIG_METADATA!$B$4,DATOS!$I$2:$I$20000,"Lenguaje Musical"),""))</f>
        <v/>
      </c>
      <c r="O233" t="str">
        <f>IF(M233="","",IFERROR(AVERAGEIFS(DATOS!$K$2:$K$20000,DATOS!$A$2:$A$20000,M233,DATOS!$G$2:$G$20000,CONFIG_METADATA!$B$4,DATOS!$I$2:$I$20000,"Coro"),""))</f>
        <v/>
      </c>
      <c r="P233" t="str">
        <f>IF(M233="","",IFERROR(AVERAGEIFS(DATOS!$K$2:$K$20000,DATOS!$A$2:$A$20000,M233,DATOS!$G$2:$G$20000,CONFIG_METADATA!$B$4,DATOS!$I$2:$I$20000,"Conjunto"),""))</f>
        <v/>
      </c>
      <c r="Q233" t="str">
        <f>IF(M233="","",IFERROR(AVERAGEIFS(DATOS!$K$2:$K$20000,DATOS!$A$2:$A$20000,M233,DATOS!$G$2:$G$20000,CONFIG_METADATA!$B$4,DATOS!$I$2:$I$20000,"&lt;&gt;Lenguaje Musical",DATOS!$I$2:$I$20000,"&lt;&gt;Coro",DATOS!$I$2:$I$20000,"&lt;&gt;Conjunto"),""))</f>
        <v/>
      </c>
      <c r="T233" t="str">
        <f>IF(S233="","",IFERROR(AVERAGEIFS(DATOS!$K$2:$K$20000,DATOS!$A$2:$A$20000,S233,DATOS!$G$2:$G$20000,CONFIG_METADATA!$B$4,DATOS!$I$2:$I$20000,"Lenguaje Musical"),""))</f>
        <v/>
      </c>
      <c r="U233" t="str">
        <f>IF(S233="","",IFERROR(AVERAGEIFS(DATOS!$K$2:$K$20000,DATOS!$A$2:$A$20000,S233,DATOS!$G$2:$G$20000,CONFIG_METADATA!$B$4,DATOS!$I$2:$I$20000,"Coro"),""))</f>
        <v/>
      </c>
      <c r="V233" t="str">
        <f>IF(S233="","",IFERROR(AVERAGEIFS(DATOS!$K$2:$K$20000,DATOS!$A$2:$A$20000,S233,DATOS!$G$2:$G$20000,CONFIG_METADATA!$B$4,DATOS!$I$2:$I$20000,"Conjunto"),""))</f>
        <v/>
      </c>
      <c r="W233" t="str" cm="1">
        <f t="array" ref="W233">IF(S233="","",IFERROR(AVERAGE(IF((DATOS!$A$2:$A$20000=S233)*(DATOS!$G$2:$G$20000=CONFIG_METADATA!$B$4)*(DATOS!$I$2:$I$20000&lt;&gt;"Lenguaje Musical")*(DATOS!$I$2:$I$20000&lt;&gt;"Coro")*(DATOS!$I$2:$I$20000&lt;&gt;"Conjunto"),DATOS!$K$2:$K$20000)),""))</f>
        <v/>
      </c>
    </row>
    <row r="234" spans="2:23" x14ac:dyDescent="0.2">
      <c r="B234" t="str">
        <f>IF(A234="","",IFERROR(AVERAGEIFS(DATOS!$K$2:$K$20000,DATOS!$A$2:$A$20000,A234,DATOS!$G$2:$G$20000,CONFIG_METADATA!$B$4,DATOS!$I$2:$I$20000,"Lenguaje Musical"),""))</f>
        <v/>
      </c>
      <c r="C234" t="str">
        <f>IF(A234="","",IFERROR(AVERAGEIFS(DATOS!$K$2:$K$20000,DATOS!$A$2:$A$20000,A234,DATOS!$G$2:$G$20000,CONFIG_METADATA!$B$4,DATOS!$I$2:$I$20000,"Coro"),""))</f>
        <v/>
      </c>
      <c r="D234" t="str">
        <f>IF(A234="","",IFERROR(AVERAGEIFS(DATOS!$K$2:$K$20000,DATOS!$A$2:$A$20000,A234,DATOS!$G$2:$G$20000,CONFIG_METADATA!$B$4,DATOS!$I$2:$I$20000,"Conjunto"),""))</f>
        <v/>
      </c>
      <c r="E234" t="str" cm="1">
        <f t="array" ref="E234">IF(A234="","",IFERROR(AVERAGE(IF((DATOS!$A$2:$A$20000=A234)*(DATOS!$G$2:$G$20000=CONFIG_METADATA!$B$4)*(DATOS!$I$2:$I$20000&lt;&gt;"Lenguaje Musical")*(DATOS!$I$2:$I$20000&lt;&gt;"Coro")*(DATOS!$I$2:$I$20000&lt;&gt;"Conjunto"),DATOS!$K$2:$K$20000)),""))</f>
        <v/>
      </c>
      <c r="H234" t="str">
        <f>IF(G234="","",IFERROR(AVERAGEIFS(DATOS!$K$2:$K$20000,DATOS!$A$2:$A$20000,G234,DATOS!$G$2:$G$20000,CONFIG_METADATA!$B$4,DATOS!$I$2:$I$20000,"Lenguaje Musical"),""))</f>
        <v/>
      </c>
      <c r="I234" t="str">
        <f>IF(G234="","",IFERROR(AVERAGEIFS(DATOS!$K$2:$K$20000,DATOS!$A$2:$A$20000,G234,DATOS!$G$2:$G$20000,CONFIG_METADATA!$B$4,DATOS!$I$2:$I$20000,"Coro"),""))</f>
        <v/>
      </c>
      <c r="J234" t="str">
        <f>IF(G234="","",IFERROR(AVERAGEIFS(DATOS!$K$2:$K$20000,DATOS!$A$2:$A$20000,G234,DATOS!$G$2:$G$20000,CONFIG_METADATA!$B$4,DATOS!$I$2:$I$20000,"Conjunto"),""))</f>
        <v/>
      </c>
      <c r="K234" t="str" cm="1">
        <f t="array" ref="K234">IF(G234="","",IFERROR(AVERAGE(IF((DATOS!$A$2:$A$20000=G234)*(DATOS!$G$2:$G$20000=CONFIG_METADATA!$B$4)*(DATOS!$I$2:$I$20000&lt;&gt;"Lenguaje Musical")*(DATOS!$I$2:$I$20000&lt;&gt;"Coro")*(DATOS!$I$2:$I$20000&lt;&gt;"Conjunto"),DATOS!$K$2:$K$20000)),""))</f>
        <v/>
      </c>
      <c r="N234" t="str">
        <f>IF(M234="","",IFERROR(AVERAGEIFS(DATOS!$K$2:$K$20000,DATOS!$A$2:$A$20000,M234,DATOS!$G$2:$G$20000,CONFIG_METADATA!$B$4,DATOS!$I$2:$I$20000,"Lenguaje Musical"),""))</f>
        <v/>
      </c>
      <c r="O234" t="str">
        <f>IF(M234="","",IFERROR(AVERAGEIFS(DATOS!$K$2:$K$20000,DATOS!$A$2:$A$20000,M234,DATOS!$G$2:$G$20000,CONFIG_METADATA!$B$4,DATOS!$I$2:$I$20000,"Coro"),""))</f>
        <v/>
      </c>
      <c r="P234" t="str">
        <f>IF(M234="","",IFERROR(AVERAGEIFS(DATOS!$K$2:$K$20000,DATOS!$A$2:$A$20000,M234,DATOS!$G$2:$G$20000,CONFIG_METADATA!$B$4,DATOS!$I$2:$I$20000,"Conjunto"),""))</f>
        <v/>
      </c>
      <c r="Q234" t="str">
        <f>IF(M234="","",IFERROR(AVERAGEIFS(DATOS!$K$2:$K$20000,DATOS!$A$2:$A$20000,M234,DATOS!$G$2:$G$20000,CONFIG_METADATA!$B$4,DATOS!$I$2:$I$20000,"&lt;&gt;Lenguaje Musical",DATOS!$I$2:$I$20000,"&lt;&gt;Coro",DATOS!$I$2:$I$20000,"&lt;&gt;Conjunto"),""))</f>
        <v/>
      </c>
      <c r="T234" t="str">
        <f>IF(S234="","",IFERROR(AVERAGEIFS(DATOS!$K$2:$K$20000,DATOS!$A$2:$A$20000,S234,DATOS!$G$2:$G$20000,CONFIG_METADATA!$B$4,DATOS!$I$2:$I$20000,"Lenguaje Musical"),""))</f>
        <v/>
      </c>
      <c r="U234" t="str">
        <f>IF(S234="","",IFERROR(AVERAGEIFS(DATOS!$K$2:$K$20000,DATOS!$A$2:$A$20000,S234,DATOS!$G$2:$G$20000,CONFIG_METADATA!$B$4,DATOS!$I$2:$I$20000,"Coro"),""))</f>
        <v/>
      </c>
      <c r="V234" t="str">
        <f>IF(S234="","",IFERROR(AVERAGEIFS(DATOS!$K$2:$K$20000,DATOS!$A$2:$A$20000,S234,DATOS!$G$2:$G$20000,CONFIG_METADATA!$B$4,DATOS!$I$2:$I$20000,"Conjunto"),""))</f>
        <v/>
      </c>
      <c r="W234" t="str" cm="1">
        <f t="array" ref="W234">IF(S234="","",IFERROR(AVERAGE(IF((DATOS!$A$2:$A$20000=S234)*(DATOS!$G$2:$G$20000=CONFIG_METADATA!$B$4)*(DATOS!$I$2:$I$20000&lt;&gt;"Lenguaje Musical")*(DATOS!$I$2:$I$20000&lt;&gt;"Coro")*(DATOS!$I$2:$I$20000&lt;&gt;"Conjunto"),DATOS!$K$2:$K$20000)),""))</f>
        <v/>
      </c>
    </row>
    <row r="235" spans="2:23" x14ac:dyDescent="0.2">
      <c r="B235" t="str">
        <f>IF(A235="","",IFERROR(AVERAGEIFS(DATOS!$K$2:$K$20000,DATOS!$A$2:$A$20000,A235,DATOS!$G$2:$G$20000,CONFIG_METADATA!$B$4,DATOS!$I$2:$I$20000,"Lenguaje Musical"),""))</f>
        <v/>
      </c>
      <c r="C235" t="str">
        <f>IF(A235="","",IFERROR(AVERAGEIFS(DATOS!$K$2:$K$20000,DATOS!$A$2:$A$20000,A235,DATOS!$G$2:$G$20000,CONFIG_METADATA!$B$4,DATOS!$I$2:$I$20000,"Coro"),""))</f>
        <v/>
      </c>
      <c r="D235" t="str">
        <f>IF(A235="","",IFERROR(AVERAGEIFS(DATOS!$K$2:$K$20000,DATOS!$A$2:$A$20000,A235,DATOS!$G$2:$G$20000,CONFIG_METADATA!$B$4,DATOS!$I$2:$I$20000,"Conjunto"),""))</f>
        <v/>
      </c>
      <c r="E235" t="str" cm="1">
        <f t="array" ref="E235">IF(A235="","",IFERROR(AVERAGE(IF((DATOS!$A$2:$A$20000=A235)*(DATOS!$G$2:$G$20000=CONFIG_METADATA!$B$4)*(DATOS!$I$2:$I$20000&lt;&gt;"Lenguaje Musical")*(DATOS!$I$2:$I$20000&lt;&gt;"Coro")*(DATOS!$I$2:$I$20000&lt;&gt;"Conjunto"),DATOS!$K$2:$K$20000)),""))</f>
        <v/>
      </c>
      <c r="H235" t="str">
        <f>IF(G235="","",IFERROR(AVERAGEIFS(DATOS!$K$2:$K$20000,DATOS!$A$2:$A$20000,G235,DATOS!$G$2:$G$20000,CONFIG_METADATA!$B$4,DATOS!$I$2:$I$20000,"Lenguaje Musical"),""))</f>
        <v/>
      </c>
      <c r="I235" t="str">
        <f>IF(G235="","",IFERROR(AVERAGEIFS(DATOS!$K$2:$K$20000,DATOS!$A$2:$A$20000,G235,DATOS!$G$2:$G$20000,CONFIG_METADATA!$B$4,DATOS!$I$2:$I$20000,"Coro"),""))</f>
        <v/>
      </c>
      <c r="J235" t="str">
        <f>IF(G235="","",IFERROR(AVERAGEIFS(DATOS!$K$2:$K$20000,DATOS!$A$2:$A$20000,G235,DATOS!$G$2:$G$20000,CONFIG_METADATA!$B$4,DATOS!$I$2:$I$20000,"Conjunto"),""))</f>
        <v/>
      </c>
      <c r="K235" t="str" cm="1">
        <f t="array" ref="K235">IF(G235="","",IFERROR(AVERAGE(IF((DATOS!$A$2:$A$20000=G235)*(DATOS!$G$2:$G$20000=CONFIG_METADATA!$B$4)*(DATOS!$I$2:$I$20000&lt;&gt;"Lenguaje Musical")*(DATOS!$I$2:$I$20000&lt;&gt;"Coro")*(DATOS!$I$2:$I$20000&lt;&gt;"Conjunto"),DATOS!$K$2:$K$20000)),""))</f>
        <v/>
      </c>
      <c r="N235" t="str">
        <f>IF(M235="","",IFERROR(AVERAGEIFS(DATOS!$K$2:$K$20000,DATOS!$A$2:$A$20000,M235,DATOS!$G$2:$G$20000,CONFIG_METADATA!$B$4,DATOS!$I$2:$I$20000,"Lenguaje Musical"),""))</f>
        <v/>
      </c>
      <c r="O235" t="str">
        <f>IF(M235="","",IFERROR(AVERAGEIFS(DATOS!$K$2:$K$20000,DATOS!$A$2:$A$20000,M235,DATOS!$G$2:$G$20000,CONFIG_METADATA!$B$4,DATOS!$I$2:$I$20000,"Coro"),""))</f>
        <v/>
      </c>
      <c r="P235" t="str">
        <f>IF(M235="","",IFERROR(AVERAGEIFS(DATOS!$K$2:$K$20000,DATOS!$A$2:$A$20000,M235,DATOS!$G$2:$G$20000,CONFIG_METADATA!$B$4,DATOS!$I$2:$I$20000,"Conjunto"),""))</f>
        <v/>
      </c>
      <c r="Q235" t="str">
        <f>IF(M235="","",IFERROR(AVERAGEIFS(DATOS!$K$2:$K$20000,DATOS!$A$2:$A$20000,M235,DATOS!$G$2:$G$20000,CONFIG_METADATA!$B$4,DATOS!$I$2:$I$20000,"&lt;&gt;Lenguaje Musical",DATOS!$I$2:$I$20000,"&lt;&gt;Coro",DATOS!$I$2:$I$20000,"&lt;&gt;Conjunto"),""))</f>
        <v/>
      </c>
      <c r="T235" t="str">
        <f>IF(S235="","",IFERROR(AVERAGEIFS(DATOS!$K$2:$K$20000,DATOS!$A$2:$A$20000,S235,DATOS!$G$2:$G$20000,CONFIG_METADATA!$B$4,DATOS!$I$2:$I$20000,"Lenguaje Musical"),""))</f>
        <v/>
      </c>
      <c r="U235" t="str">
        <f>IF(S235="","",IFERROR(AVERAGEIFS(DATOS!$K$2:$K$20000,DATOS!$A$2:$A$20000,S235,DATOS!$G$2:$G$20000,CONFIG_METADATA!$B$4,DATOS!$I$2:$I$20000,"Coro"),""))</f>
        <v/>
      </c>
      <c r="V235" t="str">
        <f>IF(S235="","",IFERROR(AVERAGEIFS(DATOS!$K$2:$K$20000,DATOS!$A$2:$A$20000,S235,DATOS!$G$2:$G$20000,CONFIG_METADATA!$B$4,DATOS!$I$2:$I$20000,"Conjunto"),""))</f>
        <v/>
      </c>
      <c r="W235" t="str" cm="1">
        <f t="array" ref="W235">IF(S235="","",IFERROR(AVERAGE(IF((DATOS!$A$2:$A$20000=S235)*(DATOS!$G$2:$G$20000=CONFIG_METADATA!$B$4)*(DATOS!$I$2:$I$20000&lt;&gt;"Lenguaje Musical")*(DATOS!$I$2:$I$20000&lt;&gt;"Coro")*(DATOS!$I$2:$I$20000&lt;&gt;"Conjunto"),DATOS!$K$2:$K$20000)),""))</f>
        <v/>
      </c>
    </row>
    <row r="236" spans="2:23" x14ac:dyDescent="0.2">
      <c r="B236" t="str">
        <f>IF(A236="","",IFERROR(AVERAGEIFS(DATOS!$K$2:$K$20000,DATOS!$A$2:$A$20000,A236,DATOS!$G$2:$G$20000,CONFIG_METADATA!$B$4,DATOS!$I$2:$I$20000,"Lenguaje Musical"),""))</f>
        <v/>
      </c>
      <c r="C236" t="str">
        <f>IF(A236="","",IFERROR(AVERAGEIFS(DATOS!$K$2:$K$20000,DATOS!$A$2:$A$20000,A236,DATOS!$G$2:$G$20000,CONFIG_METADATA!$B$4,DATOS!$I$2:$I$20000,"Coro"),""))</f>
        <v/>
      </c>
      <c r="D236" t="str">
        <f>IF(A236="","",IFERROR(AVERAGEIFS(DATOS!$K$2:$K$20000,DATOS!$A$2:$A$20000,A236,DATOS!$G$2:$G$20000,CONFIG_METADATA!$B$4,DATOS!$I$2:$I$20000,"Conjunto"),""))</f>
        <v/>
      </c>
      <c r="E236" t="str" cm="1">
        <f t="array" ref="E236">IF(A236="","",IFERROR(AVERAGE(IF((DATOS!$A$2:$A$20000=A236)*(DATOS!$G$2:$G$20000=CONFIG_METADATA!$B$4)*(DATOS!$I$2:$I$20000&lt;&gt;"Lenguaje Musical")*(DATOS!$I$2:$I$20000&lt;&gt;"Coro")*(DATOS!$I$2:$I$20000&lt;&gt;"Conjunto"),DATOS!$K$2:$K$20000)),""))</f>
        <v/>
      </c>
      <c r="H236" t="str">
        <f>IF(G236="","",IFERROR(AVERAGEIFS(DATOS!$K$2:$K$20000,DATOS!$A$2:$A$20000,G236,DATOS!$G$2:$G$20000,CONFIG_METADATA!$B$4,DATOS!$I$2:$I$20000,"Lenguaje Musical"),""))</f>
        <v/>
      </c>
      <c r="I236" t="str">
        <f>IF(G236="","",IFERROR(AVERAGEIFS(DATOS!$K$2:$K$20000,DATOS!$A$2:$A$20000,G236,DATOS!$G$2:$G$20000,CONFIG_METADATA!$B$4,DATOS!$I$2:$I$20000,"Coro"),""))</f>
        <v/>
      </c>
      <c r="J236" t="str">
        <f>IF(G236="","",IFERROR(AVERAGEIFS(DATOS!$K$2:$K$20000,DATOS!$A$2:$A$20000,G236,DATOS!$G$2:$G$20000,CONFIG_METADATA!$B$4,DATOS!$I$2:$I$20000,"Conjunto"),""))</f>
        <v/>
      </c>
      <c r="K236" t="str" cm="1">
        <f t="array" ref="K236">IF(G236="","",IFERROR(AVERAGE(IF((DATOS!$A$2:$A$20000=G236)*(DATOS!$G$2:$G$20000=CONFIG_METADATA!$B$4)*(DATOS!$I$2:$I$20000&lt;&gt;"Lenguaje Musical")*(DATOS!$I$2:$I$20000&lt;&gt;"Coro")*(DATOS!$I$2:$I$20000&lt;&gt;"Conjunto"),DATOS!$K$2:$K$20000)),""))</f>
        <v/>
      </c>
      <c r="N236" t="str">
        <f>IF(M236="","",IFERROR(AVERAGEIFS(DATOS!$K$2:$K$20000,DATOS!$A$2:$A$20000,M236,DATOS!$G$2:$G$20000,CONFIG_METADATA!$B$4,DATOS!$I$2:$I$20000,"Lenguaje Musical"),""))</f>
        <v/>
      </c>
      <c r="O236" t="str">
        <f>IF(M236="","",IFERROR(AVERAGEIFS(DATOS!$K$2:$K$20000,DATOS!$A$2:$A$20000,M236,DATOS!$G$2:$G$20000,CONFIG_METADATA!$B$4,DATOS!$I$2:$I$20000,"Coro"),""))</f>
        <v/>
      </c>
      <c r="P236" t="str">
        <f>IF(M236="","",IFERROR(AVERAGEIFS(DATOS!$K$2:$K$20000,DATOS!$A$2:$A$20000,M236,DATOS!$G$2:$G$20000,CONFIG_METADATA!$B$4,DATOS!$I$2:$I$20000,"Conjunto"),""))</f>
        <v/>
      </c>
      <c r="Q236" t="str">
        <f>IF(M236="","",IFERROR(AVERAGEIFS(DATOS!$K$2:$K$20000,DATOS!$A$2:$A$20000,M236,DATOS!$G$2:$G$20000,CONFIG_METADATA!$B$4,DATOS!$I$2:$I$20000,"&lt;&gt;Lenguaje Musical",DATOS!$I$2:$I$20000,"&lt;&gt;Coro",DATOS!$I$2:$I$20000,"&lt;&gt;Conjunto"),""))</f>
        <v/>
      </c>
      <c r="T236" t="str">
        <f>IF(S236="","",IFERROR(AVERAGEIFS(DATOS!$K$2:$K$20000,DATOS!$A$2:$A$20000,S236,DATOS!$G$2:$G$20000,CONFIG_METADATA!$B$4,DATOS!$I$2:$I$20000,"Lenguaje Musical"),""))</f>
        <v/>
      </c>
      <c r="U236" t="str">
        <f>IF(S236="","",IFERROR(AVERAGEIFS(DATOS!$K$2:$K$20000,DATOS!$A$2:$A$20000,S236,DATOS!$G$2:$G$20000,CONFIG_METADATA!$B$4,DATOS!$I$2:$I$20000,"Coro"),""))</f>
        <v/>
      </c>
      <c r="V236" t="str">
        <f>IF(S236="","",IFERROR(AVERAGEIFS(DATOS!$K$2:$K$20000,DATOS!$A$2:$A$20000,S236,DATOS!$G$2:$G$20000,CONFIG_METADATA!$B$4,DATOS!$I$2:$I$20000,"Conjunto"),""))</f>
        <v/>
      </c>
      <c r="W236" t="str" cm="1">
        <f t="array" ref="W236">IF(S236="","",IFERROR(AVERAGE(IF((DATOS!$A$2:$A$20000=S236)*(DATOS!$G$2:$G$20000=CONFIG_METADATA!$B$4)*(DATOS!$I$2:$I$20000&lt;&gt;"Lenguaje Musical")*(DATOS!$I$2:$I$20000&lt;&gt;"Coro")*(DATOS!$I$2:$I$20000&lt;&gt;"Conjunto"),DATOS!$K$2:$K$20000)),""))</f>
        <v/>
      </c>
    </row>
    <row r="237" spans="2:23" x14ac:dyDescent="0.2">
      <c r="B237" t="str">
        <f>IF(A237="","",IFERROR(AVERAGEIFS(DATOS!$K$2:$K$20000,DATOS!$A$2:$A$20000,A237,DATOS!$G$2:$G$20000,CONFIG_METADATA!$B$4,DATOS!$I$2:$I$20000,"Lenguaje Musical"),""))</f>
        <v/>
      </c>
      <c r="C237" t="str">
        <f>IF(A237="","",IFERROR(AVERAGEIFS(DATOS!$K$2:$K$20000,DATOS!$A$2:$A$20000,A237,DATOS!$G$2:$G$20000,CONFIG_METADATA!$B$4,DATOS!$I$2:$I$20000,"Coro"),""))</f>
        <v/>
      </c>
      <c r="D237" t="str">
        <f>IF(A237="","",IFERROR(AVERAGEIFS(DATOS!$K$2:$K$20000,DATOS!$A$2:$A$20000,A237,DATOS!$G$2:$G$20000,CONFIG_METADATA!$B$4,DATOS!$I$2:$I$20000,"Conjunto"),""))</f>
        <v/>
      </c>
      <c r="E237" t="str" cm="1">
        <f t="array" ref="E237">IF(A237="","",IFERROR(AVERAGE(IF((DATOS!$A$2:$A$20000=A237)*(DATOS!$G$2:$G$20000=CONFIG_METADATA!$B$4)*(DATOS!$I$2:$I$20000&lt;&gt;"Lenguaje Musical")*(DATOS!$I$2:$I$20000&lt;&gt;"Coro")*(DATOS!$I$2:$I$20000&lt;&gt;"Conjunto"),DATOS!$K$2:$K$20000)),""))</f>
        <v/>
      </c>
      <c r="H237" t="str">
        <f>IF(G237="","",IFERROR(AVERAGEIFS(DATOS!$K$2:$K$20000,DATOS!$A$2:$A$20000,G237,DATOS!$G$2:$G$20000,CONFIG_METADATA!$B$4,DATOS!$I$2:$I$20000,"Lenguaje Musical"),""))</f>
        <v/>
      </c>
      <c r="I237" t="str">
        <f>IF(G237="","",IFERROR(AVERAGEIFS(DATOS!$K$2:$K$20000,DATOS!$A$2:$A$20000,G237,DATOS!$G$2:$G$20000,CONFIG_METADATA!$B$4,DATOS!$I$2:$I$20000,"Coro"),""))</f>
        <v/>
      </c>
      <c r="J237" t="str">
        <f>IF(G237="","",IFERROR(AVERAGEIFS(DATOS!$K$2:$K$20000,DATOS!$A$2:$A$20000,G237,DATOS!$G$2:$G$20000,CONFIG_METADATA!$B$4,DATOS!$I$2:$I$20000,"Conjunto"),""))</f>
        <v/>
      </c>
      <c r="K237" t="str" cm="1">
        <f t="array" ref="K237">IF(G237="","",IFERROR(AVERAGE(IF((DATOS!$A$2:$A$20000=G237)*(DATOS!$G$2:$G$20000=CONFIG_METADATA!$B$4)*(DATOS!$I$2:$I$20000&lt;&gt;"Lenguaje Musical")*(DATOS!$I$2:$I$20000&lt;&gt;"Coro")*(DATOS!$I$2:$I$20000&lt;&gt;"Conjunto"),DATOS!$K$2:$K$20000)),""))</f>
        <v/>
      </c>
      <c r="N237" t="str">
        <f>IF(M237="","",IFERROR(AVERAGEIFS(DATOS!$K$2:$K$20000,DATOS!$A$2:$A$20000,M237,DATOS!$G$2:$G$20000,CONFIG_METADATA!$B$4,DATOS!$I$2:$I$20000,"Lenguaje Musical"),""))</f>
        <v/>
      </c>
      <c r="O237" t="str">
        <f>IF(M237="","",IFERROR(AVERAGEIFS(DATOS!$K$2:$K$20000,DATOS!$A$2:$A$20000,M237,DATOS!$G$2:$G$20000,CONFIG_METADATA!$B$4,DATOS!$I$2:$I$20000,"Coro"),""))</f>
        <v/>
      </c>
      <c r="P237" t="str">
        <f>IF(M237="","",IFERROR(AVERAGEIFS(DATOS!$K$2:$K$20000,DATOS!$A$2:$A$20000,M237,DATOS!$G$2:$G$20000,CONFIG_METADATA!$B$4,DATOS!$I$2:$I$20000,"Conjunto"),""))</f>
        <v/>
      </c>
      <c r="Q237" t="str">
        <f>IF(M237="","",IFERROR(AVERAGEIFS(DATOS!$K$2:$K$20000,DATOS!$A$2:$A$20000,M237,DATOS!$G$2:$G$20000,CONFIG_METADATA!$B$4,DATOS!$I$2:$I$20000,"&lt;&gt;Lenguaje Musical",DATOS!$I$2:$I$20000,"&lt;&gt;Coro",DATOS!$I$2:$I$20000,"&lt;&gt;Conjunto"),""))</f>
        <v/>
      </c>
      <c r="T237" t="str">
        <f>IF(S237="","",IFERROR(AVERAGEIFS(DATOS!$K$2:$K$20000,DATOS!$A$2:$A$20000,S237,DATOS!$G$2:$G$20000,CONFIG_METADATA!$B$4,DATOS!$I$2:$I$20000,"Lenguaje Musical"),""))</f>
        <v/>
      </c>
      <c r="U237" t="str">
        <f>IF(S237="","",IFERROR(AVERAGEIFS(DATOS!$K$2:$K$20000,DATOS!$A$2:$A$20000,S237,DATOS!$G$2:$G$20000,CONFIG_METADATA!$B$4,DATOS!$I$2:$I$20000,"Coro"),""))</f>
        <v/>
      </c>
      <c r="V237" t="str">
        <f>IF(S237="","",IFERROR(AVERAGEIFS(DATOS!$K$2:$K$20000,DATOS!$A$2:$A$20000,S237,DATOS!$G$2:$G$20000,CONFIG_METADATA!$B$4,DATOS!$I$2:$I$20000,"Conjunto"),""))</f>
        <v/>
      </c>
      <c r="W237" t="str" cm="1">
        <f t="array" ref="W237">IF(S237="","",IFERROR(AVERAGE(IF((DATOS!$A$2:$A$20000=S237)*(DATOS!$G$2:$G$20000=CONFIG_METADATA!$B$4)*(DATOS!$I$2:$I$20000&lt;&gt;"Lenguaje Musical")*(DATOS!$I$2:$I$20000&lt;&gt;"Coro")*(DATOS!$I$2:$I$20000&lt;&gt;"Conjunto"),DATOS!$K$2:$K$20000)),""))</f>
        <v/>
      </c>
    </row>
    <row r="238" spans="2:23" x14ac:dyDescent="0.2">
      <c r="B238" t="str">
        <f>IF(A238="","",IFERROR(AVERAGEIFS(DATOS!$K$2:$K$20000,DATOS!$A$2:$A$20000,A238,DATOS!$G$2:$G$20000,CONFIG_METADATA!$B$4,DATOS!$I$2:$I$20000,"Lenguaje Musical"),""))</f>
        <v/>
      </c>
      <c r="C238" t="str">
        <f>IF(A238="","",IFERROR(AVERAGEIFS(DATOS!$K$2:$K$20000,DATOS!$A$2:$A$20000,A238,DATOS!$G$2:$G$20000,CONFIG_METADATA!$B$4,DATOS!$I$2:$I$20000,"Coro"),""))</f>
        <v/>
      </c>
      <c r="D238" t="str">
        <f>IF(A238="","",IFERROR(AVERAGEIFS(DATOS!$K$2:$K$20000,DATOS!$A$2:$A$20000,A238,DATOS!$G$2:$G$20000,CONFIG_METADATA!$B$4,DATOS!$I$2:$I$20000,"Conjunto"),""))</f>
        <v/>
      </c>
      <c r="E238" t="str" cm="1">
        <f t="array" ref="E238">IF(A238="","",IFERROR(AVERAGE(IF((DATOS!$A$2:$A$20000=A238)*(DATOS!$G$2:$G$20000=CONFIG_METADATA!$B$4)*(DATOS!$I$2:$I$20000&lt;&gt;"Lenguaje Musical")*(DATOS!$I$2:$I$20000&lt;&gt;"Coro")*(DATOS!$I$2:$I$20000&lt;&gt;"Conjunto"),DATOS!$K$2:$K$20000)),""))</f>
        <v/>
      </c>
      <c r="H238" t="str">
        <f>IF(G238="","",IFERROR(AVERAGEIFS(DATOS!$K$2:$K$20000,DATOS!$A$2:$A$20000,G238,DATOS!$G$2:$G$20000,CONFIG_METADATA!$B$4,DATOS!$I$2:$I$20000,"Lenguaje Musical"),""))</f>
        <v/>
      </c>
      <c r="I238" t="str">
        <f>IF(G238="","",IFERROR(AVERAGEIFS(DATOS!$K$2:$K$20000,DATOS!$A$2:$A$20000,G238,DATOS!$G$2:$G$20000,CONFIG_METADATA!$B$4,DATOS!$I$2:$I$20000,"Coro"),""))</f>
        <v/>
      </c>
      <c r="J238" t="str">
        <f>IF(G238="","",IFERROR(AVERAGEIFS(DATOS!$K$2:$K$20000,DATOS!$A$2:$A$20000,G238,DATOS!$G$2:$G$20000,CONFIG_METADATA!$B$4,DATOS!$I$2:$I$20000,"Conjunto"),""))</f>
        <v/>
      </c>
      <c r="K238" t="str" cm="1">
        <f t="array" ref="K238">IF(G238="","",IFERROR(AVERAGE(IF((DATOS!$A$2:$A$20000=G238)*(DATOS!$G$2:$G$20000=CONFIG_METADATA!$B$4)*(DATOS!$I$2:$I$20000&lt;&gt;"Lenguaje Musical")*(DATOS!$I$2:$I$20000&lt;&gt;"Coro")*(DATOS!$I$2:$I$20000&lt;&gt;"Conjunto"),DATOS!$K$2:$K$20000)),""))</f>
        <v/>
      </c>
      <c r="N238" t="str">
        <f>IF(M238="","",IFERROR(AVERAGEIFS(DATOS!$K$2:$K$20000,DATOS!$A$2:$A$20000,M238,DATOS!$G$2:$G$20000,CONFIG_METADATA!$B$4,DATOS!$I$2:$I$20000,"Lenguaje Musical"),""))</f>
        <v/>
      </c>
      <c r="O238" t="str">
        <f>IF(M238="","",IFERROR(AVERAGEIFS(DATOS!$K$2:$K$20000,DATOS!$A$2:$A$20000,M238,DATOS!$G$2:$G$20000,CONFIG_METADATA!$B$4,DATOS!$I$2:$I$20000,"Coro"),""))</f>
        <v/>
      </c>
      <c r="P238" t="str">
        <f>IF(M238="","",IFERROR(AVERAGEIFS(DATOS!$K$2:$K$20000,DATOS!$A$2:$A$20000,M238,DATOS!$G$2:$G$20000,CONFIG_METADATA!$B$4,DATOS!$I$2:$I$20000,"Conjunto"),""))</f>
        <v/>
      </c>
      <c r="Q238" t="str">
        <f>IF(M238="","",IFERROR(AVERAGEIFS(DATOS!$K$2:$K$20000,DATOS!$A$2:$A$20000,M238,DATOS!$G$2:$G$20000,CONFIG_METADATA!$B$4,DATOS!$I$2:$I$20000,"&lt;&gt;Lenguaje Musical",DATOS!$I$2:$I$20000,"&lt;&gt;Coro",DATOS!$I$2:$I$20000,"&lt;&gt;Conjunto"),""))</f>
        <v/>
      </c>
      <c r="T238" t="str">
        <f>IF(S238="","",IFERROR(AVERAGEIFS(DATOS!$K$2:$K$20000,DATOS!$A$2:$A$20000,S238,DATOS!$G$2:$G$20000,CONFIG_METADATA!$B$4,DATOS!$I$2:$I$20000,"Lenguaje Musical"),""))</f>
        <v/>
      </c>
      <c r="U238" t="str">
        <f>IF(S238="","",IFERROR(AVERAGEIFS(DATOS!$K$2:$K$20000,DATOS!$A$2:$A$20000,S238,DATOS!$G$2:$G$20000,CONFIG_METADATA!$B$4,DATOS!$I$2:$I$20000,"Coro"),""))</f>
        <v/>
      </c>
      <c r="V238" t="str">
        <f>IF(S238="","",IFERROR(AVERAGEIFS(DATOS!$K$2:$K$20000,DATOS!$A$2:$A$20000,S238,DATOS!$G$2:$G$20000,CONFIG_METADATA!$B$4,DATOS!$I$2:$I$20000,"Conjunto"),""))</f>
        <v/>
      </c>
      <c r="W238" t="str" cm="1">
        <f t="array" ref="W238">IF(S238="","",IFERROR(AVERAGE(IF((DATOS!$A$2:$A$20000=S238)*(DATOS!$G$2:$G$20000=CONFIG_METADATA!$B$4)*(DATOS!$I$2:$I$20000&lt;&gt;"Lenguaje Musical")*(DATOS!$I$2:$I$20000&lt;&gt;"Coro")*(DATOS!$I$2:$I$20000&lt;&gt;"Conjunto"),DATOS!$K$2:$K$20000)),""))</f>
        <v/>
      </c>
    </row>
    <row r="239" spans="2:23" x14ac:dyDescent="0.2">
      <c r="B239" t="str">
        <f>IF(A239="","",IFERROR(AVERAGEIFS(DATOS!$K$2:$K$20000,DATOS!$A$2:$A$20000,A239,DATOS!$G$2:$G$20000,CONFIG_METADATA!$B$4,DATOS!$I$2:$I$20000,"Lenguaje Musical"),""))</f>
        <v/>
      </c>
      <c r="C239" t="str">
        <f>IF(A239="","",IFERROR(AVERAGEIFS(DATOS!$K$2:$K$20000,DATOS!$A$2:$A$20000,A239,DATOS!$G$2:$G$20000,CONFIG_METADATA!$B$4,DATOS!$I$2:$I$20000,"Coro"),""))</f>
        <v/>
      </c>
      <c r="D239" t="str">
        <f>IF(A239="","",IFERROR(AVERAGEIFS(DATOS!$K$2:$K$20000,DATOS!$A$2:$A$20000,A239,DATOS!$G$2:$G$20000,CONFIG_METADATA!$B$4,DATOS!$I$2:$I$20000,"Conjunto"),""))</f>
        <v/>
      </c>
      <c r="E239" t="str" cm="1">
        <f t="array" ref="E239">IF(A239="","",IFERROR(AVERAGE(IF((DATOS!$A$2:$A$20000=A239)*(DATOS!$G$2:$G$20000=CONFIG_METADATA!$B$4)*(DATOS!$I$2:$I$20000&lt;&gt;"Lenguaje Musical")*(DATOS!$I$2:$I$20000&lt;&gt;"Coro")*(DATOS!$I$2:$I$20000&lt;&gt;"Conjunto"),DATOS!$K$2:$K$20000)),""))</f>
        <v/>
      </c>
      <c r="H239" t="str">
        <f>IF(G239="","",IFERROR(AVERAGEIFS(DATOS!$K$2:$K$20000,DATOS!$A$2:$A$20000,G239,DATOS!$G$2:$G$20000,CONFIG_METADATA!$B$4,DATOS!$I$2:$I$20000,"Lenguaje Musical"),""))</f>
        <v/>
      </c>
      <c r="I239" t="str">
        <f>IF(G239="","",IFERROR(AVERAGEIFS(DATOS!$K$2:$K$20000,DATOS!$A$2:$A$20000,G239,DATOS!$G$2:$G$20000,CONFIG_METADATA!$B$4,DATOS!$I$2:$I$20000,"Coro"),""))</f>
        <v/>
      </c>
      <c r="J239" t="str">
        <f>IF(G239="","",IFERROR(AVERAGEIFS(DATOS!$K$2:$K$20000,DATOS!$A$2:$A$20000,G239,DATOS!$G$2:$G$20000,CONFIG_METADATA!$B$4,DATOS!$I$2:$I$20000,"Conjunto"),""))</f>
        <v/>
      </c>
      <c r="K239" t="str" cm="1">
        <f t="array" ref="K239">IF(G239="","",IFERROR(AVERAGE(IF((DATOS!$A$2:$A$20000=G239)*(DATOS!$G$2:$G$20000=CONFIG_METADATA!$B$4)*(DATOS!$I$2:$I$20000&lt;&gt;"Lenguaje Musical")*(DATOS!$I$2:$I$20000&lt;&gt;"Coro")*(DATOS!$I$2:$I$20000&lt;&gt;"Conjunto"),DATOS!$K$2:$K$20000)),""))</f>
        <v/>
      </c>
      <c r="N239" t="str">
        <f>IF(M239="","",IFERROR(AVERAGEIFS(DATOS!$K$2:$K$20000,DATOS!$A$2:$A$20000,M239,DATOS!$G$2:$G$20000,CONFIG_METADATA!$B$4,DATOS!$I$2:$I$20000,"Lenguaje Musical"),""))</f>
        <v/>
      </c>
      <c r="O239" t="str">
        <f>IF(M239="","",IFERROR(AVERAGEIFS(DATOS!$K$2:$K$20000,DATOS!$A$2:$A$20000,M239,DATOS!$G$2:$G$20000,CONFIG_METADATA!$B$4,DATOS!$I$2:$I$20000,"Coro"),""))</f>
        <v/>
      </c>
      <c r="P239" t="str">
        <f>IF(M239="","",IFERROR(AVERAGEIFS(DATOS!$K$2:$K$20000,DATOS!$A$2:$A$20000,M239,DATOS!$G$2:$G$20000,CONFIG_METADATA!$B$4,DATOS!$I$2:$I$20000,"Conjunto"),""))</f>
        <v/>
      </c>
      <c r="Q239" t="str">
        <f>IF(M239="","",IFERROR(AVERAGEIFS(DATOS!$K$2:$K$20000,DATOS!$A$2:$A$20000,M239,DATOS!$G$2:$G$20000,CONFIG_METADATA!$B$4,DATOS!$I$2:$I$20000,"&lt;&gt;Lenguaje Musical",DATOS!$I$2:$I$20000,"&lt;&gt;Coro",DATOS!$I$2:$I$20000,"&lt;&gt;Conjunto"),""))</f>
        <v/>
      </c>
      <c r="T239" t="str">
        <f>IF(S239="","",IFERROR(AVERAGEIFS(DATOS!$K$2:$K$20000,DATOS!$A$2:$A$20000,S239,DATOS!$G$2:$G$20000,CONFIG_METADATA!$B$4,DATOS!$I$2:$I$20000,"Lenguaje Musical"),""))</f>
        <v/>
      </c>
      <c r="U239" t="str">
        <f>IF(S239="","",IFERROR(AVERAGEIFS(DATOS!$K$2:$K$20000,DATOS!$A$2:$A$20000,S239,DATOS!$G$2:$G$20000,CONFIG_METADATA!$B$4,DATOS!$I$2:$I$20000,"Coro"),""))</f>
        <v/>
      </c>
      <c r="V239" t="str">
        <f>IF(S239="","",IFERROR(AVERAGEIFS(DATOS!$K$2:$K$20000,DATOS!$A$2:$A$20000,S239,DATOS!$G$2:$G$20000,CONFIG_METADATA!$B$4,DATOS!$I$2:$I$20000,"Conjunto"),""))</f>
        <v/>
      </c>
      <c r="W239" t="str" cm="1">
        <f t="array" ref="W239">IF(S239="","",IFERROR(AVERAGE(IF((DATOS!$A$2:$A$20000=S239)*(DATOS!$G$2:$G$20000=CONFIG_METADATA!$B$4)*(DATOS!$I$2:$I$20000&lt;&gt;"Lenguaje Musical")*(DATOS!$I$2:$I$20000&lt;&gt;"Coro")*(DATOS!$I$2:$I$20000&lt;&gt;"Conjunto"),DATOS!$K$2:$K$20000)),""))</f>
        <v/>
      </c>
    </row>
    <row r="240" spans="2:23" x14ac:dyDescent="0.2">
      <c r="B240" t="str">
        <f>IF(A240="","",IFERROR(AVERAGEIFS(DATOS!$K$2:$K$20000,DATOS!$A$2:$A$20000,A240,DATOS!$G$2:$G$20000,CONFIG_METADATA!$B$4,DATOS!$I$2:$I$20000,"Lenguaje Musical"),""))</f>
        <v/>
      </c>
      <c r="C240" t="str">
        <f>IF(A240="","",IFERROR(AVERAGEIFS(DATOS!$K$2:$K$20000,DATOS!$A$2:$A$20000,A240,DATOS!$G$2:$G$20000,CONFIG_METADATA!$B$4,DATOS!$I$2:$I$20000,"Coro"),""))</f>
        <v/>
      </c>
      <c r="D240" t="str">
        <f>IF(A240="","",IFERROR(AVERAGEIFS(DATOS!$K$2:$K$20000,DATOS!$A$2:$A$20000,A240,DATOS!$G$2:$G$20000,CONFIG_METADATA!$B$4,DATOS!$I$2:$I$20000,"Conjunto"),""))</f>
        <v/>
      </c>
      <c r="E240" t="str" cm="1">
        <f t="array" ref="E240">IF(A240="","",IFERROR(AVERAGE(IF((DATOS!$A$2:$A$20000=A240)*(DATOS!$G$2:$G$20000=CONFIG_METADATA!$B$4)*(DATOS!$I$2:$I$20000&lt;&gt;"Lenguaje Musical")*(DATOS!$I$2:$I$20000&lt;&gt;"Coro")*(DATOS!$I$2:$I$20000&lt;&gt;"Conjunto"),DATOS!$K$2:$K$20000)),""))</f>
        <v/>
      </c>
      <c r="H240" t="str">
        <f>IF(G240="","",IFERROR(AVERAGEIFS(DATOS!$K$2:$K$20000,DATOS!$A$2:$A$20000,G240,DATOS!$G$2:$G$20000,CONFIG_METADATA!$B$4,DATOS!$I$2:$I$20000,"Lenguaje Musical"),""))</f>
        <v/>
      </c>
      <c r="I240" t="str">
        <f>IF(G240="","",IFERROR(AVERAGEIFS(DATOS!$K$2:$K$20000,DATOS!$A$2:$A$20000,G240,DATOS!$G$2:$G$20000,CONFIG_METADATA!$B$4,DATOS!$I$2:$I$20000,"Coro"),""))</f>
        <v/>
      </c>
      <c r="J240" t="str">
        <f>IF(G240="","",IFERROR(AVERAGEIFS(DATOS!$K$2:$K$20000,DATOS!$A$2:$A$20000,G240,DATOS!$G$2:$G$20000,CONFIG_METADATA!$B$4,DATOS!$I$2:$I$20000,"Conjunto"),""))</f>
        <v/>
      </c>
      <c r="K240" t="str" cm="1">
        <f t="array" ref="K240">IF(G240="","",IFERROR(AVERAGE(IF((DATOS!$A$2:$A$20000=G240)*(DATOS!$G$2:$G$20000=CONFIG_METADATA!$B$4)*(DATOS!$I$2:$I$20000&lt;&gt;"Lenguaje Musical")*(DATOS!$I$2:$I$20000&lt;&gt;"Coro")*(DATOS!$I$2:$I$20000&lt;&gt;"Conjunto"),DATOS!$K$2:$K$20000)),""))</f>
        <v/>
      </c>
      <c r="N240" t="str">
        <f>IF(M240="","",IFERROR(AVERAGEIFS(DATOS!$K$2:$K$20000,DATOS!$A$2:$A$20000,M240,DATOS!$G$2:$G$20000,CONFIG_METADATA!$B$4,DATOS!$I$2:$I$20000,"Lenguaje Musical"),""))</f>
        <v/>
      </c>
      <c r="O240" t="str">
        <f>IF(M240="","",IFERROR(AVERAGEIFS(DATOS!$K$2:$K$20000,DATOS!$A$2:$A$20000,M240,DATOS!$G$2:$G$20000,CONFIG_METADATA!$B$4,DATOS!$I$2:$I$20000,"Coro"),""))</f>
        <v/>
      </c>
      <c r="P240" t="str">
        <f>IF(M240="","",IFERROR(AVERAGEIFS(DATOS!$K$2:$K$20000,DATOS!$A$2:$A$20000,M240,DATOS!$G$2:$G$20000,CONFIG_METADATA!$B$4,DATOS!$I$2:$I$20000,"Conjunto"),""))</f>
        <v/>
      </c>
      <c r="Q240" t="str">
        <f>IF(M240="","",IFERROR(AVERAGEIFS(DATOS!$K$2:$K$20000,DATOS!$A$2:$A$20000,M240,DATOS!$G$2:$G$20000,CONFIG_METADATA!$B$4,DATOS!$I$2:$I$20000,"&lt;&gt;Lenguaje Musical",DATOS!$I$2:$I$20000,"&lt;&gt;Coro",DATOS!$I$2:$I$20000,"&lt;&gt;Conjunto"),""))</f>
        <v/>
      </c>
      <c r="T240" t="str">
        <f>IF(S240="","",IFERROR(AVERAGEIFS(DATOS!$K$2:$K$20000,DATOS!$A$2:$A$20000,S240,DATOS!$G$2:$G$20000,CONFIG_METADATA!$B$4,DATOS!$I$2:$I$20000,"Lenguaje Musical"),""))</f>
        <v/>
      </c>
      <c r="U240" t="str">
        <f>IF(S240="","",IFERROR(AVERAGEIFS(DATOS!$K$2:$K$20000,DATOS!$A$2:$A$20000,S240,DATOS!$G$2:$G$20000,CONFIG_METADATA!$B$4,DATOS!$I$2:$I$20000,"Coro"),""))</f>
        <v/>
      </c>
      <c r="V240" t="str">
        <f>IF(S240="","",IFERROR(AVERAGEIFS(DATOS!$K$2:$K$20000,DATOS!$A$2:$A$20000,S240,DATOS!$G$2:$G$20000,CONFIG_METADATA!$B$4,DATOS!$I$2:$I$20000,"Conjunto"),""))</f>
        <v/>
      </c>
      <c r="W240" t="str" cm="1">
        <f t="array" ref="W240">IF(S240="","",IFERROR(AVERAGE(IF((DATOS!$A$2:$A$20000=S240)*(DATOS!$G$2:$G$20000=CONFIG_METADATA!$B$4)*(DATOS!$I$2:$I$20000&lt;&gt;"Lenguaje Musical")*(DATOS!$I$2:$I$20000&lt;&gt;"Coro")*(DATOS!$I$2:$I$20000&lt;&gt;"Conjunto"),DATOS!$K$2:$K$20000)),""))</f>
        <v/>
      </c>
    </row>
    <row r="241" spans="2:23" x14ac:dyDescent="0.2">
      <c r="B241" t="str">
        <f>IF(A241="","",IFERROR(AVERAGEIFS(DATOS!$K$2:$K$20000,DATOS!$A$2:$A$20000,A241,DATOS!$G$2:$G$20000,CONFIG_METADATA!$B$4,DATOS!$I$2:$I$20000,"Lenguaje Musical"),""))</f>
        <v/>
      </c>
      <c r="C241" t="str">
        <f>IF(A241="","",IFERROR(AVERAGEIFS(DATOS!$K$2:$K$20000,DATOS!$A$2:$A$20000,A241,DATOS!$G$2:$G$20000,CONFIG_METADATA!$B$4,DATOS!$I$2:$I$20000,"Coro"),""))</f>
        <v/>
      </c>
      <c r="D241" t="str">
        <f>IF(A241="","",IFERROR(AVERAGEIFS(DATOS!$K$2:$K$20000,DATOS!$A$2:$A$20000,A241,DATOS!$G$2:$G$20000,CONFIG_METADATA!$B$4,DATOS!$I$2:$I$20000,"Conjunto"),""))</f>
        <v/>
      </c>
      <c r="E241" t="str" cm="1">
        <f t="array" ref="E241">IF(A241="","",IFERROR(AVERAGE(IF((DATOS!$A$2:$A$20000=A241)*(DATOS!$G$2:$G$20000=CONFIG_METADATA!$B$4)*(DATOS!$I$2:$I$20000&lt;&gt;"Lenguaje Musical")*(DATOS!$I$2:$I$20000&lt;&gt;"Coro")*(DATOS!$I$2:$I$20000&lt;&gt;"Conjunto"),DATOS!$K$2:$K$20000)),""))</f>
        <v/>
      </c>
      <c r="H241" t="str">
        <f>IF(G241="","",IFERROR(AVERAGEIFS(DATOS!$K$2:$K$20000,DATOS!$A$2:$A$20000,G241,DATOS!$G$2:$G$20000,CONFIG_METADATA!$B$4,DATOS!$I$2:$I$20000,"Lenguaje Musical"),""))</f>
        <v/>
      </c>
      <c r="I241" t="str">
        <f>IF(G241="","",IFERROR(AVERAGEIFS(DATOS!$K$2:$K$20000,DATOS!$A$2:$A$20000,G241,DATOS!$G$2:$G$20000,CONFIG_METADATA!$B$4,DATOS!$I$2:$I$20000,"Coro"),""))</f>
        <v/>
      </c>
      <c r="J241" t="str">
        <f>IF(G241="","",IFERROR(AVERAGEIFS(DATOS!$K$2:$K$20000,DATOS!$A$2:$A$20000,G241,DATOS!$G$2:$G$20000,CONFIG_METADATA!$B$4,DATOS!$I$2:$I$20000,"Conjunto"),""))</f>
        <v/>
      </c>
      <c r="K241" t="str" cm="1">
        <f t="array" ref="K241">IF(G241="","",IFERROR(AVERAGE(IF((DATOS!$A$2:$A$20000=G241)*(DATOS!$G$2:$G$20000=CONFIG_METADATA!$B$4)*(DATOS!$I$2:$I$20000&lt;&gt;"Lenguaje Musical")*(DATOS!$I$2:$I$20000&lt;&gt;"Coro")*(DATOS!$I$2:$I$20000&lt;&gt;"Conjunto"),DATOS!$K$2:$K$20000)),""))</f>
        <v/>
      </c>
      <c r="N241" t="str">
        <f>IF(M241="","",IFERROR(AVERAGEIFS(DATOS!$K$2:$K$20000,DATOS!$A$2:$A$20000,M241,DATOS!$G$2:$G$20000,CONFIG_METADATA!$B$4,DATOS!$I$2:$I$20000,"Lenguaje Musical"),""))</f>
        <v/>
      </c>
      <c r="O241" t="str">
        <f>IF(M241="","",IFERROR(AVERAGEIFS(DATOS!$K$2:$K$20000,DATOS!$A$2:$A$20000,M241,DATOS!$G$2:$G$20000,CONFIG_METADATA!$B$4,DATOS!$I$2:$I$20000,"Coro"),""))</f>
        <v/>
      </c>
      <c r="P241" t="str">
        <f>IF(M241="","",IFERROR(AVERAGEIFS(DATOS!$K$2:$K$20000,DATOS!$A$2:$A$20000,M241,DATOS!$G$2:$G$20000,CONFIG_METADATA!$B$4,DATOS!$I$2:$I$20000,"Conjunto"),""))</f>
        <v/>
      </c>
      <c r="Q241" t="str">
        <f>IF(M241="","",IFERROR(AVERAGEIFS(DATOS!$K$2:$K$20000,DATOS!$A$2:$A$20000,M241,DATOS!$G$2:$G$20000,CONFIG_METADATA!$B$4,DATOS!$I$2:$I$20000,"&lt;&gt;Lenguaje Musical",DATOS!$I$2:$I$20000,"&lt;&gt;Coro",DATOS!$I$2:$I$20000,"&lt;&gt;Conjunto"),""))</f>
        <v/>
      </c>
      <c r="T241" t="str">
        <f>IF(S241="","",IFERROR(AVERAGEIFS(DATOS!$K$2:$K$20000,DATOS!$A$2:$A$20000,S241,DATOS!$G$2:$G$20000,CONFIG_METADATA!$B$4,DATOS!$I$2:$I$20000,"Lenguaje Musical"),""))</f>
        <v/>
      </c>
      <c r="U241" t="str">
        <f>IF(S241="","",IFERROR(AVERAGEIFS(DATOS!$K$2:$K$20000,DATOS!$A$2:$A$20000,S241,DATOS!$G$2:$G$20000,CONFIG_METADATA!$B$4,DATOS!$I$2:$I$20000,"Coro"),""))</f>
        <v/>
      </c>
      <c r="V241" t="str">
        <f>IF(S241="","",IFERROR(AVERAGEIFS(DATOS!$K$2:$K$20000,DATOS!$A$2:$A$20000,S241,DATOS!$G$2:$G$20000,CONFIG_METADATA!$B$4,DATOS!$I$2:$I$20000,"Conjunto"),""))</f>
        <v/>
      </c>
      <c r="W241" t="str" cm="1">
        <f t="array" ref="W241">IF(S241="","",IFERROR(AVERAGE(IF((DATOS!$A$2:$A$20000=S241)*(DATOS!$G$2:$G$20000=CONFIG_METADATA!$B$4)*(DATOS!$I$2:$I$20000&lt;&gt;"Lenguaje Musical")*(DATOS!$I$2:$I$20000&lt;&gt;"Coro")*(DATOS!$I$2:$I$20000&lt;&gt;"Conjunto"),DATOS!$K$2:$K$20000)),""))</f>
        <v/>
      </c>
    </row>
    <row r="242" spans="2:23" x14ac:dyDescent="0.2">
      <c r="B242" t="str">
        <f>IF(A242="","",IFERROR(AVERAGEIFS(DATOS!$K$2:$K$20000,DATOS!$A$2:$A$20000,A242,DATOS!$G$2:$G$20000,CONFIG_METADATA!$B$4,DATOS!$I$2:$I$20000,"Lenguaje Musical"),""))</f>
        <v/>
      </c>
      <c r="C242" t="str">
        <f>IF(A242="","",IFERROR(AVERAGEIFS(DATOS!$K$2:$K$20000,DATOS!$A$2:$A$20000,A242,DATOS!$G$2:$G$20000,CONFIG_METADATA!$B$4,DATOS!$I$2:$I$20000,"Coro"),""))</f>
        <v/>
      </c>
      <c r="D242" t="str">
        <f>IF(A242="","",IFERROR(AVERAGEIFS(DATOS!$K$2:$K$20000,DATOS!$A$2:$A$20000,A242,DATOS!$G$2:$G$20000,CONFIG_METADATA!$B$4,DATOS!$I$2:$I$20000,"Conjunto"),""))</f>
        <v/>
      </c>
      <c r="E242" t="str" cm="1">
        <f t="array" ref="E242">IF(A242="","",IFERROR(AVERAGE(IF((DATOS!$A$2:$A$20000=A242)*(DATOS!$G$2:$G$20000=CONFIG_METADATA!$B$4)*(DATOS!$I$2:$I$20000&lt;&gt;"Lenguaje Musical")*(DATOS!$I$2:$I$20000&lt;&gt;"Coro")*(DATOS!$I$2:$I$20000&lt;&gt;"Conjunto"),DATOS!$K$2:$K$20000)),""))</f>
        <v/>
      </c>
      <c r="H242" t="str">
        <f>IF(G242="","",IFERROR(AVERAGEIFS(DATOS!$K$2:$K$20000,DATOS!$A$2:$A$20000,G242,DATOS!$G$2:$G$20000,CONFIG_METADATA!$B$4,DATOS!$I$2:$I$20000,"Lenguaje Musical"),""))</f>
        <v/>
      </c>
      <c r="I242" t="str">
        <f>IF(G242="","",IFERROR(AVERAGEIFS(DATOS!$K$2:$K$20000,DATOS!$A$2:$A$20000,G242,DATOS!$G$2:$G$20000,CONFIG_METADATA!$B$4,DATOS!$I$2:$I$20000,"Coro"),""))</f>
        <v/>
      </c>
      <c r="J242" t="str">
        <f>IF(G242="","",IFERROR(AVERAGEIFS(DATOS!$K$2:$K$20000,DATOS!$A$2:$A$20000,G242,DATOS!$G$2:$G$20000,CONFIG_METADATA!$B$4,DATOS!$I$2:$I$20000,"Conjunto"),""))</f>
        <v/>
      </c>
      <c r="K242" t="str" cm="1">
        <f t="array" ref="K242">IF(G242="","",IFERROR(AVERAGE(IF((DATOS!$A$2:$A$20000=G242)*(DATOS!$G$2:$G$20000=CONFIG_METADATA!$B$4)*(DATOS!$I$2:$I$20000&lt;&gt;"Lenguaje Musical")*(DATOS!$I$2:$I$20000&lt;&gt;"Coro")*(DATOS!$I$2:$I$20000&lt;&gt;"Conjunto"),DATOS!$K$2:$K$20000)),""))</f>
        <v/>
      </c>
      <c r="N242" t="str">
        <f>IF(M242="","",IFERROR(AVERAGEIFS(DATOS!$K$2:$K$20000,DATOS!$A$2:$A$20000,M242,DATOS!$G$2:$G$20000,CONFIG_METADATA!$B$4,DATOS!$I$2:$I$20000,"Lenguaje Musical"),""))</f>
        <v/>
      </c>
      <c r="O242" t="str">
        <f>IF(M242="","",IFERROR(AVERAGEIFS(DATOS!$K$2:$K$20000,DATOS!$A$2:$A$20000,M242,DATOS!$G$2:$G$20000,CONFIG_METADATA!$B$4,DATOS!$I$2:$I$20000,"Coro"),""))</f>
        <v/>
      </c>
      <c r="P242" t="str">
        <f>IF(M242="","",IFERROR(AVERAGEIFS(DATOS!$K$2:$K$20000,DATOS!$A$2:$A$20000,M242,DATOS!$G$2:$G$20000,CONFIG_METADATA!$B$4,DATOS!$I$2:$I$20000,"Conjunto"),""))</f>
        <v/>
      </c>
      <c r="Q242" t="str">
        <f>IF(M242="","",IFERROR(AVERAGEIFS(DATOS!$K$2:$K$20000,DATOS!$A$2:$A$20000,M242,DATOS!$G$2:$G$20000,CONFIG_METADATA!$B$4,DATOS!$I$2:$I$20000,"&lt;&gt;Lenguaje Musical",DATOS!$I$2:$I$20000,"&lt;&gt;Coro",DATOS!$I$2:$I$20000,"&lt;&gt;Conjunto"),""))</f>
        <v/>
      </c>
      <c r="T242" t="str">
        <f>IF(S242="","",IFERROR(AVERAGEIFS(DATOS!$K$2:$K$20000,DATOS!$A$2:$A$20000,S242,DATOS!$G$2:$G$20000,CONFIG_METADATA!$B$4,DATOS!$I$2:$I$20000,"Lenguaje Musical"),""))</f>
        <v/>
      </c>
      <c r="U242" t="str">
        <f>IF(S242="","",IFERROR(AVERAGEIFS(DATOS!$K$2:$K$20000,DATOS!$A$2:$A$20000,S242,DATOS!$G$2:$G$20000,CONFIG_METADATA!$B$4,DATOS!$I$2:$I$20000,"Coro"),""))</f>
        <v/>
      </c>
      <c r="V242" t="str">
        <f>IF(S242="","",IFERROR(AVERAGEIFS(DATOS!$K$2:$K$20000,DATOS!$A$2:$A$20000,S242,DATOS!$G$2:$G$20000,CONFIG_METADATA!$B$4,DATOS!$I$2:$I$20000,"Conjunto"),""))</f>
        <v/>
      </c>
      <c r="W242" t="str" cm="1">
        <f t="array" ref="W242">IF(S242="","",IFERROR(AVERAGE(IF((DATOS!$A$2:$A$20000=S242)*(DATOS!$G$2:$G$20000=CONFIG_METADATA!$B$4)*(DATOS!$I$2:$I$20000&lt;&gt;"Lenguaje Musical")*(DATOS!$I$2:$I$20000&lt;&gt;"Coro")*(DATOS!$I$2:$I$20000&lt;&gt;"Conjunto"),DATOS!$K$2:$K$20000)),""))</f>
        <v/>
      </c>
    </row>
    <row r="243" spans="2:23" x14ac:dyDescent="0.2">
      <c r="B243" t="str">
        <f>IF(A243="","",IFERROR(AVERAGEIFS(DATOS!$K$2:$K$20000,DATOS!$A$2:$A$20000,A243,DATOS!$G$2:$G$20000,CONFIG_METADATA!$B$4,DATOS!$I$2:$I$20000,"Lenguaje Musical"),""))</f>
        <v/>
      </c>
      <c r="C243" t="str">
        <f>IF(A243="","",IFERROR(AVERAGEIFS(DATOS!$K$2:$K$20000,DATOS!$A$2:$A$20000,A243,DATOS!$G$2:$G$20000,CONFIG_METADATA!$B$4,DATOS!$I$2:$I$20000,"Coro"),""))</f>
        <v/>
      </c>
      <c r="D243" t="str">
        <f>IF(A243="","",IFERROR(AVERAGEIFS(DATOS!$K$2:$K$20000,DATOS!$A$2:$A$20000,A243,DATOS!$G$2:$G$20000,CONFIG_METADATA!$B$4,DATOS!$I$2:$I$20000,"Conjunto"),""))</f>
        <v/>
      </c>
      <c r="E243" t="str" cm="1">
        <f t="array" ref="E243">IF(A243="","",IFERROR(AVERAGE(IF((DATOS!$A$2:$A$20000=A243)*(DATOS!$G$2:$G$20000=CONFIG_METADATA!$B$4)*(DATOS!$I$2:$I$20000&lt;&gt;"Lenguaje Musical")*(DATOS!$I$2:$I$20000&lt;&gt;"Coro")*(DATOS!$I$2:$I$20000&lt;&gt;"Conjunto"),DATOS!$K$2:$K$20000)),""))</f>
        <v/>
      </c>
      <c r="H243" t="str">
        <f>IF(G243="","",IFERROR(AVERAGEIFS(DATOS!$K$2:$K$20000,DATOS!$A$2:$A$20000,G243,DATOS!$G$2:$G$20000,CONFIG_METADATA!$B$4,DATOS!$I$2:$I$20000,"Lenguaje Musical"),""))</f>
        <v/>
      </c>
      <c r="I243" t="str">
        <f>IF(G243="","",IFERROR(AVERAGEIFS(DATOS!$K$2:$K$20000,DATOS!$A$2:$A$20000,G243,DATOS!$G$2:$G$20000,CONFIG_METADATA!$B$4,DATOS!$I$2:$I$20000,"Coro"),""))</f>
        <v/>
      </c>
      <c r="J243" t="str">
        <f>IF(G243="","",IFERROR(AVERAGEIFS(DATOS!$K$2:$K$20000,DATOS!$A$2:$A$20000,G243,DATOS!$G$2:$G$20000,CONFIG_METADATA!$B$4,DATOS!$I$2:$I$20000,"Conjunto"),""))</f>
        <v/>
      </c>
      <c r="K243" t="str" cm="1">
        <f t="array" ref="K243">IF(G243="","",IFERROR(AVERAGE(IF((DATOS!$A$2:$A$20000=G243)*(DATOS!$G$2:$G$20000=CONFIG_METADATA!$B$4)*(DATOS!$I$2:$I$20000&lt;&gt;"Lenguaje Musical")*(DATOS!$I$2:$I$20000&lt;&gt;"Coro")*(DATOS!$I$2:$I$20000&lt;&gt;"Conjunto"),DATOS!$K$2:$K$20000)),""))</f>
        <v/>
      </c>
      <c r="N243" t="str">
        <f>IF(M243="","",IFERROR(AVERAGEIFS(DATOS!$K$2:$K$20000,DATOS!$A$2:$A$20000,M243,DATOS!$G$2:$G$20000,CONFIG_METADATA!$B$4,DATOS!$I$2:$I$20000,"Lenguaje Musical"),""))</f>
        <v/>
      </c>
      <c r="O243" t="str">
        <f>IF(M243="","",IFERROR(AVERAGEIFS(DATOS!$K$2:$K$20000,DATOS!$A$2:$A$20000,M243,DATOS!$G$2:$G$20000,CONFIG_METADATA!$B$4,DATOS!$I$2:$I$20000,"Coro"),""))</f>
        <v/>
      </c>
      <c r="P243" t="str">
        <f>IF(M243="","",IFERROR(AVERAGEIFS(DATOS!$K$2:$K$20000,DATOS!$A$2:$A$20000,M243,DATOS!$G$2:$G$20000,CONFIG_METADATA!$B$4,DATOS!$I$2:$I$20000,"Conjunto"),""))</f>
        <v/>
      </c>
      <c r="Q243" t="str">
        <f>IF(M243="","",IFERROR(AVERAGEIFS(DATOS!$K$2:$K$20000,DATOS!$A$2:$A$20000,M243,DATOS!$G$2:$G$20000,CONFIG_METADATA!$B$4,DATOS!$I$2:$I$20000,"&lt;&gt;Lenguaje Musical",DATOS!$I$2:$I$20000,"&lt;&gt;Coro",DATOS!$I$2:$I$20000,"&lt;&gt;Conjunto"),""))</f>
        <v/>
      </c>
      <c r="T243" t="str">
        <f>IF(S243="","",IFERROR(AVERAGEIFS(DATOS!$K$2:$K$20000,DATOS!$A$2:$A$20000,S243,DATOS!$G$2:$G$20000,CONFIG_METADATA!$B$4,DATOS!$I$2:$I$20000,"Lenguaje Musical"),""))</f>
        <v/>
      </c>
      <c r="U243" t="str">
        <f>IF(S243="","",IFERROR(AVERAGEIFS(DATOS!$K$2:$K$20000,DATOS!$A$2:$A$20000,S243,DATOS!$G$2:$G$20000,CONFIG_METADATA!$B$4,DATOS!$I$2:$I$20000,"Coro"),""))</f>
        <v/>
      </c>
      <c r="V243" t="str">
        <f>IF(S243="","",IFERROR(AVERAGEIFS(DATOS!$K$2:$K$20000,DATOS!$A$2:$A$20000,S243,DATOS!$G$2:$G$20000,CONFIG_METADATA!$B$4,DATOS!$I$2:$I$20000,"Conjunto"),""))</f>
        <v/>
      </c>
      <c r="W243" t="str" cm="1">
        <f t="array" ref="W243">IF(S243="","",IFERROR(AVERAGE(IF((DATOS!$A$2:$A$20000=S243)*(DATOS!$G$2:$G$20000=CONFIG_METADATA!$B$4)*(DATOS!$I$2:$I$20000&lt;&gt;"Lenguaje Musical")*(DATOS!$I$2:$I$20000&lt;&gt;"Coro")*(DATOS!$I$2:$I$20000&lt;&gt;"Conjunto"),DATOS!$K$2:$K$20000)),""))</f>
        <v/>
      </c>
    </row>
    <row r="244" spans="2:23" x14ac:dyDescent="0.2">
      <c r="B244" t="str">
        <f>IF(A244="","",IFERROR(AVERAGEIFS(DATOS!$K$2:$K$20000,DATOS!$A$2:$A$20000,A244,DATOS!$G$2:$G$20000,CONFIG_METADATA!$B$4,DATOS!$I$2:$I$20000,"Lenguaje Musical"),""))</f>
        <v/>
      </c>
      <c r="C244" t="str">
        <f>IF(A244="","",IFERROR(AVERAGEIFS(DATOS!$K$2:$K$20000,DATOS!$A$2:$A$20000,A244,DATOS!$G$2:$G$20000,CONFIG_METADATA!$B$4,DATOS!$I$2:$I$20000,"Coro"),""))</f>
        <v/>
      </c>
      <c r="D244" t="str">
        <f>IF(A244="","",IFERROR(AVERAGEIFS(DATOS!$K$2:$K$20000,DATOS!$A$2:$A$20000,A244,DATOS!$G$2:$G$20000,CONFIG_METADATA!$B$4,DATOS!$I$2:$I$20000,"Conjunto"),""))</f>
        <v/>
      </c>
      <c r="E244" t="str" cm="1">
        <f t="array" ref="E244">IF(A244="","",IFERROR(AVERAGE(IF((DATOS!$A$2:$A$20000=A244)*(DATOS!$G$2:$G$20000=CONFIG_METADATA!$B$4)*(DATOS!$I$2:$I$20000&lt;&gt;"Lenguaje Musical")*(DATOS!$I$2:$I$20000&lt;&gt;"Coro")*(DATOS!$I$2:$I$20000&lt;&gt;"Conjunto"),DATOS!$K$2:$K$20000)),""))</f>
        <v/>
      </c>
      <c r="H244" t="str">
        <f>IF(G244="","",IFERROR(AVERAGEIFS(DATOS!$K$2:$K$20000,DATOS!$A$2:$A$20000,G244,DATOS!$G$2:$G$20000,CONFIG_METADATA!$B$4,DATOS!$I$2:$I$20000,"Lenguaje Musical"),""))</f>
        <v/>
      </c>
      <c r="I244" t="str">
        <f>IF(G244="","",IFERROR(AVERAGEIFS(DATOS!$K$2:$K$20000,DATOS!$A$2:$A$20000,G244,DATOS!$G$2:$G$20000,CONFIG_METADATA!$B$4,DATOS!$I$2:$I$20000,"Coro"),""))</f>
        <v/>
      </c>
      <c r="J244" t="str">
        <f>IF(G244="","",IFERROR(AVERAGEIFS(DATOS!$K$2:$K$20000,DATOS!$A$2:$A$20000,G244,DATOS!$G$2:$G$20000,CONFIG_METADATA!$B$4,DATOS!$I$2:$I$20000,"Conjunto"),""))</f>
        <v/>
      </c>
      <c r="K244" t="str" cm="1">
        <f t="array" ref="K244">IF(G244="","",IFERROR(AVERAGE(IF((DATOS!$A$2:$A$20000=G244)*(DATOS!$G$2:$G$20000=CONFIG_METADATA!$B$4)*(DATOS!$I$2:$I$20000&lt;&gt;"Lenguaje Musical")*(DATOS!$I$2:$I$20000&lt;&gt;"Coro")*(DATOS!$I$2:$I$20000&lt;&gt;"Conjunto"),DATOS!$K$2:$K$20000)),""))</f>
        <v/>
      </c>
      <c r="N244" t="str">
        <f>IF(M244="","",IFERROR(AVERAGEIFS(DATOS!$K$2:$K$20000,DATOS!$A$2:$A$20000,M244,DATOS!$G$2:$G$20000,CONFIG_METADATA!$B$4,DATOS!$I$2:$I$20000,"Lenguaje Musical"),""))</f>
        <v/>
      </c>
      <c r="O244" t="str">
        <f>IF(M244="","",IFERROR(AVERAGEIFS(DATOS!$K$2:$K$20000,DATOS!$A$2:$A$20000,M244,DATOS!$G$2:$G$20000,CONFIG_METADATA!$B$4,DATOS!$I$2:$I$20000,"Coro"),""))</f>
        <v/>
      </c>
      <c r="P244" t="str">
        <f>IF(M244="","",IFERROR(AVERAGEIFS(DATOS!$K$2:$K$20000,DATOS!$A$2:$A$20000,M244,DATOS!$G$2:$G$20000,CONFIG_METADATA!$B$4,DATOS!$I$2:$I$20000,"Conjunto"),""))</f>
        <v/>
      </c>
      <c r="Q244" t="str">
        <f>IF(M244="","",IFERROR(AVERAGEIFS(DATOS!$K$2:$K$20000,DATOS!$A$2:$A$20000,M244,DATOS!$G$2:$G$20000,CONFIG_METADATA!$B$4,DATOS!$I$2:$I$20000,"&lt;&gt;Lenguaje Musical",DATOS!$I$2:$I$20000,"&lt;&gt;Coro",DATOS!$I$2:$I$20000,"&lt;&gt;Conjunto"),""))</f>
        <v/>
      </c>
      <c r="T244" t="str">
        <f>IF(S244="","",IFERROR(AVERAGEIFS(DATOS!$K$2:$K$20000,DATOS!$A$2:$A$20000,S244,DATOS!$G$2:$G$20000,CONFIG_METADATA!$B$4,DATOS!$I$2:$I$20000,"Lenguaje Musical"),""))</f>
        <v/>
      </c>
      <c r="U244" t="str">
        <f>IF(S244="","",IFERROR(AVERAGEIFS(DATOS!$K$2:$K$20000,DATOS!$A$2:$A$20000,S244,DATOS!$G$2:$G$20000,CONFIG_METADATA!$B$4,DATOS!$I$2:$I$20000,"Coro"),""))</f>
        <v/>
      </c>
      <c r="V244" t="str">
        <f>IF(S244="","",IFERROR(AVERAGEIFS(DATOS!$K$2:$K$20000,DATOS!$A$2:$A$20000,S244,DATOS!$G$2:$G$20000,CONFIG_METADATA!$B$4,DATOS!$I$2:$I$20000,"Conjunto"),""))</f>
        <v/>
      </c>
      <c r="W244" t="str" cm="1">
        <f t="array" ref="W244">IF(S244="","",IFERROR(AVERAGE(IF((DATOS!$A$2:$A$20000=S244)*(DATOS!$G$2:$G$20000=CONFIG_METADATA!$B$4)*(DATOS!$I$2:$I$20000&lt;&gt;"Lenguaje Musical")*(DATOS!$I$2:$I$20000&lt;&gt;"Coro")*(DATOS!$I$2:$I$20000&lt;&gt;"Conjunto"),DATOS!$K$2:$K$20000)),""))</f>
        <v/>
      </c>
    </row>
    <row r="245" spans="2:23" x14ac:dyDescent="0.2">
      <c r="B245" t="str">
        <f>IF(A245="","",IFERROR(AVERAGEIFS(DATOS!$K$2:$K$20000,DATOS!$A$2:$A$20000,A245,DATOS!$G$2:$G$20000,CONFIG_METADATA!$B$4,DATOS!$I$2:$I$20000,"Lenguaje Musical"),""))</f>
        <v/>
      </c>
      <c r="C245" t="str">
        <f>IF(A245="","",IFERROR(AVERAGEIFS(DATOS!$K$2:$K$20000,DATOS!$A$2:$A$20000,A245,DATOS!$G$2:$G$20000,CONFIG_METADATA!$B$4,DATOS!$I$2:$I$20000,"Coro"),""))</f>
        <v/>
      </c>
      <c r="D245" t="str">
        <f>IF(A245="","",IFERROR(AVERAGEIFS(DATOS!$K$2:$K$20000,DATOS!$A$2:$A$20000,A245,DATOS!$G$2:$G$20000,CONFIG_METADATA!$B$4,DATOS!$I$2:$I$20000,"Conjunto"),""))</f>
        <v/>
      </c>
      <c r="E245" t="str" cm="1">
        <f t="array" ref="E245">IF(A245="","",IFERROR(AVERAGE(IF((DATOS!$A$2:$A$20000=A245)*(DATOS!$G$2:$G$20000=CONFIG_METADATA!$B$4)*(DATOS!$I$2:$I$20000&lt;&gt;"Lenguaje Musical")*(DATOS!$I$2:$I$20000&lt;&gt;"Coro")*(DATOS!$I$2:$I$20000&lt;&gt;"Conjunto"),DATOS!$K$2:$K$20000)),""))</f>
        <v/>
      </c>
      <c r="H245" t="str">
        <f>IF(G245="","",IFERROR(AVERAGEIFS(DATOS!$K$2:$K$20000,DATOS!$A$2:$A$20000,G245,DATOS!$G$2:$G$20000,CONFIG_METADATA!$B$4,DATOS!$I$2:$I$20000,"Lenguaje Musical"),""))</f>
        <v/>
      </c>
      <c r="I245" t="str">
        <f>IF(G245="","",IFERROR(AVERAGEIFS(DATOS!$K$2:$K$20000,DATOS!$A$2:$A$20000,G245,DATOS!$G$2:$G$20000,CONFIG_METADATA!$B$4,DATOS!$I$2:$I$20000,"Coro"),""))</f>
        <v/>
      </c>
      <c r="J245" t="str">
        <f>IF(G245="","",IFERROR(AVERAGEIFS(DATOS!$K$2:$K$20000,DATOS!$A$2:$A$20000,G245,DATOS!$G$2:$G$20000,CONFIG_METADATA!$B$4,DATOS!$I$2:$I$20000,"Conjunto"),""))</f>
        <v/>
      </c>
      <c r="K245" t="str" cm="1">
        <f t="array" ref="K245">IF(G245="","",IFERROR(AVERAGE(IF((DATOS!$A$2:$A$20000=G245)*(DATOS!$G$2:$G$20000=CONFIG_METADATA!$B$4)*(DATOS!$I$2:$I$20000&lt;&gt;"Lenguaje Musical")*(DATOS!$I$2:$I$20000&lt;&gt;"Coro")*(DATOS!$I$2:$I$20000&lt;&gt;"Conjunto"),DATOS!$K$2:$K$20000)),""))</f>
        <v/>
      </c>
      <c r="N245" t="str">
        <f>IF(M245="","",IFERROR(AVERAGEIFS(DATOS!$K$2:$K$20000,DATOS!$A$2:$A$20000,M245,DATOS!$G$2:$G$20000,CONFIG_METADATA!$B$4,DATOS!$I$2:$I$20000,"Lenguaje Musical"),""))</f>
        <v/>
      </c>
      <c r="O245" t="str">
        <f>IF(M245="","",IFERROR(AVERAGEIFS(DATOS!$K$2:$K$20000,DATOS!$A$2:$A$20000,M245,DATOS!$G$2:$G$20000,CONFIG_METADATA!$B$4,DATOS!$I$2:$I$20000,"Coro"),""))</f>
        <v/>
      </c>
      <c r="P245" t="str">
        <f>IF(M245="","",IFERROR(AVERAGEIFS(DATOS!$K$2:$K$20000,DATOS!$A$2:$A$20000,M245,DATOS!$G$2:$G$20000,CONFIG_METADATA!$B$4,DATOS!$I$2:$I$20000,"Conjunto"),""))</f>
        <v/>
      </c>
      <c r="Q245" t="str">
        <f>IF(M245="","",IFERROR(AVERAGEIFS(DATOS!$K$2:$K$20000,DATOS!$A$2:$A$20000,M245,DATOS!$G$2:$G$20000,CONFIG_METADATA!$B$4,DATOS!$I$2:$I$20000,"&lt;&gt;Lenguaje Musical",DATOS!$I$2:$I$20000,"&lt;&gt;Coro",DATOS!$I$2:$I$20000,"&lt;&gt;Conjunto"),""))</f>
        <v/>
      </c>
      <c r="T245" t="str">
        <f>IF(S245="","",IFERROR(AVERAGEIFS(DATOS!$K$2:$K$20000,DATOS!$A$2:$A$20000,S245,DATOS!$G$2:$G$20000,CONFIG_METADATA!$B$4,DATOS!$I$2:$I$20000,"Lenguaje Musical"),""))</f>
        <v/>
      </c>
      <c r="U245" t="str">
        <f>IF(S245="","",IFERROR(AVERAGEIFS(DATOS!$K$2:$K$20000,DATOS!$A$2:$A$20000,S245,DATOS!$G$2:$G$20000,CONFIG_METADATA!$B$4,DATOS!$I$2:$I$20000,"Coro"),""))</f>
        <v/>
      </c>
      <c r="V245" t="str">
        <f>IF(S245="","",IFERROR(AVERAGEIFS(DATOS!$K$2:$K$20000,DATOS!$A$2:$A$20000,S245,DATOS!$G$2:$G$20000,CONFIG_METADATA!$B$4,DATOS!$I$2:$I$20000,"Conjunto"),""))</f>
        <v/>
      </c>
      <c r="W245" t="str" cm="1">
        <f t="array" ref="W245">IF(S245="","",IFERROR(AVERAGE(IF((DATOS!$A$2:$A$20000=S245)*(DATOS!$G$2:$G$20000=CONFIG_METADATA!$B$4)*(DATOS!$I$2:$I$20000&lt;&gt;"Lenguaje Musical")*(DATOS!$I$2:$I$20000&lt;&gt;"Coro")*(DATOS!$I$2:$I$20000&lt;&gt;"Conjunto"),DATOS!$K$2:$K$20000)),""))</f>
        <v/>
      </c>
    </row>
    <row r="246" spans="2:23" x14ac:dyDescent="0.2">
      <c r="B246" t="str">
        <f>IF(A246="","",IFERROR(AVERAGEIFS(DATOS!$K$2:$K$20000,DATOS!$A$2:$A$20000,A246,DATOS!$G$2:$G$20000,CONFIG_METADATA!$B$4,DATOS!$I$2:$I$20000,"Lenguaje Musical"),""))</f>
        <v/>
      </c>
      <c r="C246" t="str">
        <f>IF(A246="","",IFERROR(AVERAGEIFS(DATOS!$K$2:$K$20000,DATOS!$A$2:$A$20000,A246,DATOS!$G$2:$G$20000,CONFIG_METADATA!$B$4,DATOS!$I$2:$I$20000,"Coro"),""))</f>
        <v/>
      </c>
      <c r="D246" t="str">
        <f>IF(A246="","",IFERROR(AVERAGEIFS(DATOS!$K$2:$K$20000,DATOS!$A$2:$A$20000,A246,DATOS!$G$2:$G$20000,CONFIG_METADATA!$B$4,DATOS!$I$2:$I$20000,"Conjunto"),""))</f>
        <v/>
      </c>
      <c r="E246" t="str" cm="1">
        <f t="array" ref="E246">IF(A246="","",IFERROR(AVERAGE(IF((DATOS!$A$2:$A$20000=A246)*(DATOS!$G$2:$G$20000=CONFIG_METADATA!$B$4)*(DATOS!$I$2:$I$20000&lt;&gt;"Lenguaje Musical")*(DATOS!$I$2:$I$20000&lt;&gt;"Coro")*(DATOS!$I$2:$I$20000&lt;&gt;"Conjunto"),DATOS!$K$2:$K$20000)),""))</f>
        <v/>
      </c>
      <c r="H246" t="str">
        <f>IF(G246="","",IFERROR(AVERAGEIFS(DATOS!$K$2:$K$20000,DATOS!$A$2:$A$20000,G246,DATOS!$G$2:$G$20000,CONFIG_METADATA!$B$4,DATOS!$I$2:$I$20000,"Lenguaje Musical"),""))</f>
        <v/>
      </c>
      <c r="I246" t="str">
        <f>IF(G246="","",IFERROR(AVERAGEIFS(DATOS!$K$2:$K$20000,DATOS!$A$2:$A$20000,G246,DATOS!$G$2:$G$20000,CONFIG_METADATA!$B$4,DATOS!$I$2:$I$20000,"Coro"),""))</f>
        <v/>
      </c>
      <c r="J246" t="str">
        <f>IF(G246="","",IFERROR(AVERAGEIFS(DATOS!$K$2:$K$20000,DATOS!$A$2:$A$20000,G246,DATOS!$G$2:$G$20000,CONFIG_METADATA!$B$4,DATOS!$I$2:$I$20000,"Conjunto"),""))</f>
        <v/>
      </c>
      <c r="K246" t="str" cm="1">
        <f t="array" ref="K246">IF(G246="","",IFERROR(AVERAGE(IF((DATOS!$A$2:$A$20000=G246)*(DATOS!$G$2:$G$20000=CONFIG_METADATA!$B$4)*(DATOS!$I$2:$I$20000&lt;&gt;"Lenguaje Musical")*(DATOS!$I$2:$I$20000&lt;&gt;"Coro")*(DATOS!$I$2:$I$20000&lt;&gt;"Conjunto"),DATOS!$K$2:$K$20000)),""))</f>
        <v/>
      </c>
      <c r="N246" t="str">
        <f>IF(M246="","",IFERROR(AVERAGEIFS(DATOS!$K$2:$K$20000,DATOS!$A$2:$A$20000,M246,DATOS!$G$2:$G$20000,CONFIG_METADATA!$B$4,DATOS!$I$2:$I$20000,"Lenguaje Musical"),""))</f>
        <v/>
      </c>
      <c r="O246" t="str">
        <f>IF(M246="","",IFERROR(AVERAGEIFS(DATOS!$K$2:$K$20000,DATOS!$A$2:$A$20000,M246,DATOS!$G$2:$G$20000,CONFIG_METADATA!$B$4,DATOS!$I$2:$I$20000,"Coro"),""))</f>
        <v/>
      </c>
      <c r="P246" t="str">
        <f>IF(M246="","",IFERROR(AVERAGEIFS(DATOS!$K$2:$K$20000,DATOS!$A$2:$A$20000,M246,DATOS!$G$2:$G$20000,CONFIG_METADATA!$B$4,DATOS!$I$2:$I$20000,"Conjunto"),""))</f>
        <v/>
      </c>
      <c r="Q246" t="str">
        <f>IF(M246="","",IFERROR(AVERAGEIFS(DATOS!$K$2:$K$20000,DATOS!$A$2:$A$20000,M246,DATOS!$G$2:$G$20000,CONFIG_METADATA!$B$4,DATOS!$I$2:$I$20000,"&lt;&gt;Lenguaje Musical",DATOS!$I$2:$I$20000,"&lt;&gt;Coro",DATOS!$I$2:$I$20000,"&lt;&gt;Conjunto"),""))</f>
        <v/>
      </c>
      <c r="T246" t="str">
        <f>IF(S246="","",IFERROR(AVERAGEIFS(DATOS!$K$2:$K$20000,DATOS!$A$2:$A$20000,S246,DATOS!$G$2:$G$20000,CONFIG_METADATA!$B$4,DATOS!$I$2:$I$20000,"Lenguaje Musical"),""))</f>
        <v/>
      </c>
      <c r="U246" t="str">
        <f>IF(S246="","",IFERROR(AVERAGEIFS(DATOS!$K$2:$K$20000,DATOS!$A$2:$A$20000,S246,DATOS!$G$2:$G$20000,CONFIG_METADATA!$B$4,DATOS!$I$2:$I$20000,"Coro"),""))</f>
        <v/>
      </c>
      <c r="V246" t="str">
        <f>IF(S246="","",IFERROR(AVERAGEIFS(DATOS!$K$2:$K$20000,DATOS!$A$2:$A$20000,S246,DATOS!$G$2:$G$20000,CONFIG_METADATA!$B$4,DATOS!$I$2:$I$20000,"Conjunto"),""))</f>
        <v/>
      </c>
      <c r="W246" t="str" cm="1">
        <f t="array" ref="W246">IF(S246="","",IFERROR(AVERAGE(IF((DATOS!$A$2:$A$20000=S246)*(DATOS!$G$2:$G$20000=CONFIG_METADATA!$B$4)*(DATOS!$I$2:$I$20000&lt;&gt;"Lenguaje Musical")*(DATOS!$I$2:$I$20000&lt;&gt;"Coro")*(DATOS!$I$2:$I$20000&lt;&gt;"Conjunto"),DATOS!$K$2:$K$20000)),""))</f>
        <v/>
      </c>
    </row>
    <row r="247" spans="2:23" x14ac:dyDescent="0.2">
      <c r="B247" t="str">
        <f>IF(A247="","",IFERROR(AVERAGEIFS(DATOS!$K$2:$K$20000,DATOS!$A$2:$A$20000,A247,DATOS!$G$2:$G$20000,CONFIG_METADATA!$B$4,DATOS!$I$2:$I$20000,"Lenguaje Musical"),""))</f>
        <v/>
      </c>
      <c r="C247" t="str">
        <f>IF(A247="","",IFERROR(AVERAGEIFS(DATOS!$K$2:$K$20000,DATOS!$A$2:$A$20000,A247,DATOS!$G$2:$G$20000,CONFIG_METADATA!$B$4,DATOS!$I$2:$I$20000,"Coro"),""))</f>
        <v/>
      </c>
      <c r="D247" t="str">
        <f>IF(A247="","",IFERROR(AVERAGEIFS(DATOS!$K$2:$K$20000,DATOS!$A$2:$A$20000,A247,DATOS!$G$2:$G$20000,CONFIG_METADATA!$B$4,DATOS!$I$2:$I$20000,"Conjunto"),""))</f>
        <v/>
      </c>
      <c r="E247" t="str" cm="1">
        <f t="array" ref="E247">IF(A247="","",IFERROR(AVERAGE(IF((DATOS!$A$2:$A$20000=A247)*(DATOS!$G$2:$G$20000=CONFIG_METADATA!$B$4)*(DATOS!$I$2:$I$20000&lt;&gt;"Lenguaje Musical")*(DATOS!$I$2:$I$20000&lt;&gt;"Coro")*(DATOS!$I$2:$I$20000&lt;&gt;"Conjunto"),DATOS!$K$2:$K$20000)),""))</f>
        <v/>
      </c>
      <c r="H247" t="str">
        <f>IF(G247="","",IFERROR(AVERAGEIFS(DATOS!$K$2:$K$20000,DATOS!$A$2:$A$20000,G247,DATOS!$G$2:$G$20000,CONFIG_METADATA!$B$4,DATOS!$I$2:$I$20000,"Lenguaje Musical"),""))</f>
        <v/>
      </c>
      <c r="I247" t="str">
        <f>IF(G247="","",IFERROR(AVERAGEIFS(DATOS!$K$2:$K$20000,DATOS!$A$2:$A$20000,G247,DATOS!$G$2:$G$20000,CONFIG_METADATA!$B$4,DATOS!$I$2:$I$20000,"Coro"),""))</f>
        <v/>
      </c>
      <c r="J247" t="str">
        <f>IF(G247="","",IFERROR(AVERAGEIFS(DATOS!$K$2:$K$20000,DATOS!$A$2:$A$20000,G247,DATOS!$G$2:$G$20000,CONFIG_METADATA!$B$4,DATOS!$I$2:$I$20000,"Conjunto"),""))</f>
        <v/>
      </c>
      <c r="K247" t="str" cm="1">
        <f t="array" ref="K247">IF(G247="","",IFERROR(AVERAGE(IF((DATOS!$A$2:$A$20000=G247)*(DATOS!$G$2:$G$20000=CONFIG_METADATA!$B$4)*(DATOS!$I$2:$I$20000&lt;&gt;"Lenguaje Musical")*(DATOS!$I$2:$I$20000&lt;&gt;"Coro")*(DATOS!$I$2:$I$20000&lt;&gt;"Conjunto"),DATOS!$K$2:$K$20000)),""))</f>
        <v/>
      </c>
      <c r="N247" t="str">
        <f>IF(M247="","",IFERROR(AVERAGEIFS(DATOS!$K$2:$K$20000,DATOS!$A$2:$A$20000,M247,DATOS!$G$2:$G$20000,CONFIG_METADATA!$B$4,DATOS!$I$2:$I$20000,"Lenguaje Musical"),""))</f>
        <v/>
      </c>
      <c r="O247" t="str">
        <f>IF(M247="","",IFERROR(AVERAGEIFS(DATOS!$K$2:$K$20000,DATOS!$A$2:$A$20000,M247,DATOS!$G$2:$G$20000,CONFIG_METADATA!$B$4,DATOS!$I$2:$I$20000,"Coro"),""))</f>
        <v/>
      </c>
      <c r="P247" t="str">
        <f>IF(M247="","",IFERROR(AVERAGEIFS(DATOS!$K$2:$K$20000,DATOS!$A$2:$A$20000,M247,DATOS!$G$2:$G$20000,CONFIG_METADATA!$B$4,DATOS!$I$2:$I$20000,"Conjunto"),""))</f>
        <v/>
      </c>
      <c r="Q247" t="str">
        <f>IF(M247="","",IFERROR(AVERAGEIFS(DATOS!$K$2:$K$20000,DATOS!$A$2:$A$20000,M247,DATOS!$G$2:$G$20000,CONFIG_METADATA!$B$4,DATOS!$I$2:$I$20000,"&lt;&gt;Lenguaje Musical",DATOS!$I$2:$I$20000,"&lt;&gt;Coro",DATOS!$I$2:$I$20000,"&lt;&gt;Conjunto"),""))</f>
        <v/>
      </c>
      <c r="T247" t="str">
        <f>IF(S247="","",IFERROR(AVERAGEIFS(DATOS!$K$2:$K$20000,DATOS!$A$2:$A$20000,S247,DATOS!$G$2:$G$20000,CONFIG_METADATA!$B$4,DATOS!$I$2:$I$20000,"Lenguaje Musical"),""))</f>
        <v/>
      </c>
      <c r="U247" t="str">
        <f>IF(S247="","",IFERROR(AVERAGEIFS(DATOS!$K$2:$K$20000,DATOS!$A$2:$A$20000,S247,DATOS!$G$2:$G$20000,CONFIG_METADATA!$B$4,DATOS!$I$2:$I$20000,"Coro"),""))</f>
        <v/>
      </c>
      <c r="V247" t="str">
        <f>IF(S247="","",IFERROR(AVERAGEIFS(DATOS!$K$2:$K$20000,DATOS!$A$2:$A$20000,S247,DATOS!$G$2:$G$20000,CONFIG_METADATA!$B$4,DATOS!$I$2:$I$20000,"Conjunto"),""))</f>
        <v/>
      </c>
      <c r="W247" t="str" cm="1">
        <f t="array" ref="W247">IF(S247="","",IFERROR(AVERAGE(IF((DATOS!$A$2:$A$20000=S247)*(DATOS!$G$2:$G$20000=CONFIG_METADATA!$B$4)*(DATOS!$I$2:$I$20000&lt;&gt;"Lenguaje Musical")*(DATOS!$I$2:$I$20000&lt;&gt;"Coro")*(DATOS!$I$2:$I$20000&lt;&gt;"Conjunto"),DATOS!$K$2:$K$20000)),""))</f>
        <v/>
      </c>
    </row>
    <row r="248" spans="2:23" x14ac:dyDescent="0.2">
      <c r="B248" t="str">
        <f>IF(A248="","",IFERROR(AVERAGEIFS(DATOS!$K$2:$K$20000,DATOS!$A$2:$A$20000,A248,DATOS!$G$2:$G$20000,CONFIG_METADATA!$B$4,DATOS!$I$2:$I$20000,"Lenguaje Musical"),""))</f>
        <v/>
      </c>
      <c r="C248" t="str">
        <f>IF(A248="","",IFERROR(AVERAGEIFS(DATOS!$K$2:$K$20000,DATOS!$A$2:$A$20000,A248,DATOS!$G$2:$G$20000,CONFIG_METADATA!$B$4,DATOS!$I$2:$I$20000,"Coro"),""))</f>
        <v/>
      </c>
      <c r="D248" t="str">
        <f>IF(A248="","",IFERROR(AVERAGEIFS(DATOS!$K$2:$K$20000,DATOS!$A$2:$A$20000,A248,DATOS!$G$2:$G$20000,CONFIG_METADATA!$B$4,DATOS!$I$2:$I$20000,"Conjunto"),""))</f>
        <v/>
      </c>
      <c r="E248" t="str" cm="1">
        <f t="array" ref="E248">IF(A248="","",IFERROR(AVERAGE(IF((DATOS!$A$2:$A$20000=A248)*(DATOS!$G$2:$G$20000=CONFIG_METADATA!$B$4)*(DATOS!$I$2:$I$20000&lt;&gt;"Lenguaje Musical")*(DATOS!$I$2:$I$20000&lt;&gt;"Coro")*(DATOS!$I$2:$I$20000&lt;&gt;"Conjunto"),DATOS!$K$2:$K$20000)),""))</f>
        <v/>
      </c>
      <c r="H248" t="str">
        <f>IF(G248="","",IFERROR(AVERAGEIFS(DATOS!$K$2:$K$20000,DATOS!$A$2:$A$20000,G248,DATOS!$G$2:$G$20000,CONFIG_METADATA!$B$4,DATOS!$I$2:$I$20000,"Lenguaje Musical"),""))</f>
        <v/>
      </c>
      <c r="I248" t="str">
        <f>IF(G248="","",IFERROR(AVERAGEIFS(DATOS!$K$2:$K$20000,DATOS!$A$2:$A$20000,G248,DATOS!$G$2:$G$20000,CONFIG_METADATA!$B$4,DATOS!$I$2:$I$20000,"Coro"),""))</f>
        <v/>
      </c>
      <c r="J248" t="str">
        <f>IF(G248="","",IFERROR(AVERAGEIFS(DATOS!$K$2:$K$20000,DATOS!$A$2:$A$20000,G248,DATOS!$G$2:$G$20000,CONFIG_METADATA!$B$4,DATOS!$I$2:$I$20000,"Conjunto"),""))</f>
        <v/>
      </c>
      <c r="K248" t="str" cm="1">
        <f t="array" ref="K248">IF(G248="","",IFERROR(AVERAGE(IF((DATOS!$A$2:$A$20000=G248)*(DATOS!$G$2:$G$20000=CONFIG_METADATA!$B$4)*(DATOS!$I$2:$I$20000&lt;&gt;"Lenguaje Musical")*(DATOS!$I$2:$I$20000&lt;&gt;"Coro")*(DATOS!$I$2:$I$20000&lt;&gt;"Conjunto"),DATOS!$K$2:$K$20000)),""))</f>
        <v/>
      </c>
      <c r="N248" t="str">
        <f>IF(M248="","",IFERROR(AVERAGEIFS(DATOS!$K$2:$K$20000,DATOS!$A$2:$A$20000,M248,DATOS!$G$2:$G$20000,CONFIG_METADATA!$B$4,DATOS!$I$2:$I$20000,"Lenguaje Musical"),""))</f>
        <v/>
      </c>
      <c r="O248" t="str">
        <f>IF(M248="","",IFERROR(AVERAGEIFS(DATOS!$K$2:$K$20000,DATOS!$A$2:$A$20000,M248,DATOS!$G$2:$G$20000,CONFIG_METADATA!$B$4,DATOS!$I$2:$I$20000,"Coro"),""))</f>
        <v/>
      </c>
      <c r="P248" t="str">
        <f>IF(M248="","",IFERROR(AVERAGEIFS(DATOS!$K$2:$K$20000,DATOS!$A$2:$A$20000,M248,DATOS!$G$2:$G$20000,CONFIG_METADATA!$B$4,DATOS!$I$2:$I$20000,"Conjunto"),""))</f>
        <v/>
      </c>
      <c r="Q248" t="str">
        <f>IF(M248="","",IFERROR(AVERAGEIFS(DATOS!$K$2:$K$20000,DATOS!$A$2:$A$20000,M248,DATOS!$G$2:$G$20000,CONFIG_METADATA!$B$4,DATOS!$I$2:$I$20000,"&lt;&gt;Lenguaje Musical",DATOS!$I$2:$I$20000,"&lt;&gt;Coro",DATOS!$I$2:$I$20000,"&lt;&gt;Conjunto"),""))</f>
        <v/>
      </c>
      <c r="T248" t="str">
        <f>IF(S248="","",IFERROR(AVERAGEIFS(DATOS!$K$2:$K$20000,DATOS!$A$2:$A$20000,S248,DATOS!$G$2:$G$20000,CONFIG_METADATA!$B$4,DATOS!$I$2:$I$20000,"Lenguaje Musical"),""))</f>
        <v/>
      </c>
      <c r="U248" t="str">
        <f>IF(S248="","",IFERROR(AVERAGEIFS(DATOS!$K$2:$K$20000,DATOS!$A$2:$A$20000,S248,DATOS!$G$2:$G$20000,CONFIG_METADATA!$B$4,DATOS!$I$2:$I$20000,"Coro"),""))</f>
        <v/>
      </c>
      <c r="V248" t="str">
        <f>IF(S248="","",IFERROR(AVERAGEIFS(DATOS!$K$2:$K$20000,DATOS!$A$2:$A$20000,S248,DATOS!$G$2:$G$20000,CONFIG_METADATA!$B$4,DATOS!$I$2:$I$20000,"Conjunto"),""))</f>
        <v/>
      </c>
      <c r="W248" t="str" cm="1">
        <f t="array" ref="W248">IF(S248="","",IFERROR(AVERAGE(IF((DATOS!$A$2:$A$20000=S248)*(DATOS!$G$2:$G$20000=CONFIG_METADATA!$B$4)*(DATOS!$I$2:$I$20000&lt;&gt;"Lenguaje Musical")*(DATOS!$I$2:$I$20000&lt;&gt;"Coro")*(DATOS!$I$2:$I$20000&lt;&gt;"Conjunto"),DATOS!$K$2:$K$20000)),""))</f>
        <v/>
      </c>
    </row>
    <row r="249" spans="2:23" x14ac:dyDescent="0.2">
      <c r="B249" t="str">
        <f>IF(A249="","",IFERROR(AVERAGEIFS(DATOS!$K$2:$K$20000,DATOS!$A$2:$A$20000,A249,DATOS!$G$2:$G$20000,CONFIG_METADATA!$B$4,DATOS!$I$2:$I$20000,"Lenguaje Musical"),""))</f>
        <v/>
      </c>
      <c r="C249" t="str">
        <f>IF(A249="","",IFERROR(AVERAGEIFS(DATOS!$K$2:$K$20000,DATOS!$A$2:$A$20000,A249,DATOS!$G$2:$G$20000,CONFIG_METADATA!$B$4,DATOS!$I$2:$I$20000,"Coro"),""))</f>
        <v/>
      </c>
      <c r="D249" t="str">
        <f>IF(A249="","",IFERROR(AVERAGEIFS(DATOS!$K$2:$K$20000,DATOS!$A$2:$A$20000,A249,DATOS!$G$2:$G$20000,CONFIG_METADATA!$B$4,DATOS!$I$2:$I$20000,"Conjunto"),""))</f>
        <v/>
      </c>
      <c r="E249" t="str" cm="1">
        <f t="array" ref="E249">IF(A249="","",IFERROR(AVERAGE(IF((DATOS!$A$2:$A$20000=A249)*(DATOS!$G$2:$G$20000=CONFIG_METADATA!$B$4)*(DATOS!$I$2:$I$20000&lt;&gt;"Lenguaje Musical")*(DATOS!$I$2:$I$20000&lt;&gt;"Coro")*(DATOS!$I$2:$I$20000&lt;&gt;"Conjunto"),DATOS!$K$2:$K$20000)),""))</f>
        <v/>
      </c>
      <c r="H249" t="str">
        <f>IF(G249="","",IFERROR(AVERAGEIFS(DATOS!$K$2:$K$20000,DATOS!$A$2:$A$20000,G249,DATOS!$G$2:$G$20000,CONFIG_METADATA!$B$4,DATOS!$I$2:$I$20000,"Lenguaje Musical"),""))</f>
        <v/>
      </c>
      <c r="I249" t="str">
        <f>IF(G249="","",IFERROR(AVERAGEIFS(DATOS!$K$2:$K$20000,DATOS!$A$2:$A$20000,G249,DATOS!$G$2:$G$20000,CONFIG_METADATA!$B$4,DATOS!$I$2:$I$20000,"Coro"),""))</f>
        <v/>
      </c>
      <c r="J249" t="str">
        <f>IF(G249="","",IFERROR(AVERAGEIFS(DATOS!$K$2:$K$20000,DATOS!$A$2:$A$20000,G249,DATOS!$G$2:$G$20000,CONFIG_METADATA!$B$4,DATOS!$I$2:$I$20000,"Conjunto"),""))</f>
        <v/>
      </c>
      <c r="K249" t="str" cm="1">
        <f t="array" ref="K249">IF(G249="","",IFERROR(AVERAGE(IF((DATOS!$A$2:$A$20000=G249)*(DATOS!$G$2:$G$20000=CONFIG_METADATA!$B$4)*(DATOS!$I$2:$I$20000&lt;&gt;"Lenguaje Musical")*(DATOS!$I$2:$I$20000&lt;&gt;"Coro")*(DATOS!$I$2:$I$20000&lt;&gt;"Conjunto"),DATOS!$K$2:$K$20000)),""))</f>
        <v/>
      </c>
      <c r="N249" t="str">
        <f>IF(M249="","",IFERROR(AVERAGEIFS(DATOS!$K$2:$K$20000,DATOS!$A$2:$A$20000,M249,DATOS!$G$2:$G$20000,CONFIG_METADATA!$B$4,DATOS!$I$2:$I$20000,"Lenguaje Musical"),""))</f>
        <v/>
      </c>
      <c r="O249" t="str">
        <f>IF(M249="","",IFERROR(AVERAGEIFS(DATOS!$K$2:$K$20000,DATOS!$A$2:$A$20000,M249,DATOS!$G$2:$G$20000,CONFIG_METADATA!$B$4,DATOS!$I$2:$I$20000,"Coro"),""))</f>
        <v/>
      </c>
      <c r="P249" t="str">
        <f>IF(M249="","",IFERROR(AVERAGEIFS(DATOS!$K$2:$K$20000,DATOS!$A$2:$A$20000,M249,DATOS!$G$2:$G$20000,CONFIG_METADATA!$B$4,DATOS!$I$2:$I$20000,"Conjunto"),""))</f>
        <v/>
      </c>
      <c r="Q249" t="str">
        <f>IF(M249="","",IFERROR(AVERAGEIFS(DATOS!$K$2:$K$20000,DATOS!$A$2:$A$20000,M249,DATOS!$G$2:$G$20000,CONFIG_METADATA!$B$4,DATOS!$I$2:$I$20000,"&lt;&gt;Lenguaje Musical",DATOS!$I$2:$I$20000,"&lt;&gt;Coro",DATOS!$I$2:$I$20000,"&lt;&gt;Conjunto"),""))</f>
        <v/>
      </c>
      <c r="T249" t="str">
        <f>IF(S249="","",IFERROR(AVERAGEIFS(DATOS!$K$2:$K$20000,DATOS!$A$2:$A$20000,S249,DATOS!$G$2:$G$20000,CONFIG_METADATA!$B$4,DATOS!$I$2:$I$20000,"Lenguaje Musical"),""))</f>
        <v/>
      </c>
      <c r="U249" t="str">
        <f>IF(S249="","",IFERROR(AVERAGEIFS(DATOS!$K$2:$K$20000,DATOS!$A$2:$A$20000,S249,DATOS!$G$2:$G$20000,CONFIG_METADATA!$B$4,DATOS!$I$2:$I$20000,"Coro"),""))</f>
        <v/>
      </c>
      <c r="V249" t="str">
        <f>IF(S249="","",IFERROR(AVERAGEIFS(DATOS!$K$2:$K$20000,DATOS!$A$2:$A$20000,S249,DATOS!$G$2:$G$20000,CONFIG_METADATA!$B$4,DATOS!$I$2:$I$20000,"Conjunto"),""))</f>
        <v/>
      </c>
      <c r="W249" t="str" cm="1">
        <f t="array" ref="W249">IF(S249="","",IFERROR(AVERAGE(IF((DATOS!$A$2:$A$20000=S249)*(DATOS!$G$2:$G$20000=CONFIG_METADATA!$B$4)*(DATOS!$I$2:$I$20000&lt;&gt;"Lenguaje Musical")*(DATOS!$I$2:$I$20000&lt;&gt;"Coro")*(DATOS!$I$2:$I$20000&lt;&gt;"Conjunto"),DATOS!$K$2:$K$20000)),""))</f>
        <v/>
      </c>
    </row>
    <row r="250" spans="2:23" x14ac:dyDescent="0.2">
      <c r="B250" t="str">
        <f>IF(A250="","",IFERROR(AVERAGEIFS(DATOS!$K$2:$K$20000,DATOS!$A$2:$A$20000,A250,DATOS!$G$2:$G$20000,CONFIG_METADATA!$B$4,DATOS!$I$2:$I$20000,"Lenguaje Musical"),""))</f>
        <v/>
      </c>
      <c r="C250" t="str">
        <f>IF(A250="","",IFERROR(AVERAGEIFS(DATOS!$K$2:$K$20000,DATOS!$A$2:$A$20000,A250,DATOS!$G$2:$G$20000,CONFIG_METADATA!$B$4,DATOS!$I$2:$I$20000,"Coro"),""))</f>
        <v/>
      </c>
      <c r="D250" t="str">
        <f>IF(A250="","",IFERROR(AVERAGEIFS(DATOS!$K$2:$K$20000,DATOS!$A$2:$A$20000,A250,DATOS!$G$2:$G$20000,CONFIG_METADATA!$B$4,DATOS!$I$2:$I$20000,"Conjunto"),""))</f>
        <v/>
      </c>
      <c r="E250" t="str" cm="1">
        <f t="array" ref="E250">IF(A250="","",IFERROR(AVERAGE(IF((DATOS!$A$2:$A$20000=A250)*(DATOS!$G$2:$G$20000=CONFIG_METADATA!$B$4)*(DATOS!$I$2:$I$20000&lt;&gt;"Lenguaje Musical")*(DATOS!$I$2:$I$20000&lt;&gt;"Coro")*(DATOS!$I$2:$I$20000&lt;&gt;"Conjunto"),DATOS!$K$2:$K$20000)),""))</f>
        <v/>
      </c>
      <c r="H250" t="str">
        <f>IF(G250="","",IFERROR(AVERAGEIFS(DATOS!$K$2:$K$20000,DATOS!$A$2:$A$20000,G250,DATOS!$G$2:$G$20000,CONFIG_METADATA!$B$4,DATOS!$I$2:$I$20000,"Lenguaje Musical"),""))</f>
        <v/>
      </c>
      <c r="I250" t="str">
        <f>IF(G250="","",IFERROR(AVERAGEIFS(DATOS!$K$2:$K$20000,DATOS!$A$2:$A$20000,G250,DATOS!$G$2:$G$20000,CONFIG_METADATA!$B$4,DATOS!$I$2:$I$20000,"Coro"),""))</f>
        <v/>
      </c>
      <c r="J250" t="str">
        <f>IF(G250="","",IFERROR(AVERAGEIFS(DATOS!$K$2:$K$20000,DATOS!$A$2:$A$20000,G250,DATOS!$G$2:$G$20000,CONFIG_METADATA!$B$4,DATOS!$I$2:$I$20000,"Conjunto"),""))</f>
        <v/>
      </c>
      <c r="K250" t="str" cm="1">
        <f t="array" ref="K250">IF(G250="","",IFERROR(AVERAGE(IF((DATOS!$A$2:$A$20000=G250)*(DATOS!$G$2:$G$20000=CONFIG_METADATA!$B$4)*(DATOS!$I$2:$I$20000&lt;&gt;"Lenguaje Musical")*(DATOS!$I$2:$I$20000&lt;&gt;"Coro")*(DATOS!$I$2:$I$20000&lt;&gt;"Conjunto"),DATOS!$K$2:$K$20000)),""))</f>
        <v/>
      </c>
      <c r="N250" t="str">
        <f>IF(M250="","",IFERROR(AVERAGEIFS(DATOS!$K$2:$K$20000,DATOS!$A$2:$A$20000,M250,DATOS!$G$2:$G$20000,CONFIG_METADATA!$B$4,DATOS!$I$2:$I$20000,"Lenguaje Musical"),""))</f>
        <v/>
      </c>
      <c r="O250" t="str">
        <f>IF(M250="","",IFERROR(AVERAGEIFS(DATOS!$K$2:$K$20000,DATOS!$A$2:$A$20000,M250,DATOS!$G$2:$G$20000,CONFIG_METADATA!$B$4,DATOS!$I$2:$I$20000,"Coro"),""))</f>
        <v/>
      </c>
      <c r="P250" t="str">
        <f>IF(M250="","",IFERROR(AVERAGEIFS(DATOS!$K$2:$K$20000,DATOS!$A$2:$A$20000,M250,DATOS!$G$2:$G$20000,CONFIG_METADATA!$B$4,DATOS!$I$2:$I$20000,"Conjunto"),""))</f>
        <v/>
      </c>
      <c r="Q250" t="str">
        <f>IF(M250="","",IFERROR(AVERAGEIFS(DATOS!$K$2:$K$20000,DATOS!$A$2:$A$20000,M250,DATOS!$G$2:$G$20000,CONFIG_METADATA!$B$4,DATOS!$I$2:$I$20000,"&lt;&gt;Lenguaje Musical",DATOS!$I$2:$I$20000,"&lt;&gt;Coro",DATOS!$I$2:$I$20000,"&lt;&gt;Conjunto"),""))</f>
        <v/>
      </c>
      <c r="T250" t="str">
        <f>IF(S250="","",IFERROR(AVERAGEIFS(DATOS!$K$2:$K$20000,DATOS!$A$2:$A$20000,S250,DATOS!$G$2:$G$20000,CONFIG_METADATA!$B$4,DATOS!$I$2:$I$20000,"Lenguaje Musical"),""))</f>
        <v/>
      </c>
      <c r="U250" t="str">
        <f>IF(S250="","",IFERROR(AVERAGEIFS(DATOS!$K$2:$K$20000,DATOS!$A$2:$A$20000,S250,DATOS!$G$2:$G$20000,CONFIG_METADATA!$B$4,DATOS!$I$2:$I$20000,"Coro"),""))</f>
        <v/>
      </c>
      <c r="V250" t="str">
        <f>IF(S250="","",IFERROR(AVERAGEIFS(DATOS!$K$2:$K$20000,DATOS!$A$2:$A$20000,S250,DATOS!$G$2:$G$20000,CONFIG_METADATA!$B$4,DATOS!$I$2:$I$20000,"Conjunto"),""))</f>
        <v/>
      </c>
      <c r="W250" t="str" cm="1">
        <f t="array" ref="W250">IF(S250="","",IFERROR(AVERAGE(IF((DATOS!$A$2:$A$20000=S250)*(DATOS!$G$2:$G$20000=CONFIG_METADATA!$B$4)*(DATOS!$I$2:$I$20000&lt;&gt;"Lenguaje Musical")*(DATOS!$I$2:$I$20000&lt;&gt;"Coro")*(DATOS!$I$2:$I$20000&lt;&gt;"Conjunto"),DATOS!$K$2:$K$20000)),""))</f>
        <v/>
      </c>
    </row>
    <row r="251" spans="2:23" x14ac:dyDescent="0.2">
      <c r="B251" t="str">
        <f>IF(A251="","",IFERROR(AVERAGEIFS(DATOS!$K$2:$K$20000,DATOS!$A$2:$A$20000,A251,DATOS!$G$2:$G$20000,CONFIG_METADATA!$B$4,DATOS!$I$2:$I$20000,"Lenguaje Musical"),""))</f>
        <v/>
      </c>
      <c r="C251" t="str">
        <f>IF(A251="","",IFERROR(AVERAGEIFS(DATOS!$K$2:$K$20000,DATOS!$A$2:$A$20000,A251,DATOS!$G$2:$G$20000,CONFIG_METADATA!$B$4,DATOS!$I$2:$I$20000,"Coro"),""))</f>
        <v/>
      </c>
      <c r="D251" t="str">
        <f>IF(A251="","",IFERROR(AVERAGEIFS(DATOS!$K$2:$K$20000,DATOS!$A$2:$A$20000,A251,DATOS!$G$2:$G$20000,CONFIG_METADATA!$B$4,DATOS!$I$2:$I$20000,"Conjunto"),""))</f>
        <v/>
      </c>
      <c r="E251" t="str" cm="1">
        <f t="array" ref="E251">IF(A251="","",IFERROR(AVERAGE(IF((DATOS!$A$2:$A$20000=A251)*(DATOS!$G$2:$G$20000=CONFIG_METADATA!$B$4)*(DATOS!$I$2:$I$20000&lt;&gt;"Lenguaje Musical")*(DATOS!$I$2:$I$20000&lt;&gt;"Coro")*(DATOS!$I$2:$I$20000&lt;&gt;"Conjunto"),DATOS!$K$2:$K$20000)),""))</f>
        <v/>
      </c>
      <c r="H251" t="str">
        <f>IF(G251="","",IFERROR(AVERAGEIFS(DATOS!$K$2:$K$20000,DATOS!$A$2:$A$20000,G251,DATOS!$G$2:$G$20000,CONFIG_METADATA!$B$4,DATOS!$I$2:$I$20000,"Lenguaje Musical"),""))</f>
        <v/>
      </c>
      <c r="I251" t="str">
        <f>IF(G251="","",IFERROR(AVERAGEIFS(DATOS!$K$2:$K$20000,DATOS!$A$2:$A$20000,G251,DATOS!$G$2:$G$20000,CONFIG_METADATA!$B$4,DATOS!$I$2:$I$20000,"Coro"),""))</f>
        <v/>
      </c>
      <c r="J251" t="str">
        <f>IF(G251="","",IFERROR(AVERAGEIFS(DATOS!$K$2:$K$20000,DATOS!$A$2:$A$20000,G251,DATOS!$G$2:$G$20000,CONFIG_METADATA!$B$4,DATOS!$I$2:$I$20000,"Conjunto"),""))</f>
        <v/>
      </c>
      <c r="K251" t="str" cm="1">
        <f t="array" ref="K251">IF(G251="","",IFERROR(AVERAGE(IF((DATOS!$A$2:$A$20000=G251)*(DATOS!$G$2:$G$20000=CONFIG_METADATA!$B$4)*(DATOS!$I$2:$I$20000&lt;&gt;"Lenguaje Musical")*(DATOS!$I$2:$I$20000&lt;&gt;"Coro")*(DATOS!$I$2:$I$20000&lt;&gt;"Conjunto"),DATOS!$K$2:$K$20000)),""))</f>
        <v/>
      </c>
      <c r="N251" t="str">
        <f>IF(M251="","",IFERROR(AVERAGEIFS(DATOS!$K$2:$K$20000,DATOS!$A$2:$A$20000,M251,DATOS!$G$2:$G$20000,CONFIG_METADATA!$B$4,DATOS!$I$2:$I$20000,"Lenguaje Musical"),""))</f>
        <v/>
      </c>
      <c r="O251" t="str">
        <f>IF(M251="","",IFERROR(AVERAGEIFS(DATOS!$K$2:$K$20000,DATOS!$A$2:$A$20000,M251,DATOS!$G$2:$G$20000,CONFIG_METADATA!$B$4,DATOS!$I$2:$I$20000,"Coro"),""))</f>
        <v/>
      </c>
      <c r="P251" t="str">
        <f>IF(M251="","",IFERROR(AVERAGEIFS(DATOS!$K$2:$K$20000,DATOS!$A$2:$A$20000,M251,DATOS!$G$2:$G$20000,CONFIG_METADATA!$B$4,DATOS!$I$2:$I$20000,"Conjunto"),""))</f>
        <v/>
      </c>
      <c r="Q251" t="str">
        <f>IF(M251="","",IFERROR(AVERAGEIFS(DATOS!$K$2:$K$20000,DATOS!$A$2:$A$20000,M251,DATOS!$G$2:$G$20000,CONFIG_METADATA!$B$4,DATOS!$I$2:$I$20000,"&lt;&gt;Lenguaje Musical",DATOS!$I$2:$I$20000,"&lt;&gt;Coro",DATOS!$I$2:$I$20000,"&lt;&gt;Conjunto"),""))</f>
        <v/>
      </c>
      <c r="T251" t="str">
        <f>IF(S251="","",IFERROR(AVERAGEIFS(DATOS!$K$2:$K$20000,DATOS!$A$2:$A$20000,S251,DATOS!$G$2:$G$20000,CONFIG_METADATA!$B$4,DATOS!$I$2:$I$20000,"Lenguaje Musical"),""))</f>
        <v/>
      </c>
      <c r="U251" t="str">
        <f>IF(S251="","",IFERROR(AVERAGEIFS(DATOS!$K$2:$K$20000,DATOS!$A$2:$A$20000,S251,DATOS!$G$2:$G$20000,CONFIG_METADATA!$B$4,DATOS!$I$2:$I$20000,"Coro"),""))</f>
        <v/>
      </c>
      <c r="V251" t="str">
        <f>IF(S251="","",IFERROR(AVERAGEIFS(DATOS!$K$2:$K$20000,DATOS!$A$2:$A$20000,S251,DATOS!$G$2:$G$20000,CONFIG_METADATA!$B$4,DATOS!$I$2:$I$20000,"Conjunto"),""))</f>
        <v/>
      </c>
      <c r="W251" t="str" cm="1">
        <f t="array" ref="W251">IF(S251="","",IFERROR(AVERAGE(IF((DATOS!$A$2:$A$20000=S251)*(DATOS!$G$2:$G$20000=CONFIG_METADATA!$B$4)*(DATOS!$I$2:$I$20000&lt;&gt;"Lenguaje Musical")*(DATOS!$I$2:$I$20000&lt;&gt;"Coro")*(DATOS!$I$2:$I$20000&lt;&gt;"Conjunto"),DATOS!$K$2:$K$20000)),""))</f>
        <v/>
      </c>
    </row>
    <row r="252" spans="2:23" x14ac:dyDescent="0.2">
      <c r="B252" t="str">
        <f>IF(A252="","",IFERROR(AVERAGEIFS(DATOS!$K$2:$K$20000,DATOS!$A$2:$A$20000,A252,DATOS!$G$2:$G$20000,CONFIG_METADATA!$B$4,DATOS!$I$2:$I$20000,"Lenguaje Musical"),""))</f>
        <v/>
      </c>
      <c r="C252" t="str">
        <f>IF(A252="","",IFERROR(AVERAGEIFS(DATOS!$K$2:$K$20000,DATOS!$A$2:$A$20000,A252,DATOS!$G$2:$G$20000,CONFIG_METADATA!$B$4,DATOS!$I$2:$I$20000,"Coro"),""))</f>
        <v/>
      </c>
      <c r="D252" t="str">
        <f>IF(A252="","",IFERROR(AVERAGEIFS(DATOS!$K$2:$K$20000,DATOS!$A$2:$A$20000,A252,DATOS!$G$2:$G$20000,CONFIG_METADATA!$B$4,DATOS!$I$2:$I$20000,"Conjunto"),""))</f>
        <v/>
      </c>
      <c r="E252" t="str" cm="1">
        <f t="array" ref="E252">IF(A252="","",IFERROR(AVERAGE(IF((DATOS!$A$2:$A$20000=A252)*(DATOS!$G$2:$G$20000=CONFIG_METADATA!$B$4)*(DATOS!$I$2:$I$20000&lt;&gt;"Lenguaje Musical")*(DATOS!$I$2:$I$20000&lt;&gt;"Coro")*(DATOS!$I$2:$I$20000&lt;&gt;"Conjunto"),DATOS!$K$2:$K$20000)),""))</f>
        <v/>
      </c>
      <c r="H252" t="str">
        <f>IF(G252="","",IFERROR(AVERAGEIFS(DATOS!$K$2:$K$20000,DATOS!$A$2:$A$20000,G252,DATOS!$G$2:$G$20000,CONFIG_METADATA!$B$4,DATOS!$I$2:$I$20000,"Lenguaje Musical"),""))</f>
        <v/>
      </c>
      <c r="I252" t="str">
        <f>IF(G252="","",IFERROR(AVERAGEIFS(DATOS!$K$2:$K$20000,DATOS!$A$2:$A$20000,G252,DATOS!$G$2:$G$20000,CONFIG_METADATA!$B$4,DATOS!$I$2:$I$20000,"Coro"),""))</f>
        <v/>
      </c>
      <c r="J252" t="str">
        <f>IF(G252="","",IFERROR(AVERAGEIFS(DATOS!$K$2:$K$20000,DATOS!$A$2:$A$20000,G252,DATOS!$G$2:$G$20000,CONFIG_METADATA!$B$4,DATOS!$I$2:$I$20000,"Conjunto"),""))</f>
        <v/>
      </c>
      <c r="K252" t="str" cm="1">
        <f t="array" ref="K252">IF(G252="","",IFERROR(AVERAGE(IF((DATOS!$A$2:$A$20000=G252)*(DATOS!$G$2:$G$20000=CONFIG_METADATA!$B$4)*(DATOS!$I$2:$I$20000&lt;&gt;"Lenguaje Musical")*(DATOS!$I$2:$I$20000&lt;&gt;"Coro")*(DATOS!$I$2:$I$20000&lt;&gt;"Conjunto"),DATOS!$K$2:$K$20000)),""))</f>
        <v/>
      </c>
      <c r="N252" t="str">
        <f>IF(M252="","",IFERROR(AVERAGEIFS(DATOS!$K$2:$K$20000,DATOS!$A$2:$A$20000,M252,DATOS!$G$2:$G$20000,CONFIG_METADATA!$B$4,DATOS!$I$2:$I$20000,"Lenguaje Musical"),""))</f>
        <v/>
      </c>
      <c r="O252" t="str">
        <f>IF(M252="","",IFERROR(AVERAGEIFS(DATOS!$K$2:$K$20000,DATOS!$A$2:$A$20000,M252,DATOS!$G$2:$G$20000,CONFIG_METADATA!$B$4,DATOS!$I$2:$I$20000,"Coro"),""))</f>
        <v/>
      </c>
      <c r="P252" t="str">
        <f>IF(M252="","",IFERROR(AVERAGEIFS(DATOS!$K$2:$K$20000,DATOS!$A$2:$A$20000,M252,DATOS!$G$2:$G$20000,CONFIG_METADATA!$B$4,DATOS!$I$2:$I$20000,"Conjunto"),""))</f>
        <v/>
      </c>
      <c r="Q252" t="str">
        <f>IF(M252="","",IFERROR(AVERAGEIFS(DATOS!$K$2:$K$20000,DATOS!$A$2:$A$20000,M252,DATOS!$G$2:$G$20000,CONFIG_METADATA!$B$4,DATOS!$I$2:$I$20000,"&lt;&gt;Lenguaje Musical",DATOS!$I$2:$I$20000,"&lt;&gt;Coro",DATOS!$I$2:$I$20000,"&lt;&gt;Conjunto"),""))</f>
        <v/>
      </c>
      <c r="T252" t="str">
        <f>IF(S252="","",IFERROR(AVERAGEIFS(DATOS!$K$2:$K$20000,DATOS!$A$2:$A$20000,S252,DATOS!$G$2:$G$20000,CONFIG_METADATA!$B$4,DATOS!$I$2:$I$20000,"Lenguaje Musical"),""))</f>
        <v/>
      </c>
      <c r="U252" t="str">
        <f>IF(S252="","",IFERROR(AVERAGEIFS(DATOS!$K$2:$K$20000,DATOS!$A$2:$A$20000,S252,DATOS!$G$2:$G$20000,CONFIG_METADATA!$B$4,DATOS!$I$2:$I$20000,"Coro"),""))</f>
        <v/>
      </c>
      <c r="V252" t="str">
        <f>IF(S252="","",IFERROR(AVERAGEIFS(DATOS!$K$2:$K$20000,DATOS!$A$2:$A$20000,S252,DATOS!$G$2:$G$20000,CONFIG_METADATA!$B$4,DATOS!$I$2:$I$20000,"Conjunto"),""))</f>
        <v/>
      </c>
      <c r="W252" t="str" cm="1">
        <f t="array" ref="W252">IF(S252="","",IFERROR(AVERAGE(IF((DATOS!$A$2:$A$20000=S252)*(DATOS!$G$2:$G$20000=CONFIG_METADATA!$B$4)*(DATOS!$I$2:$I$20000&lt;&gt;"Lenguaje Musical")*(DATOS!$I$2:$I$20000&lt;&gt;"Coro")*(DATOS!$I$2:$I$20000&lt;&gt;"Conjunto"),DATOS!$K$2:$K$20000)),""))</f>
        <v/>
      </c>
    </row>
    <row r="253" spans="2:23" x14ac:dyDescent="0.2">
      <c r="B253" t="str">
        <f>IF(A253="","",IFERROR(AVERAGEIFS(DATOS!$K$2:$K$20000,DATOS!$A$2:$A$20000,A253,DATOS!$G$2:$G$20000,CONFIG_METADATA!$B$4,DATOS!$I$2:$I$20000,"Lenguaje Musical"),""))</f>
        <v/>
      </c>
      <c r="C253" t="str">
        <f>IF(A253="","",IFERROR(AVERAGEIFS(DATOS!$K$2:$K$20000,DATOS!$A$2:$A$20000,A253,DATOS!$G$2:$G$20000,CONFIG_METADATA!$B$4,DATOS!$I$2:$I$20000,"Coro"),""))</f>
        <v/>
      </c>
      <c r="D253" t="str">
        <f>IF(A253="","",IFERROR(AVERAGEIFS(DATOS!$K$2:$K$20000,DATOS!$A$2:$A$20000,A253,DATOS!$G$2:$G$20000,CONFIG_METADATA!$B$4,DATOS!$I$2:$I$20000,"Conjunto"),""))</f>
        <v/>
      </c>
      <c r="E253" t="str" cm="1">
        <f t="array" ref="E253">IF(A253="","",IFERROR(AVERAGE(IF((DATOS!$A$2:$A$20000=A253)*(DATOS!$G$2:$G$20000=CONFIG_METADATA!$B$4)*(DATOS!$I$2:$I$20000&lt;&gt;"Lenguaje Musical")*(DATOS!$I$2:$I$20000&lt;&gt;"Coro")*(DATOS!$I$2:$I$20000&lt;&gt;"Conjunto"),DATOS!$K$2:$K$20000)),""))</f>
        <v/>
      </c>
      <c r="H253" t="str">
        <f>IF(G253="","",IFERROR(AVERAGEIFS(DATOS!$K$2:$K$20000,DATOS!$A$2:$A$20000,G253,DATOS!$G$2:$G$20000,CONFIG_METADATA!$B$4,DATOS!$I$2:$I$20000,"Lenguaje Musical"),""))</f>
        <v/>
      </c>
      <c r="I253" t="str">
        <f>IF(G253="","",IFERROR(AVERAGEIFS(DATOS!$K$2:$K$20000,DATOS!$A$2:$A$20000,G253,DATOS!$G$2:$G$20000,CONFIG_METADATA!$B$4,DATOS!$I$2:$I$20000,"Coro"),""))</f>
        <v/>
      </c>
      <c r="J253" t="str">
        <f>IF(G253="","",IFERROR(AVERAGEIFS(DATOS!$K$2:$K$20000,DATOS!$A$2:$A$20000,G253,DATOS!$G$2:$G$20000,CONFIG_METADATA!$B$4,DATOS!$I$2:$I$20000,"Conjunto"),""))</f>
        <v/>
      </c>
      <c r="K253" t="str" cm="1">
        <f t="array" ref="K253">IF(G253="","",IFERROR(AVERAGE(IF((DATOS!$A$2:$A$20000=G253)*(DATOS!$G$2:$G$20000=CONFIG_METADATA!$B$4)*(DATOS!$I$2:$I$20000&lt;&gt;"Lenguaje Musical")*(DATOS!$I$2:$I$20000&lt;&gt;"Coro")*(DATOS!$I$2:$I$20000&lt;&gt;"Conjunto"),DATOS!$K$2:$K$20000)),""))</f>
        <v/>
      </c>
      <c r="N253" t="str">
        <f>IF(M253="","",IFERROR(AVERAGEIFS(DATOS!$K$2:$K$20000,DATOS!$A$2:$A$20000,M253,DATOS!$G$2:$G$20000,CONFIG_METADATA!$B$4,DATOS!$I$2:$I$20000,"Lenguaje Musical"),""))</f>
        <v/>
      </c>
      <c r="O253" t="str">
        <f>IF(M253="","",IFERROR(AVERAGEIFS(DATOS!$K$2:$K$20000,DATOS!$A$2:$A$20000,M253,DATOS!$G$2:$G$20000,CONFIG_METADATA!$B$4,DATOS!$I$2:$I$20000,"Coro"),""))</f>
        <v/>
      </c>
      <c r="P253" t="str">
        <f>IF(M253="","",IFERROR(AVERAGEIFS(DATOS!$K$2:$K$20000,DATOS!$A$2:$A$20000,M253,DATOS!$G$2:$G$20000,CONFIG_METADATA!$B$4,DATOS!$I$2:$I$20000,"Conjunto"),""))</f>
        <v/>
      </c>
      <c r="Q253" t="str">
        <f>IF(M253="","",IFERROR(AVERAGEIFS(DATOS!$K$2:$K$20000,DATOS!$A$2:$A$20000,M253,DATOS!$G$2:$G$20000,CONFIG_METADATA!$B$4,DATOS!$I$2:$I$20000,"&lt;&gt;Lenguaje Musical",DATOS!$I$2:$I$20000,"&lt;&gt;Coro",DATOS!$I$2:$I$20000,"&lt;&gt;Conjunto"),""))</f>
        <v/>
      </c>
      <c r="T253" t="str">
        <f>IF(S253="","",IFERROR(AVERAGEIFS(DATOS!$K$2:$K$20000,DATOS!$A$2:$A$20000,S253,DATOS!$G$2:$G$20000,CONFIG_METADATA!$B$4,DATOS!$I$2:$I$20000,"Lenguaje Musical"),""))</f>
        <v/>
      </c>
      <c r="U253" t="str">
        <f>IF(S253="","",IFERROR(AVERAGEIFS(DATOS!$K$2:$K$20000,DATOS!$A$2:$A$20000,S253,DATOS!$G$2:$G$20000,CONFIG_METADATA!$B$4,DATOS!$I$2:$I$20000,"Coro"),""))</f>
        <v/>
      </c>
      <c r="V253" t="str">
        <f>IF(S253="","",IFERROR(AVERAGEIFS(DATOS!$K$2:$K$20000,DATOS!$A$2:$A$20000,S253,DATOS!$G$2:$G$20000,CONFIG_METADATA!$B$4,DATOS!$I$2:$I$20000,"Conjunto"),""))</f>
        <v/>
      </c>
      <c r="W253" t="str" cm="1">
        <f t="array" ref="W253">IF(S253="","",IFERROR(AVERAGE(IF((DATOS!$A$2:$A$20000=S253)*(DATOS!$G$2:$G$20000=CONFIG_METADATA!$B$4)*(DATOS!$I$2:$I$20000&lt;&gt;"Lenguaje Musical")*(DATOS!$I$2:$I$20000&lt;&gt;"Coro")*(DATOS!$I$2:$I$20000&lt;&gt;"Conjunto"),DATOS!$K$2:$K$20000)),""))</f>
        <v/>
      </c>
    </row>
    <row r="254" spans="2:23" x14ac:dyDescent="0.2">
      <c r="B254" t="str">
        <f>IF(A254="","",IFERROR(AVERAGEIFS(DATOS!$K$2:$K$20000,DATOS!$A$2:$A$20000,A254,DATOS!$G$2:$G$20000,CONFIG_METADATA!$B$4,DATOS!$I$2:$I$20000,"Lenguaje Musical"),""))</f>
        <v/>
      </c>
      <c r="C254" t="str">
        <f>IF(A254="","",IFERROR(AVERAGEIFS(DATOS!$K$2:$K$20000,DATOS!$A$2:$A$20000,A254,DATOS!$G$2:$G$20000,CONFIG_METADATA!$B$4,DATOS!$I$2:$I$20000,"Coro"),""))</f>
        <v/>
      </c>
      <c r="D254" t="str">
        <f>IF(A254="","",IFERROR(AVERAGEIFS(DATOS!$K$2:$K$20000,DATOS!$A$2:$A$20000,A254,DATOS!$G$2:$G$20000,CONFIG_METADATA!$B$4,DATOS!$I$2:$I$20000,"Conjunto"),""))</f>
        <v/>
      </c>
      <c r="E254" t="str" cm="1">
        <f t="array" ref="E254">IF(A254="","",IFERROR(AVERAGE(IF((DATOS!$A$2:$A$20000=A254)*(DATOS!$G$2:$G$20000=CONFIG_METADATA!$B$4)*(DATOS!$I$2:$I$20000&lt;&gt;"Lenguaje Musical")*(DATOS!$I$2:$I$20000&lt;&gt;"Coro")*(DATOS!$I$2:$I$20000&lt;&gt;"Conjunto"),DATOS!$K$2:$K$20000)),""))</f>
        <v/>
      </c>
      <c r="H254" t="str">
        <f>IF(G254="","",IFERROR(AVERAGEIFS(DATOS!$K$2:$K$20000,DATOS!$A$2:$A$20000,G254,DATOS!$G$2:$G$20000,CONFIG_METADATA!$B$4,DATOS!$I$2:$I$20000,"Lenguaje Musical"),""))</f>
        <v/>
      </c>
      <c r="I254" t="str">
        <f>IF(G254="","",IFERROR(AVERAGEIFS(DATOS!$K$2:$K$20000,DATOS!$A$2:$A$20000,G254,DATOS!$G$2:$G$20000,CONFIG_METADATA!$B$4,DATOS!$I$2:$I$20000,"Coro"),""))</f>
        <v/>
      </c>
      <c r="J254" t="str">
        <f>IF(G254="","",IFERROR(AVERAGEIFS(DATOS!$K$2:$K$20000,DATOS!$A$2:$A$20000,G254,DATOS!$G$2:$G$20000,CONFIG_METADATA!$B$4,DATOS!$I$2:$I$20000,"Conjunto"),""))</f>
        <v/>
      </c>
      <c r="K254" t="str" cm="1">
        <f t="array" ref="K254">IF(G254="","",IFERROR(AVERAGE(IF((DATOS!$A$2:$A$20000=G254)*(DATOS!$G$2:$G$20000=CONFIG_METADATA!$B$4)*(DATOS!$I$2:$I$20000&lt;&gt;"Lenguaje Musical")*(DATOS!$I$2:$I$20000&lt;&gt;"Coro")*(DATOS!$I$2:$I$20000&lt;&gt;"Conjunto"),DATOS!$K$2:$K$20000)),""))</f>
        <v/>
      </c>
      <c r="N254" t="str">
        <f>IF(M254="","",IFERROR(AVERAGEIFS(DATOS!$K$2:$K$20000,DATOS!$A$2:$A$20000,M254,DATOS!$G$2:$G$20000,CONFIG_METADATA!$B$4,DATOS!$I$2:$I$20000,"Lenguaje Musical"),""))</f>
        <v/>
      </c>
      <c r="O254" t="str">
        <f>IF(M254="","",IFERROR(AVERAGEIFS(DATOS!$K$2:$K$20000,DATOS!$A$2:$A$20000,M254,DATOS!$G$2:$G$20000,CONFIG_METADATA!$B$4,DATOS!$I$2:$I$20000,"Coro"),""))</f>
        <v/>
      </c>
      <c r="P254" t="str">
        <f>IF(M254="","",IFERROR(AVERAGEIFS(DATOS!$K$2:$K$20000,DATOS!$A$2:$A$20000,M254,DATOS!$G$2:$G$20000,CONFIG_METADATA!$B$4,DATOS!$I$2:$I$20000,"Conjunto"),""))</f>
        <v/>
      </c>
      <c r="Q254" t="str">
        <f>IF(M254="","",IFERROR(AVERAGEIFS(DATOS!$K$2:$K$20000,DATOS!$A$2:$A$20000,M254,DATOS!$G$2:$G$20000,CONFIG_METADATA!$B$4,DATOS!$I$2:$I$20000,"&lt;&gt;Lenguaje Musical",DATOS!$I$2:$I$20000,"&lt;&gt;Coro",DATOS!$I$2:$I$20000,"&lt;&gt;Conjunto"),""))</f>
        <v/>
      </c>
      <c r="T254" t="str">
        <f>IF(S254="","",IFERROR(AVERAGEIFS(DATOS!$K$2:$K$20000,DATOS!$A$2:$A$20000,S254,DATOS!$G$2:$G$20000,CONFIG_METADATA!$B$4,DATOS!$I$2:$I$20000,"Lenguaje Musical"),""))</f>
        <v/>
      </c>
      <c r="U254" t="str">
        <f>IF(S254="","",IFERROR(AVERAGEIFS(DATOS!$K$2:$K$20000,DATOS!$A$2:$A$20000,S254,DATOS!$G$2:$G$20000,CONFIG_METADATA!$B$4,DATOS!$I$2:$I$20000,"Coro"),""))</f>
        <v/>
      </c>
      <c r="V254" t="str">
        <f>IF(S254="","",IFERROR(AVERAGEIFS(DATOS!$K$2:$K$20000,DATOS!$A$2:$A$20000,S254,DATOS!$G$2:$G$20000,CONFIG_METADATA!$B$4,DATOS!$I$2:$I$20000,"Conjunto"),""))</f>
        <v/>
      </c>
      <c r="W254" t="str" cm="1">
        <f t="array" ref="W254">IF(S254="","",IFERROR(AVERAGE(IF((DATOS!$A$2:$A$20000=S254)*(DATOS!$G$2:$G$20000=CONFIG_METADATA!$B$4)*(DATOS!$I$2:$I$20000&lt;&gt;"Lenguaje Musical")*(DATOS!$I$2:$I$20000&lt;&gt;"Coro")*(DATOS!$I$2:$I$20000&lt;&gt;"Conjunto"),DATOS!$K$2:$K$20000)),""))</f>
        <v/>
      </c>
    </row>
    <row r="255" spans="2:23" x14ac:dyDescent="0.2">
      <c r="B255" t="str">
        <f>IF(A255="","",IFERROR(AVERAGEIFS(DATOS!$K$2:$K$20000,DATOS!$A$2:$A$20000,A255,DATOS!$G$2:$G$20000,CONFIG_METADATA!$B$4,DATOS!$I$2:$I$20000,"Lenguaje Musical"),""))</f>
        <v/>
      </c>
      <c r="C255" t="str">
        <f>IF(A255="","",IFERROR(AVERAGEIFS(DATOS!$K$2:$K$20000,DATOS!$A$2:$A$20000,A255,DATOS!$G$2:$G$20000,CONFIG_METADATA!$B$4,DATOS!$I$2:$I$20000,"Coro"),""))</f>
        <v/>
      </c>
      <c r="D255" t="str">
        <f>IF(A255="","",IFERROR(AVERAGEIFS(DATOS!$K$2:$K$20000,DATOS!$A$2:$A$20000,A255,DATOS!$G$2:$G$20000,CONFIG_METADATA!$B$4,DATOS!$I$2:$I$20000,"Conjunto"),""))</f>
        <v/>
      </c>
      <c r="E255" t="str" cm="1">
        <f t="array" ref="E255">IF(A255="","",IFERROR(AVERAGE(IF((DATOS!$A$2:$A$20000=A255)*(DATOS!$G$2:$G$20000=CONFIG_METADATA!$B$4)*(DATOS!$I$2:$I$20000&lt;&gt;"Lenguaje Musical")*(DATOS!$I$2:$I$20000&lt;&gt;"Coro")*(DATOS!$I$2:$I$20000&lt;&gt;"Conjunto"),DATOS!$K$2:$K$20000)),""))</f>
        <v/>
      </c>
      <c r="H255" t="str">
        <f>IF(G255="","",IFERROR(AVERAGEIFS(DATOS!$K$2:$K$20000,DATOS!$A$2:$A$20000,G255,DATOS!$G$2:$G$20000,CONFIG_METADATA!$B$4,DATOS!$I$2:$I$20000,"Lenguaje Musical"),""))</f>
        <v/>
      </c>
      <c r="I255" t="str">
        <f>IF(G255="","",IFERROR(AVERAGEIFS(DATOS!$K$2:$K$20000,DATOS!$A$2:$A$20000,G255,DATOS!$G$2:$G$20000,CONFIG_METADATA!$B$4,DATOS!$I$2:$I$20000,"Coro"),""))</f>
        <v/>
      </c>
      <c r="J255" t="str">
        <f>IF(G255="","",IFERROR(AVERAGEIFS(DATOS!$K$2:$K$20000,DATOS!$A$2:$A$20000,G255,DATOS!$G$2:$G$20000,CONFIG_METADATA!$B$4,DATOS!$I$2:$I$20000,"Conjunto"),""))</f>
        <v/>
      </c>
      <c r="K255" t="str" cm="1">
        <f t="array" ref="K255">IF(G255="","",IFERROR(AVERAGE(IF((DATOS!$A$2:$A$20000=G255)*(DATOS!$G$2:$G$20000=CONFIG_METADATA!$B$4)*(DATOS!$I$2:$I$20000&lt;&gt;"Lenguaje Musical")*(DATOS!$I$2:$I$20000&lt;&gt;"Coro")*(DATOS!$I$2:$I$20000&lt;&gt;"Conjunto"),DATOS!$K$2:$K$20000)),""))</f>
        <v/>
      </c>
      <c r="N255" t="str">
        <f>IF(M255="","",IFERROR(AVERAGEIFS(DATOS!$K$2:$K$20000,DATOS!$A$2:$A$20000,M255,DATOS!$G$2:$G$20000,CONFIG_METADATA!$B$4,DATOS!$I$2:$I$20000,"Lenguaje Musical"),""))</f>
        <v/>
      </c>
      <c r="O255" t="str">
        <f>IF(M255="","",IFERROR(AVERAGEIFS(DATOS!$K$2:$K$20000,DATOS!$A$2:$A$20000,M255,DATOS!$G$2:$G$20000,CONFIG_METADATA!$B$4,DATOS!$I$2:$I$20000,"Coro"),""))</f>
        <v/>
      </c>
      <c r="P255" t="str">
        <f>IF(M255="","",IFERROR(AVERAGEIFS(DATOS!$K$2:$K$20000,DATOS!$A$2:$A$20000,M255,DATOS!$G$2:$G$20000,CONFIG_METADATA!$B$4,DATOS!$I$2:$I$20000,"Conjunto"),""))</f>
        <v/>
      </c>
      <c r="Q255" t="str">
        <f>IF(M255="","",IFERROR(AVERAGEIFS(DATOS!$K$2:$K$20000,DATOS!$A$2:$A$20000,M255,DATOS!$G$2:$G$20000,CONFIG_METADATA!$B$4,DATOS!$I$2:$I$20000,"&lt;&gt;Lenguaje Musical",DATOS!$I$2:$I$20000,"&lt;&gt;Coro",DATOS!$I$2:$I$20000,"&lt;&gt;Conjunto"),""))</f>
        <v/>
      </c>
      <c r="T255" t="str">
        <f>IF(S255="","",IFERROR(AVERAGEIFS(DATOS!$K$2:$K$20000,DATOS!$A$2:$A$20000,S255,DATOS!$G$2:$G$20000,CONFIG_METADATA!$B$4,DATOS!$I$2:$I$20000,"Lenguaje Musical"),""))</f>
        <v/>
      </c>
      <c r="U255" t="str">
        <f>IF(S255="","",IFERROR(AVERAGEIFS(DATOS!$K$2:$K$20000,DATOS!$A$2:$A$20000,S255,DATOS!$G$2:$G$20000,CONFIG_METADATA!$B$4,DATOS!$I$2:$I$20000,"Coro"),""))</f>
        <v/>
      </c>
      <c r="V255" t="str">
        <f>IF(S255="","",IFERROR(AVERAGEIFS(DATOS!$K$2:$K$20000,DATOS!$A$2:$A$20000,S255,DATOS!$G$2:$G$20000,CONFIG_METADATA!$B$4,DATOS!$I$2:$I$20000,"Conjunto"),""))</f>
        <v/>
      </c>
      <c r="W255" t="str" cm="1">
        <f t="array" ref="W255">IF(S255="","",IFERROR(AVERAGE(IF((DATOS!$A$2:$A$20000=S255)*(DATOS!$G$2:$G$20000=CONFIG_METADATA!$B$4)*(DATOS!$I$2:$I$20000&lt;&gt;"Lenguaje Musical")*(DATOS!$I$2:$I$20000&lt;&gt;"Coro")*(DATOS!$I$2:$I$20000&lt;&gt;"Conjunto"),DATOS!$K$2:$K$20000)),""))</f>
        <v/>
      </c>
    </row>
    <row r="256" spans="2:23" x14ac:dyDescent="0.2">
      <c r="B256" t="str">
        <f>IF(A256="","",IFERROR(AVERAGEIFS(DATOS!$K$2:$K$20000,DATOS!$A$2:$A$20000,A256,DATOS!$G$2:$G$20000,CONFIG_METADATA!$B$4,DATOS!$I$2:$I$20000,"Lenguaje Musical"),""))</f>
        <v/>
      </c>
      <c r="C256" t="str">
        <f>IF(A256="","",IFERROR(AVERAGEIFS(DATOS!$K$2:$K$20000,DATOS!$A$2:$A$20000,A256,DATOS!$G$2:$G$20000,CONFIG_METADATA!$B$4,DATOS!$I$2:$I$20000,"Coro"),""))</f>
        <v/>
      </c>
      <c r="D256" t="str">
        <f>IF(A256="","",IFERROR(AVERAGEIFS(DATOS!$K$2:$K$20000,DATOS!$A$2:$A$20000,A256,DATOS!$G$2:$G$20000,CONFIG_METADATA!$B$4,DATOS!$I$2:$I$20000,"Conjunto"),""))</f>
        <v/>
      </c>
      <c r="E256" t="str" cm="1">
        <f t="array" ref="E256">IF(A256="","",IFERROR(AVERAGE(IF((DATOS!$A$2:$A$20000=A256)*(DATOS!$G$2:$G$20000=CONFIG_METADATA!$B$4)*(DATOS!$I$2:$I$20000&lt;&gt;"Lenguaje Musical")*(DATOS!$I$2:$I$20000&lt;&gt;"Coro")*(DATOS!$I$2:$I$20000&lt;&gt;"Conjunto"),DATOS!$K$2:$K$20000)),""))</f>
        <v/>
      </c>
      <c r="H256" t="str">
        <f>IF(G256="","",IFERROR(AVERAGEIFS(DATOS!$K$2:$K$20000,DATOS!$A$2:$A$20000,G256,DATOS!$G$2:$G$20000,CONFIG_METADATA!$B$4,DATOS!$I$2:$I$20000,"Lenguaje Musical"),""))</f>
        <v/>
      </c>
      <c r="I256" t="str">
        <f>IF(G256="","",IFERROR(AVERAGEIFS(DATOS!$K$2:$K$20000,DATOS!$A$2:$A$20000,G256,DATOS!$G$2:$G$20000,CONFIG_METADATA!$B$4,DATOS!$I$2:$I$20000,"Coro"),""))</f>
        <v/>
      </c>
      <c r="J256" t="str">
        <f>IF(G256="","",IFERROR(AVERAGEIFS(DATOS!$K$2:$K$20000,DATOS!$A$2:$A$20000,G256,DATOS!$G$2:$G$20000,CONFIG_METADATA!$B$4,DATOS!$I$2:$I$20000,"Conjunto"),""))</f>
        <v/>
      </c>
      <c r="K256" t="str" cm="1">
        <f t="array" ref="K256">IF(G256="","",IFERROR(AVERAGE(IF((DATOS!$A$2:$A$20000=G256)*(DATOS!$G$2:$G$20000=CONFIG_METADATA!$B$4)*(DATOS!$I$2:$I$20000&lt;&gt;"Lenguaje Musical")*(DATOS!$I$2:$I$20000&lt;&gt;"Coro")*(DATOS!$I$2:$I$20000&lt;&gt;"Conjunto"),DATOS!$K$2:$K$20000)),""))</f>
        <v/>
      </c>
      <c r="N256" t="str">
        <f>IF(M256="","",IFERROR(AVERAGEIFS(DATOS!$K$2:$K$20000,DATOS!$A$2:$A$20000,M256,DATOS!$G$2:$G$20000,CONFIG_METADATA!$B$4,DATOS!$I$2:$I$20000,"Lenguaje Musical"),""))</f>
        <v/>
      </c>
      <c r="O256" t="str">
        <f>IF(M256="","",IFERROR(AVERAGEIFS(DATOS!$K$2:$K$20000,DATOS!$A$2:$A$20000,M256,DATOS!$G$2:$G$20000,CONFIG_METADATA!$B$4,DATOS!$I$2:$I$20000,"Coro"),""))</f>
        <v/>
      </c>
      <c r="P256" t="str">
        <f>IF(M256="","",IFERROR(AVERAGEIFS(DATOS!$K$2:$K$20000,DATOS!$A$2:$A$20000,M256,DATOS!$G$2:$G$20000,CONFIG_METADATA!$B$4,DATOS!$I$2:$I$20000,"Conjunto"),""))</f>
        <v/>
      </c>
      <c r="Q256" t="str">
        <f>IF(M256="","",IFERROR(AVERAGEIFS(DATOS!$K$2:$K$20000,DATOS!$A$2:$A$20000,M256,DATOS!$G$2:$G$20000,CONFIG_METADATA!$B$4,DATOS!$I$2:$I$20000,"&lt;&gt;Lenguaje Musical",DATOS!$I$2:$I$20000,"&lt;&gt;Coro",DATOS!$I$2:$I$20000,"&lt;&gt;Conjunto"),""))</f>
        <v/>
      </c>
      <c r="T256" t="str">
        <f>IF(S256="","",IFERROR(AVERAGEIFS(DATOS!$K$2:$K$20000,DATOS!$A$2:$A$20000,S256,DATOS!$G$2:$G$20000,CONFIG_METADATA!$B$4,DATOS!$I$2:$I$20000,"Lenguaje Musical"),""))</f>
        <v/>
      </c>
      <c r="U256" t="str">
        <f>IF(S256="","",IFERROR(AVERAGEIFS(DATOS!$K$2:$K$20000,DATOS!$A$2:$A$20000,S256,DATOS!$G$2:$G$20000,CONFIG_METADATA!$B$4,DATOS!$I$2:$I$20000,"Coro"),""))</f>
        <v/>
      </c>
      <c r="V256" t="str">
        <f>IF(S256="","",IFERROR(AVERAGEIFS(DATOS!$K$2:$K$20000,DATOS!$A$2:$A$20000,S256,DATOS!$G$2:$G$20000,CONFIG_METADATA!$B$4,DATOS!$I$2:$I$20000,"Conjunto"),""))</f>
        <v/>
      </c>
      <c r="W256" t="str" cm="1">
        <f t="array" ref="W256">IF(S256="","",IFERROR(AVERAGE(IF((DATOS!$A$2:$A$20000=S256)*(DATOS!$G$2:$G$20000=CONFIG_METADATA!$B$4)*(DATOS!$I$2:$I$20000&lt;&gt;"Lenguaje Musical")*(DATOS!$I$2:$I$20000&lt;&gt;"Coro")*(DATOS!$I$2:$I$20000&lt;&gt;"Conjunto"),DATOS!$K$2:$K$20000)),""))</f>
        <v/>
      </c>
    </row>
    <row r="257" spans="2:23" x14ac:dyDescent="0.2">
      <c r="B257" t="str">
        <f>IF(A257="","",IFERROR(AVERAGEIFS(DATOS!$K$2:$K$20000,DATOS!$A$2:$A$20000,A257,DATOS!$G$2:$G$20000,CONFIG_METADATA!$B$4,DATOS!$I$2:$I$20000,"Lenguaje Musical"),""))</f>
        <v/>
      </c>
      <c r="C257" t="str">
        <f>IF(A257="","",IFERROR(AVERAGEIFS(DATOS!$K$2:$K$20000,DATOS!$A$2:$A$20000,A257,DATOS!$G$2:$G$20000,CONFIG_METADATA!$B$4,DATOS!$I$2:$I$20000,"Coro"),""))</f>
        <v/>
      </c>
      <c r="D257" t="str">
        <f>IF(A257="","",IFERROR(AVERAGEIFS(DATOS!$K$2:$K$20000,DATOS!$A$2:$A$20000,A257,DATOS!$G$2:$G$20000,CONFIG_METADATA!$B$4,DATOS!$I$2:$I$20000,"Conjunto"),""))</f>
        <v/>
      </c>
      <c r="E257" t="str" cm="1">
        <f t="array" ref="E257">IF(A257="","",IFERROR(AVERAGE(IF((DATOS!$A$2:$A$20000=A257)*(DATOS!$G$2:$G$20000=CONFIG_METADATA!$B$4)*(DATOS!$I$2:$I$20000&lt;&gt;"Lenguaje Musical")*(DATOS!$I$2:$I$20000&lt;&gt;"Coro")*(DATOS!$I$2:$I$20000&lt;&gt;"Conjunto"),DATOS!$K$2:$K$20000)),""))</f>
        <v/>
      </c>
      <c r="H257" t="str">
        <f>IF(G257="","",IFERROR(AVERAGEIFS(DATOS!$K$2:$K$20000,DATOS!$A$2:$A$20000,G257,DATOS!$G$2:$G$20000,CONFIG_METADATA!$B$4,DATOS!$I$2:$I$20000,"Lenguaje Musical"),""))</f>
        <v/>
      </c>
      <c r="I257" t="str">
        <f>IF(G257="","",IFERROR(AVERAGEIFS(DATOS!$K$2:$K$20000,DATOS!$A$2:$A$20000,G257,DATOS!$G$2:$G$20000,CONFIG_METADATA!$B$4,DATOS!$I$2:$I$20000,"Coro"),""))</f>
        <v/>
      </c>
      <c r="J257" t="str">
        <f>IF(G257="","",IFERROR(AVERAGEIFS(DATOS!$K$2:$K$20000,DATOS!$A$2:$A$20000,G257,DATOS!$G$2:$G$20000,CONFIG_METADATA!$B$4,DATOS!$I$2:$I$20000,"Conjunto"),""))</f>
        <v/>
      </c>
      <c r="K257" t="str" cm="1">
        <f t="array" ref="K257">IF(G257="","",IFERROR(AVERAGE(IF((DATOS!$A$2:$A$20000=G257)*(DATOS!$G$2:$G$20000=CONFIG_METADATA!$B$4)*(DATOS!$I$2:$I$20000&lt;&gt;"Lenguaje Musical")*(DATOS!$I$2:$I$20000&lt;&gt;"Coro")*(DATOS!$I$2:$I$20000&lt;&gt;"Conjunto"),DATOS!$K$2:$K$20000)),""))</f>
        <v/>
      </c>
      <c r="N257" t="str">
        <f>IF(M257="","",IFERROR(AVERAGEIFS(DATOS!$K$2:$K$20000,DATOS!$A$2:$A$20000,M257,DATOS!$G$2:$G$20000,CONFIG_METADATA!$B$4,DATOS!$I$2:$I$20000,"Lenguaje Musical"),""))</f>
        <v/>
      </c>
      <c r="O257" t="str">
        <f>IF(M257="","",IFERROR(AVERAGEIFS(DATOS!$K$2:$K$20000,DATOS!$A$2:$A$20000,M257,DATOS!$G$2:$G$20000,CONFIG_METADATA!$B$4,DATOS!$I$2:$I$20000,"Coro"),""))</f>
        <v/>
      </c>
      <c r="P257" t="str">
        <f>IF(M257="","",IFERROR(AVERAGEIFS(DATOS!$K$2:$K$20000,DATOS!$A$2:$A$20000,M257,DATOS!$G$2:$G$20000,CONFIG_METADATA!$B$4,DATOS!$I$2:$I$20000,"Conjunto"),""))</f>
        <v/>
      </c>
      <c r="Q257" t="str">
        <f>IF(M257="","",IFERROR(AVERAGEIFS(DATOS!$K$2:$K$20000,DATOS!$A$2:$A$20000,M257,DATOS!$G$2:$G$20000,CONFIG_METADATA!$B$4,DATOS!$I$2:$I$20000,"&lt;&gt;Lenguaje Musical",DATOS!$I$2:$I$20000,"&lt;&gt;Coro",DATOS!$I$2:$I$20000,"&lt;&gt;Conjunto"),""))</f>
        <v/>
      </c>
      <c r="T257" t="str">
        <f>IF(S257="","",IFERROR(AVERAGEIFS(DATOS!$K$2:$K$20000,DATOS!$A$2:$A$20000,S257,DATOS!$G$2:$G$20000,CONFIG_METADATA!$B$4,DATOS!$I$2:$I$20000,"Lenguaje Musical"),""))</f>
        <v/>
      </c>
      <c r="U257" t="str">
        <f>IF(S257="","",IFERROR(AVERAGEIFS(DATOS!$K$2:$K$20000,DATOS!$A$2:$A$20000,S257,DATOS!$G$2:$G$20000,CONFIG_METADATA!$B$4,DATOS!$I$2:$I$20000,"Coro"),""))</f>
        <v/>
      </c>
      <c r="V257" t="str">
        <f>IF(S257="","",IFERROR(AVERAGEIFS(DATOS!$K$2:$K$20000,DATOS!$A$2:$A$20000,S257,DATOS!$G$2:$G$20000,CONFIG_METADATA!$B$4,DATOS!$I$2:$I$20000,"Conjunto"),""))</f>
        <v/>
      </c>
      <c r="W257" t="str" cm="1">
        <f t="array" ref="W257">IF(S257="","",IFERROR(AVERAGE(IF((DATOS!$A$2:$A$20000=S257)*(DATOS!$G$2:$G$20000=CONFIG_METADATA!$B$4)*(DATOS!$I$2:$I$20000&lt;&gt;"Lenguaje Musical")*(DATOS!$I$2:$I$20000&lt;&gt;"Coro")*(DATOS!$I$2:$I$20000&lt;&gt;"Conjunto"),DATOS!$K$2:$K$20000)),""))</f>
        <v/>
      </c>
    </row>
    <row r="258" spans="2:23" x14ac:dyDescent="0.2">
      <c r="B258" t="str">
        <f>IF(A258="","",IFERROR(AVERAGEIFS(DATOS!$K$2:$K$20000,DATOS!$A$2:$A$20000,A258,DATOS!$G$2:$G$20000,CONFIG_METADATA!$B$4,DATOS!$I$2:$I$20000,"Lenguaje Musical"),""))</f>
        <v/>
      </c>
      <c r="C258" t="str">
        <f>IF(A258="","",IFERROR(AVERAGEIFS(DATOS!$K$2:$K$20000,DATOS!$A$2:$A$20000,A258,DATOS!$G$2:$G$20000,CONFIG_METADATA!$B$4,DATOS!$I$2:$I$20000,"Coro"),""))</f>
        <v/>
      </c>
      <c r="D258" t="str">
        <f>IF(A258="","",IFERROR(AVERAGEIFS(DATOS!$K$2:$K$20000,DATOS!$A$2:$A$20000,A258,DATOS!$G$2:$G$20000,CONFIG_METADATA!$B$4,DATOS!$I$2:$I$20000,"Conjunto"),""))</f>
        <v/>
      </c>
      <c r="E258" t="str" cm="1">
        <f t="array" ref="E258">IF(A258="","",IFERROR(AVERAGE(IF((DATOS!$A$2:$A$20000=A258)*(DATOS!$G$2:$G$20000=CONFIG_METADATA!$B$4)*(DATOS!$I$2:$I$20000&lt;&gt;"Lenguaje Musical")*(DATOS!$I$2:$I$20000&lt;&gt;"Coro")*(DATOS!$I$2:$I$20000&lt;&gt;"Conjunto"),DATOS!$K$2:$K$20000)),""))</f>
        <v/>
      </c>
      <c r="H258" t="str">
        <f>IF(G258="","",IFERROR(AVERAGEIFS(DATOS!$K$2:$K$20000,DATOS!$A$2:$A$20000,G258,DATOS!$G$2:$G$20000,CONFIG_METADATA!$B$4,DATOS!$I$2:$I$20000,"Lenguaje Musical"),""))</f>
        <v/>
      </c>
      <c r="I258" t="str">
        <f>IF(G258="","",IFERROR(AVERAGEIFS(DATOS!$K$2:$K$20000,DATOS!$A$2:$A$20000,G258,DATOS!$G$2:$G$20000,CONFIG_METADATA!$B$4,DATOS!$I$2:$I$20000,"Coro"),""))</f>
        <v/>
      </c>
      <c r="J258" t="str">
        <f>IF(G258="","",IFERROR(AVERAGEIFS(DATOS!$K$2:$K$20000,DATOS!$A$2:$A$20000,G258,DATOS!$G$2:$G$20000,CONFIG_METADATA!$B$4,DATOS!$I$2:$I$20000,"Conjunto"),""))</f>
        <v/>
      </c>
      <c r="K258" t="str" cm="1">
        <f t="array" ref="K258">IF(G258="","",IFERROR(AVERAGE(IF((DATOS!$A$2:$A$20000=G258)*(DATOS!$G$2:$G$20000=CONFIG_METADATA!$B$4)*(DATOS!$I$2:$I$20000&lt;&gt;"Lenguaje Musical")*(DATOS!$I$2:$I$20000&lt;&gt;"Coro")*(DATOS!$I$2:$I$20000&lt;&gt;"Conjunto"),DATOS!$K$2:$K$20000)),""))</f>
        <v/>
      </c>
      <c r="N258" t="str">
        <f>IF(M258="","",IFERROR(AVERAGEIFS(DATOS!$K$2:$K$20000,DATOS!$A$2:$A$20000,M258,DATOS!$G$2:$G$20000,CONFIG_METADATA!$B$4,DATOS!$I$2:$I$20000,"Lenguaje Musical"),""))</f>
        <v/>
      </c>
      <c r="O258" t="str">
        <f>IF(M258="","",IFERROR(AVERAGEIFS(DATOS!$K$2:$K$20000,DATOS!$A$2:$A$20000,M258,DATOS!$G$2:$G$20000,CONFIG_METADATA!$B$4,DATOS!$I$2:$I$20000,"Coro"),""))</f>
        <v/>
      </c>
      <c r="P258" t="str">
        <f>IF(M258="","",IFERROR(AVERAGEIFS(DATOS!$K$2:$K$20000,DATOS!$A$2:$A$20000,M258,DATOS!$G$2:$G$20000,CONFIG_METADATA!$B$4,DATOS!$I$2:$I$20000,"Conjunto"),""))</f>
        <v/>
      </c>
      <c r="Q258" t="str">
        <f>IF(M258="","",IFERROR(AVERAGEIFS(DATOS!$K$2:$K$20000,DATOS!$A$2:$A$20000,M258,DATOS!$G$2:$G$20000,CONFIG_METADATA!$B$4,DATOS!$I$2:$I$20000,"&lt;&gt;Lenguaje Musical",DATOS!$I$2:$I$20000,"&lt;&gt;Coro",DATOS!$I$2:$I$20000,"&lt;&gt;Conjunto"),""))</f>
        <v/>
      </c>
      <c r="T258" t="str">
        <f>IF(S258="","",IFERROR(AVERAGEIFS(DATOS!$K$2:$K$20000,DATOS!$A$2:$A$20000,S258,DATOS!$G$2:$G$20000,CONFIG_METADATA!$B$4,DATOS!$I$2:$I$20000,"Lenguaje Musical"),""))</f>
        <v/>
      </c>
      <c r="U258" t="str">
        <f>IF(S258="","",IFERROR(AVERAGEIFS(DATOS!$K$2:$K$20000,DATOS!$A$2:$A$20000,S258,DATOS!$G$2:$G$20000,CONFIG_METADATA!$B$4,DATOS!$I$2:$I$20000,"Coro"),""))</f>
        <v/>
      </c>
      <c r="V258" t="str">
        <f>IF(S258="","",IFERROR(AVERAGEIFS(DATOS!$K$2:$K$20000,DATOS!$A$2:$A$20000,S258,DATOS!$G$2:$G$20000,CONFIG_METADATA!$B$4,DATOS!$I$2:$I$20000,"Conjunto"),""))</f>
        <v/>
      </c>
      <c r="W258" t="str" cm="1">
        <f t="array" ref="W258">IF(S258="","",IFERROR(AVERAGE(IF((DATOS!$A$2:$A$20000=S258)*(DATOS!$G$2:$G$20000=CONFIG_METADATA!$B$4)*(DATOS!$I$2:$I$20000&lt;&gt;"Lenguaje Musical")*(DATOS!$I$2:$I$20000&lt;&gt;"Coro")*(DATOS!$I$2:$I$20000&lt;&gt;"Conjunto"),DATOS!$K$2:$K$20000)),""))</f>
        <v/>
      </c>
    </row>
    <row r="259" spans="2:23" x14ac:dyDescent="0.2">
      <c r="B259" t="str">
        <f>IF(A259="","",IFERROR(AVERAGEIFS(DATOS!$K$2:$K$20000,DATOS!$A$2:$A$20000,A259,DATOS!$G$2:$G$20000,CONFIG_METADATA!$B$4,DATOS!$I$2:$I$20000,"Lenguaje Musical"),""))</f>
        <v/>
      </c>
      <c r="C259" t="str">
        <f>IF(A259="","",IFERROR(AVERAGEIFS(DATOS!$K$2:$K$20000,DATOS!$A$2:$A$20000,A259,DATOS!$G$2:$G$20000,CONFIG_METADATA!$B$4,DATOS!$I$2:$I$20000,"Coro"),""))</f>
        <v/>
      </c>
      <c r="D259" t="str">
        <f>IF(A259="","",IFERROR(AVERAGEIFS(DATOS!$K$2:$K$20000,DATOS!$A$2:$A$20000,A259,DATOS!$G$2:$G$20000,CONFIG_METADATA!$B$4,DATOS!$I$2:$I$20000,"Conjunto"),""))</f>
        <v/>
      </c>
      <c r="E259" t="str" cm="1">
        <f t="array" ref="E259">IF(A259="","",IFERROR(AVERAGE(IF((DATOS!$A$2:$A$20000=A259)*(DATOS!$G$2:$G$20000=CONFIG_METADATA!$B$4)*(DATOS!$I$2:$I$20000&lt;&gt;"Lenguaje Musical")*(DATOS!$I$2:$I$20000&lt;&gt;"Coro")*(DATOS!$I$2:$I$20000&lt;&gt;"Conjunto"),DATOS!$K$2:$K$20000)),""))</f>
        <v/>
      </c>
      <c r="H259" t="str">
        <f>IF(G259="","",IFERROR(AVERAGEIFS(DATOS!$K$2:$K$20000,DATOS!$A$2:$A$20000,G259,DATOS!$G$2:$G$20000,CONFIG_METADATA!$B$4,DATOS!$I$2:$I$20000,"Lenguaje Musical"),""))</f>
        <v/>
      </c>
      <c r="I259" t="str">
        <f>IF(G259="","",IFERROR(AVERAGEIFS(DATOS!$K$2:$K$20000,DATOS!$A$2:$A$20000,G259,DATOS!$G$2:$G$20000,CONFIG_METADATA!$B$4,DATOS!$I$2:$I$20000,"Coro"),""))</f>
        <v/>
      </c>
      <c r="J259" t="str">
        <f>IF(G259="","",IFERROR(AVERAGEIFS(DATOS!$K$2:$K$20000,DATOS!$A$2:$A$20000,G259,DATOS!$G$2:$G$20000,CONFIG_METADATA!$B$4,DATOS!$I$2:$I$20000,"Conjunto"),""))</f>
        <v/>
      </c>
      <c r="K259" t="str" cm="1">
        <f t="array" ref="K259">IF(G259="","",IFERROR(AVERAGE(IF((DATOS!$A$2:$A$20000=G259)*(DATOS!$G$2:$G$20000=CONFIG_METADATA!$B$4)*(DATOS!$I$2:$I$20000&lt;&gt;"Lenguaje Musical")*(DATOS!$I$2:$I$20000&lt;&gt;"Coro")*(DATOS!$I$2:$I$20000&lt;&gt;"Conjunto"),DATOS!$K$2:$K$20000)),""))</f>
        <v/>
      </c>
      <c r="N259" t="str">
        <f>IF(M259="","",IFERROR(AVERAGEIFS(DATOS!$K$2:$K$20000,DATOS!$A$2:$A$20000,M259,DATOS!$G$2:$G$20000,CONFIG_METADATA!$B$4,DATOS!$I$2:$I$20000,"Lenguaje Musical"),""))</f>
        <v/>
      </c>
      <c r="O259" t="str">
        <f>IF(M259="","",IFERROR(AVERAGEIFS(DATOS!$K$2:$K$20000,DATOS!$A$2:$A$20000,M259,DATOS!$G$2:$G$20000,CONFIG_METADATA!$B$4,DATOS!$I$2:$I$20000,"Coro"),""))</f>
        <v/>
      </c>
      <c r="P259" t="str">
        <f>IF(M259="","",IFERROR(AVERAGEIFS(DATOS!$K$2:$K$20000,DATOS!$A$2:$A$20000,M259,DATOS!$G$2:$G$20000,CONFIG_METADATA!$B$4,DATOS!$I$2:$I$20000,"Conjunto"),""))</f>
        <v/>
      </c>
      <c r="Q259" t="str">
        <f>IF(M259="","",IFERROR(AVERAGEIFS(DATOS!$K$2:$K$20000,DATOS!$A$2:$A$20000,M259,DATOS!$G$2:$G$20000,CONFIG_METADATA!$B$4,DATOS!$I$2:$I$20000,"&lt;&gt;Lenguaje Musical",DATOS!$I$2:$I$20000,"&lt;&gt;Coro",DATOS!$I$2:$I$20000,"&lt;&gt;Conjunto"),""))</f>
        <v/>
      </c>
      <c r="T259" t="str">
        <f>IF(S259="","",IFERROR(AVERAGEIFS(DATOS!$K$2:$K$20000,DATOS!$A$2:$A$20000,S259,DATOS!$G$2:$G$20000,CONFIG_METADATA!$B$4,DATOS!$I$2:$I$20000,"Lenguaje Musical"),""))</f>
        <v/>
      </c>
      <c r="U259" t="str">
        <f>IF(S259="","",IFERROR(AVERAGEIFS(DATOS!$K$2:$K$20000,DATOS!$A$2:$A$20000,S259,DATOS!$G$2:$G$20000,CONFIG_METADATA!$B$4,DATOS!$I$2:$I$20000,"Coro"),""))</f>
        <v/>
      </c>
      <c r="V259" t="str">
        <f>IF(S259="","",IFERROR(AVERAGEIFS(DATOS!$K$2:$K$20000,DATOS!$A$2:$A$20000,S259,DATOS!$G$2:$G$20000,CONFIG_METADATA!$B$4,DATOS!$I$2:$I$20000,"Conjunto"),""))</f>
        <v/>
      </c>
      <c r="W259" t="str" cm="1">
        <f t="array" ref="W259">IF(S259="","",IFERROR(AVERAGE(IF((DATOS!$A$2:$A$20000=S259)*(DATOS!$G$2:$G$20000=CONFIG_METADATA!$B$4)*(DATOS!$I$2:$I$20000&lt;&gt;"Lenguaje Musical")*(DATOS!$I$2:$I$20000&lt;&gt;"Coro")*(DATOS!$I$2:$I$20000&lt;&gt;"Conjunto"),DATOS!$K$2:$K$20000)),""))</f>
        <v/>
      </c>
    </row>
    <row r="260" spans="2:23" x14ac:dyDescent="0.2">
      <c r="B260" t="str">
        <f>IF(A260="","",IFERROR(AVERAGEIFS(DATOS!$K$2:$K$20000,DATOS!$A$2:$A$20000,A260,DATOS!$G$2:$G$20000,CONFIG_METADATA!$B$4,DATOS!$I$2:$I$20000,"Lenguaje Musical"),""))</f>
        <v/>
      </c>
      <c r="C260" t="str">
        <f>IF(A260="","",IFERROR(AVERAGEIFS(DATOS!$K$2:$K$20000,DATOS!$A$2:$A$20000,A260,DATOS!$G$2:$G$20000,CONFIG_METADATA!$B$4,DATOS!$I$2:$I$20000,"Coro"),""))</f>
        <v/>
      </c>
      <c r="D260" t="str">
        <f>IF(A260="","",IFERROR(AVERAGEIFS(DATOS!$K$2:$K$20000,DATOS!$A$2:$A$20000,A260,DATOS!$G$2:$G$20000,CONFIG_METADATA!$B$4,DATOS!$I$2:$I$20000,"Conjunto"),""))</f>
        <v/>
      </c>
      <c r="E260" t="str" cm="1">
        <f t="array" ref="E260">IF(A260="","",IFERROR(AVERAGE(IF((DATOS!$A$2:$A$20000=A260)*(DATOS!$G$2:$G$20000=CONFIG_METADATA!$B$4)*(DATOS!$I$2:$I$20000&lt;&gt;"Lenguaje Musical")*(DATOS!$I$2:$I$20000&lt;&gt;"Coro")*(DATOS!$I$2:$I$20000&lt;&gt;"Conjunto"),DATOS!$K$2:$K$20000)),""))</f>
        <v/>
      </c>
      <c r="H260" t="str">
        <f>IF(G260="","",IFERROR(AVERAGEIFS(DATOS!$K$2:$K$20000,DATOS!$A$2:$A$20000,G260,DATOS!$G$2:$G$20000,CONFIG_METADATA!$B$4,DATOS!$I$2:$I$20000,"Lenguaje Musical"),""))</f>
        <v/>
      </c>
      <c r="I260" t="str">
        <f>IF(G260="","",IFERROR(AVERAGEIFS(DATOS!$K$2:$K$20000,DATOS!$A$2:$A$20000,G260,DATOS!$G$2:$G$20000,CONFIG_METADATA!$B$4,DATOS!$I$2:$I$20000,"Coro"),""))</f>
        <v/>
      </c>
      <c r="J260" t="str">
        <f>IF(G260="","",IFERROR(AVERAGEIFS(DATOS!$K$2:$K$20000,DATOS!$A$2:$A$20000,G260,DATOS!$G$2:$G$20000,CONFIG_METADATA!$B$4,DATOS!$I$2:$I$20000,"Conjunto"),""))</f>
        <v/>
      </c>
      <c r="K260" t="str" cm="1">
        <f t="array" ref="K260">IF(G260="","",IFERROR(AVERAGE(IF((DATOS!$A$2:$A$20000=G260)*(DATOS!$G$2:$G$20000=CONFIG_METADATA!$B$4)*(DATOS!$I$2:$I$20000&lt;&gt;"Lenguaje Musical")*(DATOS!$I$2:$I$20000&lt;&gt;"Coro")*(DATOS!$I$2:$I$20000&lt;&gt;"Conjunto"),DATOS!$K$2:$K$20000)),""))</f>
        <v/>
      </c>
      <c r="N260" t="str">
        <f>IF(M260="","",IFERROR(AVERAGEIFS(DATOS!$K$2:$K$20000,DATOS!$A$2:$A$20000,M260,DATOS!$G$2:$G$20000,CONFIG_METADATA!$B$4,DATOS!$I$2:$I$20000,"Lenguaje Musical"),""))</f>
        <v/>
      </c>
      <c r="O260" t="str">
        <f>IF(M260="","",IFERROR(AVERAGEIFS(DATOS!$K$2:$K$20000,DATOS!$A$2:$A$20000,M260,DATOS!$G$2:$G$20000,CONFIG_METADATA!$B$4,DATOS!$I$2:$I$20000,"Coro"),""))</f>
        <v/>
      </c>
      <c r="P260" t="str">
        <f>IF(M260="","",IFERROR(AVERAGEIFS(DATOS!$K$2:$K$20000,DATOS!$A$2:$A$20000,M260,DATOS!$G$2:$G$20000,CONFIG_METADATA!$B$4,DATOS!$I$2:$I$20000,"Conjunto"),""))</f>
        <v/>
      </c>
      <c r="Q260" t="str">
        <f>IF(M260="","",IFERROR(AVERAGEIFS(DATOS!$K$2:$K$20000,DATOS!$A$2:$A$20000,M260,DATOS!$G$2:$G$20000,CONFIG_METADATA!$B$4,DATOS!$I$2:$I$20000,"&lt;&gt;Lenguaje Musical",DATOS!$I$2:$I$20000,"&lt;&gt;Coro",DATOS!$I$2:$I$20000,"&lt;&gt;Conjunto"),""))</f>
        <v/>
      </c>
      <c r="T260" t="str">
        <f>IF(S260="","",IFERROR(AVERAGEIFS(DATOS!$K$2:$K$20000,DATOS!$A$2:$A$20000,S260,DATOS!$G$2:$G$20000,CONFIG_METADATA!$B$4,DATOS!$I$2:$I$20000,"Lenguaje Musical"),""))</f>
        <v/>
      </c>
      <c r="U260" t="str">
        <f>IF(S260="","",IFERROR(AVERAGEIFS(DATOS!$K$2:$K$20000,DATOS!$A$2:$A$20000,S260,DATOS!$G$2:$G$20000,CONFIG_METADATA!$B$4,DATOS!$I$2:$I$20000,"Coro"),""))</f>
        <v/>
      </c>
      <c r="V260" t="str">
        <f>IF(S260="","",IFERROR(AVERAGEIFS(DATOS!$K$2:$K$20000,DATOS!$A$2:$A$20000,S260,DATOS!$G$2:$G$20000,CONFIG_METADATA!$B$4,DATOS!$I$2:$I$20000,"Conjunto"),""))</f>
        <v/>
      </c>
      <c r="W260" t="str" cm="1">
        <f t="array" ref="W260">IF(S260="","",IFERROR(AVERAGE(IF((DATOS!$A$2:$A$20000=S260)*(DATOS!$G$2:$G$20000=CONFIG_METADATA!$B$4)*(DATOS!$I$2:$I$20000&lt;&gt;"Lenguaje Musical")*(DATOS!$I$2:$I$20000&lt;&gt;"Coro")*(DATOS!$I$2:$I$20000&lt;&gt;"Conjunto"),DATOS!$K$2:$K$20000)),""))</f>
        <v/>
      </c>
    </row>
    <row r="261" spans="2:23" x14ac:dyDescent="0.2">
      <c r="B261" t="str">
        <f>IF(A261="","",IFERROR(AVERAGEIFS(DATOS!$K$2:$K$20000,DATOS!$A$2:$A$20000,A261,DATOS!$G$2:$G$20000,CONFIG_METADATA!$B$4,DATOS!$I$2:$I$20000,"Lenguaje Musical"),""))</f>
        <v/>
      </c>
      <c r="C261" t="str">
        <f>IF(A261="","",IFERROR(AVERAGEIFS(DATOS!$K$2:$K$20000,DATOS!$A$2:$A$20000,A261,DATOS!$G$2:$G$20000,CONFIG_METADATA!$B$4,DATOS!$I$2:$I$20000,"Coro"),""))</f>
        <v/>
      </c>
      <c r="D261" t="str">
        <f>IF(A261="","",IFERROR(AVERAGEIFS(DATOS!$K$2:$K$20000,DATOS!$A$2:$A$20000,A261,DATOS!$G$2:$G$20000,CONFIG_METADATA!$B$4,DATOS!$I$2:$I$20000,"Conjunto"),""))</f>
        <v/>
      </c>
      <c r="E261" t="str" cm="1">
        <f t="array" ref="E261">IF(A261="","",IFERROR(AVERAGE(IF((DATOS!$A$2:$A$20000=A261)*(DATOS!$G$2:$G$20000=CONFIG_METADATA!$B$4)*(DATOS!$I$2:$I$20000&lt;&gt;"Lenguaje Musical")*(DATOS!$I$2:$I$20000&lt;&gt;"Coro")*(DATOS!$I$2:$I$20000&lt;&gt;"Conjunto"),DATOS!$K$2:$K$20000)),""))</f>
        <v/>
      </c>
      <c r="H261" t="str">
        <f>IF(G261="","",IFERROR(AVERAGEIFS(DATOS!$K$2:$K$20000,DATOS!$A$2:$A$20000,G261,DATOS!$G$2:$G$20000,CONFIG_METADATA!$B$4,DATOS!$I$2:$I$20000,"Lenguaje Musical"),""))</f>
        <v/>
      </c>
      <c r="I261" t="str">
        <f>IF(G261="","",IFERROR(AVERAGEIFS(DATOS!$K$2:$K$20000,DATOS!$A$2:$A$20000,G261,DATOS!$G$2:$G$20000,CONFIG_METADATA!$B$4,DATOS!$I$2:$I$20000,"Coro"),""))</f>
        <v/>
      </c>
      <c r="J261" t="str">
        <f>IF(G261="","",IFERROR(AVERAGEIFS(DATOS!$K$2:$K$20000,DATOS!$A$2:$A$20000,G261,DATOS!$G$2:$G$20000,CONFIG_METADATA!$B$4,DATOS!$I$2:$I$20000,"Conjunto"),""))</f>
        <v/>
      </c>
      <c r="K261" t="str" cm="1">
        <f t="array" ref="K261">IF(G261="","",IFERROR(AVERAGE(IF((DATOS!$A$2:$A$20000=G261)*(DATOS!$G$2:$G$20000=CONFIG_METADATA!$B$4)*(DATOS!$I$2:$I$20000&lt;&gt;"Lenguaje Musical")*(DATOS!$I$2:$I$20000&lt;&gt;"Coro")*(DATOS!$I$2:$I$20000&lt;&gt;"Conjunto"),DATOS!$K$2:$K$20000)),""))</f>
        <v/>
      </c>
      <c r="N261" t="str">
        <f>IF(M261="","",IFERROR(AVERAGEIFS(DATOS!$K$2:$K$20000,DATOS!$A$2:$A$20000,M261,DATOS!$G$2:$G$20000,CONFIG_METADATA!$B$4,DATOS!$I$2:$I$20000,"Lenguaje Musical"),""))</f>
        <v/>
      </c>
      <c r="O261" t="str">
        <f>IF(M261="","",IFERROR(AVERAGEIFS(DATOS!$K$2:$K$20000,DATOS!$A$2:$A$20000,M261,DATOS!$G$2:$G$20000,CONFIG_METADATA!$B$4,DATOS!$I$2:$I$20000,"Coro"),""))</f>
        <v/>
      </c>
      <c r="P261" t="str">
        <f>IF(M261="","",IFERROR(AVERAGEIFS(DATOS!$K$2:$K$20000,DATOS!$A$2:$A$20000,M261,DATOS!$G$2:$G$20000,CONFIG_METADATA!$B$4,DATOS!$I$2:$I$20000,"Conjunto"),""))</f>
        <v/>
      </c>
      <c r="Q261" t="str">
        <f>IF(M261="","",IFERROR(AVERAGEIFS(DATOS!$K$2:$K$20000,DATOS!$A$2:$A$20000,M261,DATOS!$G$2:$G$20000,CONFIG_METADATA!$B$4,DATOS!$I$2:$I$20000,"&lt;&gt;Lenguaje Musical",DATOS!$I$2:$I$20000,"&lt;&gt;Coro",DATOS!$I$2:$I$20000,"&lt;&gt;Conjunto"),""))</f>
        <v/>
      </c>
      <c r="T261" t="str">
        <f>IF(S261="","",IFERROR(AVERAGEIFS(DATOS!$K$2:$K$20000,DATOS!$A$2:$A$20000,S261,DATOS!$G$2:$G$20000,CONFIG_METADATA!$B$4,DATOS!$I$2:$I$20000,"Lenguaje Musical"),""))</f>
        <v/>
      </c>
      <c r="U261" t="str">
        <f>IF(S261="","",IFERROR(AVERAGEIFS(DATOS!$K$2:$K$20000,DATOS!$A$2:$A$20000,S261,DATOS!$G$2:$G$20000,CONFIG_METADATA!$B$4,DATOS!$I$2:$I$20000,"Coro"),""))</f>
        <v/>
      </c>
      <c r="V261" t="str">
        <f>IF(S261="","",IFERROR(AVERAGEIFS(DATOS!$K$2:$K$20000,DATOS!$A$2:$A$20000,S261,DATOS!$G$2:$G$20000,CONFIG_METADATA!$B$4,DATOS!$I$2:$I$20000,"Conjunto"),""))</f>
        <v/>
      </c>
      <c r="W261" t="str" cm="1">
        <f t="array" ref="W261">IF(S261="","",IFERROR(AVERAGE(IF((DATOS!$A$2:$A$20000=S261)*(DATOS!$G$2:$G$20000=CONFIG_METADATA!$B$4)*(DATOS!$I$2:$I$20000&lt;&gt;"Lenguaje Musical")*(DATOS!$I$2:$I$20000&lt;&gt;"Coro")*(DATOS!$I$2:$I$20000&lt;&gt;"Conjunto"),DATOS!$K$2:$K$20000)),""))</f>
        <v/>
      </c>
    </row>
    <row r="262" spans="2:23" x14ac:dyDescent="0.2">
      <c r="B262" t="str">
        <f>IF(A262="","",IFERROR(AVERAGEIFS(DATOS!$K$2:$K$20000,DATOS!$A$2:$A$20000,A262,DATOS!$G$2:$G$20000,CONFIG_METADATA!$B$4,DATOS!$I$2:$I$20000,"Lenguaje Musical"),""))</f>
        <v/>
      </c>
      <c r="C262" t="str">
        <f>IF(A262="","",IFERROR(AVERAGEIFS(DATOS!$K$2:$K$20000,DATOS!$A$2:$A$20000,A262,DATOS!$G$2:$G$20000,CONFIG_METADATA!$B$4,DATOS!$I$2:$I$20000,"Coro"),""))</f>
        <v/>
      </c>
      <c r="D262" t="str">
        <f>IF(A262="","",IFERROR(AVERAGEIFS(DATOS!$K$2:$K$20000,DATOS!$A$2:$A$20000,A262,DATOS!$G$2:$G$20000,CONFIG_METADATA!$B$4,DATOS!$I$2:$I$20000,"Conjunto"),""))</f>
        <v/>
      </c>
      <c r="E262" t="str" cm="1">
        <f t="array" ref="E262">IF(A262="","",IFERROR(AVERAGE(IF((DATOS!$A$2:$A$20000=A262)*(DATOS!$G$2:$G$20000=CONFIG_METADATA!$B$4)*(DATOS!$I$2:$I$20000&lt;&gt;"Lenguaje Musical")*(DATOS!$I$2:$I$20000&lt;&gt;"Coro")*(DATOS!$I$2:$I$20000&lt;&gt;"Conjunto"),DATOS!$K$2:$K$20000)),""))</f>
        <v/>
      </c>
      <c r="H262" t="str">
        <f>IF(G262="","",IFERROR(AVERAGEIFS(DATOS!$K$2:$K$20000,DATOS!$A$2:$A$20000,G262,DATOS!$G$2:$G$20000,CONFIG_METADATA!$B$4,DATOS!$I$2:$I$20000,"Lenguaje Musical"),""))</f>
        <v/>
      </c>
      <c r="I262" t="str">
        <f>IF(G262="","",IFERROR(AVERAGEIFS(DATOS!$K$2:$K$20000,DATOS!$A$2:$A$20000,G262,DATOS!$G$2:$G$20000,CONFIG_METADATA!$B$4,DATOS!$I$2:$I$20000,"Coro"),""))</f>
        <v/>
      </c>
      <c r="J262" t="str">
        <f>IF(G262="","",IFERROR(AVERAGEIFS(DATOS!$K$2:$K$20000,DATOS!$A$2:$A$20000,G262,DATOS!$G$2:$G$20000,CONFIG_METADATA!$B$4,DATOS!$I$2:$I$20000,"Conjunto"),""))</f>
        <v/>
      </c>
      <c r="K262" t="str" cm="1">
        <f t="array" ref="K262">IF(G262="","",IFERROR(AVERAGE(IF((DATOS!$A$2:$A$20000=G262)*(DATOS!$G$2:$G$20000=CONFIG_METADATA!$B$4)*(DATOS!$I$2:$I$20000&lt;&gt;"Lenguaje Musical")*(DATOS!$I$2:$I$20000&lt;&gt;"Coro")*(DATOS!$I$2:$I$20000&lt;&gt;"Conjunto"),DATOS!$K$2:$K$20000)),""))</f>
        <v/>
      </c>
      <c r="N262" t="str">
        <f>IF(M262="","",IFERROR(AVERAGEIFS(DATOS!$K$2:$K$20000,DATOS!$A$2:$A$20000,M262,DATOS!$G$2:$G$20000,CONFIG_METADATA!$B$4,DATOS!$I$2:$I$20000,"Lenguaje Musical"),""))</f>
        <v/>
      </c>
      <c r="O262" t="str">
        <f>IF(M262="","",IFERROR(AVERAGEIFS(DATOS!$K$2:$K$20000,DATOS!$A$2:$A$20000,M262,DATOS!$G$2:$G$20000,CONFIG_METADATA!$B$4,DATOS!$I$2:$I$20000,"Coro"),""))</f>
        <v/>
      </c>
      <c r="P262" t="str">
        <f>IF(M262="","",IFERROR(AVERAGEIFS(DATOS!$K$2:$K$20000,DATOS!$A$2:$A$20000,M262,DATOS!$G$2:$G$20000,CONFIG_METADATA!$B$4,DATOS!$I$2:$I$20000,"Conjunto"),""))</f>
        <v/>
      </c>
      <c r="Q262" t="str">
        <f>IF(M262="","",IFERROR(AVERAGEIFS(DATOS!$K$2:$K$20000,DATOS!$A$2:$A$20000,M262,DATOS!$G$2:$G$20000,CONFIG_METADATA!$B$4,DATOS!$I$2:$I$20000,"&lt;&gt;Lenguaje Musical",DATOS!$I$2:$I$20000,"&lt;&gt;Coro",DATOS!$I$2:$I$20000,"&lt;&gt;Conjunto"),""))</f>
        <v/>
      </c>
      <c r="T262" t="str">
        <f>IF(S262="","",IFERROR(AVERAGEIFS(DATOS!$K$2:$K$20000,DATOS!$A$2:$A$20000,S262,DATOS!$G$2:$G$20000,CONFIG_METADATA!$B$4,DATOS!$I$2:$I$20000,"Lenguaje Musical"),""))</f>
        <v/>
      </c>
      <c r="U262" t="str">
        <f>IF(S262="","",IFERROR(AVERAGEIFS(DATOS!$K$2:$K$20000,DATOS!$A$2:$A$20000,S262,DATOS!$G$2:$G$20000,CONFIG_METADATA!$B$4,DATOS!$I$2:$I$20000,"Coro"),""))</f>
        <v/>
      </c>
      <c r="V262" t="str">
        <f>IF(S262="","",IFERROR(AVERAGEIFS(DATOS!$K$2:$K$20000,DATOS!$A$2:$A$20000,S262,DATOS!$G$2:$G$20000,CONFIG_METADATA!$B$4,DATOS!$I$2:$I$20000,"Conjunto"),""))</f>
        <v/>
      </c>
      <c r="W262" t="str" cm="1">
        <f t="array" ref="W262">IF(S262="","",IFERROR(AVERAGE(IF((DATOS!$A$2:$A$20000=S262)*(DATOS!$G$2:$G$20000=CONFIG_METADATA!$B$4)*(DATOS!$I$2:$I$20000&lt;&gt;"Lenguaje Musical")*(DATOS!$I$2:$I$20000&lt;&gt;"Coro")*(DATOS!$I$2:$I$20000&lt;&gt;"Conjunto"),DATOS!$K$2:$K$20000)),""))</f>
        <v/>
      </c>
    </row>
    <row r="263" spans="2:23" x14ac:dyDescent="0.2">
      <c r="B263" t="str">
        <f>IF(A263="","",IFERROR(AVERAGEIFS(DATOS!$K$2:$K$20000,DATOS!$A$2:$A$20000,A263,DATOS!$G$2:$G$20000,CONFIG_METADATA!$B$4,DATOS!$I$2:$I$20000,"Lenguaje Musical"),""))</f>
        <v/>
      </c>
      <c r="C263" t="str">
        <f>IF(A263="","",IFERROR(AVERAGEIFS(DATOS!$K$2:$K$20000,DATOS!$A$2:$A$20000,A263,DATOS!$G$2:$G$20000,CONFIG_METADATA!$B$4,DATOS!$I$2:$I$20000,"Coro"),""))</f>
        <v/>
      </c>
      <c r="D263" t="str">
        <f>IF(A263="","",IFERROR(AVERAGEIFS(DATOS!$K$2:$K$20000,DATOS!$A$2:$A$20000,A263,DATOS!$G$2:$G$20000,CONFIG_METADATA!$B$4,DATOS!$I$2:$I$20000,"Conjunto"),""))</f>
        <v/>
      </c>
      <c r="E263" t="str" cm="1">
        <f t="array" ref="E263">IF(A263="","",IFERROR(AVERAGE(IF((DATOS!$A$2:$A$20000=A263)*(DATOS!$G$2:$G$20000=CONFIG_METADATA!$B$4)*(DATOS!$I$2:$I$20000&lt;&gt;"Lenguaje Musical")*(DATOS!$I$2:$I$20000&lt;&gt;"Coro")*(DATOS!$I$2:$I$20000&lt;&gt;"Conjunto"),DATOS!$K$2:$K$20000)),""))</f>
        <v/>
      </c>
      <c r="H263" t="str">
        <f>IF(G263="","",IFERROR(AVERAGEIFS(DATOS!$K$2:$K$20000,DATOS!$A$2:$A$20000,G263,DATOS!$G$2:$G$20000,CONFIG_METADATA!$B$4,DATOS!$I$2:$I$20000,"Lenguaje Musical"),""))</f>
        <v/>
      </c>
      <c r="I263" t="str">
        <f>IF(G263="","",IFERROR(AVERAGEIFS(DATOS!$K$2:$K$20000,DATOS!$A$2:$A$20000,G263,DATOS!$G$2:$G$20000,CONFIG_METADATA!$B$4,DATOS!$I$2:$I$20000,"Coro"),""))</f>
        <v/>
      </c>
      <c r="J263" t="str">
        <f>IF(G263="","",IFERROR(AVERAGEIFS(DATOS!$K$2:$K$20000,DATOS!$A$2:$A$20000,G263,DATOS!$G$2:$G$20000,CONFIG_METADATA!$B$4,DATOS!$I$2:$I$20000,"Conjunto"),""))</f>
        <v/>
      </c>
      <c r="K263" t="str" cm="1">
        <f t="array" ref="K263">IF(G263="","",IFERROR(AVERAGE(IF((DATOS!$A$2:$A$20000=G263)*(DATOS!$G$2:$G$20000=CONFIG_METADATA!$B$4)*(DATOS!$I$2:$I$20000&lt;&gt;"Lenguaje Musical")*(DATOS!$I$2:$I$20000&lt;&gt;"Coro")*(DATOS!$I$2:$I$20000&lt;&gt;"Conjunto"),DATOS!$K$2:$K$20000)),""))</f>
        <v/>
      </c>
      <c r="N263" t="str">
        <f>IF(M263="","",IFERROR(AVERAGEIFS(DATOS!$K$2:$K$20000,DATOS!$A$2:$A$20000,M263,DATOS!$G$2:$G$20000,CONFIG_METADATA!$B$4,DATOS!$I$2:$I$20000,"Lenguaje Musical"),""))</f>
        <v/>
      </c>
      <c r="O263" t="str">
        <f>IF(M263="","",IFERROR(AVERAGEIFS(DATOS!$K$2:$K$20000,DATOS!$A$2:$A$20000,M263,DATOS!$G$2:$G$20000,CONFIG_METADATA!$B$4,DATOS!$I$2:$I$20000,"Coro"),""))</f>
        <v/>
      </c>
      <c r="P263" t="str">
        <f>IF(M263="","",IFERROR(AVERAGEIFS(DATOS!$K$2:$K$20000,DATOS!$A$2:$A$20000,M263,DATOS!$G$2:$G$20000,CONFIG_METADATA!$B$4,DATOS!$I$2:$I$20000,"Conjunto"),""))</f>
        <v/>
      </c>
      <c r="Q263" t="str">
        <f>IF(M263="","",IFERROR(AVERAGEIFS(DATOS!$K$2:$K$20000,DATOS!$A$2:$A$20000,M263,DATOS!$G$2:$G$20000,CONFIG_METADATA!$B$4,DATOS!$I$2:$I$20000,"&lt;&gt;Lenguaje Musical",DATOS!$I$2:$I$20000,"&lt;&gt;Coro",DATOS!$I$2:$I$20000,"&lt;&gt;Conjunto"),""))</f>
        <v/>
      </c>
      <c r="T263" t="str">
        <f>IF(S263="","",IFERROR(AVERAGEIFS(DATOS!$K$2:$K$20000,DATOS!$A$2:$A$20000,S263,DATOS!$G$2:$G$20000,CONFIG_METADATA!$B$4,DATOS!$I$2:$I$20000,"Lenguaje Musical"),""))</f>
        <v/>
      </c>
      <c r="U263" t="str">
        <f>IF(S263="","",IFERROR(AVERAGEIFS(DATOS!$K$2:$K$20000,DATOS!$A$2:$A$20000,S263,DATOS!$G$2:$G$20000,CONFIG_METADATA!$B$4,DATOS!$I$2:$I$20000,"Coro"),""))</f>
        <v/>
      </c>
      <c r="V263" t="str">
        <f>IF(S263="","",IFERROR(AVERAGEIFS(DATOS!$K$2:$K$20000,DATOS!$A$2:$A$20000,S263,DATOS!$G$2:$G$20000,CONFIG_METADATA!$B$4,DATOS!$I$2:$I$20000,"Conjunto"),""))</f>
        <v/>
      </c>
      <c r="W263" t="str" cm="1">
        <f t="array" ref="W263">IF(S263="","",IFERROR(AVERAGE(IF((DATOS!$A$2:$A$20000=S263)*(DATOS!$G$2:$G$20000=CONFIG_METADATA!$B$4)*(DATOS!$I$2:$I$20000&lt;&gt;"Lenguaje Musical")*(DATOS!$I$2:$I$20000&lt;&gt;"Coro")*(DATOS!$I$2:$I$20000&lt;&gt;"Conjunto"),DATOS!$K$2:$K$20000)),""))</f>
        <v/>
      </c>
    </row>
    <row r="264" spans="2:23" x14ac:dyDescent="0.2">
      <c r="B264" t="str">
        <f>IF(A264="","",IFERROR(AVERAGEIFS(DATOS!$K$2:$K$20000,DATOS!$A$2:$A$20000,A264,DATOS!$G$2:$G$20000,CONFIG_METADATA!$B$4,DATOS!$I$2:$I$20000,"Lenguaje Musical"),""))</f>
        <v/>
      </c>
      <c r="C264" t="str">
        <f>IF(A264="","",IFERROR(AVERAGEIFS(DATOS!$K$2:$K$20000,DATOS!$A$2:$A$20000,A264,DATOS!$G$2:$G$20000,CONFIG_METADATA!$B$4,DATOS!$I$2:$I$20000,"Coro"),""))</f>
        <v/>
      </c>
      <c r="D264" t="str">
        <f>IF(A264="","",IFERROR(AVERAGEIFS(DATOS!$K$2:$K$20000,DATOS!$A$2:$A$20000,A264,DATOS!$G$2:$G$20000,CONFIG_METADATA!$B$4,DATOS!$I$2:$I$20000,"Conjunto"),""))</f>
        <v/>
      </c>
      <c r="E264" t="str" cm="1">
        <f t="array" ref="E264">IF(A264="","",IFERROR(AVERAGE(IF((DATOS!$A$2:$A$20000=A264)*(DATOS!$G$2:$G$20000=CONFIG_METADATA!$B$4)*(DATOS!$I$2:$I$20000&lt;&gt;"Lenguaje Musical")*(DATOS!$I$2:$I$20000&lt;&gt;"Coro")*(DATOS!$I$2:$I$20000&lt;&gt;"Conjunto"),DATOS!$K$2:$K$20000)),""))</f>
        <v/>
      </c>
      <c r="H264" t="str">
        <f>IF(G264="","",IFERROR(AVERAGEIFS(DATOS!$K$2:$K$20000,DATOS!$A$2:$A$20000,G264,DATOS!$G$2:$G$20000,CONFIG_METADATA!$B$4,DATOS!$I$2:$I$20000,"Lenguaje Musical"),""))</f>
        <v/>
      </c>
      <c r="I264" t="str">
        <f>IF(G264="","",IFERROR(AVERAGEIFS(DATOS!$K$2:$K$20000,DATOS!$A$2:$A$20000,G264,DATOS!$G$2:$G$20000,CONFIG_METADATA!$B$4,DATOS!$I$2:$I$20000,"Coro"),""))</f>
        <v/>
      </c>
      <c r="J264" t="str">
        <f>IF(G264="","",IFERROR(AVERAGEIFS(DATOS!$K$2:$K$20000,DATOS!$A$2:$A$20000,G264,DATOS!$G$2:$G$20000,CONFIG_METADATA!$B$4,DATOS!$I$2:$I$20000,"Conjunto"),""))</f>
        <v/>
      </c>
      <c r="K264" t="str" cm="1">
        <f t="array" ref="K264">IF(G264="","",IFERROR(AVERAGE(IF((DATOS!$A$2:$A$20000=G264)*(DATOS!$G$2:$G$20000=CONFIG_METADATA!$B$4)*(DATOS!$I$2:$I$20000&lt;&gt;"Lenguaje Musical")*(DATOS!$I$2:$I$20000&lt;&gt;"Coro")*(DATOS!$I$2:$I$20000&lt;&gt;"Conjunto"),DATOS!$K$2:$K$20000)),""))</f>
        <v/>
      </c>
      <c r="N264" t="str">
        <f>IF(M264="","",IFERROR(AVERAGEIFS(DATOS!$K$2:$K$20000,DATOS!$A$2:$A$20000,M264,DATOS!$G$2:$G$20000,CONFIG_METADATA!$B$4,DATOS!$I$2:$I$20000,"Lenguaje Musical"),""))</f>
        <v/>
      </c>
      <c r="O264" t="str">
        <f>IF(M264="","",IFERROR(AVERAGEIFS(DATOS!$K$2:$K$20000,DATOS!$A$2:$A$20000,M264,DATOS!$G$2:$G$20000,CONFIG_METADATA!$B$4,DATOS!$I$2:$I$20000,"Coro"),""))</f>
        <v/>
      </c>
      <c r="P264" t="str">
        <f>IF(M264="","",IFERROR(AVERAGEIFS(DATOS!$K$2:$K$20000,DATOS!$A$2:$A$20000,M264,DATOS!$G$2:$G$20000,CONFIG_METADATA!$B$4,DATOS!$I$2:$I$20000,"Conjunto"),""))</f>
        <v/>
      </c>
      <c r="Q264" t="str">
        <f>IF(M264="","",IFERROR(AVERAGEIFS(DATOS!$K$2:$K$20000,DATOS!$A$2:$A$20000,M264,DATOS!$G$2:$G$20000,CONFIG_METADATA!$B$4,DATOS!$I$2:$I$20000,"&lt;&gt;Lenguaje Musical",DATOS!$I$2:$I$20000,"&lt;&gt;Coro",DATOS!$I$2:$I$20000,"&lt;&gt;Conjunto"),""))</f>
        <v/>
      </c>
      <c r="T264" t="str">
        <f>IF(S264="","",IFERROR(AVERAGEIFS(DATOS!$K$2:$K$20000,DATOS!$A$2:$A$20000,S264,DATOS!$G$2:$G$20000,CONFIG_METADATA!$B$4,DATOS!$I$2:$I$20000,"Lenguaje Musical"),""))</f>
        <v/>
      </c>
      <c r="U264" t="str">
        <f>IF(S264="","",IFERROR(AVERAGEIFS(DATOS!$K$2:$K$20000,DATOS!$A$2:$A$20000,S264,DATOS!$G$2:$G$20000,CONFIG_METADATA!$B$4,DATOS!$I$2:$I$20000,"Coro"),""))</f>
        <v/>
      </c>
      <c r="V264" t="str">
        <f>IF(S264="","",IFERROR(AVERAGEIFS(DATOS!$K$2:$K$20000,DATOS!$A$2:$A$20000,S264,DATOS!$G$2:$G$20000,CONFIG_METADATA!$B$4,DATOS!$I$2:$I$20000,"Conjunto"),""))</f>
        <v/>
      </c>
      <c r="W264" t="str" cm="1">
        <f t="array" ref="W264">IF(S264="","",IFERROR(AVERAGE(IF((DATOS!$A$2:$A$20000=S264)*(DATOS!$G$2:$G$20000=CONFIG_METADATA!$B$4)*(DATOS!$I$2:$I$20000&lt;&gt;"Lenguaje Musical")*(DATOS!$I$2:$I$20000&lt;&gt;"Coro")*(DATOS!$I$2:$I$20000&lt;&gt;"Conjunto"),DATOS!$K$2:$K$20000)),""))</f>
        <v/>
      </c>
    </row>
    <row r="265" spans="2:23" x14ac:dyDescent="0.2">
      <c r="B265" t="str">
        <f>IF(A265="","",IFERROR(AVERAGEIFS(DATOS!$K$2:$K$20000,DATOS!$A$2:$A$20000,A265,DATOS!$G$2:$G$20000,CONFIG_METADATA!$B$4,DATOS!$I$2:$I$20000,"Lenguaje Musical"),""))</f>
        <v/>
      </c>
      <c r="C265" t="str">
        <f>IF(A265="","",IFERROR(AVERAGEIFS(DATOS!$K$2:$K$20000,DATOS!$A$2:$A$20000,A265,DATOS!$G$2:$G$20000,CONFIG_METADATA!$B$4,DATOS!$I$2:$I$20000,"Coro"),""))</f>
        <v/>
      </c>
      <c r="D265" t="str">
        <f>IF(A265="","",IFERROR(AVERAGEIFS(DATOS!$K$2:$K$20000,DATOS!$A$2:$A$20000,A265,DATOS!$G$2:$G$20000,CONFIG_METADATA!$B$4,DATOS!$I$2:$I$20000,"Conjunto"),""))</f>
        <v/>
      </c>
      <c r="E265" t="str" cm="1">
        <f t="array" ref="E265">IF(A265="","",IFERROR(AVERAGE(IF((DATOS!$A$2:$A$20000=A265)*(DATOS!$G$2:$G$20000=CONFIG_METADATA!$B$4)*(DATOS!$I$2:$I$20000&lt;&gt;"Lenguaje Musical")*(DATOS!$I$2:$I$20000&lt;&gt;"Coro")*(DATOS!$I$2:$I$20000&lt;&gt;"Conjunto"),DATOS!$K$2:$K$20000)),""))</f>
        <v/>
      </c>
      <c r="H265" t="str">
        <f>IF(G265="","",IFERROR(AVERAGEIFS(DATOS!$K$2:$K$20000,DATOS!$A$2:$A$20000,G265,DATOS!$G$2:$G$20000,CONFIG_METADATA!$B$4,DATOS!$I$2:$I$20000,"Lenguaje Musical"),""))</f>
        <v/>
      </c>
      <c r="I265" t="str">
        <f>IF(G265="","",IFERROR(AVERAGEIFS(DATOS!$K$2:$K$20000,DATOS!$A$2:$A$20000,G265,DATOS!$G$2:$G$20000,CONFIG_METADATA!$B$4,DATOS!$I$2:$I$20000,"Coro"),""))</f>
        <v/>
      </c>
      <c r="J265" t="str">
        <f>IF(G265="","",IFERROR(AVERAGEIFS(DATOS!$K$2:$K$20000,DATOS!$A$2:$A$20000,G265,DATOS!$G$2:$G$20000,CONFIG_METADATA!$B$4,DATOS!$I$2:$I$20000,"Conjunto"),""))</f>
        <v/>
      </c>
      <c r="K265" t="str" cm="1">
        <f t="array" ref="K265">IF(G265="","",IFERROR(AVERAGE(IF((DATOS!$A$2:$A$20000=G265)*(DATOS!$G$2:$G$20000=CONFIG_METADATA!$B$4)*(DATOS!$I$2:$I$20000&lt;&gt;"Lenguaje Musical")*(DATOS!$I$2:$I$20000&lt;&gt;"Coro")*(DATOS!$I$2:$I$20000&lt;&gt;"Conjunto"),DATOS!$K$2:$K$20000)),""))</f>
        <v/>
      </c>
      <c r="N265" t="str">
        <f>IF(M265="","",IFERROR(AVERAGEIFS(DATOS!$K$2:$K$20000,DATOS!$A$2:$A$20000,M265,DATOS!$G$2:$G$20000,CONFIG_METADATA!$B$4,DATOS!$I$2:$I$20000,"Lenguaje Musical"),""))</f>
        <v/>
      </c>
      <c r="O265" t="str">
        <f>IF(M265="","",IFERROR(AVERAGEIFS(DATOS!$K$2:$K$20000,DATOS!$A$2:$A$20000,M265,DATOS!$G$2:$G$20000,CONFIG_METADATA!$B$4,DATOS!$I$2:$I$20000,"Coro"),""))</f>
        <v/>
      </c>
      <c r="P265" t="str">
        <f>IF(M265="","",IFERROR(AVERAGEIFS(DATOS!$K$2:$K$20000,DATOS!$A$2:$A$20000,M265,DATOS!$G$2:$G$20000,CONFIG_METADATA!$B$4,DATOS!$I$2:$I$20000,"Conjunto"),""))</f>
        <v/>
      </c>
      <c r="Q265" t="str">
        <f>IF(M265="","",IFERROR(AVERAGEIFS(DATOS!$K$2:$K$20000,DATOS!$A$2:$A$20000,M265,DATOS!$G$2:$G$20000,CONFIG_METADATA!$B$4,DATOS!$I$2:$I$20000,"&lt;&gt;Lenguaje Musical",DATOS!$I$2:$I$20000,"&lt;&gt;Coro",DATOS!$I$2:$I$20000,"&lt;&gt;Conjunto"),""))</f>
        <v/>
      </c>
      <c r="T265" t="str">
        <f>IF(S265="","",IFERROR(AVERAGEIFS(DATOS!$K$2:$K$20000,DATOS!$A$2:$A$20000,S265,DATOS!$G$2:$G$20000,CONFIG_METADATA!$B$4,DATOS!$I$2:$I$20000,"Lenguaje Musical"),""))</f>
        <v/>
      </c>
      <c r="U265" t="str">
        <f>IF(S265="","",IFERROR(AVERAGEIFS(DATOS!$K$2:$K$20000,DATOS!$A$2:$A$20000,S265,DATOS!$G$2:$G$20000,CONFIG_METADATA!$B$4,DATOS!$I$2:$I$20000,"Coro"),""))</f>
        <v/>
      </c>
      <c r="V265" t="str">
        <f>IF(S265="","",IFERROR(AVERAGEIFS(DATOS!$K$2:$K$20000,DATOS!$A$2:$A$20000,S265,DATOS!$G$2:$G$20000,CONFIG_METADATA!$B$4,DATOS!$I$2:$I$20000,"Conjunto"),""))</f>
        <v/>
      </c>
      <c r="W265" t="str" cm="1">
        <f t="array" ref="W265">IF(S265="","",IFERROR(AVERAGE(IF((DATOS!$A$2:$A$20000=S265)*(DATOS!$G$2:$G$20000=CONFIG_METADATA!$B$4)*(DATOS!$I$2:$I$20000&lt;&gt;"Lenguaje Musical")*(DATOS!$I$2:$I$20000&lt;&gt;"Coro")*(DATOS!$I$2:$I$20000&lt;&gt;"Conjunto"),DATOS!$K$2:$K$20000)),""))</f>
        <v/>
      </c>
    </row>
    <row r="266" spans="2:23" x14ac:dyDescent="0.2">
      <c r="B266" t="str">
        <f>IF(A266="","",IFERROR(AVERAGEIFS(DATOS!$K$2:$K$20000,DATOS!$A$2:$A$20000,A266,DATOS!$G$2:$G$20000,CONFIG_METADATA!$B$4,DATOS!$I$2:$I$20000,"Lenguaje Musical"),""))</f>
        <v/>
      </c>
      <c r="C266" t="str">
        <f>IF(A266="","",IFERROR(AVERAGEIFS(DATOS!$K$2:$K$20000,DATOS!$A$2:$A$20000,A266,DATOS!$G$2:$G$20000,CONFIG_METADATA!$B$4,DATOS!$I$2:$I$20000,"Coro"),""))</f>
        <v/>
      </c>
      <c r="D266" t="str">
        <f>IF(A266="","",IFERROR(AVERAGEIFS(DATOS!$K$2:$K$20000,DATOS!$A$2:$A$20000,A266,DATOS!$G$2:$G$20000,CONFIG_METADATA!$B$4,DATOS!$I$2:$I$20000,"Conjunto"),""))</f>
        <v/>
      </c>
      <c r="E266" t="str" cm="1">
        <f t="array" ref="E266">IF(A266="","",IFERROR(AVERAGE(IF((DATOS!$A$2:$A$20000=A266)*(DATOS!$G$2:$G$20000=CONFIG_METADATA!$B$4)*(DATOS!$I$2:$I$20000&lt;&gt;"Lenguaje Musical")*(DATOS!$I$2:$I$20000&lt;&gt;"Coro")*(DATOS!$I$2:$I$20000&lt;&gt;"Conjunto"),DATOS!$K$2:$K$20000)),""))</f>
        <v/>
      </c>
      <c r="H266" t="str">
        <f>IF(G266="","",IFERROR(AVERAGEIFS(DATOS!$K$2:$K$20000,DATOS!$A$2:$A$20000,G266,DATOS!$G$2:$G$20000,CONFIG_METADATA!$B$4,DATOS!$I$2:$I$20000,"Lenguaje Musical"),""))</f>
        <v/>
      </c>
      <c r="I266" t="str">
        <f>IF(G266="","",IFERROR(AVERAGEIFS(DATOS!$K$2:$K$20000,DATOS!$A$2:$A$20000,G266,DATOS!$G$2:$G$20000,CONFIG_METADATA!$B$4,DATOS!$I$2:$I$20000,"Coro"),""))</f>
        <v/>
      </c>
      <c r="J266" t="str">
        <f>IF(G266="","",IFERROR(AVERAGEIFS(DATOS!$K$2:$K$20000,DATOS!$A$2:$A$20000,G266,DATOS!$G$2:$G$20000,CONFIG_METADATA!$B$4,DATOS!$I$2:$I$20000,"Conjunto"),""))</f>
        <v/>
      </c>
      <c r="K266" t="str" cm="1">
        <f t="array" ref="K266">IF(G266="","",IFERROR(AVERAGE(IF((DATOS!$A$2:$A$20000=G266)*(DATOS!$G$2:$G$20000=CONFIG_METADATA!$B$4)*(DATOS!$I$2:$I$20000&lt;&gt;"Lenguaje Musical")*(DATOS!$I$2:$I$20000&lt;&gt;"Coro")*(DATOS!$I$2:$I$20000&lt;&gt;"Conjunto"),DATOS!$K$2:$K$20000)),""))</f>
        <v/>
      </c>
      <c r="N266" t="str">
        <f>IF(M266="","",IFERROR(AVERAGEIFS(DATOS!$K$2:$K$20000,DATOS!$A$2:$A$20000,M266,DATOS!$G$2:$G$20000,CONFIG_METADATA!$B$4,DATOS!$I$2:$I$20000,"Lenguaje Musical"),""))</f>
        <v/>
      </c>
      <c r="O266" t="str">
        <f>IF(M266="","",IFERROR(AVERAGEIFS(DATOS!$K$2:$K$20000,DATOS!$A$2:$A$20000,M266,DATOS!$G$2:$G$20000,CONFIG_METADATA!$B$4,DATOS!$I$2:$I$20000,"Coro"),""))</f>
        <v/>
      </c>
      <c r="P266" t="str">
        <f>IF(M266="","",IFERROR(AVERAGEIFS(DATOS!$K$2:$K$20000,DATOS!$A$2:$A$20000,M266,DATOS!$G$2:$G$20000,CONFIG_METADATA!$B$4,DATOS!$I$2:$I$20000,"Conjunto"),""))</f>
        <v/>
      </c>
      <c r="Q266" t="str">
        <f>IF(M266="","",IFERROR(AVERAGEIFS(DATOS!$K$2:$K$20000,DATOS!$A$2:$A$20000,M266,DATOS!$G$2:$G$20000,CONFIG_METADATA!$B$4,DATOS!$I$2:$I$20000,"&lt;&gt;Lenguaje Musical",DATOS!$I$2:$I$20000,"&lt;&gt;Coro",DATOS!$I$2:$I$20000,"&lt;&gt;Conjunto"),""))</f>
        <v/>
      </c>
      <c r="T266" t="str">
        <f>IF(S266="","",IFERROR(AVERAGEIFS(DATOS!$K$2:$K$20000,DATOS!$A$2:$A$20000,S266,DATOS!$G$2:$G$20000,CONFIG_METADATA!$B$4,DATOS!$I$2:$I$20000,"Lenguaje Musical"),""))</f>
        <v/>
      </c>
      <c r="U266" t="str">
        <f>IF(S266="","",IFERROR(AVERAGEIFS(DATOS!$K$2:$K$20000,DATOS!$A$2:$A$20000,S266,DATOS!$G$2:$G$20000,CONFIG_METADATA!$B$4,DATOS!$I$2:$I$20000,"Coro"),""))</f>
        <v/>
      </c>
      <c r="V266" t="str">
        <f>IF(S266="","",IFERROR(AVERAGEIFS(DATOS!$K$2:$K$20000,DATOS!$A$2:$A$20000,S266,DATOS!$G$2:$G$20000,CONFIG_METADATA!$B$4,DATOS!$I$2:$I$20000,"Conjunto"),""))</f>
        <v/>
      </c>
      <c r="W266" t="str" cm="1">
        <f t="array" ref="W266">IF(S266="","",IFERROR(AVERAGE(IF((DATOS!$A$2:$A$20000=S266)*(DATOS!$G$2:$G$20000=CONFIG_METADATA!$B$4)*(DATOS!$I$2:$I$20000&lt;&gt;"Lenguaje Musical")*(DATOS!$I$2:$I$20000&lt;&gt;"Coro")*(DATOS!$I$2:$I$20000&lt;&gt;"Conjunto"),DATOS!$K$2:$K$20000)),""))</f>
        <v/>
      </c>
    </row>
    <row r="267" spans="2:23" x14ac:dyDescent="0.2">
      <c r="B267" t="str">
        <f>IF(A267="","",IFERROR(AVERAGEIFS(DATOS!$K$2:$K$20000,DATOS!$A$2:$A$20000,A267,DATOS!$G$2:$G$20000,CONFIG_METADATA!$B$4,DATOS!$I$2:$I$20000,"Lenguaje Musical"),""))</f>
        <v/>
      </c>
      <c r="C267" t="str">
        <f>IF(A267="","",IFERROR(AVERAGEIFS(DATOS!$K$2:$K$20000,DATOS!$A$2:$A$20000,A267,DATOS!$G$2:$G$20000,CONFIG_METADATA!$B$4,DATOS!$I$2:$I$20000,"Coro"),""))</f>
        <v/>
      </c>
      <c r="D267" t="str">
        <f>IF(A267="","",IFERROR(AVERAGEIFS(DATOS!$K$2:$K$20000,DATOS!$A$2:$A$20000,A267,DATOS!$G$2:$G$20000,CONFIG_METADATA!$B$4,DATOS!$I$2:$I$20000,"Conjunto"),""))</f>
        <v/>
      </c>
      <c r="E267" t="str" cm="1">
        <f t="array" ref="E267">IF(A267="","",IFERROR(AVERAGE(IF((DATOS!$A$2:$A$20000=A267)*(DATOS!$G$2:$G$20000=CONFIG_METADATA!$B$4)*(DATOS!$I$2:$I$20000&lt;&gt;"Lenguaje Musical")*(DATOS!$I$2:$I$20000&lt;&gt;"Coro")*(DATOS!$I$2:$I$20000&lt;&gt;"Conjunto"),DATOS!$K$2:$K$20000)),""))</f>
        <v/>
      </c>
      <c r="H267" t="str">
        <f>IF(G267="","",IFERROR(AVERAGEIFS(DATOS!$K$2:$K$20000,DATOS!$A$2:$A$20000,G267,DATOS!$G$2:$G$20000,CONFIG_METADATA!$B$4,DATOS!$I$2:$I$20000,"Lenguaje Musical"),""))</f>
        <v/>
      </c>
      <c r="I267" t="str">
        <f>IF(G267="","",IFERROR(AVERAGEIFS(DATOS!$K$2:$K$20000,DATOS!$A$2:$A$20000,G267,DATOS!$G$2:$G$20000,CONFIG_METADATA!$B$4,DATOS!$I$2:$I$20000,"Coro"),""))</f>
        <v/>
      </c>
      <c r="J267" t="str">
        <f>IF(G267="","",IFERROR(AVERAGEIFS(DATOS!$K$2:$K$20000,DATOS!$A$2:$A$20000,G267,DATOS!$G$2:$G$20000,CONFIG_METADATA!$B$4,DATOS!$I$2:$I$20000,"Conjunto"),""))</f>
        <v/>
      </c>
      <c r="K267" t="str" cm="1">
        <f t="array" ref="K267">IF(G267="","",IFERROR(AVERAGE(IF((DATOS!$A$2:$A$20000=G267)*(DATOS!$G$2:$G$20000=CONFIG_METADATA!$B$4)*(DATOS!$I$2:$I$20000&lt;&gt;"Lenguaje Musical")*(DATOS!$I$2:$I$20000&lt;&gt;"Coro")*(DATOS!$I$2:$I$20000&lt;&gt;"Conjunto"),DATOS!$K$2:$K$20000)),""))</f>
        <v/>
      </c>
      <c r="N267" t="str">
        <f>IF(M267="","",IFERROR(AVERAGEIFS(DATOS!$K$2:$K$20000,DATOS!$A$2:$A$20000,M267,DATOS!$G$2:$G$20000,CONFIG_METADATA!$B$4,DATOS!$I$2:$I$20000,"Lenguaje Musical"),""))</f>
        <v/>
      </c>
      <c r="O267" t="str">
        <f>IF(M267="","",IFERROR(AVERAGEIFS(DATOS!$K$2:$K$20000,DATOS!$A$2:$A$20000,M267,DATOS!$G$2:$G$20000,CONFIG_METADATA!$B$4,DATOS!$I$2:$I$20000,"Coro"),""))</f>
        <v/>
      </c>
      <c r="P267" t="str">
        <f>IF(M267="","",IFERROR(AVERAGEIFS(DATOS!$K$2:$K$20000,DATOS!$A$2:$A$20000,M267,DATOS!$G$2:$G$20000,CONFIG_METADATA!$B$4,DATOS!$I$2:$I$20000,"Conjunto"),""))</f>
        <v/>
      </c>
      <c r="Q267" t="str">
        <f>IF(M267="","",IFERROR(AVERAGEIFS(DATOS!$K$2:$K$20000,DATOS!$A$2:$A$20000,M267,DATOS!$G$2:$G$20000,CONFIG_METADATA!$B$4,DATOS!$I$2:$I$20000,"&lt;&gt;Lenguaje Musical",DATOS!$I$2:$I$20000,"&lt;&gt;Coro",DATOS!$I$2:$I$20000,"&lt;&gt;Conjunto"),""))</f>
        <v/>
      </c>
      <c r="T267" t="str">
        <f>IF(S267="","",IFERROR(AVERAGEIFS(DATOS!$K$2:$K$20000,DATOS!$A$2:$A$20000,S267,DATOS!$G$2:$G$20000,CONFIG_METADATA!$B$4,DATOS!$I$2:$I$20000,"Lenguaje Musical"),""))</f>
        <v/>
      </c>
      <c r="U267" t="str">
        <f>IF(S267="","",IFERROR(AVERAGEIFS(DATOS!$K$2:$K$20000,DATOS!$A$2:$A$20000,S267,DATOS!$G$2:$G$20000,CONFIG_METADATA!$B$4,DATOS!$I$2:$I$20000,"Coro"),""))</f>
        <v/>
      </c>
      <c r="V267" t="str">
        <f>IF(S267="","",IFERROR(AVERAGEIFS(DATOS!$K$2:$K$20000,DATOS!$A$2:$A$20000,S267,DATOS!$G$2:$G$20000,CONFIG_METADATA!$B$4,DATOS!$I$2:$I$20000,"Conjunto"),""))</f>
        <v/>
      </c>
      <c r="W267" t="str" cm="1">
        <f t="array" ref="W267">IF(S267="","",IFERROR(AVERAGE(IF((DATOS!$A$2:$A$20000=S267)*(DATOS!$G$2:$G$20000=CONFIG_METADATA!$B$4)*(DATOS!$I$2:$I$20000&lt;&gt;"Lenguaje Musical")*(DATOS!$I$2:$I$20000&lt;&gt;"Coro")*(DATOS!$I$2:$I$20000&lt;&gt;"Conjunto"),DATOS!$K$2:$K$20000)),""))</f>
        <v/>
      </c>
    </row>
    <row r="268" spans="2:23" x14ac:dyDescent="0.2">
      <c r="B268" t="str">
        <f>IF(A268="","",IFERROR(AVERAGEIFS(DATOS!$K$2:$K$20000,DATOS!$A$2:$A$20000,A268,DATOS!$G$2:$G$20000,CONFIG_METADATA!$B$4,DATOS!$I$2:$I$20000,"Lenguaje Musical"),""))</f>
        <v/>
      </c>
      <c r="C268" t="str">
        <f>IF(A268="","",IFERROR(AVERAGEIFS(DATOS!$K$2:$K$20000,DATOS!$A$2:$A$20000,A268,DATOS!$G$2:$G$20000,CONFIG_METADATA!$B$4,DATOS!$I$2:$I$20000,"Coro"),""))</f>
        <v/>
      </c>
      <c r="D268" t="str">
        <f>IF(A268="","",IFERROR(AVERAGEIFS(DATOS!$K$2:$K$20000,DATOS!$A$2:$A$20000,A268,DATOS!$G$2:$G$20000,CONFIG_METADATA!$B$4,DATOS!$I$2:$I$20000,"Conjunto"),""))</f>
        <v/>
      </c>
      <c r="E268" t="str" cm="1">
        <f t="array" ref="E268">IF(A268="","",IFERROR(AVERAGE(IF((DATOS!$A$2:$A$20000=A268)*(DATOS!$G$2:$G$20000=CONFIG_METADATA!$B$4)*(DATOS!$I$2:$I$20000&lt;&gt;"Lenguaje Musical")*(DATOS!$I$2:$I$20000&lt;&gt;"Coro")*(DATOS!$I$2:$I$20000&lt;&gt;"Conjunto"),DATOS!$K$2:$K$20000)),""))</f>
        <v/>
      </c>
      <c r="H268" t="str">
        <f>IF(G268="","",IFERROR(AVERAGEIFS(DATOS!$K$2:$K$20000,DATOS!$A$2:$A$20000,G268,DATOS!$G$2:$G$20000,CONFIG_METADATA!$B$4,DATOS!$I$2:$I$20000,"Lenguaje Musical"),""))</f>
        <v/>
      </c>
      <c r="I268" t="str">
        <f>IF(G268="","",IFERROR(AVERAGEIFS(DATOS!$K$2:$K$20000,DATOS!$A$2:$A$20000,G268,DATOS!$G$2:$G$20000,CONFIG_METADATA!$B$4,DATOS!$I$2:$I$20000,"Coro"),""))</f>
        <v/>
      </c>
      <c r="J268" t="str">
        <f>IF(G268="","",IFERROR(AVERAGEIFS(DATOS!$K$2:$K$20000,DATOS!$A$2:$A$20000,G268,DATOS!$G$2:$G$20000,CONFIG_METADATA!$B$4,DATOS!$I$2:$I$20000,"Conjunto"),""))</f>
        <v/>
      </c>
      <c r="K268" t="str" cm="1">
        <f t="array" ref="K268">IF(G268="","",IFERROR(AVERAGE(IF((DATOS!$A$2:$A$20000=G268)*(DATOS!$G$2:$G$20000=CONFIG_METADATA!$B$4)*(DATOS!$I$2:$I$20000&lt;&gt;"Lenguaje Musical")*(DATOS!$I$2:$I$20000&lt;&gt;"Coro")*(DATOS!$I$2:$I$20000&lt;&gt;"Conjunto"),DATOS!$K$2:$K$20000)),""))</f>
        <v/>
      </c>
      <c r="N268" t="str">
        <f>IF(M268="","",IFERROR(AVERAGEIFS(DATOS!$K$2:$K$20000,DATOS!$A$2:$A$20000,M268,DATOS!$G$2:$G$20000,CONFIG_METADATA!$B$4,DATOS!$I$2:$I$20000,"Lenguaje Musical"),""))</f>
        <v/>
      </c>
      <c r="O268" t="str">
        <f>IF(M268="","",IFERROR(AVERAGEIFS(DATOS!$K$2:$K$20000,DATOS!$A$2:$A$20000,M268,DATOS!$G$2:$G$20000,CONFIG_METADATA!$B$4,DATOS!$I$2:$I$20000,"Coro"),""))</f>
        <v/>
      </c>
      <c r="P268" t="str">
        <f>IF(M268="","",IFERROR(AVERAGEIFS(DATOS!$K$2:$K$20000,DATOS!$A$2:$A$20000,M268,DATOS!$G$2:$G$20000,CONFIG_METADATA!$B$4,DATOS!$I$2:$I$20000,"Conjunto"),""))</f>
        <v/>
      </c>
      <c r="Q268" t="str">
        <f>IF(M268="","",IFERROR(AVERAGEIFS(DATOS!$K$2:$K$20000,DATOS!$A$2:$A$20000,M268,DATOS!$G$2:$G$20000,CONFIG_METADATA!$B$4,DATOS!$I$2:$I$20000,"&lt;&gt;Lenguaje Musical",DATOS!$I$2:$I$20000,"&lt;&gt;Coro",DATOS!$I$2:$I$20000,"&lt;&gt;Conjunto"),""))</f>
        <v/>
      </c>
      <c r="T268" t="str">
        <f>IF(S268="","",IFERROR(AVERAGEIFS(DATOS!$K$2:$K$20000,DATOS!$A$2:$A$20000,S268,DATOS!$G$2:$G$20000,CONFIG_METADATA!$B$4,DATOS!$I$2:$I$20000,"Lenguaje Musical"),""))</f>
        <v/>
      </c>
      <c r="U268" t="str">
        <f>IF(S268="","",IFERROR(AVERAGEIFS(DATOS!$K$2:$K$20000,DATOS!$A$2:$A$20000,S268,DATOS!$G$2:$G$20000,CONFIG_METADATA!$B$4,DATOS!$I$2:$I$20000,"Coro"),""))</f>
        <v/>
      </c>
      <c r="V268" t="str">
        <f>IF(S268="","",IFERROR(AVERAGEIFS(DATOS!$K$2:$K$20000,DATOS!$A$2:$A$20000,S268,DATOS!$G$2:$G$20000,CONFIG_METADATA!$B$4,DATOS!$I$2:$I$20000,"Conjunto"),""))</f>
        <v/>
      </c>
      <c r="W268" t="str" cm="1">
        <f t="array" ref="W268">IF(S268="","",IFERROR(AVERAGE(IF((DATOS!$A$2:$A$20000=S268)*(DATOS!$G$2:$G$20000=CONFIG_METADATA!$B$4)*(DATOS!$I$2:$I$20000&lt;&gt;"Lenguaje Musical")*(DATOS!$I$2:$I$20000&lt;&gt;"Coro")*(DATOS!$I$2:$I$20000&lt;&gt;"Conjunto"),DATOS!$K$2:$K$20000)),""))</f>
        <v/>
      </c>
    </row>
    <row r="269" spans="2:23" x14ac:dyDescent="0.2">
      <c r="B269" t="str">
        <f>IF(A269="","",IFERROR(AVERAGEIFS(DATOS!$K$2:$K$20000,DATOS!$A$2:$A$20000,A269,DATOS!$G$2:$G$20000,CONFIG_METADATA!$B$4,DATOS!$I$2:$I$20000,"Lenguaje Musical"),""))</f>
        <v/>
      </c>
      <c r="C269" t="str">
        <f>IF(A269="","",IFERROR(AVERAGEIFS(DATOS!$K$2:$K$20000,DATOS!$A$2:$A$20000,A269,DATOS!$G$2:$G$20000,CONFIG_METADATA!$B$4,DATOS!$I$2:$I$20000,"Coro"),""))</f>
        <v/>
      </c>
      <c r="D269" t="str">
        <f>IF(A269="","",IFERROR(AVERAGEIFS(DATOS!$K$2:$K$20000,DATOS!$A$2:$A$20000,A269,DATOS!$G$2:$G$20000,CONFIG_METADATA!$B$4,DATOS!$I$2:$I$20000,"Conjunto"),""))</f>
        <v/>
      </c>
      <c r="E269" t="str" cm="1">
        <f t="array" ref="E269">IF(A269="","",IFERROR(AVERAGE(IF((DATOS!$A$2:$A$20000=A269)*(DATOS!$G$2:$G$20000=CONFIG_METADATA!$B$4)*(DATOS!$I$2:$I$20000&lt;&gt;"Lenguaje Musical")*(DATOS!$I$2:$I$20000&lt;&gt;"Coro")*(DATOS!$I$2:$I$20000&lt;&gt;"Conjunto"),DATOS!$K$2:$K$20000)),""))</f>
        <v/>
      </c>
      <c r="H269" t="str">
        <f>IF(G269="","",IFERROR(AVERAGEIFS(DATOS!$K$2:$K$20000,DATOS!$A$2:$A$20000,G269,DATOS!$G$2:$G$20000,CONFIG_METADATA!$B$4,DATOS!$I$2:$I$20000,"Lenguaje Musical"),""))</f>
        <v/>
      </c>
      <c r="I269" t="str">
        <f>IF(G269="","",IFERROR(AVERAGEIFS(DATOS!$K$2:$K$20000,DATOS!$A$2:$A$20000,G269,DATOS!$G$2:$G$20000,CONFIG_METADATA!$B$4,DATOS!$I$2:$I$20000,"Coro"),""))</f>
        <v/>
      </c>
      <c r="J269" t="str">
        <f>IF(G269="","",IFERROR(AVERAGEIFS(DATOS!$K$2:$K$20000,DATOS!$A$2:$A$20000,G269,DATOS!$G$2:$G$20000,CONFIG_METADATA!$B$4,DATOS!$I$2:$I$20000,"Conjunto"),""))</f>
        <v/>
      </c>
      <c r="K269" t="str" cm="1">
        <f t="array" ref="K269">IF(G269="","",IFERROR(AVERAGE(IF((DATOS!$A$2:$A$20000=G269)*(DATOS!$G$2:$G$20000=CONFIG_METADATA!$B$4)*(DATOS!$I$2:$I$20000&lt;&gt;"Lenguaje Musical")*(DATOS!$I$2:$I$20000&lt;&gt;"Coro")*(DATOS!$I$2:$I$20000&lt;&gt;"Conjunto"),DATOS!$K$2:$K$20000)),""))</f>
        <v/>
      </c>
      <c r="N269" t="str">
        <f>IF(M269="","",IFERROR(AVERAGEIFS(DATOS!$K$2:$K$20000,DATOS!$A$2:$A$20000,M269,DATOS!$G$2:$G$20000,CONFIG_METADATA!$B$4,DATOS!$I$2:$I$20000,"Lenguaje Musical"),""))</f>
        <v/>
      </c>
      <c r="O269" t="str">
        <f>IF(M269="","",IFERROR(AVERAGEIFS(DATOS!$K$2:$K$20000,DATOS!$A$2:$A$20000,M269,DATOS!$G$2:$G$20000,CONFIG_METADATA!$B$4,DATOS!$I$2:$I$20000,"Coro"),""))</f>
        <v/>
      </c>
      <c r="P269" t="str">
        <f>IF(M269="","",IFERROR(AVERAGEIFS(DATOS!$K$2:$K$20000,DATOS!$A$2:$A$20000,M269,DATOS!$G$2:$G$20000,CONFIG_METADATA!$B$4,DATOS!$I$2:$I$20000,"Conjunto"),""))</f>
        <v/>
      </c>
      <c r="Q269" t="str">
        <f>IF(M269="","",IFERROR(AVERAGEIFS(DATOS!$K$2:$K$20000,DATOS!$A$2:$A$20000,M269,DATOS!$G$2:$G$20000,CONFIG_METADATA!$B$4,DATOS!$I$2:$I$20000,"&lt;&gt;Lenguaje Musical",DATOS!$I$2:$I$20000,"&lt;&gt;Coro",DATOS!$I$2:$I$20000,"&lt;&gt;Conjunto"),""))</f>
        <v/>
      </c>
      <c r="T269" t="str">
        <f>IF(S269="","",IFERROR(AVERAGEIFS(DATOS!$K$2:$K$20000,DATOS!$A$2:$A$20000,S269,DATOS!$G$2:$G$20000,CONFIG_METADATA!$B$4,DATOS!$I$2:$I$20000,"Lenguaje Musical"),""))</f>
        <v/>
      </c>
      <c r="U269" t="str">
        <f>IF(S269="","",IFERROR(AVERAGEIFS(DATOS!$K$2:$K$20000,DATOS!$A$2:$A$20000,S269,DATOS!$G$2:$G$20000,CONFIG_METADATA!$B$4,DATOS!$I$2:$I$20000,"Coro"),""))</f>
        <v/>
      </c>
      <c r="V269" t="str">
        <f>IF(S269="","",IFERROR(AVERAGEIFS(DATOS!$K$2:$K$20000,DATOS!$A$2:$A$20000,S269,DATOS!$G$2:$G$20000,CONFIG_METADATA!$B$4,DATOS!$I$2:$I$20000,"Conjunto"),""))</f>
        <v/>
      </c>
      <c r="W269" t="str" cm="1">
        <f t="array" ref="W269">IF(S269="","",IFERROR(AVERAGE(IF((DATOS!$A$2:$A$20000=S269)*(DATOS!$G$2:$G$20000=CONFIG_METADATA!$B$4)*(DATOS!$I$2:$I$20000&lt;&gt;"Lenguaje Musical")*(DATOS!$I$2:$I$20000&lt;&gt;"Coro")*(DATOS!$I$2:$I$20000&lt;&gt;"Conjunto"),DATOS!$K$2:$K$20000)),""))</f>
        <v/>
      </c>
    </row>
    <row r="270" spans="2:23" x14ac:dyDescent="0.2">
      <c r="B270" t="str">
        <f>IF(A270="","",IFERROR(AVERAGEIFS(DATOS!$K$2:$K$20000,DATOS!$A$2:$A$20000,A270,DATOS!$G$2:$G$20000,CONFIG_METADATA!$B$4,DATOS!$I$2:$I$20000,"Lenguaje Musical"),""))</f>
        <v/>
      </c>
      <c r="C270" t="str">
        <f>IF(A270="","",IFERROR(AVERAGEIFS(DATOS!$K$2:$K$20000,DATOS!$A$2:$A$20000,A270,DATOS!$G$2:$G$20000,CONFIG_METADATA!$B$4,DATOS!$I$2:$I$20000,"Coro"),""))</f>
        <v/>
      </c>
      <c r="D270" t="str">
        <f>IF(A270="","",IFERROR(AVERAGEIFS(DATOS!$K$2:$K$20000,DATOS!$A$2:$A$20000,A270,DATOS!$G$2:$G$20000,CONFIG_METADATA!$B$4,DATOS!$I$2:$I$20000,"Conjunto"),""))</f>
        <v/>
      </c>
      <c r="E270" t="str" cm="1">
        <f t="array" ref="E270">IF(A270="","",IFERROR(AVERAGE(IF((DATOS!$A$2:$A$20000=A270)*(DATOS!$G$2:$G$20000=CONFIG_METADATA!$B$4)*(DATOS!$I$2:$I$20000&lt;&gt;"Lenguaje Musical")*(DATOS!$I$2:$I$20000&lt;&gt;"Coro")*(DATOS!$I$2:$I$20000&lt;&gt;"Conjunto"),DATOS!$K$2:$K$20000)),""))</f>
        <v/>
      </c>
      <c r="H270" t="str">
        <f>IF(G270="","",IFERROR(AVERAGEIFS(DATOS!$K$2:$K$20000,DATOS!$A$2:$A$20000,G270,DATOS!$G$2:$G$20000,CONFIG_METADATA!$B$4,DATOS!$I$2:$I$20000,"Lenguaje Musical"),""))</f>
        <v/>
      </c>
      <c r="I270" t="str">
        <f>IF(G270="","",IFERROR(AVERAGEIFS(DATOS!$K$2:$K$20000,DATOS!$A$2:$A$20000,G270,DATOS!$G$2:$G$20000,CONFIG_METADATA!$B$4,DATOS!$I$2:$I$20000,"Coro"),""))</f>
        <v/>
      </c>
      <c r="J270" t="str">
        <f>IF(G270="","",IFERROR(AVERAGEIFS(DATOS!$K$2:$K$20000,DATOS!$A$2:$A$20000,G270,DATOS!$G$2:$G$20000,CONFIG_METADATA!$B$4,DATOS!$I$2:$I$20000,"Conjunto"),""))</f>
        <v/>
      </c>
      <c r="K270" t="str" cm="1">
        <f t="array" ref="K270">IF(G270="","",IFERROR(AVERAGE(IF((DATOS!$A$2:$A$20000=G270)*(DATOS!$G$2:$G$20000=CONFIG_METADATA!$B$4)*(DATOS!$I$2:$I$20000&lt;&gt;"Lenguaje Musical")*(DATOS!$I$2:$I$20000&lt;&gt;"Coro")*(DATOS!$I$2:$I$20000&lt;&gt;"Conjunto"),DATOS!$K$2:$K$20000)),""))</f>
        <v/>
      </c>
      <c r="N270" t="str">
        <f>IF(M270="","",IFERROR(AVERAGEIFS(DATOS!$K$2:$K$20000,DATOS!$A$2:$A$20000,M270,DATOS!$G$2:$G$20000,CONFIG_METADATA!$B$4,DATOS!$I$2:$I$20000,"Lenguaje Musical"),""))</f>
        <v/>
      </c>
      <c r="O270" t="str">
        <f>IF(M270="","",IFERROR(AVERAGEIFS(DATOS!$K$2:$K$20000,DATOS!$A$2:$A$20000,M270,DATOS!$G$2:$G$20000,CONFIG_METADATA!$B$4,DATOS!$I$2:$I$20000,"Coro"),""))</f>
        <v/>
      </c>
      <c r="P270" t="str">
        <f>IF(M270="","",IFERROR(AVERAGEIFS(DATOS!$K$2:$K$20000,DATOS!$A$2:$A$20000,M270,DATOS!$G$2:$G$20000,CONFIG_METADATA!$B$4,DATOS!$I$2:$I$20000,"Conjunto"),""))</f>
        <v/>
      </c>
      <c r="Q270" t="str">
        <f>IF(M270="","",IFERROR(AVERAGEIFS(DATOS!$K$2:$K$20000,DATOS!$A$2:$A$20000,M270,DATOS!$G$2:$G$20000,CONFIG_METADATA!$B$4,DATOS!$I$2:$I$20000,"&lt;&gt;Lenguaje Musical",DATOS!$I$2:$I$20000,"&lt;&gt;Coro",DATOS!$I$2:$I$20000,"&lt;&gt;Conjunto"),""))</f>
        <v/>
      </c>
      <c r="T270" t="str">
        <f>IF(S270="","",IFERROR(AVERAGEIFS(DATOS!$K$2:$K$20000,DATOS!$A$2:$A$20000,S270,DATOS!$G$2:$G$20000,CONFIG_METADATA!$B$4,DATOS!$I$2:$I$20000,"Lenguaje Musical"),""))</f>
        <v/>
      </c>
      <c r="U270" t="str">
        <f>IF(S270="","",IFERROR(AVERAGEIFS(DATOS!$K$2:$K$20000,DATOS!$A$2:$A$20000,S270,DATOS!$G$2:$G$20000,CONFIG_METADATA!$B$4,DATOS!$I$2:$I$20000,"Coro"),""))</f>
        <v/>
      </c>
      <c r="V270" t="str">
        <f>IF(S270="","",IFERROR(AVERAGEIFS(DATOS!$K$2:$K$20000,DATOS!$A$2:$A$20000,S270,DATOS!$G$2:$G$20000,CONFIG_METADATA!$B$4,DATOS!$I$2:$I$20000,"Conjunto"),""))</f>
        <v/>
      </c>
      <c r="W270" t="str" cm="1">
        <f t="array" ref="W270">IF(S270="","",IFERROR(AVERAGE(IF((DATOS!$A$2:$A$20000=S270)*(DATOS!$G$2:$G$20000=CONFIG_METADATA!$B$4)*(DATOS!$I$2:$I$20000&lt;&gt;"Lenguaje Musical")*(DATOS!$I$2:$I$20000&lt;&gt;"Coro")*(DATOS!$I$2:$I$20000&lt;&gt;"Conjunto"),DATOS!$K$2:$K$20000)),""))</f>
        <v/>
      </c>
    </row>
    <row r="271" spans="2:23" x14ac:dyDescent="0.2">
      <c r="B271" t="str">
        <f>IF(A271="","",IFERROR(AVERAGEIFS(DATOS!$K$2:$K$20000,DATOS!$A$2:$A$20000,A271,DATOS!$G$2:$G$20000,CONFIG_METADATA!$B$4,DATOS!$I$2:$I$20000,"Lenguaje Musical"),""))</f>
        <v/>
      </c>
      <c r="C271" t="str">
        <f>IF(A271="","",IFERROR(AVERAGEIFS(DATOS!$K$2:$K$20000,DATOS!$A$2:$A$20000,A271,DATOS!$G$2:$G$20000,CONFIG_METADATA!$B$4,DATOS!$I$2:$I$20000,"Coro"),""))</f>
        <v/>
      </c>
      <c r="D271" t="str">
        <f>IF(A271="","",IFERROR(AVERAGEIFS(DATOS!$K$2:$K$20000,DATOS!$A$2:$A$20000,A271,DATOS!$G$2:$G$20000,CONFIG_METADATA!$B$4,DATOS!$I$2:$I$20000,"Conjunto"),""))</f>
        <v/>
      </c>
      <c r="E271" t="str" cm="1">
        <f t="array" ref="E271">IF(A271="","",IFERROR(AVERAGE(IF((DATOS!$A$2:$A$20000=A271)*(DATOS!$G$2:$G$20000=CONFIG_METADATA!$B$4)*(DATOS!$I$2:$I$20000&lt;&gt;"Lenguaje Musical")*(DATOS!$I$2:$I$20000&lt;&gt;"Coro")*(DATOS!$I$2:$I$20000&lt;&gt;"Conjunto"),DATOS!$K$2:$K$20000)),""))</f>
        <v/>
      </c>
      <c r="H271" t="str">
        <f>IF(G271="","",IFERROR(AVERAGEIFS(DATOS!$K$2:$K$20000,DATOS!$A$2:$A$20000,G271,DATOS!$G$2:$G$20000,CONFIG_METADATA!$B$4,DATOS!$I$2:$I$20000,"Lenguaje Musical"),""))</f>
        <v/>
      </c>
      <c r="I271" t="str">
        <f>IF(G271="","",IFERROR(AVERAGEIFS(DATOS!$K$2:$K$20000,DATOS!$A$2:$A$20000,G271,DATOS!$G$2:$G$20000,CONFIG_METADATA!$B$4,DATOS!$I$2:$I$20000,"Coro"),""))</f>
        <v/>
      </c>
      <c r="J271" t="str">
        <f>IF(G271="","",IFERROR(AVERAGEIFS(DATOS!$K$2:$K$20000,DATOS!$A$2:$A$20000,G271,DATOS!$G$2:$G$20000,CONFIG_METADATA!$B$4,DATOS!$I$2:$I$20000,"Conjunto"),""))</f>
        <v/>
      </c>
      <c r="K271" t="str" cm="1">
        <f t="array" ref="K271">IF(G271="","",IFERROR(AVERAGE(IF((DATOS!$A$2:$A$20000=G271)*(DATOS!$G$2:$G$20000=CONFIG_METADATA!$B$4)*(DATOS!$I$2:$I$20000&lt;&gt;"Lenguaje Musical")*(DATOS!$I$2:$I$20000&lt;&gt;"Coro")*(DATOS!$I$2:$I$20000&lt;&gt;"Conjunto"),DATOS!$K$2:$K$20000)),""))</f>
        <v/>
      </c>
      <c r="N271" t="str">
        <f>IF(M271="","",IFERROR(AVERAGEIFS(DATOS!$K$2:$K$20000,DATOS!$A$2:$A$20000,M271,DATOS!$G$2:$G$20000,CONFIG_METADATA!$B$4,DATOS!$I$2:$I$20000,"Lenguaje Musical"),""))</f>
        <v/>
      </c>
      <c r="O271" t="str">
        <f>IF(M271="","",IFERROR(AVERAGEIFS(DATOS!$K$2:$K$20000,DATOS!$A$2:$A$20000,M271,DATOS!$G$2:$G$20000,CONFIG_METADATA!$B$4,DATOS!$I$2:$I$20000,"Coro"),""))</f>
        <v/>
      </c>
      <c r="P271" t="str">
        <f>IF(M271="","",IFERROR(AVERAGEIFS(DATOS!$K$2:$K$20000,DATOS!$A$2:$A$20000,M271,DATOS!$G$2:$G$20000,CONFIG_METADATA!$B$4,DATOS!$I$2:$I$20000,"Conjunto"),""))</f>
        <v/>
      </c>
      <c r="Q271" t="str">
        <f>IF(M271="","",IFERROR(AVERAGEIFS(DATOS!$K$2:$K$20000,DATOS!$A$2:$A$20000,M271,DATOS!$G$2:$G$20000,CONFIG_METADATA!$B$4,DATOS!$I$2:$I$20000,"&lt;&gt;Lenguaje Musical",DATOS!$I$2:$I$20000,"&lt;&gt;Coro",DATOS!$I$2:$I$20000,"&lt;&gt;Conjunto"),""))</f>
        <v/>
      </c>
      <c r="T271" t="str">
        <f>IF(S271="","",IFERROR(AVERAGEIFS(DATOS!$K$2:$K$20000,DATOS!$A$2:$A$20000,S271,DATOS!$G$2:$G$20000,CONFIG_METADATA!$B$4,DATOS!$I$2:$I$20000,"Lenguaje Musical"),""))</f>
        <v/>
      </c>
      <c r="U271" t="str">
        <f>IF(S271="","",IFERROR(AVERAGEIFS(DATOS!$K$2:$K$20000,DATOS!$A$2:$A$20000,S271,DATOS!$G$2:$G$20000,CONFIG_METADATA!$B$4,DATOS!$I$2:$I$20000,"Coro"),""))</f>
        <v/>
      </c>
      <c r="V271" t="str">
        <f>IF(S271="","",IFERROR(AVERAGEIFS(DATOS!$K$2:$K$20000,DATOS!$A$2:$A$20000,S271,DATOS!$G$2:$G$20000,CONFIG_METADATA!$B$4,DATOS!$I$2:$I$20000,"Conjunto"),""))</f>
        <v/>
      </c>
      <c r="W271" t="str" cm="1">
        <f t="array" ref="W271">IF(S271="","",IFERROR(AVERAGE(IF((DATOS!$A$2:$A$20000=S271)*(DATOS!$G$2:$G$20000=CONFIG_METADATA!$B$4)*(DATOS!$I$2:$I$20000&lt;&gt;"Lenguaje Musical")*(DATOS!$I$2:$I$20000&lt;&gt;"Coro")*(DATOS!$I$2:$I$20000&lt;&gt;"Conjunto"),DATOS!$K$2:$K$20000)),""))</f>
        <v/>
      </c>
    </row>
    <row r="272" spans="2:23" x14ac:dyDescent="0.2">
      <c r="B272" t="str">
        <f>IF(A272="","",IFERROR(AVERAGEIFS(DATOS!$K$2:$K$20000,DATOS!$A$2:$A$20000,A272,DATOS!$G$2:$G$20000,CONFIG_METADATA!$B$4,DATOS!$I$2:$I$20000,"Lenguaje Musical"),""))</f>
        <v/>
      </c>
      <c r="C272" t="str">
        <f>IF(A272="","",IFERROR(AVERAGEIFS(DATOS!$K$2:$K$20000,DATOS!$A$2:$A$20000,A272,DATOS!$G$2:$G$20000,CONFIG_METADATA!$B$4,DATOS!$I$2:$I$20000,"Coro"),""))</f>
        <v/>
      </c>
      <c r="D272" t="str">
        <f>IF(A272="","",IFERROR(AVERAGEIFS(DATOS!$K$2:$K$20000,DATOS!$A$2:$A$20000,A272,DATOS!$G$2:$G$20000,CONFIG_METADATA!$B$4,DATOS!$I$2:$I$20000,"Conjunto"),""))</f>
        <v/>
      </c>
      <c r="E272" t="str" cm="1">
        <f t="array" ref="E272">IF(A272="","",IFERROR(AVERAGE(IF((DATOS!$A$2:$A$20000=A272)*(DATOS!$G$2:$G$20000=CONFIG_METADATA!$B$4)*(DATOS!$I$2:$I$20000&lt;&gt;"Lenguaje Musical")*(DATOS!$I$2:$I$20000&lt;&gt;"Coro")*(DATOS!$I$2:$I$20000&lt;&gt;"Conjunto"),DATOS!$K$2:$K$20000)),""))</f>
        <v/>
      </c>
      <c r="H272" t="str">
        <f>IF(G272="","",IFERROR(AVERAGEIFS(DATOS!$K$2:$K$20000,DATOS!$A$2:$A$20000,G272,DATOS!$G$2:$G$20000,CONFIG_METADATA!$B$4,DATOS!$I$2:$I$20000,"Lenguaje Musical"),""))</f>
        <v/>
      </c>
      <c r="I272" t="str">
        <f>IF(G272="","",IFERROR(AVERAGEIFS(DATOS!$K$2:$K$20000,DATOS!$A$2:$A$20000,G272,DATOS!$G$2:$G$20000,CONFIG_METADATA!$B$4,DATOS!$I$2:$I$20000,"Coro"),""))</f>
        <v/>
      </c>
      <c r="J272" t="str">
        <f>IF(G272="","",IFERROR(AVERAGEIFS(DATOS!$K$2:$K$20000,DATOS!$A$2:$A$20000,G272,DATOS!$G$2:$G$20000,CONFIG_METADATA!$B$4,DATOS!$I$2:$I$20000,"Conjunto"),""))</f>
        <v/>
      </c>
      <c r="K272" t="str" cm="1">
        <f t="array" ref="K272">IF(G272="","",IFERROR(AVERAGE(IF((DATOS!$A$2:$A$20000=G272)*(DATOS!$G$2:$G$20000=CONFIG_METADATA!$B$4)*(DATOS!$I$2:$I$20000&lt;&gt;"Lenguaje Musical")*(DATOS!$I$2:$I$20000&lt;&gt;"Coro")*(DATOS!$I$2:$I$20000&lt;&gt;"Conjunto"),DATOS!$K$2:$K$20000)),""))</f>
        <v/>
      </c>
      <c r="N272" t="str">
        <f>IF(M272="","",IFERROR(AVERAGEIFS(DATOS!$K$2:$K$20000,DATOS!$A$2:$A$20000,M272,DATOS!$G$2:$G$20000,CONFIG_METADATA!$B$4,DATOS!$I$2:$I$20000,"Lenguaje Musical"),""))</f>
        <v/>
      </c>
      <c r="O272" t="str">
        <f>IF(M272="","",IFERROR(AVERAGEIFS(DATOS!$K$2:$K$20000,DATOS!$A$2:$A$20000,M272,DATOS!$G$2:$G$20000,CONFIG_METADATA!$B$4,DATOS!$I$2:$I$20000,"Coro"),""))</f>
        <v/>
      </c>
      <c r="P272" t="str">
        <f>IF(M272="","",IFERROR(AVERAGEIFS(DATOS!$K$2:$K$20000,DATOS!$A$2:$A$20000,M272,DATOS!$G$2:$G$20000,CONFIG_METADATA!$B$4,DATOS!$I$2:$I$20000,"Conjunto"),""))</f>
        <v/>
      </c>
      <c r="Q272" t="str">
        <f>IF(M272="","",IFERROR(AVERAGEIFS(DATOS!$K$2:$K$20000,DATOS!$A$2:$A$20000,M272,DATOS!$G$2:$G$20000,CONFIG_METADATA!$B$4,DATOS!$I$2:$I$20000,"&lt;&gt;Lenguaje Musical",DATOS!$I$2:$I$20000,"&lt;&gt;Coro",DATOS!$I$2:$I$20000,"&lt;&gt;Conjunto"),""))</f>
        <v/>
      </c>
      <c r="T272" t="str">
        <f>IF(S272="","",IFERROR(AVERAGEIFS(DATOS!$K$2:$K$20000,DATOS!$A$2:$A$20000,S272,DATOS!$G$2:$G$20000,CONFIG_METADATA!$B$4,DATOS!$I$2:$I$20000,"Lenguaje Musical"),""))</f>
        <v/>
      </c>
      <c r="U272" t="str">
        <f>IF(S272="","",IFERROR(AVERAGEIFS(DATOS!$K$2:$K$20000,DATOS!$A$2:$A$20000,S272,DATOS!$G$2:$G$20000,CONFIG_METADATA!$B$4,DATOS!$I$2:$I$20000,"Coro"),""))</f>
        <v/>
      </c>
      <c r="V272" t="str">
        <f>IF(S272="","",IFERROR(AVERAGEIFS(DATOS!$K$2:$K$20000,DATOS!$A$2:$A$20000,S272,DATOS!$G$2:$G$20000,CONFIG_METADATA!$B$4,DATOS!$I$2:$I$20000,"Conjunto"),""))</f>
        <v/>
      </c>
      <c r="W272" t="str" cm="1">
        <f t="array" ref="W272">IF(S272="","",IFERROR(AVERAGE(IF((DATOS!$A$2:$A$20000=S272)*(DATOS!$G$2:$G$20000=CONFIG_METADATA!$B$4)*(DATOS!$I$2:$I$20000&lt;&gt;"Lenguaje Musical")*(DATOS!$I$2:$I$20000&lt;&gt;"Coro")*(DATOS!$I$2:$I$20000&lt;&gt;"Conjunto"),DATOS!$K$2:$K$20000)),""))</f>
        <v/>
      </c>
    </row>
    <row r="273" spans="2:23" x14ac:dyDescent="0.2">
      <c r="B273" t="str">
        <f>IF(A273="","",IFERROR(AVERAGEIFS(DATOS!$K$2:$K$20000,DATOS!$A$2:$A$20000,A273,DATOS!$G$2:$G$20000,CONFIG_METADATA!$B$4,DATOS!$I$2:$I$20000,"Lenguaje Musical"),""))</f>
        <v/>
      </c>
      <c r="C273" t="str">
        <f>IF(A273="","",IFERROR(AVERAGEIFS(DATOS!$K$2:$K$20000,DATOS!$A$2:$A$20000,A273,DATOS!$G$2:$G$20000,CONFIG_METADATA!$B$4,DATOS!$I$2:$I$20000,"Coro"),""))</f>
        <v/>
      </c>
      <c r="D273" t="str">
        <f>IF(A273="","",IFERROR(AVERAGEIFS(DATOS!$K$2:$K$20000,DATOS!$A$2:$A$20000,A273,DATOS!$G$2:$G$20000,CONFIG_METADATA!$B$4,DATOS!$I$2:$I$20000,"Conjunto"),""))</f>
        <v/>
      </c>
      <c r="E273" t="str" cm="1">
        <f t="array" ref="E273">IF(A273="","",IFERROR(AVERAGE(IF((DATOS!$A$2:$A$20000=A273)*(DATOS!$G$2:$G$20000=CONFIG_METADATA!$B$4)*(DATOS!$I$2:$I$20000&lt;&gt;"Lenguaje Musical")*(DATOS!$I$2:$I$20000&lt;&gt;"Coro")*(DATOS!$I$2:$I$20000&lt;&gt;"Conjunto"),DATOS!$K$2:$K$20000)),""))</f>
        <v/>
      </c>
      <c r="H273" t="str">
        <f>IF(G273="","",IFERROR(AVERAGEIFS(DATOS!$K$2:$K$20000,DATOS!$A$2:$A$20000,G273,DATOS!$G$2:$G$20000,CONFIG_METADATA!$B$4,DATOS!$I$2:$I$20000,"Lenguaje Musical"),""))</f>
        <v/>
      </c>
      <c r="I273" t="str">
        <f>IF(G273="","",IFERROR(AVERAGEIFS(DATOS!$K$2:$K$20000,DATOS!$A$2:$A$20000,G273,DATOS!$G$2:$G$20000,CONFIG_METADATA!$B$4,DATOS!$I$2:$I$20000,"Coro"),""))</f>
        <v/>
      </c>
      <c r="J273" t="str">
        <f>IF(G273="","",IFERROR(AVERAGEIFS(DATOS!$K$2:$K$20000,DATOS!$A$2:$A$20000,G273,DATOS!$G$2:$G$20000,CONFIG_METADATA!$B$4,DATOS!$I$2:$I$20000,"Conjunto"),""))</f>
        <v/>
      </c>
      <c r="K273" t="str" cm="1">
        <f t="array" ref="K273">IF(G273="","",IFERROR(AVERAGE(IF((DATOS!$A$2:$A$20000=G273)*(DATOS!$G$2:$G$20000=CONFIG_METADATA!$B$4)*(DATOS!$I$2:$I$20000&lt;&gt;"Lenguaje Musical")*(DATOS!$I$2:$I$20000&lt;&gt;"Coro")*(DATOS!$I$2:$I$20000&lt;&gt;"Conjunto"),DATOS!$K$2:$K$20000)),""))</f>
        <v/>
      </c>
      <c r="N273" t="str">
        <f>IF(M273="","",IFERROR(AVERAGEIFS(DATOS!$K$2:$K$20000,DATOS!$A$2:$A$20000,M273,DATOS!$G$2:$G$20000,CONFIG_METADATA!$B$4,DATOS!$I$2:$I$20000,"Lenguaje Musical"),""))</f>
        <v/>
      </c>
      <c r="O273" t="str">
        <f>IF(M273="","",IFERROR(AVERAGEIFS(DATOS!$K$2:$K$20000,DATOS!$A$2:$A$20000,M273,DATOS!$G$2:$G$20000,CONFIG_METADATA!$B$4,DATOS!$I$2:$I$20000,"Coro"),""))</f>
        <v/>
      </c>
      <c r="P273" t="str">
        <f>IF(M273="","",IFERROR(AVERAGEIFS(DATOS!$K$2:$K$20000,DATOS!$A$2:$A$20000,M273,DATOS!$G$2:$G$20000,CONFIG_METADATA!$B$4,DATOS!$I$2:$I$20000,"Conjunto"),""))</f>
        <v/>
      </c>
      <c r="Q273" t="str">
        <f>IF(M273="","",IFERROR(AVERAGEIFS(DATOS!$K$2:$K$20000,DATOS!$A$2:$A$20000,M273,DATOS!$G$2:$G$20000,CONFIG_METADATA!$B$4,DATOS!$I$2:$I$20000,"&lt;&gt;Lenguaje Musical",DATOS!$I$2:$I$20000,"&lt;&gt;Coro",DATOS!$I$2:$I$20000,"&lt;&gt;Conjunto"),""))</f>
        <v/>
      </c>
      <c r="T273" t="str">
        <f>IF(S273="","",IFERROR(AVERAGEIFS(DATOS!$K$2:$K$20000,DATOS!$A$2:$A$20000,S273,DATOS!$G$2:$G$20000,CONFIG_METADATA!$B$4,DATOS!$I$2:$I$20000,"Lenguaje Musical"),""))</f>
        <v/>
      </c>
      <c r="U273" t="str">
        <f>IF(S273="","",IFERROR(AVERAGEIFS(DATOS!$K$2:$K$20000,DATOS!$A$2:$A$20000,S273,DATOS!$G$2:$G$20000,CONFIG_METADATA!$B$4,DATOS!$I$2:$I$20000,"Coro"),""))</f>
        <v/>
      </c>
      <c r="V273" t="str">
        <f>IF(S273="","",IFERROR(AVERAGEIFS(DATOS!$K$2:$K$20000,DATOS!$A$2:$A$20000,S273,DATOS!$G$2:$G$20000,CONFIG_METADATA!$B$4,DATOS!$I$2:$I$20000,"Conjunto"),""))</f>
        <v/>
      </c>
      <c r="W273" t="str" cm="1">
        <f t="array" ref="W273">IF(S273="","",IFERROR(AVERAGE(IF((DATOS!$A$2:$A$20000=S273)*(DATOS!$G$2:$G$20000=CONFIG_METADATA!$B$4)*(DATOS!$I$2:$I$20000&lt;&gt;"Lenguaje Musical")*(DATOS!$I$2:$I$20000&lt;&gt;"Coro")*(DATOS!$I$2:$I$20000&lt;&gt;"Conjunto"),DATOS!$K$2:$K$20000)),""))</f>
        <v/>
      </c>
    </row>
    <row r="274" spans="2:23" x14ac:dyDescent="0.2">
      <c r="B274" t="str">
        <f>IF(A274="","",IFERROR(AVERAGEIFS(DATOS!$K$2:$K$20000,DATOS!$A$2:$A$20000,A274,DATOS!$G$2:$G$20000,CONFIG_METADATA!$B$4,DATOS!$I$2:$I$20000,"Lenguaje Musical"),""))</f>
        <v/>
      </c>
      <c r="C274" t="str">
        <f>IF(A274="","",IFERROR(AVERAGEIFS(DATOS!$K$2:$K$20000,DATOS!$A$2:$A$20000,A274,DATOS!$G$2:$G$20000,CONFIG_METADATA!$B$4,DATOS!$I$2:$I$20000,"Coro"),""))</f>
        <v/>
      </c>
      <c r="D274" t="str">
        <f>IF(A274="","",IFERROR(AVERAGEIFS(DATOS!$K$2:$K$20000,DATOS!$A$2:$A$20000,A274,DATOS!$G$2:$G$20000,CONFIG_METADATA!$B$4,DATOS!$I$2:$I$20000,"Conjunto"),""))</f>
        <v/>
      </c>
      <c r="E274" t="str" cm="1">
        <f t="array" ref="E274">IF(A274="","",IFERROR(AVERAGE(IF((DATOS!$A$2:$A$20000=A274)*(DATOS!$G$2:$G$20000=CONFIG_METADATA!$B$4)*(DATOS!$I$2:$I$20000&lt;&gt;"Lenguaje Musical")*(DATOS!$I$2:$I$20000&lt;&gt;"Coro")*(DATOS!$I$2:$I$20000&lt;&gt;"Conjunto"),DATOS!$K$2:$K$20000)),""))</f>
        <v/>
      </c>
      <c r="H274" t="str">
        <f>IF(G274="","",IFERROR(AVERAGEIFS(DATOS!$K$2:$K$20000,DATOS!$A$2:$A$20000,G274,DATOS!$G$2:$G$20000,CONFIG_METADATA!$B$4,DATOS!$I$2:$I$20000,"Lenguaje Musical"),""))</f>
        <v/>
      </c>
      <c r="I274" t="str">
        <f>IF(G274="","",IFERROR(AVERAGEIFS(DATOS!$K$2:$K$20000,DATOS!$A$2:$A$20000,G274,DATOS!$G$2:$G$20000,CONFIG_METADATA!$B$4,DATOS!$I$2:$I$20000,"Coro"),""))</f>
        <v/>
      </c>
      <c r="J274" t="str">
        <f>IF(G274="","",IFERROR(AVERAGEIFS(DATOS!$K$2:$K$20000,DATOS!$A$2:$A$20000,G274,DATOS!$G$2:$G$20000,CONFIG_METADATA!$B$4,DATOS!$I$2:$I$20000,"Conjunto"),""))</f>
        <v/>
      </c>
      <c r="K274" t="str" cm="1">
        <f t="array" ref="K274">IF(G274="","",IFERROR(AVERAGE(IF((DATOS!$A$2:$A$20000=G274)*(DATOS!$G$2:$G$20000=CONFIG_METADATA!$B$4)*(DATOS!$I$2:$I$20000&lt;&gt;"Lenguaje Musical")*(DATOS!$I$2:$I$20000&lt;&gt;"Coro")*(DATOS!$I$2:$I$20000&lt;&gt;"Conjunto"),DATOS!$K$2:$K$20000)),""))</f>
        <v/>
      </c>
      <c r="N274" t="str">
        <f>IF(M274="","",IFERROR(AVERAGEIFS(DATOS!$K$2:$K$20000,DATOS!$A$2:$A$20000,M274,DATOS!$G$2:$G$20000,CONFIG_METADATA!$B$4,DATOS!$I$2:$I$20000,"Lenguaje Musical"),""))</f>
        <v/>
      </c>
      <c r="O274" t="str">
        <f>IF(M274="","",IFERROR(AVERAGEIFS(DATOS!$K$2:$K$20000,DATOS!$A$2:$A$20000,M274,DATOS!$G$2:$G$20000,CONFIG_METADATA!$B$4,DATOS!$I$2:$I$20000,"Coro"),""))</f>
        <v/>
      </c>
      <c r="P274" t="str">
        <f>IF(M274="","",IFERROR(AVERAGEIFS(DATOS!$K$2:$K$20000,DATOS!$A$2:$A$20000,M274,DATOS!$G$2:$G$20000,CONFIG_METADATA!$B$4,DATOS!$I$2:$I$20000,"Conjunto"),""))</f>
        <v/>
      </c>
      <c r="Q274" t="str">
        <f>IF(M274="","",IFERROR(AVERAGEIFS(DATOS!$K$2:$K$20000,DATOS!$A$2:$A$20000,M274,DATOS!$G$2:$G$20000,CONFIG_METADATA!$B$4,DATOS!$I$2:$I$20000,"&lt;&gt;Lenguaje Musical",DATOS!$I$2:$I$20000,"&lt;&gt;Coro",DATOS!$I$2:$I$20000,"&lt;&gt;Conjunto"),""))</f>
        <v/>
      </c>
      <c r="T274" t="str">
        <f>IF(S274="","",IFERROR(AVERAGEIFS(DATOS!$K$2:$K$20000,DATOS!$A$2:$A$20000,S274,DATOS!$G$2:$G$20000,CONFIG_METADATA!$B$4,DATOS!$I$2:$I$20000,"Lenguaje Musical"),""))</f>
        <v/>
      </c>
      <c r="U274" t="str">
        <f>IF(S274="","",IFERROR(AVERAGEIFS(DATOS!$K$2:$K$20000,DATOS!$A$2:$A$20000,S274,DATOS!$G$2:$G$20000,CONFIG_METADATA!$B$4,DATOS!$I$2:$I$20000,"Coro"),""))</f>
        <v/>
      </c>
      <c r="V274" t="str">
        <f>IF(S274="","",IFERROR(AVERAGEIFS(DATOS!$K$2:$K$20000,DATOS!$A$2:$A$20000,S274,DATOS!$G$2:$G$20000,CONFIG_METADATA!$B$4,DATOS!$I$2:$I$20000,"Conjunto"),""))</f>
        <v/>
      </c>
      <c r="W274" t="str" cm="1">
        <f t="array" ref="W274">IF(S274="","",IFERROR(AVERAGE(IF((DATOS!$A$2:$A$20000=S274)*(DATOS!$G$2:$G$20000=CONFIG_METADATA!$B$4)*(DATOS!$I$2:$I$20000&lt;&gt;"Lenguaje Musical")*(DATOS!$I$2:$I$20000&lt;&gt;"Coro")*(DATOS!$I$2:$I$20000&lt;&gt;"Conjunto"),DATOS!$K$2:$K$20000)),""))</f>
        <v/>
      </c>
    </row>
    <row r="275" spans="2:23" x14ac:dyDescent="0.2">
      <c r="B275" t="str">
        <f>IF(A275="","",IFERROR(AVERAGEIFS(DATOS!$K$2:$K$20000,DATOS!$A$2:$A$20000,A275,DATOS!$G$2:$G$20000,CONFIG_METADATA!$B$4,DATOS!$I$2:$I$20000,"Lenguaje Musical"),""))</f>
        <v/>
      </c>
      <c r="C275" t="str">
        <f>IF(A275="","",IFERROR(AVERAGEIFS(DATOS!$K$2:$K$20000,DATOS!$A$2:$A$20000,A275,DATOS!$G$2:$G$20000,CONFIG_METADATA!$B$4,DATOS!$I$2:$I$20000,"Coro"),""))</f>
        <v/>
      </c>
      <c r="D275" t="str">
        <f>IF(A275="","",IFERROR(AVERAGEIFS(DATOS!$K$2:$K$20000,DATOS!$A$2:$A$20000,A275,DATOS!$G$2:$G$20000,CONFIG_METADATA!$B$4,DATOS!$I$2:$I$20000,"Conjunto"),""))</f>
        <v/>
      </c>
      <c r="E275" t="str" cm="1">
        <f t="array" ref="E275">IF(A275="","",IFERROR(AVERAGE(IF((DATOS!$A$2:$A$20000=A275)*(DATOS!$G$2:$G$20000=CONFIG_METADATA!$B$4)*(DATOS!$I$2:$I$20000&lt;&gt;"Lenguaje Musical")*(DATOS!$I$2:$I$20000&lt;&gt;"Coro")*(DATOS!$I$2:$I$20000&lt;&gt;"Conjunto"),DATOS!$K$2:$K$20000)),""))</f>
        <v/>
      </c>
      <c r="H275" t="str">
        <f>IF(G275="","",IFERROR(AVERAGEIFS(DATOS!$K$2:$K$20000,DATOS!$A$2:$A$20000,G275,DATOS!$G$2:$G$20000,CONFIG_METADATA!$B$4,DATOS!$I$2:$I$20000,"Lenguaje Musical"),""))</f>
        <v/>
      </c>
      <c r="I275" t="str">
        <f>IF(G275="","",IFERROR(AVERAGEIFS(DATOS!$K$2:$K$20000,DATOS!$A$2:$A$20000,G275,DATOS!$G$2:$G$20000,CONFIG_METADATA!$B$4,DATOS!$I$2:$I$20000,"Coro"),""))</f>
        <v/>
      </c>
      <c r="J275" t="str">
        <f>IF(G275="","",IFERROR(AVERAGEIFS(DATOS!$K$2:$K$20000,DATOS!$A$2:$A$20000,G275,DATOS!$G$2:$G$20000,CONFIG_METADATA!$B$4,DATOS!$I$2:$I$20000,"Conjunto"),""))</f>
        <v/>
      </c>
      <c r="K275" t="str" cm="1">
        <f t="array" ref="K275">IF(G275="","",IFERROR(AVERAGE(IF((DATOS!$A$2:$A$20000=G275)*(DATOS!$G$2:$G$20000=CONFIG_METADATA!$B$4)*(DATOS!$I$2:$I$20000&lt;&gt;"Lenguaje Musical")*(DATOS!$I$2:$I$20000&lt;&gt;"Coro")*(DATOS!$I$2:$I$20000&lt;&gt;"Conjunto"),DATOS!$K$2:$K$20000)),""))</f>
        <v/>
      </c>
      <c r="N275" t="str">
        <f>IF(M275="","",IFERROR(AVERAGEIFS(DATOS!$K$2:$K$20000,DATOS!$A$2:$A$20000,M275,DATOS!$G$2:$G$20000,CONFIG_METADATA!$B$4,DATOS!$I$2:$I$20000,"Lenguaje Musical"),""))</f>
        <v/>
      </c>
      <c r="O275" t="str">
        <f>IF(M275="","",IFERROR(AVERAGEIFS(DATOS!$K$2:$K$20000,DATOS!$A$2:$A$20000,M275,DATOS!$G$2:$G$20000,CONFIG_METADATA!$B$4,DATOS!$I$2:$I$20000,"Coro"),""))</f>
        <v/>
      </c>
      <c r="P275" t="str">
        <f>IF(M275="","",IFERROR(AVERAGEIFS(DATOS!$K$2:$K$20000,DATOS!$A$2:$A$20000,M275,DATOS!$G$2:$G$20000,CONFIG_METADATA!$B$4,DATOS!$I$2:$I$20000,"Conjunto"),""))</f>
        <v/>
      </c>
      <c r="Q275" t="str">
        <f>IF(M275="","",IFERROR(AVERAGEIFS(DATOS!$K$2:$K$20000,DATOS!$A$2:$A$20000,M275,DATOS!$G$2:$G$20000,CONFIG_METADATA!$B$4,DATOS!$I$2:$I$20000,"&lt;&gt;Lenguaje Musical",DATOS!$I$2:$I$20000,"&lt;&gt;Coro",DATOS!$I$2:$I$20000,"&lt;&gt;Conjunto"),""))</f>
        <v/>
      </c>
      <c r="T275" t="str">
        <f>IF(S275="","",IFERROR(AVERAGEIFS(DATOS!$K$2:$K$20000,DATOS!$A$2:$A$20000,S275,DATOS!$G$2:$G$20000,CONFIG_METADATA!$B$4,DATOS!$I$2:$I$20000,"Lenguaje Musical"),""))</f>
        <v/>
      </c>
      <c r="U275" t="str">
        <f>IF(S275="","",IFERROR(AVERAGEIFS(DATOS!$K$2:$K$20000,DATOS!$A$2:$A$20000,S275,DATOS!$G$2:$G$20000,CONFIG_METADATA!$B$4,DATOS!$I$2:$I$20000,"Coro"),""))</f>
        <v/>
      </c>
      <c r="V275" t="str">
        <f>IF(S275="","",IFERROR(AVERAGEIFS(DATOS!$K$2:$K$20000,DATOS!$A$2:$A$20000,S275,DATOS!$G$2:$G$20000,CONFIG_METADATA!$B$4,DATOS!$I$2:$I$20000,"Conjunto"),""))</f>
        <v/>
      </c>
      <c r="W275" t="str" cm="1">
        <f t="array" ref="W275">IF(S275="","",IFERROR(AVERAGE(IF((DATOS!$A$2:$A$20000=S275)*(DATOS!$G$2:$G$20000=CONFIG_METADATA!$B$4)*(DATOS!$I$2:$I$20000&lt;&gt;"Lenguaje Musical")*(DATOS!$I$2:$I$20000&lt;&gt;"Coro")*(DATOS!$I$2:$I$20000&lt;&gt;"Conjunto"),DATOS!$K$2:$K$20000)),""))</f>
        <v/>
      </c>
    </row>
    <row r="276" spans="2:23" x14ac:dyDescent="0.2">
      <c r="B276" t="str">
        <f>IF(A276="","",IFERROR(AVERAGEIFS(DATOS!$K$2:$K$20000,DATOS!$A$2:$A$20000,A276,DATOS!$G$2:$G$20000,CONFIG_METADATA!$B$4,DATOS!$I$2:$I$20000,"Lenguaje Musical"),""))</f>
        <v/>
      </c>
      <c r="C276" t="str">
        <f>IF(A276="","",IFERROR(AVERAGEIFS(DATOS!$K$2:$K$20000,DATOS!$A$2:$A$20000,A276,DATOS!$G$2:$G$20000,CONFIG_METADATA!$B$4,DATOS!$I$2:$I$20000,"Coro"),""))</f>
        <v/>
      </c>
      <c r="D276" t="str">
        <f>IF(A276="","",IFERROR(AVERAGEIFS(DATOS!$K$2:$K$20000,DATOS!$A$2:$A$20000,A276,DATOS!$G$2:$G$20000,CONFIG_METADATA!$B$4,DATOS!$I$2:$I$20000,"Conjunto"),""))</f>
        <v/>
      </c>
      <c r="E276" t="str" cm="1">
        <f t="array" ref="E276">IF(A276="","",IFERROR(AVERAGE(IF((DATOS!$A$2:$A$20000=A276)*(DATOS!$G$2:$G$20000=CONFIG_METADATA!$B$4)*(DATOS!$I$2:$I$20000&lt;&gt;"Lenguaje Musical")*(DATOS!$I$2:$I$20000&lt;&gt;"Coro")*(DATOS!$I$2:$I$20000&lt;&gt;"Conjunto"),DATOS!$K$2:$K$20000)),""))</f>
        <v/>
      </c>
      <c r="H276" t="str">
        <f>IF(G276="","",IFERROR(AVERAGEIFS(DATOS!$K$2:$K$20000,DATOS!$A$2:$A$20000,G276,DATOS!$G$2:$G$20000,CONFIG_METADATA!$B$4,DATOS!$I$2:$I$20000,"Lenguaje Musical"),""))</f>
        <v/>
      </c>
      <c r="I276" t="str">
        <f>IF(G276="","",IFERROR(AVERAGEIFS(DATOS!$K$2:$K$20000,DATOS!$A$2:$A$20000,G276,DATOS!$G$2:$G$20000,CONFIG_METADATA!$B$4,DATOS!$I$2:$I$20000,"Coro"),""))</f>
        <v/>
      </c>
      <c r="J276" t="str">
        <f>IF(G276="","",IFERROR(AVERAGEIFS(DATOS!$K$2:$K$20000,DATOS!$A$2:$A$20000,G276,DATOS!$G$2:$G$20000,CONFIG_METADATA!$B$4,DATOS!$I$2:$I$20000,"Conjunto"),""))</f>
        <v/>
      </c>
      <c r="K276" t="str" cm="1">
        <f t="array" ref="K276">IF(G276="","",IFERROR(AVERAGE(IF((DATOS!$A$2:$A$20000=G276)*(DATOS!$G$2:$G$20000=CONFIG_METADATA!$B$4)*(DATOS!$I$2:$I$20000&lt;&gt;"Lenguaje Musical")*(DATOS!$I$2:$I$20000&lt;&gt;"Coro")*(DATOS!$I$2:$I$20000&lt;&gt;"Conjunto"),DATOS!$K$2:$K$20000)),""))</f>
        <v/>
      </c>
      <c r="N276" t="str">
        <f>IF(M276="","",IFERROR(AVERAGEIFS(DATOS!$K$2:$K$20000,DATOS!$A$2:$A$20000,M276,DATOS!$G$2:$G$20000,CONFIG_METADATA!$B$4,DATOS!$I$2:$I$20000,"Lenguaje Musical"),""))</f>
        <v/>
      </c>
      <c r="O276" t="str">
        <f>IF(M276="","",IFERROR(AVERAGEIFS(DATOS!$K$2:$K$20000,DATOS!$A$2:$A$20000,M276,DATOS!$G$2:$G$20000,CONFIG_METADATA!$B$4,DATOS!$I$2:$I$20000,"Coro"),""))</f>
        <v/>
      </c>
      <c r="P276" t="str">
        <f>IF(M276="","",IFERROR(AVERAGEIFS(DATOS!$K$2:$K$20000,DATOS!$A$2:$A$20000,M276,DATOS!$G$2:$G$20000,CONFIG_METADATA!$B$4,DATOS!$I$2:$I$20000,"Conjunto"),""))</f>
        <v/>
      </c>
      <c r="Q276" t="str">
        <f>IF(M276="","",IFERROR(AVERAGEIFS(DATOS!$K$2:$K$20000,DATOS!$A$2:$A$20000,M276,DATOS!$G$2:$G$20000,CONFIG_METADATA!$B$4,DATOS!$I$2:$I$20000,"&lt;&gt;Lenguaje Musical",DATOS!$I$2:$I$20000,"&lt;&gt;Coro",DATOS!$I$2:$I$20000,"&lt;&gt;Conjunto"),""))</f>
        <v/>
      </c>
      <c r="T276" t="str">
        <f>IF(S276="","",IFERROR(AVERAGEIFS(DATOS!$K$2:$K$20000,DATOS!$A$2:$A$20000,S276,DATOS!$G$2:$G$20000,CONFIG_METADATA!$B$4,DATOS!$I$2:$I$20000,"Lenguaje Musical"),""))</f>
        <v/>
      </c>
      <c r="U276" t="str">
        <f>IF(S276="","",IFERROR(AVERAGEIFS(DATOS!$K$2:$K$20000,DATOS!$A$2:$A$20000,S276,DATOS!$G$2:$G$20000,CONFIG_METADATA!$B$4,DATOS!$I$2:$I$20000,"Coro"),""))</f>
        <v/>
      </c>
      <c r="V276" t="str">
        <f>IF(S276="","",IFERROR(AVERAGEIFS(DATOS!$K$2:$K$20000,DATOS!$A$2:$A$20000,S276,DATOS!$G$2:$G$20000,CONFIG_METADATA!$B$4,DATOS!$I$2:$I$20000,"Conjunto"),""))</f>
        <v/>
      </c>
      <c r="W276" t="str" cm="1">
        <f t="array" ref="W276">IF(S276="","",IFERROR(AVERAGE(IF((DATOS!$A$2:$A$20000=S276)*(DATOS!$G$2:$G$20000=CONFIG_METADATA!$B$4)*(DATOS!$I$2:$I$20000&lt;&gt;"Lenguaje Musical")*(DATOS!$I$2:$I$20000&lt;&gt;"Coro")*(DATOS!$I$2:$I$20000&lt;&gt;"Conjunto"),DATOS!$K$2:$K$20000)),""))</f>
        <v/>
      </c>
    </row>
    <row r="277" spans="2:23" x14ac:dyDescent="0.2">
      <c r="B277" t="str">
        <f>IF(A277="","",IFERROR(AVERAGEIFS(DATOS!$K$2:$K$20000,DATOS!$A$2:$A$20000,A277,DATOS!$G$2:$G$20000,CONFIG_METADATA!$B$4,DATOS!$I$2:$I$20000,"Lenguaje Musical"),""))</f>
        <v/>
      </c>
      <c r="C277" t="str">
        <f>IF(A277="","",IFERROR(AVERAGEIFS(DATOS!$K$2:$K$20000,DATOS!$A$2:$A$20000,A277,DATOS!$G$2:$G$20000,CONFIG_METADATA!$B$4,DATOS!$I$2:$I$20000,"Coro"),""))</f>
        <v/>
      </c>
      <c r="D277" t="str">
        <f>IF(A277="","",IFERROR(AVERAGEIFS(DATOS!$K$2:$K$20000,DATOS!$A$2:$A$20000,A277,DATOS!$G$2:$G$20000,CONFIG_METADATA!$B$4,DATOS!$I$2:$I$20000,"Conjunto"),""))</f>
        <v/>
      </c>
      <c r="E277" t="str" cm="1">
        <f t="array" ref="E277">IF(A277="","",IFERROR(AVERAGE(IF((DATOS!$A$2:$A$20000=A277)*(DATOS!$G$2:$G$20000=CONFIG_METADATA!$B$4)*(DATOS!$I$2:$I$20000&lt;&gt;"Lenguaje Musical")*(DATOS!$I$2:$I$20000&lt;&gt;"Coro")*(DATOS!$I$2:$I$20000&lt;&gt;"Conjunto"),DATOS!$K$2:$K$20000)),""))</f>
        <v/>
      </c>
      <c r="H277" t="str">
        <f>IF(G277="","",IFERROR(AVERAGEIFS(DATOS!$K$2:$K$20000,DATOS!$A$2:$A$20000,G277,DATOS!$G$2:$G$20000,CONFIG_METADATA!$B$4,DATOS!$I$2:$I$20000,"Lenguaje Musical"),""))</f>
        <v/>
      </c>
      <c r="I277" t="str">
        <f>IF(G277="","",IFERROR(AVERAGEIFS(DATOS!$K$2:$K$20000,DATOS!$A$2:$A$20000,G277,DATOS!$G$2:$G$20000,CONFIG_METADATA!$B$4,DATOS!$I$2:$I$20000,"Coro"),""))</f>
        <v/>
      </c>
      <c r="J277" t="str">
        <f>IF(G277="","",IFERROR(AVERAGEIFS(DATOS!$K$2:$K$20000,DATOS!$A$2:$A$20000,G277,DATOS!$G$2:$G$20000,CONFIG_METADATA!$B$4,DATOS!$I$2:$I$20000,"Conjunto"),""))</f>
        <v/>
      </c>
      <c r="K277" t="str" cm="1">
        <f t="array" ref="K277">IF(G277="","",IFERROR(AVERAGE(IF((DATOS!$A$2:$A$20000=G277)*(DATOS!$G$2:$G$20000=CONFIG_METADATA!$B$4)*(DATOS!$I$2:$I$20000&lt;&gt;"Lenguaje Musical")*(DATOS!$I$2:$I$20000&lt;&gt;"Coro")*(DATOS!$I$2:$I$20000&lt;&gt;"Conjunto"),DATOS!$K$2:$K$20000)),""))</f>
        <v/>
      </c>
      <c r="N277" t="str">
        <f>IF(M277="","",IFERROR(AVERAGEIFS(DATOS!$K$2:$K$20000,DATOS!$A$2:$A$20000,M277,DATOS!$G$2:$G$20000,CONFIG_METADATA!$B$4,DATOS!$I$2:$I$20000,"Lenguaje Musical"),""))</f>
        <v/>
      </c>
      <c r="O277" t="str">
        <f>IF(M277="","",IFERROR(AVERAGEIFS(DATOS!$K$2:$K$20000,DATOS!$A$2:$A$20000,M277,DATOS!$G$2:$G$20000,CONFIG_METADATA!$B$4,DATOS!$I$2:$I$20000,"Coro"),""))</f>
        <v/>
      </c>
      <c r="P277" t="str">
        <f>IF(M277="","",IFERROR(AVERAGEIFS(DATOS!$K$2:$K$20000,DATOS!$A$2:$A$20000,M277,DATOS!$G$2:$G$20000,CONFIG_METADATA!$B$4,DATOS!$I$2:$I$20000,"Conjunto"),""))</f>
        <v/>
      </c>
      <c r="Q277" t="str">
        <f>IF(M277="","",IFERROR(AVERAGEIFS(DATOS!$K$2:$K$20000,DATOS!$A$2:$A$20000,M277,DATOS!$G$2:$G$20000,CONFIG_METADATA!$B$4,DATOS!$I$2:$I$20000,"&lt;&gt;Lenguaje Musical",DATOS!$I$2:$I$20000,"&lt;&gt;Coro",DATOS!$I$2:$I$20000,"&lt;&gt;Conjunto"),""))</f>
        <v/>
      </c>
      <c r="T277" t="str">
        <f>IF(S277="","",IFERROR(AVERAGEIFS(DATOS!$K$2:$K$20000,DATOS!$A$2:$A$20000,S277,DATOS!$G$2:$G$20000,CONFIG_METADATA!$B$4,DATOS!$I$2:$I$20000,"Lenguaje Musical"),""))</f>
        <v/>
      </c>
      <c r="U277" t="str">
        <f>IF(S277="","",IFERROR(AVERAGEIFS(DATOS!$K$2:$K$20000,DATOS!$A$2:$A$20000,S277,DATOS!$G$2:$G$20000,CONFIG_METADATA!$B$4,DATOS!$I$2:$I$20000,"Coro"),""))</f>
        <v/>
      </c>
      <c r="V277" t="str">
        <f>IF(S277="","",IFERROR(AVERAGEIFS(DATOS!$K$2:$K$20000,DATOS!$A$2:$A$20000,S277,DATOS!$G$2:$G$20000,CONFIG_METADATA!$B$4,DATOS!$I$2:$I$20000,"Conjunto"),""))</f>
        <v/>
      </c>
      <c r="W277" t="str" cm="1">
        <f t="array" ref="W277">IF(S277="","",IFERROR(AVERAGE(IF((DATOS!$A$2:$A$20000=S277)*(DATOS!$G$2:$G$20000=CONFIG_METADATA!$B$4)*(DATOS!$I$2:$I$20000&lt;&gt;"Lenguaje Musical")*(DATOS!$I$2:$I$20000&lt;&gt;"Coro")*(DATOS!$I$2:$I$20000&lt;&gt;"Conjunto"),DATOS!$K$2:$K$20000)),""))</f>
        <v/>
      </c>
    </row>
    <row r="278" spans="2:23" x14ac:dyDescent="0.2">
      <c r="B278" t="str">
        <f>IF(A278="","",IFERROR(AVERAGEIFS(DATOS!$K$2:$K$20000,DATOS!$A$2:$A$20000,A278,DATOS!$G$2:$G$20000,CONFIG_METADATA!$B$4,DATOS!$I$2:$I$20000,"Lenguaje Musical"),""))</f>
        <v/>
      </c>
      <c r="C278" t="str">
        <f>IF(A278="","",IFERROR(AVERAGEIFS(DATOS!$K$2:$K$20000,DATOS!$A$2:$A$20000,A278,DATOS!$G$2:$G$20000,CONFIG_METADATA!$B$4,DATOS!$I$2:$I$20000,"Coro"),""))</f>
        <v/>
      </c>
      <c r="D278" t="str">
        <f>IF(A278="","",IFERROR(AVERAGEIFS(DATOS!$K$2:$K$20000,DATOS!$A$2:$A$20000,A278,DATOS!$G$2:$G$20000,CONFIG_METADATA!$B$4,DATOS!$I$2:$I$20000,"Conjunto"),""))</f>
        <v/>
      </c>
      <c r="E278" t="str" cm="1">
        <f t="array" ref="E278">IF(A278="","",IFERROR(AVERAGE(IF((DATOS!$A$2:$A$20000=A278)*(DATOS!$G$2:$G$20000=CONFIG_METADATA!$B$4)*(DATOS!$I$2:$I$20000&lt;&gt;"Lenguaje Musical")*(DATOS!$I$2:$I$20000&lt;&gt;"Coro")*(DATOS!$I$2:$I$20000&lt;&gt;"Conjunto"),DATOS!$K$2:$K$20000)),""))</f>
        <v/>
      </c>
      <c r="H278" t="str">
        <f>IF(G278="","",IFERROR(AVERAGEIFS(DATOS!$K$2:$K$20000,DATOS!$A$2:$A$20000,G278,DATOS!$G$2:$G$20000,CONFIG_METADATA!$B$4,DATOS!$I$2:$I$20000,"Lenguaje Musical"),""))</f>
        <v/>
      </c>
      <c r="I278" t="str">
        <f>IF(G278="","",IFERROR(AVERAGEIFS(DATOS!$K$2:$K$20000,DATOS!$A$2:$A$20000,G278,DATOS!$G$2:$G$20000,CONFIG_METADATA!$B$4,DATOS!$I$2:$I$20000,"Coro"),""))</f>
        <v/>
      </c>
      <c r="J278" t="str">
        <f>IF(G278="","",IFERROR(AVERAGEIFS(DATOS!$K$2:$K$20000,DATOS!$A$2:$A$20000,G278,DATOS!$G$2:$G$20000,CONFIG_METADATA!$B$4,DATOS!$I$2:$I$20000,"Conjunto"),""))</f>
        <v/>
      </c>
      <c r="K278" t="str" cm="1">
        <f t="array" ref="K278">IF(G278="","",IFERROR(AVERAGE(IF((DATOS!$A$2:$A$20000=G278)*(DATOS!$G$2:$G$20000=CONFIG_METADATA!$B$4)*(DATOS!$I$2:$I$20000&lt;&gt;"Lenguaje Musical")*(DATOS!$I$2:$I$20000&lt;&gt;"Coro")*(DATOS!$I$2:$I$20000&lt;&gt;"Conjunto"),DATOS!$K$2:$K$20000)),""))</f>
        <v/>
      </c>
      <c r="N278" t="str">
        <f>IF(M278="","",IFERROR(AVERAGEIFS(DATOS!$K$2:$K$20000,DATOS!$A$2:$A$20000,M278,DATOS!$G$2:$G$20000,CONFIG_METADATA!$B$4,DATOS!$I$2:$I$20000,"Lenguaje Musical"),""))</f>
        <v/>
      </c>
      <c r="O278" t="str">
        <f>IF(M278="","",IFERROR(AVERAGEIFS(DATOS!$K$2:$K$20000,DATOS!$A$2:$A$20000,M278,DATOS!$G$2:$G$20000,CONFIG_METADATA!$B$4,DATOS!$I$2:$I$20000,"Coro"),""))</f>
        <v/>
      </c>
      <c r="P278" t="str">
        <f>IF(M278="","",IFERROR(AVERAGEIFS(DATOS!$K$2:$K$20000,DATOS!$A$2:$A$20000,M278,DATOS!$G$2:$G$20000,CONFIG_METADATA!$B$4,DATOS!$I$2:$I$20000,"Conjunto"),""))</f>
        <v/>
      </c>
      <c r="Q278" t="str">
        <f>IF(M278="","",IFERROR(AVERAGEIFS(DATOS!$K$2:$K$20000,DATOS!$A$2:$A$20000,M278,DATOS!$G$2:$G$20000,CONFIG_METADATA!$B$4,DATOS!$I$2:$I$20000,"&lt;&gt;Lenguaje Musical",DATOS!$I$2:$I$20000,"&lt;&gt;Coro",DATOS!$I$2:$I$20000,"&lt;&gt;Conjunto"),""))</f>
        <v/>
      </c>
      <c r="T278" t="str">
        <f>IF(S278="","",IFERROR(AVERAGEIFS(DATOS!$K$2:$K$20000,DATOS!$A$2:$A$20000,S278,DATOS!$G$2:$G$20000,CONFIG_METADATA!$B$4,DATOS!$I$2:$I$20000,"Lenguaje Musical"),""))</f>
        <v/>
      </c>
      <c r="U278" t="str">
        <f>IF(S278="","",IFERROR(AVERAGEIFS(DATOS!$K$2:$K$20000,DATOS!$A$2:$A$20000,S278,DATOS!$G$2:$G$20000,CONFIG_METADATA!$B$4,DATOS!$I$2:$I$20000,"Coro"),""))</f>
        <v/>
      </c>
      <c r="V278" t="str">
        <f>IF(S278="","",IFERROR(AVERAGEIFS(DATOS!$K$2:$K$20000,DATOS!$A$2:$A$20000,S278,DATOS!$G$2:$G$20000,CONFIG_METADATA!$B$4,DATOS!$I$2:$I$20000,"Conjunto"),""))</f>
        <v/>
      </c>
      <c r="W278" t="str" cm="1">
        <f t="array" ref="W278">IF(S278="","",IFERROR(AVERAGE(IF((DATOS!$A$2:$A$20000=S278)*(DATOS!$G$2:$G$20000=CONFIG_METADATA!$B$4)*(DATOS!$I$2:$I$20000&lt;&gt;"Lenguaje Musical")*(DATOS!$I$2:$I$20000&lt;&gt;"Coro")*(DATOS!$I$2:$I$20000&lt;&gt;"Conjunto"),DATOS!$K$2:$K$20000)),""))</f>
        <v/>
      </c>
    </row>
    <row r="279" spans="2:23" x14ac:dyDescent="0.2">
      <c r="B279" t="str">
        <f>IF(A279="","",IFERROR(AVERAGEIFS(DATOS!$K$2:$K$20000,DATOS!$A$2:$A$20000,A279,DATOS!$G$2:$G$20000,CONFIG_METADATA!$B$4,DATOS!$I$2:$I$20000,"Lenguaje Musical"),""))</f>
        <v/>
      </c>
      <c r="C279" t="str">
        <f>IF(A279="","",IFERROR(AVERAGEIFS(DATOS!$K$2:$K$20000,DATOS!$A$2:$A$20000,A279,DATOS!$G$2:$G$20000,CONFIG_METADATA!$B$4,DATOS!$I$2:$I$20000,"Coro"),""))</f>
        <v/>
      </c>
      <c r="D279" t="str">
        <f>IF(A279="","",IFERROR(AVERAGEIFS(DATOS!$K$2:$K$20000,DATOS!$A$2:$A$20000,A279,DATOS!$G$2:$G$20000,CONFIG_METADATA!$B$4,DATOS!$I$2:$I$20000,"Conjunto"),""))</f>
        <v/>
      </c>
      <c r="E279" t="str" cm="1">
        <f t="array" ref="E279">IF(A279="","",IFERROR(AVERAGE(IF((DATOS!$A$2:$A$20000=A279)*(DATOS!$G$2:$G$20000=CONFIG_METADATA!$B$4)*(DATOS!$I$2:$I$20000&lt;&gt;"Lenguaje Musical")*(DATOS!$I$2:$I$20000&lt;&gt;"Coro")*(DATOS!$I$2:$I$20000&lt;&gt;"Conjunto"),DATOS!$K$2:$K$20000)),""))</f>
        <v/>
      </c>
      <c r="H279" t="str">
        <f>IF(G279="","",IFERROR(AVERAGEIFS(DATOS!$K$2:$K$20000,DATOS!$A$2:$A$20000,G279,DATOS!$G$2:$G$20000,CONFIG_METADATA!$B$4,DATOS!$I$2:$I$20000,"Lenguaje Musical"),""))</f>
        <v/>
      </c>
      <c r="I279" t="str">
        <f>IF(G279="","",IFERROR(AVERAGEIFS(DATOS!$K$2:$K$20000,DATOS!$A$2:$A$20000,G279,DATOS!$G$2:$G$20000,CONFIG_METADATA!$B$4,DATOS!$I$2:$I$20000,"Coro"),""))</f>
        <v/>
      </c>
      <c r="J279" t="str">
        <f>IF(G279="","",IFERROR(AVERAGEIFS(DATOS!$K$2:$K$20000,DATOS!$A$2:$A$20000,G279,DATOS!$G$2:$G$20000,CONFIG_METADATA!$B$4,DATOS!$I$2:$I$20000,"Conjunto"),""))</f>
        <v/>
      </c>
      <c r="K279" t="str" cm="1">
        <f t="array" ref="K279">IF(G279="","",IFERROR(AVERAGE(IF((DATOS!$A$2:$A$20000=G279)*(DATOS!$G$2:$G$20000=CONFIG_METADATA!$B$4)*(DATOS!$I$2:$I$20000&lt;&gt;"Lenguaje Musical")*(DATOS!$I$2:$I$20000&lt;&gt;"Coro")*(DATOS!$I$2:$I$20000&lt;&gt;"Conjunto"),DATOS!$K$2:$K$20000)),""))</f>
        <v/>
      </c>
      <c r="N279" t="str">
        <f>IF(M279="","",IFERROR(AVERAGEIFS(DATOS!$K$2:$K$20000,DATOS!$A$2:$A$20000,M279,DATOS!$G$2:$G$20000,CONFIG_METADATA!$B$4,DATOS!$I$2:$I$20000,"Lenguaje Musical"),""))</f>
        <v/>
      </c>
      <c r="O279" t="str">
        <f>IF(M279="","",IFERROR(AVERAGEIFS(DATOS!$K$2:$K$20000,DATOS!$A$2:$A$20000,M279,DATOS!$G$2:$G$20000,CONFIG_METADATA!$B$4,DATOS!$I$2:$I$20000,"Coro"),""))</f>
        <v/>
      </c>
      <c r="P279" t="str">
        <f>IF(M279="","",IFERROR(AVERAGEIFS(DATOS!$K$2:$K$20000,DATOS!$A$2:$A$20000,M279,DATOS!$G$2:$G$20000,CONFIG_METADATA!$B$4,DATOS!$I$2:$I$20000,"Conjunto"),""))</f>
        <v/>
      </c>
      <c r="Q279" t="str">
        <f>IF(M279="","",IFERROR(AVERAGEIFS(DATOS!$K$2:$K$20000,DATOS!$A$2:$A$20000,M279,DATOS!$G$2:$G$20000,CONFIG_METADATA!$B$4,DATOS!$I$2:$I$20000,"&lt;&gt;Lenguaje Musical",DATOS!$I$2:$I$20000,"&lt;&gt;Coro",DATOS!$I$2:$I$20000,"&lt;&gt;Conjunto"),""))</f>
        <v/>
      </c>
      <c r="T279" t="str">
        <f>IF(S279="","",IFERROR(AVERAGEIFS(DATOS!$K$2:$K$20000,DATOS!$A$2:$A$20000,S279,DATOS!$G$2:$G$20000,CONFIG_METADATA!$B$4,DATOS!$I$2:$I$20000,"Lenguaje Musical"),""))</f>
        <v/>
      </c>
      <c r="U279" t="str">
        <f>IF(S279="","",IFERROR(AVERAGEIFS(DATOS!$K$2:$K$20000,DATOS!$A$2:$A$20000,S279,DATOS!$G$2:$G$20000,CONFIG_METADATA!$B$4,DATOS!$I$2:$I$20000,"Coro"),""))</f>
        <v/>
      </c>
      <c r="V279" t="str">
        <f>IF(S279="","",IFERROR(AVERAGEIFS(DATOS!$K$2:$K$20000,DATOS!$A$2:$A$20000,S279,DATOS!$G$2:$G$20000,CONFIG_METADATA!$B$4,DATOS!$I$2:$I$20000,"Conjunto"),""))</f>
        <v/>
      </c>
      <c r="W279" t="str" cm="1">
        <f t="array" ref="W279">IF(S279="","",IFERROR(AVERAGE(IF((DATOS!$A$2:$A$20000=S279)*(DATOS!$G$2:$G$20000=CONFIG_METADATA!$B$4)*(DATOS!$I$2:$I$20000&lt;&gt;"Lenguaje Musical")*(DATOS!$I$2:$I$20000&lt;&gt;"Coro")*(DATOS!$I$2:$I$20000&lt;&gt;"Conjunto"),DATOS!$K$2:$K$20000)),""))</f>
        <v/>
      </c>
    </row>
    <row r="280" spans="2:23" x14ac:dyDescent="0.2">
      <c r="B280" t="str">
        <f>IF(A280="","",IFERROR(AVERAGEIFS(DATOS!$K$2:$K$20000,DATOS!$A$2:$A$20000,A280,DATOS!$G$2:$G$20000,CONFIG_METADATA!$B$4,DATOS!$I$2:$I$20000,"Lenguaje Musical"),""))</f>
        <v/>
      </c>
      <c r="C280" t="str">
        <f>IF(A280="","",IFERROR(AVERAGEIFS(DATOS!$K$2:$K$20000,DATOS!$A$2:$A$20000,A280,DATOS!$G$2:$G$20000,CONFIG_METADATA!$B$4,DATOS!$I$2:$I$20000,"Coro"),""))</f>
        <v/>
      </c>
      <c r="D280" t="str">
        <f>IF(A280="","",IFERROR(AVERAGEIFS(DATOS!$K$2:$K$20000,DATOS!$A$2:$A$20000,A280,DATOS!$G$2:$G$20000,CONFIG_METADATA!$B$4,DATOS!$I$2:$I$20000,"Conjunto"),""))</f>
        <v/>
      </c>
      <c r="E280" t="str" cm="1">
        <f t="array" ref="E280">IF(A280="","",IFERROR(AVERAGE(IF((DATOS!$A$2:$A$20000=A280)*(DATOS!$G$2:$G$20000=CONFIG_METADATA!$B$4)*(DATOS!$I$2:$I$20000&lt;&gt;"Lenguaje Musical")*(DATOS!$I$2:$I$20000&lt;&gt;"Coro")*(DATOS!$I$2:$I$20000&lt;&gt;"Conjunto"),DATOS!$K$2:$K$20000)),""))</f>
        <v/>
      </c>
      <c r="H280" t="str">
        <f>IF(G280="","",IFERROR(AVERAGEIFS(DATOS!$K$2:$K$20000,DATOS!$A$2:$A$20000,G280,DATOS!$G$2:$G$20000,CONFIG_METADATA!$B$4,DATOS!$I$2:$I$20000,"Lenguaje Musical"),""))</f>
        <v/>
      </c>
      <c r="I280" t="str">
        <f>IF(G280="","",IFERROR(AVERAGEIFS(DATOS!$K$2:$K$20000,DATOS!$A$2:$A$20000,G280,DATOS!$G$2:$G$20000,CONFIG_METADATA!$B$4,DATOS!$I$2:$I$20000,"Coro"),""))</f>
        <v/>
      </c>
      <c r="J280" t="str">
        <f>IF(G280="","",IFERROR(AVERAGEIFS(DATOS!$K$2:$K$20000,DATOS!$A$2:$A$20000,G280,DATOS!$G$2:$G$20000,CONFIG_METADATA!$B$4,DATOS!$I$2:$I$20000,"Conjunto"),""))</f>
        <v/>
      </c>
      <c r="K280" t="str" cm="1">
        <f t="array" ref="K280">IF(G280="","",IFERROR(AVERAGE(IF((DATOS!$A$2:$A$20000=G280)*(DATOS!$G$2:$G$20000=CONFIG_METADATA!$B$4)*(DATOS!$I$2:$I$20000&lt;&gt;"Lenguaje Musical")*(DATOS!$I$2:$I$20000&lt;&gt;"Coro")*(DATOS!$I$2:$I$20000&lt;&gt;"Conjunto"),DATOS!$K$2:$K$20000)),""))</f>
        <v/>
      </c>
      <c r="N280" t="str">
        <f>IF(M280="","",IFERROR(AVERAGEIFS(DATOS!$K$2:$K$20000,DATOS!$A$2:$A$20000,M280,DATOS!$G$2:$G$20000,CONFIG_METADATA!$B$4,DATOS!$I$2:$I$20000,"Lenguaje Musical"),""))</f>
        <v/>
      </c>
      <c r="O280" t="str">
        <f>IF(M280="","",IFERROR(AVERAGEIFS(DATOS!$K$2:$K$20000,DATOS!$A$2:$A$20000,M280,DATOS!$G$2:$G$20000,CONFIG_METADATA!$B$4,DATOS!$I$2:$I$20000,"Coro"),""))</f>
        <v/>
      </c>
      <c r="P280" t="str">
        <f>IF(M280="","",IFERROR(AVERAGEIFS(DATOS!$K$2:$K$20000,DATOS!$A$2:$A$20000,M280,DATOS!$G$2:$G$20000,CONFIG_METADATA!$B$4,DATOS!$I$2:$I$20000,"Conjunto"),""))</f>
        <v/>
      </c>
      <c r="Q280" t="str">
        <f>IF(M280="","",IFERROR(AVERAGEIFS(DATOS!$K$2:$K$20000,DATOS!$A$2:$A$20000,M280,DATOS!$G$2:$G$20000,CONFIG_METADATA!$B$4,DATOS!$I$2:$I$20000,"&lt;&gt;Lenguaje Musical",DATOS!$I$2:$I$20000,"&lt;&gt;Coro",DATOS!$I$2:$I$20000,"&lt;&gt;Conjunto"),""))</f>
        <v/>
      </c>
      <c r="T280" t="str">
        <f>IF(S280="","",IFERROR(AVERAGEIFS(DATOS!$K$2:$K$20000,DATOS!$A$2:$A$20000,S280,DATOS!$G$2:$G$20000,CONFIG_METADATA!$B$4,DATOS!$I$2:$I$20000,"Lenguaje Musical"),""))</f>
        <v/>
      </c>
      <c r="U280" t="str">
        <f>IF(S280="","",IFERROR(AVERAGEIFS(DATOS!$K$2:$K$20000,DATOS!$A$2:$A$20000,S280,DATOS!$G$2:$G$20000,CONFIG_METADATA!$B$4,DATOS!$I$2:$I$20000,"Coro"),""))</f>
        <v/>
      </c>
      <c r="V280" t="str">
        <f>IF(S280="","",IFERROR(AVERAGEIFS(DATOS!$K$2:$K$20000,DATOS!$A$2:$A$20000,S280,DATOS!$G$2:$G$20000,CONFIG_METADATA!$B$4,DATOS!$I$2:$I$20000,"Conjunto"),""))</f>
        <v/>
      </c>
      <c r="W280" t="str" cm="1">
        <f t="array" ref="W280">IF(S280="","",IFERROR(AVERAGE(IF((DATOS!$A$2:$A$20000=S280)*(DATOS!$G$2:$G$20000=CONFIG_METADATA!$B$4)*(DATOS!$I$2:$I$20000&lt;&gt;"Lenguaje Musical")*(DATOS!$I$2:$I$20000&lt;&gt;"Coro")*(DATOS!$I$2:$I$20000&lt;&gt;"Conjunto"),DATOS!$K$2:$K$20000)),""))</f>
        <v/>
      </c>
    </row>
    <row r="281" spans="2:23" x14ac:dyDescent="0.2">
      <c r="B281" t="str">
        <f>IF(A281="","",IFERROR(AVERAGEIFS(DATOS!$K$2:$K$20000,DATOS!$A$2:$A$20000,A281,DATOS!$G$2:$G$20000,CONFIG_METADATA!$B$4,DATOS!$I$2:$I$20000,"Lenguaje Musical"),""))</f>
        <v/>
      </c>
      <c r="C281" t="str">
        <f>IF(A281="","",IFERROR(AVERAGEIFS(DATOS!$K$2:$K$20000,DATOS!$A$2:$A$20000,A281,DATOS!$G$2:$G$20000,CONFIG_METADATA!$B$4,DATOS!$I$2:$I$20000,"Coro"),""))</f>
        <v/>
      </c>
      <c r="D281" t="str">
        <f>IF(A281="","",IFERROR(AVERAGEIFS(DATOS!$K$2:$K$20000,DATOS!$A$2:$A$20000,A281,DATOS!$G$2:$G$20000,CONFIG_METADATA!$B$4,DATOS!$I$2:$I$20000,"Conjunto"),""))</f>
        <v/>
      </c>
      <c r="E281" t="str" cm="1">
        <f t="array" ref="E281">IF(A281="","",IFERROR(AVERAGE(IF((DATOS!$A$2:$A$20000=A281)*(DATOS!$G$2:$G$20000=CONFIG_METADATA!$B$4)*(DATOS!$I$2:$I$20000&lt;&gt;"Lenguaje Musical")*(DATOS!$I$2:$I$20000&lt;&gt;"Coro")*(DATOS!$I$2:$I$20000&lt;&gt;"Conjunto"),DATOS!$K$2:$K$20000)),""))</f>
        <v/>
      </c>
      <c r="H281" t="str">
        <f>IF(G281="","",IFERROR(AVERAGEIFS(DATOS!$K$2:$K$20000,DATOS!$A$2:$A$20000,G281,DATOS!$G$2:$G$20000,CONFIG_METADATA!$B$4,DATOS!$I$2:$I$20000,"Lenguaje Musical"),""))</f>
        <v/>
      </c>
      <c r="I281" t="str">
        <f>IF(G281="","",IFERROR(AVERAGEIFS(DATOS!$K$2:$K$20000,DATOS!$A$2:$A$20000,G281,DATOS!$G$2:$G$20000,CONFIG_METADATA!$B$4,DATOS!$I$2:$I$20000,"Coro"),""))</f>
        <v/>
      </c>
      <c r="J281" t="str">
        <f>IF(G281="","",IFERROR(AVERAGEIFS(DATOS!$K$2:$K$20000,DATOS!$A$2:$A$20000,G281,DATOS!$G$2:$G$20000,CONFIG_METADATA!$B$4,DATOS!$I$2:$I$20000,"Conjunto"),""))</f>
        <v/>
      </c>
      <c r="K281" t="str" cm="1">
        <f t="array" ref="K281">IF(G281="","",IFERROR(AVERAGE(IF((DATOS!$A$2:$A$20000=G281)*(DATOS!$G$2:$G$20000=CONFIG_METADATA!$B$4)*(DATOS!$I$2:$I$20000&lt;&gt;"Lenguaje Musical")*(DATOS!$I$2:$I$20000&lt;&gt;"Coro")*(DATOS!$I$2:$I$20000&lt;&gt;"Conjunto"),DATOS!$K$2:$K$20000)),""))</f>
        <v/>
      </c>
      <c r="N281" t="str">
        <f>IF(M281="","",IFERROR(AVERAGEIFS(DATOS!$K$2:$K$20000,DATOS!$A$2:$A$20000,M281,DATOS!$G$2:$G$20000,CONFIG_METADATA!$B$4,DATOS!$I$2:$I$20000,"Lenguaje Musical"),""))</f>
        <v/>
      </c>
      <c r="O281" t="str">
        <f>IF(M281="","",IFERROR(AVERAGEIFS(DATOS!$K$2:$K$20000,DATOS!$A$2:$A$20000,M281,DATOS!$G$2:$G$20000,CONFIG_METADATA!$B$4,DATOS!$I$2:$I$20000,"Coro"),""))</f>
        <v/>
      </c>
      <c r="P281" t="str">
        <f>IF(M281="","",IFERROR(AVERAGEIFS(DATOS!$K$2:$K$20000,DATOS!$A$2:$A$20000,M281,DATOS!$G$2:$G$20000,CONFIG_METADATA!$B$4,DATOS!$I$2:$I$20000,"Conjunto"),""))</f>
        <v/>
      </c>
      <c r="Q281" t="str">
        <f>IF(M281="","",IFERROR(AVERAGEIFS(DATOS!$K$2:$K$20000,DATOS!$A$2:$A$20000,M281,DATOS!$G$2:$G$20000,CONFIG_METADATA!$B$4,DATOS!$I$2:$I$20000,"&lt;&gt;Lenguaje Musical",DATOS!$I$2:$I$20000,"&lt;&gt;Coro",DATOS!$I$2:$I$20000,"&lt;&gt;Conjunto"),""))</f>
        <v/>
      </c>
      <c r="T281" t="str">
        <f>IF(S281="","",IFERROR(AVERAGEIFS(DATOS!$K$2:$K$20000,DATOS!$A$2:$A$20000,S281,DATOS!$G$2:$G$20000,CONFIG_METADATA!$B$4,DATOS!$I$2:$I$20000,"Lenguaje Musical"),""))</f>
        <v/>
      </c>
      <c r="U281" t="str">
        <f>IF(S281="","",IFERROR(AVERAGEIFS(DATOS!$K$2:$K$20000,DATOS!$A$2:$A$20000,S281,DATOS!$G$2:$G$20000,CONFIG_METADATA!$B$4,DATOS!$I$2:$I$20000,"Coro"),""))</f>
        <v/>
      </c>
      <c r="V281" t="str">
        <f>IF(S281="","",IFERROR(AVERAGEIFS(DATOS!$K$2:$K$20000,DATOS!$A$2:$A$20000,S281,DATOS!$G$2:$G$20000,CONFIG_METADATA!$B$4,DATOS!$I$2:$I$20000,"Conjunto"),""))</f>
        <v/>
      </c>
      <c r="W281" t="str" cm="1">
        <f t="array" ref="W281">IF(S281="","",IFERROR(AVERAGE(IF((DATOS!$A$2:$A$20000=S281)*(DATOS!$G$2:$G$20000=CONFIG_METADATA!$B$4)*(DATOS!$I$2:$I$20000&lt;&gt;"Lenguaje Musical")*(DATOS!$I$2:$I$20000&lt;&gt;"Coro")*(DATOS!$I$2:$I$20000&lt;&gt;"Conjunto"),DATOS!$K$2:$K$20000)),""))</f>
        <v/>
      </c>
    </row>
    <row r="282" spans="2:23" x14ac:dyDescent="0.2">
      <c r="B282" t="str">
        <f>IF(A282="","",IFERROR(AVERAGEIFS(DATOS!$K$2:$K$20000,DATOS!$A$2:$A$20000,A282,DATOS!$G$2:$G$20000,CONFIG_METADATA!$B$4,DATOS!$I$2:$I$20000,"Lenguaje Musical"),""))</f>
        <v/>
      </c>
      <c r="C282" t="str">
        <f>IF(A282="","",IFERROR(AVERAGEIFS(DATOS!$K$2:$K$20000,DATOS!$A$2:$A$20000,A282,DATOS!$G$2:$G$20000,CONFIG_METADATA!$B$4,DATOS!$I$2:$I$20000,"Coro"),""))</f>
        <v/>
      </c>
      <c r="D282" t="str">
        <f>IF(A282="","",IFERROR(AVERAGEIFS(DATOS!$K$2:$K$20000,DATOS!$A$2:$A$20000,A282,DATOS!$G$2:$G$20000,CONFIG_METADATA!$B$4,DATOS!$I$2:$I$20000,"Conjunto"),""))</f>
        <v/>
      </c>
      <c r="E282" t="str" cm="1">
        <f t="array" ref="E282">IF(A282="","",IFERROR(AVERAGE(IF((DATOS!$A$2:$A$20000=A282)*(DATOS!$G$2:$G$20000=CONFIG_METADATA!$B$4)*(DATOS!$I$2:$I$20000&lt;&gt;"Lenguaje Musical")*(DATOS!$I$2:$I$20000&lt;&gt;"Coro")*(DATOS!$I$2:$I$20000&lt;&gt;"Conjunto"),DATOS!$K$2:$K$20000)),""))</f>
        <v/>
      </c>
      <c r="H282" t="str">
        <f>IF(G282="","",IFERROR(AVERAGEIFS(DATOS!$K$2:$K$20000,DATOS!$A$2:$A$20000,G282,DATOS!$G$2:$G$20000,CONFIG_METADATA!$B$4,DATOS!$I$2:$I$20000,"Lenguaje Musical"),""))</f>
        <v/>
      </c>
      <c r="I282" t="str">
        <f>IF(G282="","",IFERROR(AVERAGEIFS(DATOS!$K$2:$K$20000,DATOS!$A$2:$A$20000,G282,DATOS!$G$2:$G$20000,CONFIG_METADATA!$B$4,DATOS!$I$2:$I$20000,"Coro"),""))</f>
        <v/>
      </c>
      <c r="J282" t="str">
        <f>IF(G282="","",IFERROR(AVERAGEIFS(DATOS!$K$2:$K$20000,DATOS!$A$2:$A$20000,G282,DATOS!$G$2:$G$20000,CONFIG_METADATA!$B$4,DATOS!$I$2:$I$20000,"Conjunto"),""))</f>
        <v/>
      </c>
      <c r="K282" t="str" cm="1">
        <f t="array" ref="K282">IF(G282="","",IFERROR(AVERAGE(IF((DATOS!$A$2:$A$20000=G282)*(DATOS!$G$2:$G$20000=CONFIG_METADATA!$B$4)*(DATOS!$I$2:$I$20000&lt;&gt;"Lenguaje Musical")*(DATOS!$I$2:$I$20000&lt;&gt;"Coro")*(DATOS!$I$2:$I$20000&lt;&gt;"Conjunto"),DATOS!$K$2:$K$20000)),""))</f>
        <v/>
      </c>
      <c r="N282" t="str">
        <f>IF(M282="","",IFERROR(AVERAGEIFS(DATOS!$K$2:$K$20000,DATOS!$A$2:$A$20000,M282,DATOS!$G$2:$G$20000,CONFIG_METADATA!$B$4,DATOS!$I$2:$I$20000,"Lenguaje Musical"),""))</f>
        <v/>
      </c>
      <c r="O282" t="str">
        <f>IF(M282="","",IFERROR(AVERAGEIFS(DATOS!$K$2:$K$20000,DATOS!$A$2:$A$20000,M282,DATOS!$G$2:$G$20000,CONFIG_METADATA!$B$4,DATOS!$I$2:$I$20000,"Coro"),""))</f>
        <v/>
      </c>
      <c r="P282" t="str">
        <f>IF(M282="","",IFERROR(AVERAGEIFS(DATOS!$K$2:$K$20000,DATOS!$A$2:$A$20000,M282,DATOS!$G$2:$G$20000,CONFIG_METADATA!$B$4,DATOS!$I$2:$I$20000,"Conjunto"),""))</f>
        <v/>
      </c>
      <c r="Q282" t="str">
        <f>IF(M282="","",IFERROR(AVERAGEIFS(DATOS!$K$2:$K$20000,DATOS!$A$2:$A$20000,M282,DATOS!$G$2:$G$20000,CONFIG_METADATA!$B$4,DATOS!$I$2:$I$20000,"&lt;&gt;Lenguaje Musical",DATOS!$I$2:$I$20000,"&lt;&gt;Coro",DATOS!$I$2:$I$20000,"&lt;&gt;Conjunto"),""))</f>
        <v/>
      </c>
      <c r="T282" t="str">
        <f>IF(S282="","",IFERROR(AVERAGEIFS(DATOS!$K$2:$K$20000,DATOS!$A$2:$A$20000,S282,DATOS!$G$2:$G$20000,CONFIG_METADATA!$B$4,DATOS!$I$2:$I$20000,"Lenguaje Musical"),""))</f>
        <v/>
      </c>
      <c r="U282" t="str">
        <f>IF(S282="","",IFERROR(AVERAGEIFS(DATOS!$K$2:$K$20000,DATOS!$A$2:$A$20000,S282,DATOS!$G$2:$G$20000,CONFIG_METADATA!$B$4,DATOS!$I$2:$I$20000,"Coro"),""))</f>
        <v/>
      </c>
      <c r="V282" t="str">
        <f>IF(S282="","",IFERROR(AVERAGEIFS(DATOS!$K$2:$K$20000,DATOS!$A$2:$A$20000,S282,DATOS!$G$2:$G$20000,CONFIG_METADATA!$B$4,DATOS!$I$2:$I$20000,"Conjunto"),""))</f>
        <v/>
      </c>
      <c r="W282" t="str" cm="1">
        <f t="array" ref="W282">IF(S282="","",IFERROR(AVERAGE(IF((DATOS!$A$2:$A$20000=S282)*(DATOS!$G$2:$G$20000=CONFIG_METADATA!$B$4)*(DATOS!$I$2:$I$20000&lt;&gt;"Lenguaje Musical")*(DATOS!$I$2:$I$20000&lt;&gt;"Coro")*(DATOS!$I$2:$I$20000&lt;&gt;"Conjunto"),DATOS!$K$2:$K$20000)),""))</f>
        <v/>
      </c>
    </row>
    <row r="283" spans="2:23" x14ac:dyDescent="0.2">
      <c r="B283" t="str">
        <f>IF(A283="","",IFERROR(AVERAGEIFS(DATOS!$K$2:$K$20000,DATOS!$A$2:$A$20000,A283,DATOS!$G$2:$G$20000,CONFIG_METADATA!$B$4,DATOS!$I$2:$I$20000,"Lenguaje Musical"),""))</f>
        <v/>
      </c>
      <c r="C283" t="str">
        <f>IF(A283="","",IFERROR(AVERAGEIFS(DATOS!$K$2:$K$20000,DATOS!$A$2:$A$20000,A283,DATOS!$G$2:$G$20000,CONFIG_METADATA!$B$4,DATOS!$I$2:$I$20000,"Coro"),""))</f>
        <v/>
      </c>
      <c r="D283" t="str">
        <f>IF(A283="","",IFERROR(AVERAGEIFS(DATOS!$K$2:$K$20000,DATOS!$A$2:$A$20000,A283,DATOS!$G$2:$G$20000,CONFIG_METADATA!$B$4,DATOS!$I$2:$I$20000,"Conjunto"),""))</f>
        <v/>
      </c>
      <c r="E283" t="str" cm="1">
        <f t="array" ref="E283">IF(A283="","",IFERROR(AVERAGE(IF((DATOS!$A$2:$A$20000=A283)*(DATOS!$G$2:$G$20000=CONFIG_METADATA!$B$4)*(DATOS!$I$2:$I$20000&lt;&gt;"Lenguaje Musical")*(DATOS!$I$2:$I$20000&lt;&gt;"Coro")*(DATOS!$I$2:$I$20000&lt;&gt;"Conjunto"),DATOS!$K$2:$K$20000)),""))</f>
        <v/>
      </c>
      <c r="H283" t="str">
        <f>IF(G283="","",IFERROR(AVERAGEIFS(DATOS!$K$2:$K$20000,DATOS!$A$2:$A$20000,G283,DATOS!$G$2:$G$20000,CONFIG_METADATA!$B$4,DATOS!$I$2:$I$20000,"Lenguaje Musical"),""))</f>
        <v/>
      </c>
      <c r="I283" t="str">
        <f>IF(G283="","",IFERROR(AVERAGEIFS(DATOS!$K$2:$K$20000,DATOS!$A$2:$A$20000,G283,DATOS!$G$2:$G$20000,CONFIG_METADATA!$B$4,DATOS!$I$2:$I$20000,"Coro"),""))</f>
        <v/>
      </c>
      <c r="J283" t="str">
        <f>IF(G283="","",IFERROR(AVERAGEIFS(DATOS!$K$2:$K$20000,DATOS!$A$2:$A$20000,G283,DATOS!$G$2:$G$20000,CONFIG_METADATA!$B$4,DATOS!$I$2:$I$20000,"Conjunto"),""))</f>
        <v/>
      </c>
      <c r="K283" t="str" cm="1">
        <f t="array" ref="K283">IF(G283="","",IFERROR(AVERAGE(IF((DATOS!$A$2:$A$20000=G283)*(DATOS!$G$2:$G$20000=CONFIG_METADATA!$B$4)*(DATOS!$I$2:$I$20000&lt;&gt;"Lenguaje Musical")*(DATOS!$I$2:$I$20000&lt;&gt;"Coro")*(DATOS!$I$2:$I$20000&lt;&gt;"Conjunto"),DATOS!$K$2:$K$20000)),""))</f>
        <v/>
      </c>
      <c r="N283" t="str">
        <f>IF(M283="","",IFERROR(AVERAGEIFS(DATOS!$K$2:$K$20000,DATOS!$A$2:$A$20000,M283,DATOS!$G$2:$G$20000,CONFIG_METADATA!$B$4,DATOS!$I$2:$I$20000,"Lenguaje Musical"),""))</f>
        <v/>
      </c>
      <c r="O283" t="str">
        <f>IF(M283="","",IFERROR(AVERAGEIFS(DATOS!$K$2:$K$20000,DATOS!$A$2:$A$20000,M283,DATOS!$G$2:$G$20000,CONFIG_METADATA!$B$4,DATOS!$I$2:$I$20000,"Coro"),""))</f>
        <v/>
      </c>
      <c r="P283" t="str">
        <f>IF(M283="","",IFERROR(AVERAGEIFS(DATOS!$K$2:$K$20000,DATOS!$A$2:$A$20000,M283,DATOS!$G$2:$G$20000,CONFIG_METADATA!$B$4,DATOS!$I$2:$I$20000,"Conjunto"),""))</f>
        <v/>
      </c>
      <c r="Q283" t="str">
        <f>IF(M283="","",IFERROR(AVERAGEIFS(DATOS!$K$2:$K$20000,DATOS!$A$2:$A$20000,M283,DATOS!$G$2:$G$20000,CONFIG_METADATA!$B$4,DATOS!$I$2:$I$20000,"&lt;&gt;Lenguaje Musical",DATOS!$I$2:$I$20000,"&lt;&gt;Coro",DATOS!$I$2:$I$20000,"&lt;&gt;Conjunto"),""))</f>
        <v/>
      </c>
      <c r="T283" t="str">
        <f>IF(S283="","",IFERROR(AVERAGEIFS(DATOS!$K$2:$K$20000,DATOS!$A$2:$A$20000,S283,DATOS!$G$2:$G$20000,CONFIG_METADATA!$B$4,DATOS!$I$2:$I$20000,"Lenguaje Musical"),""))</f>
        <v/>
      </c>
      <c r="U283" t="str">
        <f>IF(S283="","",IFERROR(AVERAGEIFS(DATOS!$K$2:$K$20000,DATOS!$A$2:$A$20000,S283,DATOS!$G$2:$G$20000,CONFIG_METADATA!$B$4,DATOS!$I$2:$I$20000,"Coro"),""))</f>
        <v/>
      </c>
      <c r="V283" t="str">
        <f>IF(S283="","",IFERROR(AVERAGEIFS(DATOS!$K$2:$K$20000,DATOS!$A$2:$A$20000,S283,DATOS!$G$2:$G$20000,CONFIG_METADATA!$B$4,DATOS!$I$2:$I$20000,"Conjunto"),""))</f>
        <v/>
      </c>
      <c r="W283" t="str" cm="1">
        <f t="array" ref="W283">IF(S283="","",IFERROR(AVERAGE(IF((DATOS!$A$2:$A$20000=S283)*(DATOS!$G$2:$G$20000=CONFIG_METADATA!$B$4)*(DATOS!$I$2:$I$20000&lt;&gt;"Lenguaje Musical")*(DATOS!$I$2:$I$20000&lt;&gt;"Coro")*(DATOS!$I$2:$I$20000&lt;&gt;"Conjunto"),DATOS!$K$2:$K$20000)),""))</f>
        <v/>
      </c>
    </row>
    <row r="284" spans="2:23" x14ac:dyDescent="0.2">
      <c r="B284" t="str">
        <f>IF(A284="","",IFERROR(AVERAGEIFS(DATOS!$K$2:$K$20000,DATOS!$A$2:$A$20000,A284,DATOS!$G$2:$G$20000,CONFIG_METADATA!$B$4,DATOS!$I$2:$I$20000,"Lenguaje Musical"),""))</f>
        <v/>
      </c>
      <c r="C284" t="str">
        <f>IF(A284="","",IFERROR(AVERAGEIFS(DATOS!$K$2:$K$20000,DATOS!$A$2:$A$20000,A284,DATOS!$G$2:$G$20000,CONFIG_METADATA!$B$4,DATOS!$I$2:$I$20000,"Coro"),""))</f>
        <v/>
      </c>
      <c r="D284" t="str">
        <f>IF(A284="","",IFERROR(AVERAGEIFS(DATOS!$K$2:$K$20000,DATOS!$A$2:$A$20000,A284,DATOS!$G$2:$G$20000,CONFIG_METADATA!$B$4,DATOS!$I$2:$I$20000,"Conjunto"),""))</f>
        <v/>
      </c>
      <c r="E284" t="str" cm="1">
        <f t="array" ref="E284">IF(A284="","",IFERROR(AVERAGE(IF((DATOS!$A$2:$A$20000=A284)*(DATOS!$G$2:$G$20000=CONFIG_METADATA!$B$4)*(DATOS!$I$2:$I$20000&lt;&gt;"Lenguaje Musical")*(DATOS!$I$2:$I$20000&lt;&gt;"Coro")*(DATOS!$I$2:$I$20000&lt;&gt;"Conjunto"),DATOS!$K$2:$K$20000)),""))</f>
        <v/>
      </c>
      <c r="H284" t="str">
        <f>IF(G284="","",IFERROR(AVERAGEIFS(DATOS!$K$2:$K$20000,DATOS!$A$2:$A$20000,G284,DATOS!$G$2:$G$20000,CONFIG_METADATA!$B$4,DATOS!$I$2:$I$20000,"Lenguaje Musical"),""))</f>
        <v/>
      </c>
      <c r="I284" t="str">
        <f>IF(G284="","",IFERROR(AVERAGEIFS(DATOS!$K$2:$K$20000,DATOS!$A$2:$A$20000,G284,DATOS!$G$2:$G$20000,CONFIG_METADATA!$B$4,DATOS!$I$2:$I$20000,"Coro"),""))</f>
        <v/>
      </c>
      <c r="J284" t="str">
        <f>IF(G284="","",IFERROR(AVERAGEIFS(DATOS!$K$2:$K$20000,DATOS!$A$2:$A$20000,G284,DATOS!$G$2:$G$20000,CONFIG_METADATA!$B$4,DATOS!$I$2:$I$20000,"Conjunto"),""))</f>
        <v/>
      </c>
      <c r="K284" t="str" cm="1">
        <f t="array" ref="K284">IF(G284="","",IFERROR(AVERAGE(IF((DATOS!$A$2:$A$20000=G284)*(DATOS!$G$2:$G$20000=CONFIG_METADATA!$B$4)*(DATOS!$I$2:$I$20000&lt;&gt;"Lenguaje Musical")*(DATOS!$I$2:$I$20000&lt;&gt;"Coro")*(DATOS!$I$2:$I$20000&lt;&gt;"Conjunto"),DATOS!$K$2:$K$20000)),""))</f>
        <v/>
      </c>
      <c r="N284" t="str">
        <f>IF(M284="","",IFERROR(AVERAGEIFS(DATOS!$K$2:$K$20000,DATOS!$A$2:$A$20000,M284,DATOS!$G$2:$G$20000,CONFIG_METADATA!$B$4,DATOS!$I$2:$I$20000,"Lenguaje Musical"),""))</f>
        <v/>
      </c>
      <c r="O284" t="str">
        <f>IF(M284="","",IFERROR(AVERAGEIFS(DATOS!$K$2:$K$20000,DATOS!$A$2:$A$20000,M284,DATOS!$G$2:$G$20000,CONFIG_METADATA!$B$4,DATOS!$I$2:$I$20000,"Coro"),""))</f>
        <v/>
      </c>
      <c r="P284" t="str">
        <f>IF(M284="","",IFERROR(AVERAGEIFS(DATOS!$K$2:$K$20000,DATOS!$A$2:$A$20000,M284,DATOS!$G$2:$G$20000,CONFIG_METADATA!$B$4,DATOS!$I$2:$I$20000,"Conjunto"),""))</f>
        <v/>
      </c>
      <c r="Q284" t="str">
        <f>IF(M284="","",IFERROR(AVERAGEIFS(DATOS!$K$2:$K$20000,DATOS!$A$2:$A$20000,M284,DATOS!$G$2:$G$20000,CONFIG_METADATA!$B$4,DATOS!$I$2:$I$20000,"&lt;&gt;Lenguaje Musical",DATOS!$I$2:$I$20000,"&lt;&gt;Coro",DATOS!$I$2:$I$20000,"&lt;&gt;Conjunto"),""))</f>
        <v/>
      </c>
      <c r="T284" t="str">
        <f>IF(S284="","",IFERROR(AVERAGEIFS(DATOS!$K$2:$K$20000,DATOS!$A$2:$A$20000,S284,DATOS!$G$2:$G$20000,CONFIG_METADATA!$B$4,DATOS!$I$2:$I$20000,"Lenguaje Musical"),""))</f>
        <v/>
      </c>
      <c r="U284" t="str">
        <f>IF(S284="","",IFERROR(AVERAGEIFS(DATOS!$K$2:$K$20000,DATOS!$A$2:$A$20000,S284,DATOS!$G$2:$G$20000,CONFIG_METADATA!$B$4,DATOS!$I$2:$I$20000,"Coro"),""))</f>
        <v/>
      </c>
      <c r="V284" t="str">
        <f>IF(S284="","",IFERROR(AVERAGEIFS(DATOS!$K$2:$K$20000,DATOS!$A$2:$A$20000,S284,DATOS!$G$2:$G$20000,CONFIG_METADATA!$B$4,DATOS!$I$2:$I$20000,"Conjunto"),""))</f>
        <v/>
      </c>
      <c r="W284" t="str" cm="1">
        <f t="array" ref="W284">IF(S284="","",IFERROR(AVERAGE(IF((DATOS!$A$2:$A$20000=S284)*(DATOS!$G$2:$G$20000=CONFIG_METADATA!$B$4)*(DATOS!$I$2:$I$20000&lt;&gt;"Lenguaje Musical")*(DATOS!$I$2:$I$20000&lt;&gt;"Coro")*(DATOS!$I$2:$I$20000&lt;&gt;"Conjunto"),DATOS!$K$2:$K$20000)),""))</f>
        <v/>
      </c>
    </row>
    <row r="285" spans="2:23" x14ac:dyDescent="0.2">
      <c r="B285" t="str">
        <f>IF(A285="","",IFERROR(AVERAGEIFS(DATOS!$K$2:$K$20000,DATOS!$A$2:$A$20000,A285,DATOS!$G$2:$G$20000,CONFIG_METADATA!$B$4,DATOS!$I$2:$I$20000,"Lenguaje Musical"),""))</f>
        <v/>
      </c>
      <c r="C285" t="str">
        <f>IF(A285="","",IFERROR(AVERAGEIFS(DATOS!$K$2:$K$20000,DATOS!$A$2:$A$20000,A285,DATOS!$G$2:$G$20000,CONFIG_METADATA!$B$4,DATOS!$I$2:$I$20000,"Coro"),""))</f>
        <v/>
      </c>
      <c r="D285" t="str">
        <f>IF(A285="","",IFERROR(AVERAGEIFS(DATOS!$K$2:$K$20000,DATOS!$A$2:$A$20000,A285,DATOS!$G$2:$G$20000,CONFIG_METADATA!$B$4,DATOS!$I$2:$I$20000,"Conjunto"),""))</f>
        <v/>
      </c>
      <c r="E285" t="str" cm="1">
        <f t="array" ref="E285">IF(A285="","",IFERROR(AVERAGE(IF((DATOS!$A$2:$A$20000=A285)*(DATOS!$G$2:$G$20000=CONFIG_METADATA!$B$4)*(DATOS!$I$2:$I$20000&lt;&gt;"Lenguaje Musical")*(DATOS!$I$2:$I$20000&lt;&gt;"Coro")*(DATOS!$I$2:$I$20000&lt;&gt;"Conjunto"),DATOS!$K$2:$K$20000)),""))</f>
        <v/>
      </c>
      <c r="H285" t="str">
        <f>IF(G285="","",IFERROR(AVERAGEIFS(DATOS!$K$2:$K$20000,DATOS!$A$2:$A$20000,G285,DATOS!$G$2:$G$20000,CONFIG_METADATA!$B$4,DATOS!$I$2:$I$20000,"Lenguaje Musical"),""))</f>
        <v/>
      </c>
      <c r="I285" t="str">
        <f>IF(G285="","",IFERROR(AVERAGEIFS(DATOS!$K$2:$K$20000,DATOS!$A$2:$A$20000,G285,DATOS!$G$2:$G$20000,CONFIG_METADATA!$B$4,DATOS!$I$2:$I$20000,"Coro"),""))</f>
        <v/>
      </c>
      <c r="J285" t="str">
        <f>IF(G285="","",IFERROR(AVERAGEIFS(DATOS!$K$2:$K$20000,DATOS!$A$2:$A$20000,G285,DATOS!$G$2:$G$20000,CONFIG_METADATA!$B$4,DATOS!$I$2:$I$20000,"Conjunto"),""))</f>
        <v/>
      </c>
      <c r="K285" t="str" cm="1">
        <f t="array" ref="K285">IF(G285="","",IFERROR(AVERAGE(IF((DATOS!$A$2:$A$20000=G285)*(DATOS!$G$2:$G$20000=CONFIG_METADATA!$B$4)*(DATOS!$I$2:$I$20000&lt;&gt;"Lenguaje Musical")*(DATOS!$I$2:$I$20000&lt;&gt;"Coro")*(DATOS!$I$2:$I$20000&lt;&gt;"Conjunto"),DATOS!$K$2:$K$20000)),""))</f>
        <v/>
      </c>
      <c r="N285" t="str">
        <f>IF(M285="","",IFERROR(AVERAGEIFS(DATOS!$K$2:$K$20000,DATOS!$A$2:$A$20000,M285,DATOS!$G$2:$G$20000,CONFIG_METADATA!$B$4,DATOS!$I$2:$I$20000,"Lenguaje Musical"),""))</f>
        <v/>
      </c>
      <c r="O285" t="str">
        <f>IF(M285="","",IFERROR(AVERAGEIFS(DATOS!$K$2:$K$20000,DATOS!$A$2:$A$20000,M285,DATOS!$G$2:$G$20000,CONFIG_METADATA!$B$4,DATOS!$I$2:$I$20000,"Coro"),""))</f>
        <v/>
      </c>
      <c r="P285" t="str">
        <f>IF(M285="","",IFERROR(AVERAGEIFS(DATOS!$K$2:$K$20000,DATOS!$A$2:$A$20000,M285,DATOS!$G$2:$G$20000,CONFIG_METADATA!$B$4,DATOS!$I$2:$I$20000,"Conjunto"),""))</f>
        <v/>
      </c>
      <c r="Q285" t="str">
        <f>IF(M285="","",IFERROR(AVERAGEIFS(DATOS!$K$2:$K$20000,DATOS!$A$2:$A$20000,M285,DATOS!$G$2:$G$20000,CONFIG_METADATA!$B$4,DATOS!$I$2:$I$20000,"&lt;&gt;Lenguaje Musical",DATOS!$I$2:$I$20000,"&lt;&gt;Coro",DATOS!$I$2:$I$20000,"&lt;&gt;Conjunto"),""))</f>
        <v/>
      </c>
      <c r="T285" t="str">
        <f>IF(S285="","",IFERROR(AVERAGEIFS(DATOS!$K$2:$K$20000,DATOS!$A$2:$A$20000,S285,DATOS!$G$2:$G$20000,CONFIG_METADATA!$B$4,DATOS!$I$2:$I$20000,"Lenguaje Musical"),""))</f>
        <v/>
      </c>
      <c r="U285" t="str">
        <f>IF(S285="","",IFERROR(AVERAGEIFS(DATOS!$K$2:$K$20000,DATOS!$A$2:$A$20000,S285,DATOS!$G$2:$G$20000,CONFIG_METADATA!$B$4,DATOS!$I$2:$I$20000,"Coro"),""))</f>
        <v/>
      </c>
      <c r="V285" t="str">
        <f>IF(S285="","",IFERROR(AVERAGEIFS(DATOS!$K$2:$K$20000,DATOS!$A$2:$A$20000,S285,DATOS!$G$2:$G$20000,CONFIG_METADATA!$B$4,DATOS!$I$2:$I$20000,"Conjunto"),""))</f>
        <v/>
      </c>
      <c r="W285" t="str" cm="1">
        <f t="array" ref="W285">IF(S285="","",IFERROR(AVERAGE(IF((DATOS!$A$2:$A$20000=S285)*(DATOS!$G$2:$G$20000=CONFIG_METADATA!$B$4)*(DATOS!$I$2:$I$20000&lt;&gt;"Lenguaje Musical")*(DATOS!$I$2:$I$20000&lt;&gt;"Coro")*(DATOS!$I$2:$I$20000&lt;&gt;"Conjunto"),DATOS!$K$2:$K$20000)),""))</f>
        <v/>
      </c>
    </row>
    <row r="286" spans="2:23" x14ac:dyDescent="0.2">
      <c r="B286" t="str">
        <f>IF(A286="","",IFERROR(AVERAGEIFS(DATOS!$K$2:$K$20000,DATOS!$A$2:$A$20000,A286,DATOS!$G$2:$G$20000,CONFIG_METADATA!$B$4,DATOS!$I$2:$I$20000,"Lenguaje Musical"),""))</f>
        <v/>
      </c>
      <c r="C286" t="str">
        <f>IF(A286="","",IFERROR(AVERAGEIFS(DATOS!$K$2:$K$20000,DATOS!$A$2:$A$20000,A286,DATOS!$G$2:$G$20000,CONFIG_METADATA!$B$4,DATOS!$I$2:$I$20000,"Coro"),""))</f>
        <v/>
      </c>
      <c r="D286" t="str">
        <f>IF(A286="","",IFERROR(AVERAGEIFS(DATOS!$K$2:$K$20000,DATOS!$A$2:$A$20000,A286,DATOS!$G$2:$G$20000,CONFIG_METADATA!$B$4,DATOS!$I$2:$I$20000,"Conjunto"),""))</f>
        <v/>
      </c>
      <c r="E286" t="str" cm="1">
        <f t="array" ref="E286">IF(A286="","",IFERROR(AVERAGE(IF((DATOS!$A$2:$A$20000=A286)*(DATOS!$G$2:$G$20000=CONFIG_METADATA!$B$4)*(DATOS!$I$2:$I$20000&lt;&gt;"Lenguaje Musical")*(DATOS!$I$2:$I$20000&lt;&gt;"Coro")*(DATOS!$I$2:$I$20000&lt;&gt;"Conjunto"),DATOS!$K$2:$K$20000)),""))</f>
        <v/>
      </c>
      <c r="H286" t="str">
        <f>IF(G286="","",IFERROR(AVERAGEIFS(DATOS!$K$2:$K$20000,DATOS!$A$2:$A$20000,G286,DATOS!$G$2:$G$20000,CONFIG_METADATA!$B$4,DATOS!$I$2:$I$20000,"Lenguaje Musical"),""))</f>
        <v/>
      </c>
      <c r="I286" t="str">
        <f>IF(G286="","",IFERROR(AVERAGEIFS(DATOS!$K$2:$K$20000,DATOS!$A$2:$A$20000,G286,DATOS!$G$2:$G$20000,CONFIG_METADATA!$B$4,DATOS!$I$2:$I$20000,"Coro"),""))</f>
        <v/>
      </c>
      <c r="J286" t="str">
        <f>IF(G286="","",IFERROR(AVERAGEIFS(DATOS!$K$2:$K$20000,DATOS!$A$2:$A$20000,G286,DATOS!$G$2:$G$20000,CONFIG_METADATA!$B$4,DATOS!$I$2:$I$20000,"Conjunto"),""))</f>
        <v/>
      </c>
      <c r="K286" t="str" cm="1">
        <f t="array" ref="K286">IF(G286="","",IFERROR(AVERAGE(IF((DATOS!$A$2:$A$20000=G286)*(DATOS!$G$2:$G$20000=CONFIG_METADATA!$B$4)*(DATOS!$I$2:$I$20000&lt;&gt;"Lenguaje Musical")*(DATOS!$I$2:$I$20000&lt;&gt;"Coro")*(DATOS!$I$2:$I$20000&lt;&gt;"Conjunto"),DATOS!$K$2:$K$20000)),""))</f>
        <v/>
      </c>
      <c r="N286" t="str">
        <f>IF(M286="","",IFERROR(AVERAGEIFS(DATOS!$K$2:$K$20000,DATOS!$A$2:$A$20000,M286,DATOS!$G$2:$G$20000,CONFIG_METADATA!$B$4,DATOS!$I$2:$I$20000,"Lenguaje Musical"),""))</f>
        <v/>
      </c>
      <c r="O286" t="str">
        <f>IF(M286="","",IFERROR(AVERAGEIFS(DATOS!$K$2:$K$20000,DATOS!$A$2:$A$20000,M286,DATOS!$G$2:$G$20000,CONFIG_METADATA!$B$4,DATOS!$I$2:$I$20000,"Coro"),""))</f>
        <v/>
      </c>
      <c r="P286" t="str">
        <f>IF(M286="","",IFERROR(AVERAGEIFS(DATOS!$K$2:$K$20000,DATOS!$A$2:$A$20000,M286,DATOS!$G$2:$G$20000,CONFIG_METADATA!$B$4,DATOS!$I$2:$I$20000,"Conjunto"),""))</f>
        <v/>
      </c>
      <c r="Q286" t="str">
        <f>IF(M286="","",IFERROR(AVERAGEIFS(DATOS!$K$2:$K$20000,DATOS!$A$2:$A$20000,M286,DATOS!$G$2:$G$20000,CONFIG_METADATA!$B$4,DATOS!$I$2:$I$20000,"&lt;&gt;Lenguaje Musical",DATOS!$I$2:$I$20000,"&lt;&gt;Coro",DATOS!$I$2:$I$20000,"&lt;&gt;Conjunto"),""))</f>
        <v/>
      </c>
      <c r="T286" t="str">
        <f>IF(S286="","",IFERROR(AVERAGEIFS(DATOS!$K$2:$K$20000,DATOS!$A$2:$A$20000,S286,DATOS!$G$2:$G$20000,CONFIG_METADATA!$B$4,DATOS!$I$2:$I$20000,"Lenguaje Musical"),""))</f>
        <v/>
      </c>
      <c r="U286" t="str">
        <f>IF(S286="","",IFERROR(AVERAGEIFS(DATOS!$K$2:$K$20000,DATOS!$A$2:$A$20000,S286,DATOS!$G$2:$G$20000,CONFIG_METADATA!$B$4,DATOS!$I$2:$I$20000,"Coro"),""))</f>
        <v/>
      </c>
      <c r="V286" t="str">
        <f>IF(S286="","",IFERROR(AVERAGEIFS(DATOS!$K$2:$K$20000,DATOS!$A$2:$A$20000,S286,DATOS!$G$2:$G$20000,CONFIG_METADATA!$B$4,DATOS!$I$2:$I$20000,"Conjunto"),""))</f>
        <v/>
      </c>
      <c r="W286" t="str" cm="1">
        <f t="array" ref="W286">IF(S286="","",IFERROR(AVERAGE(IF((DATOS!$A$2:$A$20000=S286)*(DATOS!$G$2:$G$20000=CONFIG_METADATA!$B$4)*(DATOS!$I$2:$I$20000&lt;&gt;"Lenguaje Musical")*(DATOS!$I$2:$I$20000&lt;&gt;"Coro")*(DATOS!$I$2:$I$20000&lt;&gt;"Conjunto"),DATOS!$K$2:$K$20000)),""))</f>
        <v/>
      </c>
    </row>
    <row r="287" spans="2:23" x14ac:dyDescent="0.2">
      <c r="B287" t="str">
        <f>IF(A287="","",IFERROR(AVERAGEIFS(DATOS!$K$2:$K$20000,DATOS!$A$2:$A$20000,A287,DATOS!$G$2:$G$20000,CONFIG_METADATA!$B$4,DATOS!$I$2:$I$20000,"Lenguaje Musical"),""))</f>
        <v/>
      </c>
      <c r="C287" t="str">
        <f>IF(A287="","",IFERROR(AVERAGEIFS(DATOS!$K$2:$K$20000,DATOS!$A$2:$A$20000,A287,DATOS!$G$2:$G$20000,CONFIG_METADATA!$B$4,DATOS!$I$2:$I$20000,"Coro"),""))</f>
        <v/>
      </c>
      <c r="D287" t="str">
        <f>IF(A287="","",IFERROR(AVERAGEIFS(DATOS!$K$2:$K$20000,DATOS!$A$2:$A$20000,A287,DATOS!$G$2:$G$20000,CONFIG_METADATA!$B$4,DATOS!$I$2:$I$20000,"Conjunto"),""))</f>
        <v/>
      </c>
      <c r="E287" t="str" cm="1">
        <f t="array" ref="E287">IF(A287="","",IFERROR(AVERAGE(IF((DATOS!$A$2:$A$20000=A287)*(DATOS!$G$2:$G$20000=CONFIG_METADATA!$B$4)*(DATOS!$I$2:$I$20000&lt;&gt;"Lenguaje Musical")*(DATOS!$I$2:$I$20000&lt;&gt;"Coro")*(DATOS!$I$2:$I$20000&lt;&gt;"Conjunto"),DATOS!$K$2:$K$20000)),""))</f>
        <v/>
      </c>
      <c r="H287" t="str">
        <f>IF(G287="","",IFERROR(AVERAGEIFS(DATOS!$K$2:$K$20000,DATOS!$A$2:$A$20000,G287,DATOS!$G$2:$G$20000,CONFIG_METADATA!$B$4,DATOS!$I$2:$I$20000,"Lenguaje Musical"),""))</f>
        <v/>
      </c>
      <c r="I287" t="str">
        <f>IF(G287="","",IFERROR(AVERAGEIFS(DATOS!$K$2:$K$20000,DATOS!$A$2:$A$20000,G287,DATOS!$G$2:$G$20000,CONFIG_METADATA!$B$4,DATOS!$I$2:$I$20000,"Coro"),""))</f>
        <v/>
      </c>
      <c r="J287" t="str">
        <f>IF(G287="","",IFERROR(AVERAGEIFS(DATOS!$K$2:$K$20000,DATOS!$A$2:$A$20000,G287,DATOS!$G$2:$G$20000,CONFIG_METADATA!$B$4,DATOS!$I$2:$I$20000,"Conjunto"),""))</f>
        <v/>
      </c>
      <c r="K287" t="str" cm="1">
        <f t="array" ref="K287">IF(G287="","",IFERROR(AVERAGE(IF((DATOS!$A$2:$A$20000=G287)*(DATOS!$G$2:$G$20000=CONFIG_METADATA!$B$4)*(DATOS!$I$2:$I$20000&lt;&gt;"Lenguaje Musical")*(DATOS!$I$2:$I$20000&lt;&gt;"Coro")*(DATOS!$I$2:$I$20000&lt;&gt;"Conjunto"),DATOS!$K$2:$K$20000)),""))</f>
        <v/>
      </c>
      <c r="N287" t="str">
        <f>IF(M287="","",IFERROR(AVERAGEIFS(DATOS!$K$2:$K$20000,DATOS!$A$2:$A$20000,M287,DATOS!$G$2:$G$20000,CONFIG_METADATA!$B$4,DATOS!$I$2:$I$20000,"Lenguaje Musical"),""))</f>
        <v/>
      </c>
      <c r="O287" t="str">
        <f>IF(M287="","",IFERROR(AVERAGEIFS(DATOS!$K$2:$K$20000,DATOS!$A$2:$A$20000,M287,DATOS!$G$2:$G$20000,CONFIG_METADATA!$B$4,DATOS!$I$2:$I$20000,"Coro"),""))</f>
        <v/>
      </c>
      <c r="P287" t="str">
        <f>IF(M287="","",IFERROR(AVERAGEIFS(DATOS!$K$2:$K$20000,DATOS!$A$2:$A$20000,M287,DATOS!$G$2:$G$20000,CONFIG_METADATA!$B$4,DATOS!$I$2:$I$20000,"Conjunto"),""))</f>
        <v/>
      </c>
      <c r="Q287" t="str">
        <f>IF(M287="","",IFERROR(AVERAGEIFS(DATOS!$K$2:$K$20000,DATOS!$A$2:$A$20000,M287,DATOS!$G$2:$G$20000,CONFIG_METADATA!$B$4,DATOS!$I$2:$I$20000,"&lt;&gt;Lenguaje Musical",DATOS!$I$2:$I$20000,"&lt;&gt;Coro",DATOS!$I$2:$I$20000,"&lt;&gt;Conjunto"),""))</f>
        <v/>
      </c>
      <c r="T287" t="str">
        <f>IF(S287="","",IFERROR(AVERAGEIFS(DATOS!$K$2:$K$20000,DATOS!$A$2:$A$20000,S287,DATOS!$G$2:$G$20000,CONFIG_METADATA!$B$4,DATOS!$I$2:$I$20000,"Lenguaje Musical"),""))</f>
        <v/>
      </c>
      <c r="U287" t="str">
        <f>IF(S287="","",IFERROR(AVERAGEIFS(DATOS!$K$2:$K$20000,DATOS!$A$2:$A$20000,S287,DATOS!$G$2:$G$20000,CONFIG_METADATA!$B$4,DATOS!$I$2:$I$20000,"Coro"),""))</f>
        <v/>
      </c>
      <c r="V287" t="str">
        <f>IF(S287="","",IFERROR(AVERAGEIFS(DATOS!$K$2:$K$20000,DATOS!$A$2:$A$20000,S287,DATOS!$G$2:$G$20000,CONFIG_METADATA!$B$4,DATOS!$I$2:$I$20000,"Conjunto"),""))</f>
        <v/>
      </c>
      <c r="W287" t="str" cm="1">
        <f t="array" ref="W287">IF(S287="","",IFERROR(AVERAGE(IF((DATOS!$A$2:$A$20000=S287)*(DATOS!$G$2:$G$20000=CONFIG_METADATA!$B$4)*(DATOS!$I$2:$I$20000&lt;&gt;"Lenguaje Musical")*(DATOS!$I$2:$I$20000&lt;&gt;"Coro")*(DATOS!$I$2:$I$20000&lt;&gt;"Conjunto"),DATOS!$K$2:$K$20000)),""))</f>
        <v/>
      </c>
    </row>
    <row r="288" spans="2:23" x14ac:dyDescent="0.2">
      <c r="B288" t="str">
        <f>IF(A288="","",IFERROR(AVERAGEIFS(DATOS!$K$2:$K$20000,DATOS!$A$2:$A$20000,A288,DATOS!$G$2:$G$20000,CONFIG_METADATA!$B$4,DATOS!$I$2:$I$20000,"Lenguaje Musical"),""))</f>
        <v/>
      </c>
      <c r="C288" t="str">
        <f>IF(A288="","",IFERROR(AVERAGEIFS(DATOS!$K$2:$K$20000,DATOS!$A$2:$A$20000,A288,DATOS!$G$2:$G$20000,CONFIG_METADATA!$B$4,DATOS!$I$2:$I$20000,"Coro"),""))</f>
        <v/>
      </c>
      <c r="D288" t="str">
        <f>IF(A288="","",IFERROR(AVERAGEIFS(DATOS!$K$2:$K$20000,DATOS!$A$2:$A$20000,A288,DATOS!$G$2:$G$20000,CONFIG_METADATA!$B$4,DATOS!$I$2:$I$20000,"Conjunto"),""))</f>
        <v/>
      </c>
      <c r="E288" t="str">
        <f>IF(A288="","",IFERROR(AVERAGEIFS(DATOS!$K$2:$K$20000,DATOS!$A$2:$A$20000,A288,DATOS!$G$2:$G$20000,CONFIG_METADATA!$B$4,DATOS!$I$2:$I$20000,"&lt;&gt;Lenguaje Musical",DATOS!$I$2:$I$20000,"&lt;&gt;Coro",DATOS!$I$2:$I$20000,"&lt;&gt;Conjunto"),""))</f>
        <v/>
      </c>
      <c r="H288" t="str">
        <f>IF(G288="","",IFERROR(AVERAGEIFS(DATOS!$K$2:$K$20000,DATOS!$A$2:$A$20000,G288,DATOS!$G$2:$G$20000,CONFIG_METADATA!$B$4,DATOS!$I$2:$I$20000,"Lenguaje Musical"),""))</f>
        <v/>
      </c>
      <c r="I288" t="str">
        <f>IF(G288="","",IFERROR(AVERAGEIFS(DATOS!$K$2:$K$20000,DATOS!$A$2:$A$20000,G288,DATOS!$G$2:$G$20000,CONFIG_METADATA!$B$4,DATOS!$I$2:$I$20000,"Coro"),""))</f>
        <v/>
      </c>
      <c r="J288" t="str">
        <f>IF(G288="","",IFERROR(AVERAGEIFS(DATOS!$K$2:$K$20000,DATOS!$A$2:$A$20000,G288,DATOS!$G$2:$G$20000,CONFIG_METADATA!$B$4,DATOS!$I$2:$I$20000,"Conjunto"),""))</f>
        <v/>
      </c>
      <c r="K288" t="str" cm="1">
        <f t="array" ref="K288">IF(G288="","",IFERROR(AVERAGE(IF((DATOS!$A$2:$A$20000=G288)*(DATOS!$G$2:$G$20000=CONFIG_METADATA!$B$4)*(DATOS!$I$2:$I$20000&lt;&gt;"Lenguaje Musical")*(DATOS!$I$2:$I$20000&lt;&gt;"Coro")*(DATOS!$I$2:$I$20000&lt;&gt;"Conjunto"),DATOS!$K$2:$K$20000)),""))</f>
        <v/>
      </c>
      <c r="N288" t="str">
        <f>IF(M288="","",IFERROR(AVERAGEIFS(DATOS!$K$2:$K$20000,DATOS!$A$2:$A$20000,M288,DATOS!$G$2:$G$20000,CONFIG_METADATA!$B$4,DATOS!$I$2:$I$20000,"Lenguaje Musical"),""))</f>
        <v/>
      </c>
      <c r="O288" t="str">
        <f>IF(M288="","",IFERROR(AVERAGEIFS(DATOS!$K$2:$K$20000,DATOS!$A$2:$A$20000,M288,DATOS!$G$2:$G$20000,CONFIG_METADATA!$B$4,DATOS!$I$2:$I$20000,"Coro"),""))</f>
        <v/>
      </c>
      <c r="P288" t="str">
        <f>IF(M288="","",IFERROR(AVERAGEIFS(DATOS!$K$2:$K$20000,DATOS!$A$2:$A$20000,M288,DATOS!$G$2:$G$20000,CONFIG_METADATA!$B$4,DATOS!$I$2:$I$20000,"Conjunto"),""))</f>
        <v/>
      </c>
      <c r="Q288" t="str">
        <f>IF(M288="","",IFERROR(AVERAGEIFS(DATOS!$K$2:$K$20000,DATOS!$A$2:$A$20000,M288,DATOS!$G$2:$G$20000,CONFIG_METADATA!$B$4,DATOS!$I$2:$I$20000,"&lt;&gt;Lenguaje Musical",DATOS!$I$2:$I$20000,"&lt;&gt;Coro",DATOS!$I$2:$I$20000,"&lt;&gt;Conjunto"),""))</f>
        <v/>
      </c>
      <c r="T288" t="str">
        <f>IF(S288="","",IFERROR(AVERAGEIFS(DATOS!$K$2:$K$20000,DATOS!$A$2:$A$20000,S288,DATOS!$G$2:$G$20000,CONFIG_METADATA!$B$4,DATOS!$I$2:$I$20000,"Lenguaje Musical"),""))</f>
        <v/>
      </c>
      <c r="U288" t="str">
        <f>IF(S288="","",IFERROR(AVERAGEIFS(DATOS!$K$2:$K$20000,DATOS!$A$2:$A$20000,S288,DATOS!$G$2:$G$20000,CONFIG_METADATA!$B$4,DATOS!$I$2:$I$20000,"Coro"),""))</f>
        <v/>
      </c>
      <c r="V288" t="str">
        <f>IF(S288="","",IFERROR(AVERAGEIFS(DATOS!$K$2:$K$20000,DATOS!$A$2:$A$20000,S288,DATOS!$G$2:$G$20000,CONFIG_METADATA!$B$4,DATOS!$I$2:$I$20000,"Conjunto"),""))</f>
        <v/>
      </c>
      <c r="W288" t="str" cm="1">
        <f t="array" ref="W288">IF(S288="","",IFERROR(AVERAGE(IF((DATOS!$A$2:$A$20000=S288)*(DATOS!$G$2:$G$20000=CONFIG_METADATA!$B$4)*(DATOS!$I$2:$I$20000&lt;&gt;"Lenguaje Musical")*(DATOS!$I$2:$I$20000&lt;&gt;"Coro")*(DATOS!$I$2:$I$20000&lt;&gt;"Conjunto"),DATOS!$K$2:$K$20000)),""))</f>
        <v/>
      </c>
    </row>
    <row r="289" spans="2:23" x14ac:dyDescent="0.2">
      <c r="B289" t="str">
        <f>IF(A289="","",IFERROR(AVERAGEIFS(DATOS!$K$2:$K$20000,DATOS!$A$2:$A$20000,A289,DATOS!$G$2:$G$20000,CONFIG_METADATA!$B$4,DATOS!$I$2:$I$20000,"Lenguaje Musical"),""))</f>
        <v/>
      </c>
      <c r="C289" t="str">
        <f>IF(A289="","",IFERROR(AVERAGEIFS(DATOS!$K$2:$K$20000,DATOS!$A$2:$A$20000,A289,DATOS!$G$2:$G$20000,CONFIG_METADATA!$B$4,DATOS!$I$2:$I$20000,"Coro"),""))</f>
        <v/>
      </c>
      <c r="D289" t="str">
        <f>IF(A289="","",IFERROR(AVERAGEIFS(DATOS!$K$2:$K$20000,DATOS!$A$2:$A$20000,A289,DATOS!$G$2:$G$20000,CONFIG_METADATA!$B$4,DATOS!$I$2:$I$20000,"Conjunto"),""))</f>
        <v/>
      </c>
      <c r="E289" t="str">
        <f>IF(A289="","",IFERROR(AVERAGEIFS(DATOS!$K$2:$K$20000,DATOS!$A$2:$A$20000,A289,DATOS!$G$2:$G$20000,CONFIG_METADATA!$B$4,DATOS!$I$2:$I$20000,"&lt;&gt;Lenguaje Musical",DATOS!$I$2:$I$20000,"&lt;&gt;Coro",DATOS!$I$2:$I$20000,"&lt;&gt;Conjunto"),""))</f>
        <v/>
      </c>
      <c r="H289" t="str">
        <f>IF(G289="","",IFERROR(AVERAGEIFS(DATOS!$K$2:$K$20000,DATOS!$A$2:$A$20000,G289,DATOS!$G$2:$G$20000,CONFIG_METADATA!$B$4,DATOS!$I$2:$I$20000,"Lenguaje Musical"),""))</f>
        <v/>
      </c>
      <c r="I289" t="str">
        <f>IF(G289="","",IFERROR(AVERAGEIFS(DATOS!$K$2:$K$20000,DATOS!$A$2:$A$20000,G289,DATOS!$G$2:$G$20000,CONFIG_METADATA!$B$4,DATOS!$I$2:$I$20000,"Coro"),""))</f>
        <v/>
      </c>
      <c r="J289" t="str">
        <f>IF(G289="","",IFERROR(AVERAGEIFS(DATOS!$K$2:$K$20000,DATOS!$A$2:$A$20000,G289,DATOS!$G$2:$G$20000,CONFIG_METADATA!$B$4,DATOS!$I$2:$I$20000,"Conjunto"),""))</f>
        <v/>
      </c>
      <c r="K289" t="str" cm="1">
        <f t="array" ref="K289">IF(G289="","",IFERROR(AVERAGE(IF((DATOS!$A$2:$A$20000=G289)*(DATOS!$G$2:$G$20000=CONFIG_METADATA!$B$4)*(DATOS!$I$2:$I$20000&lt;&gt;"Lenguaje Musical")*(DATOS!$I$2:$I$20000&lt;&gt;"Coro")*(DATOS!$I$2:$I$20000&lt;&gt;"Conjunto"),DATOS!$K$2:$K$20000)),""))</f>
        <v/>
      </c>
      <c r="N289" t="str">
        <f>IF(M289="","",IFERROR(AVERAGEIFS(DATOS!$K$2:$K$20000,DATOS!$A$2:$A$20000,M289,DATOS!$G$2:$G$20000,CONFIG_METADATA!$B$4,DATOS!$I$2:$I$20000,"Lenguaje Musical"),""))</f>
        <v/>
      </c>
      <c r="O289" t="str">
        <f>IF(M289="","",IFERROR(AVERAGEIFS(DATOS!$K$2:$K$20000,DATOS!$A$2:$A$20000,M289,DATOS!$G$2:$G$20000,CONFIG_METADATA!$B$4,DATOS!$I$2:$I$20000,"Coro"),""))</f>
        <v/>
      </c>
      <c r="P289" t="str">
        <f>IF(M289="","",IFERROR(AVERAGEIFS(DATOS!$K$2:$K$20000,DATOS!$A$2:$A$20000,M289,DATOS!$G$2:$G$20000,CONFIG_METADATA!$B$4,DATOS!$I$2:$I$20000,"Conjunto"),""))</f>
        <v/>
      </c>
      <c r="Q289" t="str">
        <f>IF(M289="","",IFERROR(AVERAGEIFS(DATOS!$K$2:$K$20000,DATOS!$A$2:$A$20000,M289,DATOS!$G$2:$G$20000,CONFIG_METADATA!$B$4,DATOS!$I$2:$I$20000,"&lt;&gt;Lenguaje Musical",DATOS!$I$2:$I$20000,"&lt;&gt;Coro",DATOS!$I$2:$I$20000,"&lt;&gt;Conjunto"),""))</f>
        <v/>
      </c>
      <c r="T289" t="str">
        <f>IF(S289="","",IFERROR(AVERAGEIFS(DATOS!$K$2:$K$20000,DATOS!$A$2:$A$20000,S289,DATOS!$G$2:$G$20000,CONFIG_METADATA!$B$4,DATOS!$I$2:$I$20000,"Lenguaje Musical"),""))</f>
        <v/>
      </c>
      <c r="U289" t="str">
        <f>IF(S289="","",IFERROR(AVERAGEIFS(DATOS!$K$2:$K$20000,DATOS!$A$2:$A$20000,S289,DATOS!$G$2:$G$20000,CONFIG_METADATA!$B$4,DATOS!$I$2:$I$20000,"Coro"),""))</f>
        <v/>
      </c>
      <c r="V289" t="str">
        <f>IF(S289="","",IFERROR(AVERAGEIFS(DATOS!$K$2:$K$20000,DATOS!$A$2:$A$20000,S289,DATOS!$G$2:$G$20000,CONFIG_METADATA!$B$4,DATOS!$I$2:$I$20000,"Conjunto"),""))</f>
        <v/>
      </c>
      <c r="W289" t="str" cm="1">
        <f t="array" ref="W289">IF(S289="","",IFERROR(AVERAGE(IF((DATOS!$A$2:$A$20000=S289)*(DATOS!$G$2:$G$20000=CONFIG_METADATA!$B$4)*(DATOS!$I$2:$I$20000&lt;&gt;"Lenguaje Musical")*(DATOS!$I$2:$I$20000&lt;&gt;"Coro")*(DATOS!$I$2:$I$20000&lt;&gt;"Conjunto"),DATOS!$K$2:$K$20000)),""))</f>
        <v/>
      </c>
    </row>
    <row r="290" spans="2:23" x14ac:dyDescent="0.2">
      <c r="B290" t="str">
        <f>IF(A290="","",IFERROR(AVERAGEIFS(DATOS!$K$2:$K$20000,DATOS!$A$2:$A$20000,A290,DATOS!$G$2:$G$20000,CONFIG_METADATA!$B$4,DATOS!$I$2:$I$20000,"Lenguaje Musical"),""))</f>
        <v/>
      </c>
      <c r="C290" t="str">
        <f>IF(A290="","",IFERROR(AVERAGEIFS(DATOS!$K$2:$K$20000,DATOS!$A$2:$A$20000,A290,DATOS!$G$2:$G$20000,CONFIG_METADATA!$B$4,DATOS!$I$2:$I$20000,"Coro"),""))</f>
        <v/>
      </c>
      <c r="D290" t="str">
        <f>IF(A290="","",IFERROR(AVERAGEIFS(DATOS!$K$2:$K$20000,DATOS!$A$2:$A$20000,A290,DATOS!$G$2:$G$20000,CONFIG_METADATA!$B$4,DATOS!$I$2:$I$20000,"Conjunto"),""))</f>
        <v/>
      </c>
      <c r="E290" t="str">
        <f>IF(A290="","",IFERROR(AVERAGEIFS(DATOS!$K$2:$K$20000,DATOS!$A$2:$A$20000,A290,DATOS!$G$2:$G$20000,CONFIG_METADATA!$B$4,DATOS!$I$2:$I$20000,"&lt;&gt;Lenguaje Musical",DATOS!$I$2:$I$20000,"&lt;&gt;Coro",DATOS!$I$2:$I$20000,"&lt;&gt;Conjunto"),""))</f>
        <v/>
      </c>
      <c r="H290" t="str">
        <f>IF(G290="","",IFERROR(AVERAGEIFS(DATOS!$K$2:$K$20000,DATOS!$A$2:$A$20000,G290,DATOS!$G$2:$G$20000,CONFIG_METADATA!$B$4,DATOS!$I$2:$I$20000,"Lenguaje Musical"),""))</f>
        <v/>
      </c>
      <c r="I290" t="str">
        <f>IF(G290="","",IFERROR(AVERAGEIFS(DATOS!$K$2:$K$20000,DATOS!$A$2:$A$20000,G290,DATOS!$G$2:$G$20000,CONFIG_METADATA!$B$4,DATOS!$I$2:$I$20000,"Coro"),""))</f>
        <v/>
      </c>
      <c r="J290" t="str">
        <f>IF(G290="","",IFERROR(AVERAGEIFS(DATOS!$K$2:$K$20000,DATOS!$A$2:$A$20000,G290,DATOS!$G$2:$G$20000,CONFIG_METADATA!$B$4,DATOS!$I$2:$I$20000,"Conjunto"),""))</f>
        <v/>
      </c>
      <c r="K290" t="str" cm="1">
        <f t="array" ref="K290">IF(G290="","",IFERROR(AVERAGE(IF((DATOS!$A$2:$A$20000=G290)*(DATOS!$G$2:$G$20000=CONFIG_METADATA!$B$4)*(DATOS!$I$2:$I$20000&lt;&gt;"Lenguaje Musical")*(DATOS!$I$2:$I$20000&lt;&gt;"Coro")*(DATOS!$I$2:$I$20000&lt;&gt;"Conjunto"),DATOS!$K$2:$K$20000)),""))</f>
        <v/>
      </c>
      <c r="N290" t="str">
        <f>IF(M290="","",IFERROR(AVERAGEIFS(DATOS!$K$2:$K$20000,DATOS!$A$2:$A$20000,M290,DATOS!$G$2:$G$20000,CONFIG_METADATA!$B$4,DATOS!$I$2:$I$20000,"Lenguaje Musical"),""))</f>
        <v/>
      </c>
      <c r="O290" t="str">
        <f>IF(M290="","",IFERROR(AVERAGEIFS(DATOS!$K$2:$K$20000,DATOS!$A$2:$A$20000,M290,DATOS!$G$2:$G$20000,CONFIG_METADATA!$B$4,DATOS!$I$2:$I$20000,"Coro"),""))</f>
        <v/>
      </c>
      <c r="P290" t="str">
        <f>IF(M290="","",IFERROR(AVERAGEIFS(DATOS!$K$2:$K$20000,DATOS!$A$2:$A$20000,M290,DATOS!$G$2:$G$20000,CONFIG_METADATA!$B$4,DATOS!$I$2:$I$20000,"Conjunto"),""))</f>
        <v/>
      </c>
      <c r="Q290" t="str">
        <f>IF(M290="","",IFERROR(AVERAGEIFS(DATOS!$K$2:$K$20000,DATOS!$A$2:$A$20000,M290,DATOS!$G$2:$G$20000,CONFIG_METADATA!$B$4,DATOS!$I$2:$I$20000,"&lt;&gt;Lenguaje Musical",DATOS!$I$2:$I$20000,"&lt;&gt;Coro",DATOS!$I$2:$I$20000,"&lt;&gt;Conjunto"),""))</f>
        <v/>
      </c>
      <c r="T290" t="str">
        <f>IF(S290="","",IFERROR(AVERAGEIFS(DATOS!$K$2:$K$20000,DATOS!$A$2:$A$20000,S290,DATOS!$G$2:$G$20000,CONFIG_METADATA!$B$4,DATOS!$I$2:$I$20000,"Lenguaje Musical"),""))</f>
        <v/>
      </c>
      <c r="U290" t="str">
        <f>IF(S290="","",IFERROR(AVERAGEIFS(DATOS!$K$2:$K$20000,DATOS!$A$2:$A$20000,S290,DATOS!$G$2:$G$20000,CONFIG_METADATA!$B$4,DATOS!$I$2:$I$20000,"Coro"),""))</f>
        <v/>
      </c>
      <c r="V290" t="str">
        <f>IF(S290="","",IFERROR(AVERAGEIFS(DATOS!$K$2:$K$20000,DATOS!$A$2:$A$20000,S290,DATOS!$G$2:$G$20000,CONFIG_METADATA!$B$4,DATOS!$I$2:$I$20000,"Conjunto"),""))</f>
        <v/>
      </c>
      <c r="W290" t="str" cm="1">
        <f t="array" ref="W290">IF(S290="","",IFERROR(AVERAGE(IF((DATOS!$A$2:$A$20000=S290)*(DATOS!$G$2:$G$20000=CONFIG_METADATA!$B$4)*(DATOS!$I$2:$I$20000&lt;&gt;"Lenguaje Musical")*(DATOS!$I$2:$I$20000&lt;&gt;"Coro")*(DATOS!$I$2:$I$20000&lt;&gt;"Conjunto"),DATOS!$K$2:$K$20000)),""))</f>
        <v/>
      </c>
    </row>
    <row r="291" spans="2:23" x14ac:dyDescent="0.2">
      <c r="B291" t="str">
        <f>IF(A291="","",IFERROR(AVERAGEIFS(DATOS!$K$2:$K$20000,DATOS!$A$2:$A$20000,A291,DATOS!$G$2:$G$20000,CONFIG_METADATA!$B$4,DATOS!$I$2:$I$20000,"Lenguaje Musical"),""))</f>
        <v/>
      </c>
      <c r="C291" t="str">
        <f>IF(A291="","",IFERROR(AVERAGEIFS(DATOS!$K$2:$K$20000,DATOS!$A$2:$A$20000,A291,DATOS!$G$2:$G$20000,CONFIG_METADATA!$B$4,DATOS!$I$2:$I$20000,"Coro"),""))</f>
        <v/>
      </c>
      <c r="D291" t="str">
        <f>IF(A291="","",IFERROR(AVERAGEIFS(DATOS!$K$2:$K$20000,DATOS!$A$2:$A$20000,A291,DATOS!$G$2:$G$20000,CONFIG_METADATA!$B$4,DATOS!$I$2:$I$20000,"Conjunto"),""))</f>
        <v/>
      </c>
      <c r="E291" t="str">
        <f>IF(A291="","",IFERROR(AVERAGEIFS(DATOS!$K$2:$K$20000,DATOS!$A$2:$A$20000,A291,DATOS!$G$2:$G$20000,CONFIG_METADATA!$B$4,DATOS!$I$2:$I$20000,"&lt;&gt;Lenguaje Musical",DATOS!$I$2:$I$20000,"&lt;&gt;Coro",DATOS!$I$2:$I$20000,"&lt;&gt;Conjunto"),""))</f>
        <v/>
      </c>
      <c r="H291" t="str">
        <f>IF(G291="","",IFERROR(AVERAGEIFS(DATOS!$K$2:$K$20000,DATOS!$A$2:$A$20000,G291,DATOS!$G$2:$G$20000,CONFIG_METADATA!$B$4,DATOS!$I$2:$I$20000,"Lenguaje Musical"),""))</f>
        <v/>
      </c>
      <c r="I291" t="str">
        <f>IF(G291="","",IFERROR(AVERAGEIFS(DATOS!$K$2:$K$20000,DATOS!$A$2:$A$20000,G291,DATOS!$G$2:$G$20000,CONFIG_METADATA!$B$4,DATOS!$I$2:$I$20000,"Coro"),""))</f>
        <v/>
      </c>
      <c r="J291" t="str">
        <f>IF(G291="","",IFERROR(AVERAGEIFS(DATOS!$K$2:$K$20000,DATOS!$A$2:$A$20000,G291,DATOS!$G$2:$G$20000,CONFIG_METADATA!$B$4,DATOS!$I$2:$I$20000,"Conjunto"),""))</f>
        <v/>
      </c>
      <c r="K291" t="str" cm="1">
        <f t="array" ref="K291">IF(G291="","",IFERROR(AVERAGE(IF((DATOS!$A$2:$A$20000=G291)*(DATOS!$G$2:$G$20000=CONFIG_METADATA!$B$4)*(DATOS!$I$2:$I$20000&lt;&gt;"Lenguaje Musical")*(DATOS!$I$2:$I$20000&lt;&gt;"Coro")*(DATOS!$I$2:$I$20000&lt;&gt;"Conjunto"),DATOS!$K$2:$K$20000)),""))</f>
        <v/>
      </c>
      <c r="N291" t="str">
        <f>IF(M291="","",IFERROR(AVERAGEIFS(DATOS!$K$2:$K$20000,DATOS!$A$2:$A$20000,M291,DATOS!$G$2:$G$20000,CONFIG_METADATA!$B$4,DATOS!$I$2:$I$20000,"Lenguaje Musical"),""))</f>
        <v/>
      </c>
      <c r="O291" t="str">
        <f>IF(M291="","",IFERROR(AVERAGEIFS(DATOS!$K$2:$K$20000,DATOS!$A$2:$A$20000,M291,DATOS!$G$2:$G$20000,CONFIG_METADATA!$B$4,DATOS!$I$2:$I$20000,"Coro"),""))</f>
        <v/>
      </c>
      <c r="P291" t="str">
        <f>IF(M291="","",IFERROR(AVERAGEIFS(DATOS!$K$2:$K$20000,DATOS!$A$2:$A$20000,M291,DATOS!$G$2:$G$20000,CONFIG_METADATA!$B$4,DATOS!$I$2:$I$20000,"Conjunto"),""))</f>
        <v/>
      </c>
      <c r="Q291" t="str">
        <f>IF(M291="","",IFERROR(AVERAGEIFS(DATOS!$K$2:$K$20000,DATOS!$A$2:$A$20000,M291,DATOS!$G$2:$G$20000,CONFIG_METADATA!$B$4,DATOS!$I$2:$I$20000,"&lt;&gt;Lenguaje Musical",DATOS!$I$2:$I$20000,"&lt;&gt;Coro",DATOS!$I$2:$I$20000,"&lt;&gt;Conjunto"),""))</f>
        <v/>
      </c>
      <c r="T291" t="str">
        <f>IF(S291="","",IFERROR(AVERAGEIFS(DATOS!$K$2:$K$20000,DATOS!$A$2:$A$20000,S291,DATOS!$G$2:$G$20000,CONFIG_METADATA!$B$4,DATOS!$I$2:$I$20000,"Lenguaje Musical"),""))</f>
        <v/>
      </c>
      <c r="U291" t="str">
        <f>IF(S291="","",IFERROR(AVERAGEIFS(DATOS!$K$2:$K$20000,DATOS!$A$2:$A$20000,S291,DATOS!$G$2:$G$20000,CONFIG_METADATA!$B$4,DATOS!$I$2:$I$20000,"Coro"),""))</f>
        <v/>
      </c>
      <c r="V291" t="str">
        <f>IF(S291="","",IFERROR(AVERAGEIFS(DATOS!$K$2:$K$20000,DATOS!$A$2:$A$20000,S291,DATOS!$G$2:$G$20000,CONFIG_METADATA!$B$4,DATOS!$I$2:$I$20000,"Conjunto"),""))</f>
        <v/>
      </c>
      <c r="W291" t="str" cm="1">
        <f t="array" ref="W291">IF(S291="","",IFERROR(AVERAGE(IF((DATOS!$A$2:$A$20000=S291)*(DATOS!$G$2:$G$20000=CONFIG_METADATA!$B$4)*(DATOS!$I$2:$I$20000&lt;&gt;"Lenguaje Musical")*(DATOS!$I$2:$I$20000&lt;&gt;"Coro")*(DATOS!$I$2:$I$20000&lt;&gt;"Conjunto"),DATOS!$K$2:$K$20000)),""))</f>
        <v/>
      </c>
    </row>
    <row r="292" spans="2:23" x14ac:dyDescent="0.2">
      <c r="B292" t="str">
        <f>IF(A292="","",IFERROR(AVERAGEIFS(DATOS!$K$2:$K$20000,DATOS!$A$2:$A$20000,A292,DATOS!$G$2:$G$20000,CONFIG_METADATA!$B$4,DATOS!$I$2:$I$20000,"Lenguaje Musical"),""))</f>
        <v/>
      </c>
      <c r="C292" t="str">
        <f>IF(A292="","",IFERROR(AVERAGEIFS(DATOS!$K$2:$K$20000,DATOS!$A$2:$A$20000,A292,DATOS!$G$2:$G$20000,CONFIG_METADATA!$B$4,DATOS!$I$2:$I$20000,"Coro"),""))</f>
        <v/>
      </c>
      <c r="D292" t="str">
        <f>IF(A292="","",IFERROR(AVERAGEIFS(DATOS!$K$2:$K$20000,DATOS!$A$2:$A$20000,A292,DATOS!$G$2:$G$20000,CONFIG_METADATA!$B$4,DATOS!$I$2:$I$20000,"Conjunto"),""))</f>
        <v/>
      </c>
      <c r="E292" t="str">
        <f>IF(A292="","",IFERROR(AVERAGEIFS(DATOS!$K$2:$K$20000,DATOS!$A$2:$A$20000,A292,DATOS!$G$2:$G$20000,CONFIG_METADATA!$B$4,DATOS!$I$2:$I$20000,"&lt;&gt;Lenguaje Musical",DATOS!$I$2:$I$20000,"&lt;&gt;Coro",DATOS!$I$2:$I$20000,"&lt;&gt;Conjunto"),""))</f>
        <v/>
      </c>
      <c r="H292" t="str">
        <f>IF(G292="","",IFERROR(AVERAGEIFS(DATOS!$K$2:$K$20000,DATOS!$A$2:$A$20000,G292,DATOS!$G$2:$G$20000,CONFIG_METADATA!$B$4,DATOS!$I$2:$I$20000,"Lenguaje Musical"),""))</f>
        <v/>
      </c>
      <c r="I292" t="str">
        <f>IF(G292="","",IFERROR(AVERAGEIFS(DATOS!$K$2:$K$20000,DATOS!$A$2:$A$20000,G292,DATOS!$G$2:$G$20000,CONFIG_METADATA!$B$4,DATOS!$I$2:$I$20000,"Coro"),""))</f>
        <v/>
      </c>
      <c r="J292" t="str">
        <f>IF(G292="","",IFERROR(AVERAGEIFS(DATOS!$K$2:$K$20000,DATOS!$A$2:$A$20000,G292,DATOS!$G$2:$G$20000,CONFIG_METADATA!$B$4,DATOS!$I$2:$I$20000,"Conjunto"),""))</f>
        <v/>
      </c>
      <c r="K292" t="str" cm="1">
        <f t="array" ref="K292">IF(G292="","",IFERROR(AVERAGE(IF((DATOS!$A$2:$A$20000=G292)*(DATOS!$G$2:$G$20000=CONFIG_METADATA!$B$4)*(DATOS!$I$2:$I$20000&lt;&gt;"Lenguaje Musical")*(DATOS!$I$2:$I$20000&lt;&gt;"Coro")*(DATOS!$I$2:$I$20000&lt;&gt;"Conjunto"),DATOS!$K$2:$K$20000)),""))</f>
        <v/>
      </c>
      <c r="N292" t="str">
        <f>IF(M292="","",IFERROR(AVERAGEIFS(DATOS!$K$2:$K$20000,DATOS!$A$2:$A$20000,M292,DATOS!$G$2:$G$20000,CONFIG_METADATA!$B$4,DATOS!$I$2:$I$20000,"Lenguaje Musical"),""))</f>
        <v/>
      </c>
      <c r="O292" t="str">
        <f>IF(M292="","",IFERROR(AVERAGEIFS(DATOS!$K$2:$K$20000,DATOS!$A$2:$A$20000,M292,DATOS!$G$2:$G$20000,CONFIG_METADATA!$B$4,DATOS!$I$2:$I$20000,"Coro"),""))</f>
        <v/>
      </c>
      <c r="P292" t="str">
        <f>IF(M292="","",IFERROR(AVERAGEIFS(DATOS!$K$2:$K$20000,DATOS!$A$2:$A$20000,M292,DATOS!$G$2:$G$20000,CONFIG_METADATA!$B$4,DATOS!$I$2:$I$20000,"Conjunto"),""))</f>
        <v/>
      </c>
      <c r="Q292" t="str">
        <f>IF(M292="","",IFERROR(AVERAGEIFS(DATOS!$K$2:$K$20000,DATOS!$A$2:$A$20000,M292,DATOS!$G$2:$G$20000,CONFIG_METADATA!$B$4,DATOS!$I$2:$I$20000,"&lt;&gt;Lenguaje Musical",DATOS!$I$2:$I$20000,"&lt;&gt;Coro",DATOS!$I$2:$I$20000,"&lt;&gt;Conjunto"),""))</f>
        <v/>
      </c>
      <c r="T292" t="str">
        <f>IF(S292="","",IFERROR(AVERAGEIFS(DATOS!$K$2:$K$20000,DATOS!$A$2:$A$20000,S292,DATOS!$G$2:$G$20000,CONFIG_METADATA!$B$4,DATOS!$I$2:$I$20000,"Lenguaje Musical"),""))</f>
        <v/>
      </c>
      <c r="U292" t="str">
        <f>IF(S292="","",IFERROR(AVERAGEIFS(DATOS!$K$2:$K$20000,DATOS!$A$2:$A$20000,S292,DATOS!$G$2:$G$20000,CONFIG_METADATA!$B$4,DATOS!$I$2:$I$20000,"Coro"),""))</f>
        <v/>
      </c>
      <c r="V292" t="str">
        <f>IF(S292="","",IFERROR(AVERAGEIFS(DATOS!$K$2:$K$20000,DATOS!$A$2:$A$20000,S292,DATOS!$G$2:$G$20000,CONFIG_METADATA!$B$4,DATOS!$I$2:$I$20000,"Conjunto"),""))</f>
        <v/>
      </c>
      <c r="W292" t="str" cm="1">
        <f t="array" ref="W292">IF(S292="","",IFERROR(AVERAGE(IF((DATOS!$A$2:$A$20000=S292)*(DATOS!$G$2:$G$20000=CONFIG_METADATA!$B$4)*(DATOS!$I$2:$I$20000&lt;&gt;"Lenguaje Musical")*(DATOS!$I$2:$I$20000&lt;&gt;"Coro")*(DATOS!$I$2:$I$20000&lt;&gt;"Conjunto"),DATOS!$K$2:$K$20000)),""))</f>
        <v/>
      </c>
    </row>
    <row r="293" spans="2:23" x14ac:dyDescent="0.2">
      <c r="B293" t="str">
        <f>IF(A293="","",IFERROR(AVERAGEIFS(DATOS!$K$2:$K$20000,DATOS!$A$2:$A$20000,A293,DATOS!$G$2:$G$20000,CONFIG_METADATA!$B$4,DATOS!$I$2:$I$20000,"Lenguaje Musical"),""))</f>
        <v/>
      </c>
      <c r="C293" t="str">
        <f>IF(A293="","",IFERROR(AVERAGEIFS(DATOS!$K$2:$K$20000,DATOS!$A$2:$A$20000,A293,DATOS!$G$2:$G$20000,CONFIG_METADATA!$B$4,DATOS!$I$2:$I$20000,"Coro"),""))</f>
        <v/>
      </c>
      <c r="D293" t="str">
        <f>IF(A293="","",IFERROR(AVERAGEIFS(DATOS!$K$2:$K$20000,DATOS!$A$2:$A$20000,A293,DATOS!$G$2:$G$20000,CONFIG_METADATA!$B$4,DATOS!$I$2:$I$20000,"Conjunto"),""))</f>
        <v/>
      </c>
      <c r="E293" t="str">
        <f>IF(A293="","",IFERROR(AVERAGEIFS(DATOS!$K$2:$K$20000,DATOS!$A$2:$A$20000,A293,DATOS!$G$2:$G$20000,CONFIG_METADATA!$B$4,DATOS!$I$2:$I$20000,"&lt;&gt;Lenguaje Musical",DATOS!$I$2:$I$20000,"&lt;&gt;Coro",DATOS!$I$2:$I$20000,"&lt;&gt;Conjunto"),""))</f>
        <v/>
      </c>
      <c r="H293" t="str">
        <f>IF(G293="","",IFERROR(AVERAGEIFS(DATOS!$K$2:$K$20000,DATOS!$A$2:$A$20000,G293,DATOS!$G$2:$G$20000,CONFIG_METADATA!$B$4,DATOS!$I$2:$I$20000,"Lenguaje Musical"),""))</f>
        <v/>
      </c>
      <c r="I293" t="str">
        <f>IF(G293="","",IFERROR(AVERAGEIFS(DATOS!$K$2:$K$20000,DATOS!$A$2:$A$20000,G293,DATOS!$G$2:$G$20000,CONFIG_METADATA!$B$4,DATOS!$I$2:$I$20000,"Coro"),""))</f>
        <v/>
      </c>
      <c r="J293" t="str">
        <f>IF(G293="","",IFERROR(AVERAGEIFS(DATOS!$K$2:$K$20000,DATOS!$A$2:$A$20000,G293,DATOS!$G$2:$G$20000,CONFIG_METADATA!$B$4,DATOS!$I$2:$I$20000,"Conjunto"),""))</f>
        <v/>
      </c>
      <c r="K293" t="str" cm="1">
        <f t="array" ref="K293">IF(G293="","",IFERROR(AVERAGE(IF((DATOS!$A$2:$A$20000=G293)*(DATOS!$G$2:$G$20000=CONFIG_METADATA!$B$4)*(DATOS!$I$2:$I$20000&lt;&gt;"Lenguaje Musical")*(DATOS!$I$2:$I$20000&lt;&gt;"Coro")*(DATOS!$I$2:$I$20000&lt;&gt;"Conjunto"),DATOS!$K$2:$K$20000)),""))</f>
        <v/>
      </c>
      <c r="N293" t="str">
        <f>IF(M293="","",IFERROR(AVERAGEIFS(DATOS!$K$2:$K$20000,DATOS!$A$2:$A$20000,M293,DATOS!$G$2:$G$20000,CONFIG_METADATA!$B$4,DATOS!$I$2:$I$20000,"Lenguaje Musical"),""))</f>
        <v/>
      </c>
      <c r="O293" t="str">
        <f>IF(M293="","",IFERROR(AVERAGEIFS(DATOS!$K$2:$K$20000,DATOS!$A$2:$A$20000,M293,DATOS!$G$2:$G$20000,CONFIG_METADATA!$B$4,DATOS!$I$2:$I$20000,"Coro"),""))</f>
        <v/>
      </c>
      <c r="P293" t="str">
        <f>IF(M293="","",IFERROR(AVERAGEIFS(DATOS!$K$2:$K$20000,DATOS!$A$2:$A$20000,M293,DATOS!$G$2:$G$20000,CONFIG_METADATA!$B$4,DATOS!$I$2:$I$20000,"Conjunto"),""))</f>
        <v/>
      </c>
      <c r="Q293" t="str">
        <f>IF(M293="","",IFERROR(AVERAGEIFS(DATOS!$K$2:$K$20000,DATOS!$A$2:$A$20000,M293,DATOS!$G$2:$G$20000,CONFIG_METADATA!$B$4,DATOS!$I$2:$I$20000,"&lt;&gt;Lenguaje Musical",DATOS!$I$2:$I$20000,"&lt;&gt;Coro",DATOS!$I$2:$I$20000,"&lt;&gt;Conjunto"),""))</f>
        <v/>
      </c>
      <c r="T293" t="str">
        <f>IF(S293="","",IFERROR(AVERAGEIFS(DATOS!$K$2:$K$20000,DATOS!$A$2:$A$20000,S293,DATOS!$G$2:$G$20000,CONFIG_METADATA!$B$4,DATOS!$I$2:$I$20000,"Lenguaje Musical"),""))</f>
        <v/>
      </c>
      <c r="U293" t="str">
        <f>IF(S293="","",IFERROR(AVERAGEIFS(DATOS!$K$2:$K$20000,DATOS!$A$2:$A$20000,S293,DATOS!$G$2:$G$20000,CONFIG_METADATA!$B$4,DATOS!$I$2:$I$20000,"Coro"),""))</f>
        <v/>
      </c>
      <c r="V293" t="str">
        <f>IF(S293="","",IFERROR(AVERAGEIFS(DATOS!$K$2:$K$20000,DATOS!$A$2:$A$20000,S293,DATOS!$G$2:$G$20000,CONFIG_METADATA!$B$4,DATOS!$I$2:$I$20000,"Conjunto"),""))</f>
        <v/>
      </c>
      <c r="W293" t="str" cm="1">
        <f t="array" ref="W293">IF(S293="","",IFERROR(AVERAGE(IF((DATOS!$A$2:$A$20000=S293)*(DATOS!$G$2:$G$20000=CONFIG_METADATA!$B$4)*(DATOS!$I$2:$I$20000&lt;&gt;"Lenguaje Musical")*(DATOS!$I$2:$I$20000&lt;&gt;"Coro")*(DATOS!$I$2:$I$20000&lt;&gt;"Conjunto"),DATOS!$K$2:$K$20000)),""))</f>
        <v/>
      </c>
    </row>
    <row r="294" spans="2:23" x14ac:dyDescent="0.2">
      <c r="B294" t="str">
        <f>IF(A294="","",IFERROR(AVERAGEIFS(DATOS!$K$2:$K$20000,DATOS!$A$2:$A$20000,A294,DATOS!$G$2:$G$20000,CONFIG_METADATA!$B$4,DATOS!$I$2:$I$20000,"Lenguaje Musical"),""))</f>
        <v/>
      </c>
      <c r="C294" t="str">
        <f>IF(A294="","",IFERROR(AVERAGEIFS(DATOS!$K$2:$K$20000,DATOS!$A$2:$A$20000,A294,DATOS!$G$2:$G$20000,CONFIG_METADATA!$B$4,DATOS!$I$2:$I$20000,"Coro"),""))</f>
        <v/>
      </c>
      <c r="D294" t="str">
        <f>IF(A294="","",IFERROR(AVERAGEIFS(DATOS!$K$2:$K$20000,DATOS!$A$2:$A$20000,A294,DATOS!$G$2:$G$20000,CONFIG_METADATA!$B$4,DATOS!$I$2:$I$20000,"Conjunto"),""))</f>
        <v/>
      </c>
      <c r="E294" t="str">
        <f>IF(A294="","",IFERROR(AVERAGEIFS(DATOS!$K$2:$K$20000,DATOS!$A$2:$A$20000,A294,DATOS!$G$2:$G$20000,CONFIG_METADATA!$B$4,DATOS!$I$2:$I$20000,"&lt;&gt;Lenguaje Musical",DATOS!$I$2:$I$20000,"&lt;&gt;Coro",DATOS!$I$2:$I$20000,"&lt;&gt;Conjunto"),""))</f>
        <v/>
      </c>
      <c r="H294" t="str">
        <f>IF(G294="","",IFERROR(AVERAGEIFS(DATOS!$K$2:$K$20000,DATOS!$A$2:$A$20000,G294,DATOS!$G$2:$G$20000,CONFIG_METADATA!$B$4,DATOS!$I$2:$I$20000,"Lenguaje Musical"),""))</f>
        <v/>
      </c>
      <c r="I294" t="str">
        <f>IF(G294="","",IFERROR(AVERAGEIFS(DATOS!$K$2:$K$20000,DATOS!$A$2:$A$20000,G294,DATOS!$G$2:$G$20000,CONFIG_METADATA!$B$4,DATOS!$I$2:$I$20000,"Coro"),""))</f>
        <v/>
      </c>
      <c r="J294" t="str">
        <f>IF(G294="","",IFERROR(AVERAGEIFS(DATOS!$K$2:$K$20000,DATOS!$A$2:$A$20000,G294,DATOS!$G$2:$G$20000,CONFIG_METADATA!$B$4,DATOS!$I$2:$I$20000,"Conjunto"),""))</f>
        <v/>
      </c>
      <c r="K294" t="str" cm="1">
        <f t="array" ref="K294">IF(G294="","",IFERROR(AVERAGE(IF((DATOS!$A$2:$A$20000=G294)*(DATOS!$G$2:$G$20000=CONFIG_METADATA!$B$4)*(DATOS!$I$2:$I$20000&lt;&gt;"Lenguaje Musical")*(DATOS!$I$2:$I$20000&lt;&gt;"Coro")*(DATOS!$I$2:$I$20000&lt;&gt;"Conjunto"),DATOS!$K$2:$K$20000)),""))</f>
        <v/>
      </c>
      <c r="N294" t="str">
        <f>IF(M294="","",IFERROR(AVERAGEIFS(DATOS!$K$2:$K$20000,DATOS!$A$2:$A$20000,M294,DATOS!$G$2:$G$20000,CONFIG_METADATA!$B$4,DATOS!$I$2:$I$20000,"Lenguaje Musical"),""))</f>
        <v/>
      </c>
      <c r="O294" t="str">
        <f>IF(M294="","",IFERROR(AVERAGEIFS(DATOS!$K$2:$K$20000,DATOS!$A$2:$A$20000,M294,DATOS!$G$2:$G$20000,CONFIG_METADATA!$B$4,DATOS!$I$2:$I$20000,"Coro"),""))</f>
        <v/>
      </c>
      <c r="P294" t="str">
        <f>IF(M294="","",IFERROR(AVERAGEIFS(DATOS!$K$2:$K$20000,DATOS!$A$2:$A$20000,M294,DATOS!$G$2:$G$20000,CONFIG_METADATA!$B$4,DATOS!$I$2:$I$20000,"Conjunto"),""))</f>
        <v/>
      </c>
      <c r="Q294" t="str">
        <f>IF(M294="","",IFERROR(AVERAGEIFS(DATOS!$K$2:$K$20000,DATOS!$A$2:$A$20000,M294,DATOS!$G$2:$G$20000,CONFIG_METADATA!$B$4,DATOS!$I$2:$I$20000,"&lt;&gt;Lenguaje Musical",DATOS!$I$2:$I$20000,"&lt;&gt;Coro",DATOS!$I$2:$I$20000,"&lt;&gt;Conjunto"),""))</f>
        <v/>
      </c>
      <c r="T294" t="str">
        <f>IF(S294="","",IFERROR(AVERAGEIFS(DATOS!$K$2:$K$20000,DATOS!$A$2:$A$20000,S294,DATOS!$G$2:$G$20000,CONFIG_METADATA!$B$4,DATOS!$I$2:$I$20000,"Lenguaje Musical"),""))</f>
        <v/>
      </c>
      <c r="U294" t="str">
        <f>IF(S294="","",IFERROR(AVERAGEIFS(DATOS!$K$2:$K$20000,DATOS!$A$2:$A$20000,S294,DATOS!$G$2:$G$20000,CONFIG_METADATA!$B$4,DATOS!$I$2:$I$20000,"Coro"),""))</f>
        <v/>
      </c>
      <c r="V294" t="str">
        <f>IF(S294="","",IFERROR(AVERAGEIFS(DATOS!$K$2:$K$20000,DATOS!$A$2:$A$20000,S294,DATOS!$G$2:$G$20000,CONFIG_METADATA!$B$4,DATOS!$I$2:$I$20000,"Conjunto"),""))</f>
        <v/>
      </c>
      <c r="W294" t="str" cm="1">
        <f t="array" ref="W294">IF(S294="","",IFERROR(AVERAGE(IF((DATOS!$A$2:$A$20000=S294)*(DATOS!$G$2:$G$20000=CONFIG_METADATA!$B$4)*(DATOS!$I$2:$I$20000&lt;&gt;"Lenguaje Musical")*(DATOS!$I$2:$I$20000&lt;&gt;"Coro")*(DATOS!$I$2:$I$20000&lt;&gt;"Conjunto"),DATOS!$K$2:$K$20000)),""))</f>
        <v/>
      </c>
    </row>
    <row r="295" spans="2:23" x14ac:dyDescent="0.2">
      <c r="B295" t="str">
        <f>IF(A295="","",IFERROR(AVERAGEIFS(DATOS!$K$2:$K$20000,DATOS!$A$2:$A$20000,A295,DATOS!$G$2:$G$20000,CONFIG_METADATA!$B$4,DATOS!$I$2:$I$20000,"Lenguaje Musical"),""))</f>
        <v/>
      </c>
      <c r="C295" t="str">
        <f>IF(A295="","",IFERROR(AVERAGEIFS(DATOS!$K$2:$K$20000,DATOS!$A$2:$A$20000,A295,DATOS!$G$2:$G$20000,CONFIG_METADATA!$B$4,DATOS!$I$2:$I$20000,"Coro"),""))</f>
        <v/>
      </c>
      <c r="D295" t="str">
        <f>IF(A295="","",IFERROR(AVERAGEIFS(DATOS!$K$2:$K$20000,DATOS!$A$2:$A$20000,A295,DATOS!$G$2:$G$20000,CONFIG_METADATA!$B$4,DATOS!$I$2:$I$20000,"Conjunto"),""))</f>
        <v/>
      </c>
      <c r="E295" t="str">
        <f>IF(A295="","",IFERROR(AVERAGEIFS(DATOS!$K$2:$K$20000,DATOS!$A$2:$A$20000,A295,DATOS!$G$2:$G$20000,CONFIG_METADATA!$B$4,DATOS!$I$2:$I$20000,"&lt;&gt;Lenguaje Musical",DATOS!$I$2:$I$20000,"&lt;&gt;Coro",DATOS!$I$2:$I$20000,"&lt;&gt;Conjunto"),""))</f>
        <v/>
      </c>
      <c r="H295" t="str">
        <f>IF(G295="","",IFERROR(AVERAGEIFS(DATOS!$K$2:$K$20000,DATOS!$A$2:$A$20000,G295,DATOS!$G$2:$G$20000,CONFIG_METADATA!$B$4,DATOS!$I$2:$I$20000,"Lenguaje Musical"),""))</f>
        <v/>
      </c>
      <c r="I295" t="str">
        <f>IF(G295="","",IFERROR(AVERAGEIFS(DATOS!$K$2:$K$20000,DATOS!$A$2:$A$20000,G295,DATOS!$G$2:$G$20000,CONFIG_METADATA!$B$4,DATOS!$I$2:$I$20000,"Coro"),""))</f>
        <v/>
      </c>
      <c r="J295" t="str">
        <f>IF(G295="","",IFERROR(AVERAGEIFS(DATOS!$K$2:$K$20000,DATOS!$A$2:$A$20000,G295,DATOS!$G$2:$G$20000,CONFIG_METADATA!$B$4,DATOS!$I$2:$I$20000,"Conjunto"),""))</f>
        <v/>
      </c>
      <c r="K295" t="str" cm="1">
        <f t="array" ref="K295">IF(G295="","",IFERROR(AVERAGE(IF((DATOS!$A$2:$A$20000=G295)*(DATOS!$G$2:$G$20000=CONFIG_METADATA!$B$4)*(DATOS!$I$2:$I$20000&lt;&gt;"Lenguaje Musical")*(DATOS!$I$2:$I$20000&lt;&gt;"Coro")*(DATOS!$I$2:$I$20000&lt;&gt;"Conjunto"),DATOS!$K$2:$K$20000)),""))</f>
        <v/>
      </c>
      <c r="N295" t="str">
        <f>IF(M295="","",IFERROR(AVERAGEIFS(DATOS!$K$2:$K$20000,DATOS!$A$2:$A$20000,M295,DATOS!$G$2:$G$20000,CONFIG_METADATA!$B$4,DATOS!$I$2:$I$20000,"Lenguaje Musical"),""))</f>
        <v/>
      </c>
      <c r="O295" t="str">
        <f>IF(M295="","",IFERROR(AVERAGEIFS(DATOS!$K$2:$K$20000,DATOS!$A$2:$A$20000,M295,DATOS!$G$2:$G$20000,CONFIG_METADATA!$B$4,DATOS!$I$2:$I$20000,"Coro"),""))</f>
        <v/>
      </c>
      <c r="P295" t="str">
        <f>IF(M295="","",IFERROR(AVERAGEIFS(DATOS!$K$2:$K$20000,DATOS!$A$2:$A$20000,M295,DATOS!$G$2:$G$20000,CONFIG_METADATA!$B$4,DATOS!$I$2:$I$20000,"Conjunto"),""))</f>
        <v/>
      </c>
      <c r="Q295" t="str">
        <f>IF(M295="","",IFERROR(AVERAGEIFS(DATOS!$K$2:$K$20000,DATOS!$A$2:$A$20000,M295,DATOS!$G$2:$G$20000,CONFIG_METADATA!$B$4,DATOS!$I$2:$I$20000,"&lt;&gt;Lenguaje Musical",DATOS!$I$2:$I$20000,"&lt;&gt;Coro",DATOS!$I$2:$I$20000,"&lt;&gt;Conjunto"),""))</f>
        <v/>
      </c>
      <c r="T295" t="str">
        <f>IF(S295="","",IFERROR(AVERAGEIFS(DATOS!$K$2:$K$20000,DATOS!$A$2:$A$20000,S295,DATOS!$G$2:$G$20000,CONFIG_METADATA!$B$4,DATOS!$I$2:$I$20000,"Lenguaje Musical"),""))</f>
        <v/>
      </c>
      <c r="U295" t="str">
        <f>IF(S295="","",IFERROR(AVERAGEIFS(DATOS!$K$2:$K$20000,DATOS!$A$2:$A$20000,S295,DATOS!$G$2:$G$20000,CONFIG_METADATA!$B$4,DATOS!$I$2:$I$20000,"Coro"),""))</f>
        <v/>
      </c>
      <c r="V295" t="str">
        <f>IF(S295="","",IFERROR(AVERAGEIFS(DATOS!$K$2:$K$20000,DATOS!$A$2:$A$20000,S295,DATOS!$G$2:$G$20000,CONFIG_METADATA!$B$4,DATOS!$I$2:$I$20000,"Conjunto"),""))</f>
        <v/>
      </c>
      <c r="W295" t="str" cm="1">
        <f t="array" ref="W295">IF(S295="","",IFERROR(AVERAGE(IF((DATOS!$A$2:$A$20000=S295)*(DATOS!$G$2:$G$20000=CONFIG_METADATA!$B$4)*(DATOS!$I$2:$I$20000&lt;&gt;"Lenguaje Musical")*(DATOS!$I$2:$I$20000&lt;&gt;"Coro")*(DATOS!$I$2:$I$20000&lt;&gt;"Conjunto"),DATOS!$K$2:$K$20000)),""))</f>
        <v/>
      </c>
    </row>
    <row r="296" spans="2:23" x14ac:dyDescent="0.2">
      <c r="B296" t="str">
        <f>IF(A296="","",IFERROR(AVERAGEIFS(DATOS!$K$2:$K$20000,DATOS!$A$2:$A$20000,A296,DATOS!$G$2:$G$20000,CONFIG_METADATA!$B$4,DATOS!$I$2:$I$20000,"Lenguaje Musical"),""))</f>
        <v/>
      </c>
      <c r="C296" t="str">
        <f>IF(A296="","",IFERROR(AVERAGEIFS(DATOS!$K$2:$K$20000,DATOS!$A$2:$A$20000,A296,DATOS!$G$2:$G$20000,CONFIG_METADATA!$B$4,DATOS!$I$2:$I$20000,"Coro"),""))</f>
        <v/>
      </c>
      <c r="D296" t="str">
        <f>IF(A296="","",IFERROR(AVERAGEIFS(DATOS!$K$2:$K$20000,DATOS!$A$2:$A$20000,A296,DATOS!$G$2:$G$20000,CONFIG_METADATA!$B$4,DATOS!$I$2:$I$20000,"Conjunto"),""))</f>
        <v/>
      </c>
      <c r="E296" t="str">
        <f>IF(A296="","",IFERROR(AVERAGEIFS(DATOS!$K$2:$K$20000,DATOS!$A$2:$A$20000,A296,DATOS!$G$2:$G$20000,CONFIG_METADATA!$B$4,DATOS!$I$2:$I$20000,"&lt;&gt;Lenguaje Musical",DATOS!$I$2:$I$20000,"&lt;&gt;Coro",DATOS!$I$2:$I$20000,"&lt;&gt;Conjunto"),""))</f>
        <v/>
      </c>
      <c r="H296" t="str">
        <f>IF(G296="","",IFERROR(AVERAGEIFS(DATOS!$K$2:$K$20000,DATOS!$A$2:$A$20000,G296,DATOS!$G$2:$G$20000,CONFIG_METADATA!$B$4,DATOS!$I$2:$I$20000,"Lenguaje Musical"),""))</f>
        <v/>
      </c>
      <c r="I296" t="str">
        <f>IF(G296="","",IFERROR(AVERAGEIFS(DATOS!$K$2:$K$20000,DATOS!$A$2:$A$20000,G296,DATOS!$G$2:$G$20000,CONFIG_METADATA!$B$4,DATOS!$I$2:$I$20000,"Coro"),""))</f>
        <v/>
      </c>
      <c r="J296" t="str">
        <f>IF(G296="","",IFERROR(AVERAGEIFS(DATOS!$K$2:$K$20000,DATOS!$A$2:$A$20000,G296,DATOS!$G$2:$G$20000,CONFIG_METADATA!$B$4,DATOS!$I$2:$I$20000,"Conjunto"),""))</f>
        <v/>
      </c>
      <c r="K296" t="str" cm="1">
        <f t="array" ref="K296">IF(G296="","",IFERROR(AVERAGE(IF((DATOS!$A$2:$A$20000=G296)*(DATOS!$G$2:$G$20000=CONFIG_METADATA!$B$4)*(DATOS!$I$2:$I$20000&lt;&gt;"Lenguaje Musical")*(DATOS!$I$2:$I$20000&lt;&gt;"Coro")*(DATOS!$I$2:$I$20000&lt;&gt;"Conjunto"),DATOS!$K$2:$K$20000)),""))</f>
        <v/>
      </c>
      <c r="N296" t="str">
        <f>IF(M296="","",IFERROR(AVERAGEIFS(DATOS!$K$2:$K$20000,DATOS!$A$2:$A$20000,M296,DATOS!$G$2:$G$20000,CONFIG_METADATA!$B$4,DATOS!$I$2:$I$20000,"Lenguaje Musical"),""))</f>
        <v/>
      </c>
      <c r="O296" t="str">
        <f>IF(M296="","",IFERROR(AVERAGEIFS(DATOS!$K$2:$K$20000,DATOS!$A$2:$A$20000,M296,DATOS!$G$2:$G$20000,CONFIG_METADATA!$B$4,DATOS!$I$2:$I$20000,"Coro"),""))</f>
        <v/>
      </c>
      <c r="P296" t="str">
        <f>IF(M296="","",IFERROR(AVERAGEIFS(DATOS!$K$2:$K$20000,DATOS!$A$2:$A$20000,M296,DATOS!$G$2:$G$20000,CONFIG_METADATA!$B$4,DATOS!$I$2:$I$20000,"Conjunto"),""))</f>
        <v/>
      </c>
      <c r="Q296" t="str">
        <f>IF(M296="","",IFERROR(AVERAGEIFS(DATOS!$K$2:$K$20000,DATOS!$A$2:$A$20000,M296,DATOS!$G$2:$G$20000,CONFIG_METADATA!$B$4,DATOS!$I$2:$I$20000,"&lt;&gt;Lenguaje Musical",DATOS!$I$2:$I$20000,"&lt;&gt;Coro",DATOS!$I$2:$I$20000,"&lt;&gt;Conjunto"),""))</f>
        <v/>
      </c>
      <c r="T296" t="str">
        <f>IF(S296="","",IFERROR(AVERAGEIFS(DATOS!$K$2:$K$20000,DATOS!$A$2:$A$20000,S296,DATOS!$G$2:$G$20000,CONFIG_METADATA!$B$4,DATOS!$I$2:$I$20000,"Lenguaje Musical"),""))</f>
        <v/>
      </c>
      <c r="U296" t="str">
        <f>IF(S296="","",IFERROR(AVERAGEIFS(DATOS!$K$2:$K$20000,DATOS!$A$2:$A$20000,S296,DATOS!$G$2:$G$20000,CONFIG_METADATA!$B$4,DATOS!$I$2:$I$20000,"Coro"),""))</f>
        <v/>
      </c>
      <c r="V296" t="str">
        <f>IF(S296="","",IFERROR(AVERAGEIFS(DATOS!$K$2:$K$20000,DATOS!$A$2:$A$20000,S296,DATOS!$G$2:$G$20000,CONFIG_METADATA!$B$4,DATOS!$I$2:$I$20000,"Conjunto"),""))</f>
        <v/>
      </c>
      <c r="W296" t="str" cm="1">
        <f t="array" ref="W296">IF(S296="","",IFERROR(AVERAGE(IF((DATOS!$A$2:$A$20000=S296)*(DATOS!$G$2:$G$20000=CONFIG_METADATA!$B$4)*(DATOS!$I$2:$I$20000&lt;&gt;"Lenguaje Musical")*(DATOS!$I$2:$I$20000&lt;&gt;"Coro")*(DATOS!$I$2:$I$20000&lt;&gt;"Conjunto"),DATOS!$K$2:$K$20000)),""))</f>
        <v/>
      </c>
    </row>
    <row r="297" spans="2:23" x14ac:dyDescent="0.2">
      <c r="B297" t="str">
        <f>IF(A297="","",IFERROR(AVERAGEIFS(DATOS!$K$2:$K$20000,DATOS!$A$2:$A$20000,A297,DATOS!$G$2:$G$20000,CONFIG_METADATA!$B$4,DATOS!$I$2:$I$20000,"Lenguaje Musical"),""))</f>
        <v/>
      </c>
      <c r="C297" t="str">
        <f>IF(A297="","",IFERROR(AVERAGEIFS(DATOS!$K$2:$K$20000,DATOS!$A$2:$A$20000,A297,DATOS!$G$2:$G$20000,CONFIG_METADATA!$B$4,DATOS!$I$2:$I$20000,"Coro"),""))</f>
        <v/>
      </c>
      <c r="D297" t="str">
        <f>IF(A297="","",IFERROR(AVERAGEIFS(DATOS!$K$2:$K$20000,DATOS!$A$2:$A$20000,A297,DATOS!$G$2:$G$20000,CONFIG_METADATA!$B$4,DATOS!$I$2:$I$20000,"Conjunto"),""))</f>
        <v/>
      </c>
      <c r="E297" t="str">
        <f>IF(A297="","",IFERROR(AVERAGEIFS(DATOS!$K$2:$K$20000,DATOS!$A$2:$A$20000,A297,DATOS!$G$2:$G$20000,CONFIG_METADATA!$B$4,DATOS!$I$2:$I$20000,"&lt;&gt;Lenguaje Musical",DATOS!$I$2:$I$20000,"&lt;&gt;Coro",DATOS!$I$2:$I$20000,"&lt;&gt;Conjunto"),""))</f>
        <v/>
      </c>
      <c r="H297" t="str">
        <f>IF(G297="","",IFERROR(AVERAGEIFS(DATOS!$K$2:$K$20000,DATOS!$A$2:$A$20000,G297,DATOS!$G$2:$G$20000,CONFIG_METADATA!$B$4,DATOS!$I$2:$I$20000,"Lenguaje Musical"),""))</f>
        <v/>
      </c>
      <c r="I297" t="str">
        <f>IF(G297="","",IFERROR(AVERAGEIFS(DATOS!$K$2:$K$20000,DATOS!$A$2:$A$20000,G297,DATOS!$G$2:$G$20000,CONFIG_METADATA!$B$4,DATOS!$I$2:$I$20000,"Coro"),""))</f>
        <v/>
      </c>
      <c r="J297" t="str">
        <f>IF(G297="","",IFERROR(AVERAGEIFS(DATOS!$K$2:$K$20000,DATOS!$A$2:$A$20000,G297,DATOS!$G$2:$G$20000,CONFIG_METADATA!$B$4,DATOS!$I$2:$I$20000,"Conjunto"),""))</f>
        <v/>
      </c>
      <c r="K297" t="str" cm="1">
        <f t="array" ref="K297">IF(G297="","",IFERROR(AVERAGE(IF((DATOS!$A$2:$A$20000=G297)*(DATOS!$G$2:$G$20000=CONFIG_METADATA!$B$4)*(DATOS!$I$2:$I$20000&lt;&gt;"Lenguaje Musical")*(DATOS!$I$2:$I$20000&lt;&gt;"Coro")*(DATOS!$I$2:$I$20000&lt;&gt;"Conjunto"),DATOS!$K$2:$K$20000)),""))</f>
        <v/>
      </c>
      <c r="N297" t="str">
        <f>IF(M297="","",IFERROR(AVERAGEIFS(DATOS!$K$2:$K$20000,DATOS!$A$2:$A$20000,M297,DATOS!$G$2:$G$20000,CONFIG_METADATA!$B$4,DATOS!$I$2:$I$20000,"Lenguaje Musical"),""))</f>
        <v/>
      </c>
      <c r="O297" t="str">
        <f>IF(M297="","",IFERROR(AVERAGEIFS(DATOS!$K$2:$K$20000,DATOS!$A$2:$A$20000,M297,DATOS!$G$2:$G$20000,CONFIG_METADATA!$B$4,DATOS!$I$2:$I$20000,"Coro"),""))</f>
        <v/>
      </c>
      <c r="P297" t="str">
        <f>IF(M297="","",IFERROR(AVERAGEIFS(DATOS!$K$2:$K$20000,DATOS!$A$2:$A$20000,M297,DATOS!$G$2:$G$20000,CONFIG_METADATA!$B$4,DATOS!$I$2:$I$20000,"Conjunto"),""))</f>
        <v/>
      </c>
      <c r="Q297" t="str">
        <f>IF(M297="","",IFERROR(AVERAGEIFS(DATOS!$K$2:$K$20000,DATOS!$A$2:$A$20000,M297,DATOS!$G$2:$G$20000,CONFIG_METADATA!$B$4,DATOS!$I$2:$I$20000,"&lt;&gt;Lenguaje Musical",DATOS!$I$2:$I$20000,"&lt;&gt;Coro",DATOS!$I$2:$I$20000,"&lt;&gt;Conjunto"),""))</f>
        <v/>
      </c>
      <c r="T297" t="str">
        <f>IF(S297="","",IFERROR(AVERAGEIFS(DATOS!$K$2:$K$20000,DATOS!$A$2:$A$20000,S297,DATOS!$G$2:$G$20000,CONFIG_METADATA!$B$4,DATOS!$I$2:$I$20000,"Lenguaje Musical"),""))</f>
        <v/>
      </c>
      <c r="U297" t="str">
        <f>IF(S297="","",IFERROR(AVERAGEIFS(DATOS!$K$2:$K$20000,DATOS!$A$2:$A$20000,S297,DATOS!$G$2:$G$20000,CONFIG_METADATA!$B$4,DATOS!$I$2:$I$20000,"Coro"),""))</f>
        <v/>
      </c>
      <c r="V297" t="str">
        <f>IF(S297="","",IFERROR(AVERAGEIFS(DATOS!$K$2:$K$20000,DATOS!$A$2:$A$20000,S297,DATOS!$G$2:$G$20000,CONFIG_METADATA!$B$4,DATOS!$I$2:$I$20000,"Conjunto"),""))</f>
        <v/>
      </c>
      <c r="W297" t="str" cm="1">
        <f t="array" ref="W297">IF(S297="","",IFERROR(AVERAGE(IF((DATOS!$A$2:$A$20000=S297)*(DATOS!$G$2:$G$20000=CONFIG_METADATA!$B$4)*(DATOS!$I$2:$I$20000&lt;&gt;"Lenguaje Musical")*(DATOS!$I$2:$I$20000&lt;&gt;"Coro")*(DATOS!$I$2:$I$20000&lt;&gt;"Conjunto"),DATOS!$K$2:$K$20000)),""))</f>
        <v/>
      </c>
    </row>
    <row r="298" spans="2:23" x14ac:dyDescent="0.2">
      <c r="B298" t="str">
        <f>IF(A298="","",IFERROR(AVERAGEIFS(DATOS!$K$2:$K$20000,DATOS!$A$2:$A$20000,A298,DATOS!$G$2:$G$20000,CONFIG_METADATA!$B$4,DATOS!$I$2:$I$20000,"Lenguaje Musical"),""))</f>
        <v/>
      </c>
      <c r="C298" t="str">
        <f>IF(A298="","",IFERROR(AVERAGEIFS(DATOS!$K$2:$K$20000,DATOS!$A$2:$A$20000,A298,DATOS!$G$2:$G$20000,CONFIG_METADATA!$B$4,DATOS!$I$2:$I$20000,"Coro"),""))</f>
        <v/>
      </c>
      <c r="D298" t="str">
        <f>IF(A298="","",IFERROR(AVERAGEIFS(DATOS!$K$2:$K$20000,DATOS!$A$2:$A$20000,A298,DATOS!$G$2:$G$20000,CONFIG_METADATA!$B$4,DATOS!$I$2:$I$20000,"Conjunto"),""))</f>
        <v/>
      </c>
      <c r="E298" t="str">
        <f>IF(A298="","",IFERROR(AVERAGEIFS(DATOS!$K$2:$K$20000,DATOS!$A$2:$A$20000,A298,DATOS!$G$2:$G$20000,CONFIG_METADATA!$B$4,DATOS!$I$2:$I$20000,"&lt;&gt;Lenguaje Musical",DATOS!$I$2:$I$20000,"&lt;&gt;Coro",DATOS!$I$2:$I$20000,"&lt;&gt;Conjunto"),""))</f>
        <v/>
      </c>
      <c r="H298" t="str">
        <f>IF(G298="","",IFERROR(AVERAGEIFS(DATOS!$K$2:$K$20000,DATOS!$A$2:$A$20000,G298,DATOS!$G$2:$G$20000,CONFIG_METADATA!$B$4,DATOS!$I$2:$I$20000,"Lenguaje Musical"),""))</f>
        <v/>
      </c>
      <c r="I298" t="str">
        <f>IF(G298="","",IFERROR(AVERAGEIFS(DATOS!$K$2:$K$20000,DATOS!$A$2:$A$20000,G298,DATOS!$G$2:$G$20000,CONFIG_METADATA!$B$4,DATOS!$I$2:$I$20000,"Coro"),""))</f>
        <v/>
      </c>
      <c r="J298" t="str">
        <f>IF(G298="","",IFERROR(AVERAGEIFS(DATOS!$K$2:$K$20000,DATOS!$A$2:$A$20000,G298,DATOS!$G$2:$G$20000,CONFIG_METADATA!$B$4,DATOS!$I$2:$I$20000,"Conjunto"),""))</f>
        <v/>
      </c>
      <c r="K298" t="str" cm="1">
        <f t="array" ref="K298">IF(G298="","",IFERROR(AVERAGE(IF((DATOS!$A$2:$A$20000=G298)*(DATOS!$G$2:$G$20000=CONFIG_METADATA!$B$4)*(DATOS!$I$2:$I$20000&lt;&gt;"Lenguaje Musical")*(DATOS!$I$2:$I$20000&lt;&gt;"Coro")*(DATOS!$I$2:$I$20000&lt;&gt;"Conjunto"),DATOS!$K$2:$K$20000)),""))</f>
        <v/>
      </c>
      <c r="N298" t="str">
        <f>IF(M298="","",IFERROR(AVERAGEIFS(DATOS!$K$2:$K$20000,DATOS!$A$2:$A$20000,M298,DATOS!$G$2:$G$20000,CONFIG_METADATA!$B$4,DATOS!$I$2:$I$20000,"Lenguaje Musical"),""))</f>
        <v/>
      </c>
      <c r="O298" t="str">
        <f>IF(M298="","",IFERROR(AVERAGEIFS(DATOS!$K$2:$K$20000,DATOS!$A$2:$A$20000,M298,DATOS!$G$2:$G$20000,CONFIG_METADATA!$B$4,DATOS!$I$2:$I$20000,"Coro"),""))</f>
        <v/>
      </c>
      <c r="P298" t="str">
        <f>IF(M298="","",IFERROR(AVERAGEIFS(DATOS!$K$2:$K$20000,DATOS!$A$2:$A$20000,M298,DATOS!$G$2:$G$20000,CONFIG_METADATA!$B$4,DATOS!$I$2:$I$20000,"Conjunto"),""))</f>
        <v/>
      </c>
      <c r="Q298" t="str">
        <f>IF(M298="","",IFERROR(AVERAGEIFS(DATOS!$K$2:$K$20000,DATOS!$A$2:$A$20000,M298,DATOS!$G$2:$G$20000,CONFIG_METADATA!$B$4,DATOS!$I$2:$I$20000,"&lt;&gt;Lenguaje Musical",DATOS!$I$2:$I$20000,"&lt;&gt;Coro",DATOS!$I$2:$I$20000,"&lt;&gt;Conjunto"),""))</f>
        <v/>
      </c>
      <c r="T298" t="str">
        <f>IF(S298="","",IFERROR(AVERAGEIFS(DATOS!$K$2:$K$20000,DATOS!$A$2:$A$20000,S298,DATOS!$G$2:$G$20000,CONFIG_METADATA!$B$4,DATOS!$I$2:$I$20000,"Lenguaje Musical"),""))</f>
        <v/>
      </c>
      <c r="U298" t="str">
        <f>IF(S298="","",IFERROR(AVERAGEIFS(DATOS!$K$2:$K$20000,DATOS!$A$2:$A$20000,S298,DATOS!$G$2:$G$20000,CONFIG_METADATA!$B$4,DATOS!$I$2:$I$20000,"Coro"),""))</f>
        <v/>
      </c>
      <c r="V298" t="str">
        <f>IF(S298="","",IFERROR(AVERAGEIFS(DATOS!$K$2:$K$20000,DATOS!$A$2:$A$20000,S298,DATOS!$G$2:$G$20000,CONFIG_METADATA!$B$4,DATOS!$I$2:$I$20000,"Conjunto"),""))</f>
        <v/>
      </c>
      <c r="W298" t="str" cm="1">
        <f t="array" ref="W298">IF(S298="","",IFERROR(AVERAGE(IF((DATOS!$A$2:$A$20000=S298)*(DATOS!$G$2:$G$20000=CONFIG_METADATA!$B$4)*(DATOS!$I$2:$I$20000&lt;&gt;"Lenguaje Musical")*(DATOS!$I$2:$I$20000&lt;&gt;"Coro")*(DATOS!$I$2:$I$20000&lt;&gt;"Conjunto"),DATOS!$K$2:$K$20000)),""))</f>
        <v/>
      </c>
    </row>
    <row r="299" spans="2:23" x14ac:dyDescent="0.2">
      <c r="B299" t="str">
        <f>IF(A299="","",IFERROR(AVERAGEIFS(DATOS!$K$2:$K$20000,DATOS!$A$2:$A$20000,A299,DATOS!$G$2:$G$20000,CONFIG_METADATA!$B$4,DATOS!$I$2:$I$20000,"Lenguaje Musical"),""))</f>
        <v/>
      </c>
      <c r="C299" t="str">
        <f>IF(A299="","",IFERROR(AVERAGEIFS(DATOS!$K$2:$K$20000,DATOS!$A$2:$A$20000,A299,DATOS!$G$2:$G$20000,CONFIG_METADATA!$B$4,DATOS!$I$2:$I$20000,"Coro"),""))</f>
        <v/>
      </c>
      <c r="D299" t="str">
        <f>IF(A299="","",IFERROR(AVERAGEIFS(DATOS!$K$2:$K$20000,DATOS!$A$2:$A$20000,A299,DATOS!$G$2:$G$20000,CONFIG_METADATA!$B$4,DATOS!$I$2:$I$20000,"Conjunto"),""))</f>
        <v/>
      </c>
      <c r="E299" t="str">
        <f>IF(A299="","",IFERROR(AVERAGEIFS(DATOS!$K$2:$K$20000,DATOS!$A$2:$A$20000,A299,DATOS!$G$2:$G$20000,CONFIG_METADATA!$B$4,DATOS!$I$2:$I$20000,"&lt;&gt;Lenguaje Musical",DATOS!$I$2:$I$20000,"&lt;&gt;Coro",DATOS!$I$2:$I$20000,"&lt;&gt;Conjunto"),""))</f>
        <v/>
      </c>
      <c r="H299" t="str">
        <f>IF(G299="","",IFERROR(AVERAGEIFS(DATOS!$K$2:$K$20000,DATOS!$A$2:$A$20000,G299,DATOS!$G$2:$G$20000,CONFIG_METADATA!$B$4,DATOS!$I$2:$I$20000,"Lenguaje Musical"),""))</f>
        <v/>
      </c>
      <c r="I299" t="str">
        <f>IF(G299="","",IFERROR(AVERAGEIFS(DATOS!$K$2:$K$20000,DATOS!$A$2:$A$20000,G299,DATOS!$G$2:$G$20000,CONFIG_METADATA!$B$4,DATOS!$I$2:$I$20000,"Coro"),""))</f>
        <v/>
      </c>
      <c r="J299" t="str">
        <f>IF(G299="","",IFERROR(AVERAGEIFS(DATOS!$K$2:$K$20000,DATOS!$A$2:$A$20000,G299,DATOS!$G$2:$G$20000,CONFIG_METADATA!$B$4,DATOS!$I$2:$I$20000,"Conjunto"),""))</f>
        <v/>
      </c>
      <c r="K299" t="str" cm="1">
        <f t="array" ref="K299">IF(G299="","",IFERROR(AVERAGE(IF((DATOS!$A$2:$A$20000=G299)*(DATOS!$G$2:$G$20000=CONFIG_METADATA!$B$4)*(DATOS!$I$2:$I$20000&lt;&gt;"Lenguaje Musical")*(DATOS!$I$2:$I$20000&lt;&gt;"Coro")*(DATOS!$I$2:$I$20000&lt;&gt;"Conjunto"),DATOS!$K$2:$K$20000)),""))</f>
        <v/>
      </c>
      <c r="N299" t="str">
        <f>IF(M299="","",IFERROR(AVERAGEIFS(DATOS!$K$2:$K$20000,DATOS!$A$2:$A$20000,M299,DATOS!$G$2:$G$20000,CONFIG_METADATA!$B$4,DATOS!$I$2:$I$20000,"Lenguaje Musical"),""))</f>
        <v/>
      </c>
      <c r="O299" t="str">
        <f>IF(M299="","",IFERROR(AVERAGEIFS(DATOS!$K$2:$K$20000,DATOS!$A$2:$A$20000,M299,DATOS!$G$2:$G$20000,CONFIG_METADATA!$B$4,DATOS!$I$2:$I$20000,"Coro"),""))</f>
        <v/>
      </c>
      <c r="P299" t="str">
        <f>IF(M299="","",IFERROR(AVERAGEIFS(DATOS!$K$2:$K$20000,DATOS!$A$2:$A$20000,M299,DATOS!$G$2:$G$20000,CONFIG_METADATA!$B$4,DATOS!$I$2:$I$20000,"Conjunto"),""))</f>
        <v/>
      </c>
      <c r="Q299" t="str">
        <f>IF(M299="","",IFERROR(AVERAGEIFS(DATOS!$K$2:$K$20000,DATOS!$A$2:$A$20000,M299,DATOS!$G$2:$G$20000,CONFIG_METADATA!$B$4,DATOS!$I$2:$I$20000,"&lt;&gt;Lenguaje Musical",DATOS!$I$2:$I$20000,"&lt;&gt;Coro",DATOS!$I$2:$I$20000,"&lt;&gt;Conjunto"),""))</f>
        <v/>
      </c>
      <c r="T299" t="str">
        <f>IF(S299="","",IFERROR(AVERAGEIFS(DATOS!$K$2:$K$20000,DATOS!$A$2:$A$20000,S299,DATOS!$G$2:$G$20000,CONFIG_METADATA!$B$4,DATOS!$I$2:$I$20000,"Lenguaje Musical"),""))</f>
        <v/>
      </c>
      <c r="U299" t="str">
        <f>IF(S299="","",IFERROR(AVERAGEIFS(DATOS!$K$2:$K$20000,DATOS!$A$2:$A$20000,S299,DATOS!$G$2:$G$20000,CONFIG_METADATA!$B$4,DATOS!$I$2:$I$20000,"Coro"),""))</f>
        <v/>
      </c>
      <c r="V299" t="str">
        <f>IF(S299="","",IFERROR(AVERAGEIFS(DATOS!$K$2:$K$20000,DATOS!$A$2:$A$20000,S299,DATOS!$G$2:$G$20000,CONFIG_METADATA!$B$4,DATOS!$I$2:$I$20000,"Conjunto"),""))</f>
        <v/>
      </c>
      <c r="W299" t="str" cm="1">
        <f t="array" ref="W299">IF(S299="","",IFERROR(AVERAGE(IF((DATOS!$A$2:$A$20000=S299)*(DATOS!$G$2:$G$20000=CONFIG_METADATA!$B$4)*(DATOS!$I$2:$I$20000&lt;&gt;"Lenguaje Musical")*(DATOS!$I$2:$I$20000&lt;&gt;"Coro")*(DATOS!$I$2:$I$20000&lt;&gt;"Conjunto"),DATOS!$K$2:$K$20000)),""))</f>
        <v/>
      </c>
    </row>
    <row r="300" spans="2:23" x14ac:dyDescent="0.2">
      <c r="B300" t="str">
        <f>IF(A300="","",IFERROR(AVERAGEIFS(DATOS!$K$2:$K$20000,DATOS!$A$2:$A$20000,A300,DATOS!$G$2:$G$20000,CONFIG_METADATA!$B$4,DATOS!$I$2:$I$20000,"Lenguaje Musical"),""))</f>
        <v/>
      </c>
      <c r="C300" t="str">
        <f>IF(A300="","",IFERROR(AVERAGEIFS(DATOS!$K$2:$K$20000,DATOS!$A$2:$A$20000,A300,DATOS!$G$2:$G$20000,CONFIG_METADATA!$B$4,DATOS!$I$2:$I$20000,"Coro"),""))</f>
        <v/>
      </c>
      <c r="D300" t="str">
        <f>IF(A300="","",IFERROR(AVERAGEIFS(DATOS!$K$2:$K$20000,DATOS!$A$2:$A$20000,A300,DATOS!$G$2:$G$20000,CONFIG_METADATA!$B$4,DATOS!$I$2:$I$20000,"Conjunto"),""))</f>
        <v/>
      </c>
      <c r="E300" t="str">
        <f>IF(A300="","",IFERROR(AVERAGEIFS(DATOS!$K$2:$K$20000,DATOS!$A$2:$A$20000,A300,DATOS!$G$2:$G$20000,CONFIG_METADATA!$B$4,DATOS!$I$2:$I$20000,"&lt;&gt;Lenguaje Musical",DATOS!$I$2:$I$20000,"&lt;&gt;Coro",DATOS!$I$2:$I$20000,"&lt;&gt;Conjunto"),""))</f>
        <v/>
      </c>
      <c r="H300" t="str">
        <f>IF(G300="","",IFERROR(AVERAGEIFS(DATOS!$K$2:$K$20000,DATOS!$A$2:$A$20000,G300,DATOS!$G$2:$G$20000,CONFIG_METADATA!$B$4,DATOS!$I$2:$I$20000,"Lenguaje Musical"),""))</f>
        <v/>
      </c>
      <c r="I300" t="str">
        <f>IF(G300="","",IFERROR(AVERAGEIFS(DATOS!$K$2:$K$20000,DATOS!$A$2:$A$20000,G300,DATOS!$G$2:$G$20000,CONFIG_METADATA!$B$4,DATOS!$I$2:$I$20000,"Coro"),""))</f>
        <v/>
      </c>
      <c r="J300" t="str">
        <f>IF(G300="","",IFERROR(AVERAGEIFS(DATOS!$K$2:$K$20000,DATOS!$A$2:$A$20000,G300,DATOS!$G$2:$G$20000,CONFIG_METADATA!$B$4,DATOS!$I$2:$I$20000,"Conjunto"),""))</f>
        <v/>
      </c>
      <c r="K300" t="str" cm="1">
        <f t="array" ref="K300">IF(G300="","",IFERROR(AVERAGE(IF((DATOS!$A$2:$A$20000=G300)*(DATOS!$G$2:$G$20000=CONFIG_METADATA!$B$4)*(DATOS!$I$2:$I$20000&lt;&gt;"Lenguaje Musical")*(DATOS!$I$2:$I$20000&lt;&gt;"Coro")*(DATOS!$I$2:$I$20000&lt;&gt;"Conjunto"),DATOS!$K$2:$K$20000)),""))</f>
        <v/>
      </c>
      <c r="N300" t="str">
        <f>IF(M300="","",IFERROR(AVERAGEIFS(DATOS!$K$2:$K$20000,DATOS!$A$2:$A$20000,M300,DATOS!$G$2:$G$20000,CONFIG_METADATA!$B$4,DATOS!$I$2:$I$20000,"Lenguaje Musical"),""))</f>
        <v/>
      </c>
      <c r="O300" t="str">
        <f>IF(M300="","",IFERROR(AVERAGEIFS(DATOS!$K$2:$K$20000,DATOS!$A$2:$A$20000,M300,DATOS!$G$2:$G$20000,CONFIG_METADATA!$B$4,DATOS!$I$2:$I$20000,"Coro"),""))</f>
        <v/>
      </c>
      <c r="P300" t="str">
        <f>IF(M300="","",IFERROR(AVERAGEIFS(DATOS!$K$2:$K$20000,DATOS!$A$2:$A$20000,M300,DATOS!$G$2:$G$20000,CONFIG_METADATA!$B$4,DATOS!$I$2:$I$20000,"Conjunto"),""))</f>
        <v/>
      </c>
      <c r="Q300" t="str">
        <f>IF(M300="","",IFERROR(AVERAGEIFS(DATOS!$K$2:$K$20000,DATOS!$A$2:$A$20000,M300,DATOS!$G$2:$G$20000,CONFIG_METADATA!$B$4,DATOS!$I$2:$I$20000,"&lt;&gt;Lenguaje Musical",DATOS!$I$2:$I$20000,"&lt;&gt;Coro",DATOS!$I$2:$I$20000,"&lt;&gt;Conjunto"),""))</f>
        <v/>
      </c>
      <c r="T300" t="str">
        <f>IF(S300="","",IFERROR(AVERAGEIFS(DATOS!$K$2:$K$20000,DATOS!$A$2:$A$20000,S300,DATOS!$G$2:$G$20000,CONFIG_METADATA!$B$4,DATOS!$I$2:$I$20000,"Lenguaje Musical"),""))</f>
        <v/>
      </c>
      <c r="U300" t="str">
        <f>IF(S300="","",IFERROR(AVERAGEIFS(DATOS!$K$2:$K$20000,DATOS!$A$2:$A$20000,S300,DATOS!$G$2:$G$20000,CONFIG_METADATA!$B$4,DATOS!$I$2:$I$20000,"Coro"),""))</f>
        <v/>
      </c>
      <c r="V300" t="str">
        <f>IF(S300="","",IFERROR(AVERAGEIFS(DATOS!$K$2:$K$20000,DATOS!$A$2:$A$20000,S300,DATOS!$G$2:$G$20000,CONFIG_METADATA!$B$4,DATOS!$I$2:$I$20000,"Conjunto"),""))</f>
        <v/>
      </c>
      <c r="W300" t="str" cm="1">
        <f t="array" ref="W300">IF(S300="","",IFERROR(AVERAGE(IF((DATOS!$A$2:$A$20000=S300)*(DATOS!$G$2:$G$20000=CONFIG_METADATA!$B$4)*(DATOS!$I$2:$I$20000&lt;&gt;"Lenguaje Musical")*(DATOS!$I$2:$I$20000&lt;&gt;"Coro")*(DATOS!$I$2:$I$20000&lt;&gt;"Conjunto"),DATOS!$K$2:$K$20000)),""))</f>
        <v/>
      </c>
    </row>
    <row r="301" spans="2:23" x14ac:dyDescent="0.2">
      <c r="B301" t="str">
        <f>IF(A301="","",IFERROR(AVERAGEIFS(DATOS!$K$2:$K$20000,DATOS!$A$2:$A$20000,A301,DATOS!$G$2:$G$20000,CONFIG_METADATA!$B$4,DATOS!$I$2:$I$20000,"Lenguaje Musical"),""))</f>
        <v/>
      </c>
      <c r="C301" t="str">
        <f>IF(A301="","",IFERROR(AVERAGEIFS(DATOS!$K$2:$K$20000,DATOS!$A$2:$A$20000,A301,DATOS!$G$2:$G$20000,CONFIG_METADATA!$B$4,DATOS!$I$2:$I$20000,"Coro"),""))</f>
        <v/>
      </c>
      <c r="D301" t="str">
        <f>IF(A301="","",IFERROR(AVERAGEIFS(DATOS!$K$2:$K$20000,DATOS!$A$2:$A$20000,A301,DATOS!$G$2:$G$20000,CONFIG_METADATA!$B$4,DATOS!$I$2:$I$20000,"Conjunto"),""))</f>
        <v/>
      </c>
      <c r="E301" t="str">
        <f>IF(A301="","",IFERROR(AVERAGEIFS(DATOS!$K$2:$K$20000,DATOS!$A$2:$A$20000,A301,DATOS!$G$2:$G$20000,CONFIG_METADATA!$B$4,DATOS!$I$2:$I$20000,"&lt;&gt;Lenguaje Musical",DATOS!$I$2:$I$20000,"&lt;&gt;Coro",DATOS!$I$2:$I$20000,"&lt;&gt;Conjunto"),""))</f>
        <v/>
      </c>
      <c r="H301" t="str">
        <f>IF(G301="","",IFERROR(AVERAGEIFS(DATOS!$K$2:$K$20000,DATOS!$A$2:$A$20000,G301,DATOS!$G$2:$G$20000,CONFIG_METADATA!$B$4,DATOS!$I$2:$I$20000,"Lenguaje Musical"),""))</f>
        <v/>
      </c>
      <c r="I301" t="str">
        <f>IF(G301="","",IFERROR(AVERAGEIFS(DATOS!$K$2:$K$20000,DATOS!$A$2:$A$20000,G301,DATOS!$G$2:$G$20000,CONFIG_METADATA!$B$4,DATOS!$I$2:$I$20000,"Coro"),""))</f>
        <v/>
      </c>
      <c r="J301" t="str">
        <f>IF(G301="","",IFERROR(AVERAGEIFS(DATOS!$K$2:$K$20000,DATOS!$A$2:$A$20000,G301,DATOS!$G$2:$G$20000,CONFIG_METADATA!$B$4,DATOS!$I$2:$I$20000,"Conjunto"),""))</f>
        <v/>
      </c>
      <c r="K301" t="str" cm="1">
        <f t="array" ref="K301">IF(G301="","",IFERROR(AVERAGE(IF((DATOS!$A$2:$A$20000=G301)*(DATOS!$G$2:$G$20000=CONFIG_METADATA!$B$4)*(DATOS!$I$2:$I$20000&lt;&gt;"Lenguaje Musical")*(DATOS!$I$2:$I$20000&lt;&gt;"Coro")*(DATOS!$I$2:$I$20000&lt;&gt;"Conjunto"),DATOS!$K$2:$K$20000)),""))</f>
        <v/>
      </c>
      <c r="N301" t="str">
        <f>IF(M301="","",IFERROR(AVERAGEIFS(DATOS!$K$2:$K$20000,DATOS!$A$2:$A$20000,M301,DATOS!$G$2:$G$20000,CONFIG_METADATA!$B$4,DATOS!$I$2:$I$20000,"Lenguaje Musical"),""))</f>
        <v/>
      </c>
      <c r="O301" t="str">
        <f>IF(M301="","",IFERROR(AVERAGEIFS(DATOS!$K$2:$K$20000,DATOS!$A$2:$A$20000,M301,DATOS!$G$2:$G$20000,CONFIG_METADATA!$B$4,DATOS!$I$2:$I$20000,"Coro"),""))</f>
        <v/>
      </c>
      <c r="P301" t="str">
        <f>IF(M301="","",IFERROR(AVERAGEIFS(DATOS!$K$2:$K$20000,DATOS!$A$2:$A$20000,M301,DATOS!$G$2:$G$20000,CONFIG_METADATA!$B$4,DATOS!$I$2:$I$20000,"Conjunto"),""))</f>
        <v/>
      </c>
      <c r="Q301" t="str">
        <f>IF(M301="","",IFERROR(AVERAGEIFS(DATOS!$K$2:$K$20000,DATOS!$A$2:$A$20000,M301,DATOS!$G$2:$G$20000,CONFIG_METADATA!$B$4,DATOS!$I$2:$I$20000,"&lt;&gt;Lenguaje Musical",DATOS!$I$2:$I$20000,"&lt;&gt;Coro",DATOS!$I$2:$I$20000,"&lt;&gt;Conjunto"),""))</f>
        <v/>
      </c>
      <c r="T301" t="str">
        <f>IF(S301="","",IFERROR(AVERAGEIFS(DATOS!$K$2:$K$20000,DATOS!$A$2:$A$20000,S301,DATOS!$G$2:$G$20000,CONFIG_METADATA!$B$4,DATOS!$I$2:$I$20000,"Lenguaje Musical"),""))</f>
        <v/>
      </c>
      <c r="U301" t="str">
        <f>IF(S301="","",IFERROR(AVERAGEIFS(DATOS!$K$2:$K$20000,DATOS!$A$2:$A$20000,S301,DATOS!$G$2:$G$20000,CONFIG_METADATA!$B$4,DATOS!$I$2:$I$20000,"Coro"),""))</f>
        <v/>
      </c>
      <c r="V301" t="str">
        <f>IF(S301="","",IFERROR(AVERAGEIFS(DATOS!$K$2:$K$20000,DATOS!$A$2:$A$20000,S301,DATOS!$G$2:$G$20000,CONFIG_METADATA!$B$4,DATOS!$I$2:$I$20000,"Conjunto"),""))</f>
        <v/>
      </c>
      <c r="W301" t="str" cm="1">
        <f t="array" ref="W301">IF(S301="","",IFERROR(AVERAGE(IF((DATOS!$A$2:$A$20000=S301)*(DATOS!$G$2:$G$20000=CONFIG_METADATA!$B$4)*(DATOS!$I$2:$I$20000&lt;&gt;"Lenguaje Musical")*(DATOS!$I$2:$I$20000&lt;&gt;"Coro")*(DATOS!$I$2:$I$20000&lt;&gt;"Conjunto"),DATOS!$K$2:$K$20000)),""))</f>
        <v/>
      </c>
    </row>
    <row r="302" spans="2:23" x14ac:dyDescent="0.2">
      <c r="B302" t="str">
        <f>IF(A302="","",IFERROR(AVERAGEIFS(DATOS!$K$2:$K$20000,DATOS!$A$2:$A$20000,A302,DATOS!$G$2:$G$20000,CONFIG_METADATA!$B$4,DATOS!$I$2:$I$20000,"Lenguaje Musical"),""))</f>
        <v/>
      </c>
      <c r="C302" t="str">
        <f>IF(A302="","",IFERROR(AVERAGEIFS(DATOS!$K$2:$K$20000,DATOS!$A$2:$A$20000,A302,DATOS!$G$2:$G$20000,CONFIG_METADATA!$B$4,DATOS!$I$2:$I$20000,"Coro"),""))</f>
        <v/>
      </c>
      <c r="D302" t="str">
        <f>IF(A302="","",IFERROR(AVERAGEIFS(DATOS!$K$2:$K$20000,DATOS!$A$2:$A$20000,A302,DATOS!$G$2:$G$20000,CONFIG_METADATA!$B$4,DATOS!$I$2:$I$20000,"Conjunto"),""))</f>
        <v/>
      </c>
      <c r="E302" t="str">
        <f>IF(A302="","",IFERROR(AVERAGEIFS(DATOS!$K$2:$K$20000,DATOS!$A$2:$A$20000,A302,DATOS!$G$2:$G$20000,CONFIG_METADATA!$B$4,DATOS!$I$2:$I$20000,"&lt;&gt;Lenguaje Musical",DATOS!$I$2:$I$20000,"&lt;&gt;Coro",DATOS!$I$2:$I$20000,"&lt;&gt;Conjunto"),""))</f>
        <v/>
      </c>
      <c r="H302" t="str">
        <f>IF(G302="","",IFERROR(AVERAGEIFS(DATOS!$K$2:$K$20000,DATOS!$A$2:$A$20000,G302,DATOS!$G$2:$G$20000,CONFIG_METADATA!$B$4,DATOS!$I$2:$I$20000,"Lenguaje Musical"),""))</f>
        <v/>
      </c>
      <c r="I302" t="str">
        <f>IF(G302="","",IFERROR(AVERAGEIFS(DATOS!$K$2:$K$20000,DATOS!$A$2:$A$20000,G302,DATOS!$G$2:$G$20000,CONFIG_METADATA!$B$4,DATOS!$I$2:$I$20000,"Coro"),""))</f>
        <v/>
      </c>
      <c r="J302" t="str">
        <f>IF(G302="","",IFERROR(AVERAGEIFS(DATOS!$K$2:$K$20000,DATOS!$A$2:$A$20000,G302,DATOS!$G$2:$G$20000,CONFIG_METADATA!$B$4,DATOS!$I$2:$I$20000,"Conjunto"),""))</f>
        <v/>
      </c>
      <c r="K302" t="str" cm="1">
        <f t="array" ref="K302">IF(G302="","",IFERROR(AVERAGE(IF((DATOS!$A$2:$A$20000=G302)*(DATOS!$G$2:$G$20000=CONFIG_METADATA!$B$4)*(DATOS!$I$2:$I$20000&lt;&gt;"Lenguaje Musical")*(DATOS!$I$2:$I$20000&lt;&gt;"Coro")*(DATOS!$I$2:$I$20000&lt;&gt;"Conjunto"),DATOS!$K$2:$K$20000)),""))</f>
        <v/>
      </c>
      <c r="N302" t="str">
        <f>IF(M302="","",IFERROR(AVERAGEIFS(DATOS!$K$2:$K$20000,DATOS!$A$2:$A$20000,M302,DATOS!$G$2:$G$20000,CONFIG_METADATA!$B$4,DATOS!$I$2:$I$20000,"Lenguaje Musical"),""))</f>
        <v/>
      </c>
      <c r="O302" t="str">
        <f>IF(M302="","",IFERROR(AVERAGEIFS(DATOS!$K$2:$K$20000,DATOS!$A$2:$A$20000,M302,DATOS!$G$2:$G$20000,CONFIG_METADATA!$B$4,DATOS!$I$2:$I$20000,"Coro"),""))</f>
        <v/>
      </c>
      <c r="P302" t="str">
        <f>IF(M302="","",IFERROR(AVERAGEIFS(DATOS!$K$2:$K$20000,DATOS!$A$2:$A$20000,M302,DATOS!$G$2:$G$20000,CONFIG_METADATA!$B$4,DATOS!$I$2:$I$20000,"Conjunto"),""))</f>
        <v/>
      </c>
      <c r="Q302" t="str">
        <f>IF(M302="","",IFERROR(AVERAGEIFS(DATOS!$K$2:$K$20000,DATOS!$A$2:$A$20000,M302,DATOS!$G$2:$G$20000,CONFIG_METADATA!$B$4,DATOS!$I$2:$I$20000,"&lt;&gt;Lenguaje Musical",DATOS!$I$2:$I$20000,"&lt;&gt;Coro",DATOS!$I$2:$I$20000,"&lt;&gt;Conjunto"),""))</f>
        <v/>
      </c>
      <c r="T302" t="str">
        <f>IF(S302="","",IFERROR(AVERAGEIFS(DATOS!$K$2:$K$20000,DATOS!$A$2:$A$20000,S302,DATOS!$G$2:$G$20000,CONFIG_METADATA!$B$4,DATOS!$I$2:$I$20000,"Lenguaje Musical"),""))</f>
        <v/>
      </c>
      <c r="U302" t="str">
        <f>IF(S302="","",IFERROR(AVERAGEIFS(DATOS!$K$2:$K$20000,DATOS!$A$2:$A$20000,S302,DATOS!$G$2:$G$20000,CONFIG_METADATA!$B$4,DATOS!$I$2:$I$20000,"Coro"),""))</f>
        <v/>
      </c>
      <c r="V302" t="str">
        <f>IF(S302="","",IFERROR(AVERAGEIFS(DATOS!$K$2:$K$20000,DATOS!$A$2:$A$20000,S302,DATOS!$G$2:$G$20000,CONFIG_METADATA!$B$4,DATOS!$I$2:$I$20000,"Conjunto"),""))</f>
        <v/>
      </c>
      <c r="W302" t="str" cm="1">
        <f t="array" ref="W302">IF(S302="","",IFERROR(AVERAGE(IF((DATOS!$A$2:$A$20000=S302)*(DATOS!$G$2:$G$20000=CONFIG_METADATA!$B$4)*(DATOS!$I$2:$I$20000&lt;&gt;"Lenguaje Musical")*(DATOS!$I$2:$I$20000&lt;&gt;"Coro")*(DATOS!$I$2:$I$20000&lt;&gt;"Conjunto"),DATOS!$K$2:$K$20000)),""))</f>
        <v/>
      </c>
    </row>
    <row r="303" spans="2:23" x14ac:dyDescent="0.2">
      <c r="B303" t="str">
        <f>IF(A303="","",IFERROR(AVERAGEIFS(DATOS!$K$2:$K$20000,DATOS!$A$2:$A$20000,A303,DATOS!$G$2:$G$20000,CONFIG_METADATA!$B$4,DATOS!$I$2:$I$20000,"Lenguaje Musical"),""))</f>
        <v/>
      </c>
      <c r="C303" t="str">
        <f>IF(A303="","",IFERROR(AVERAGEIFS(DATOS!$K$2:$K$20000,DATOS!$A$2:$A$20000,A303,DATOS!$G$2:$G$20000,CONFIG_METADATA!$B$4,DATOS!$I$2:$I$20000,"Coro"),""))</f>
        <v/>
      </c>
      <c r="D303" t="str">
        <f>IF(A303="","",IFERROR(AVERAGEIFS(DATOS!$K$2:$K$20000,DATOS!$A$2:$A$20000,A303,DATOS!$G$2:$G$20000,CONFIG_METADATA!$B$4,DATOS!$I$2:$I$20000,"Conjunto"),""))</f>
        <v/>
      </c>
      <c r="E303" t="str">
        <f>IF(A303="","",IFERROR(AVERAGEIFS(DATOS!$K$2:$K$20000,DATOS!$A$2:$A$20000,A303,DATOS!$G$2:$G$20000,CONFIG_METADATA!$B$4,DATOS!$I$2:$I$20000,"&lt;&gt;Lenguaje Musical",DATOS!$I$2:$I$20000,"&lt;&gt;Coro",DATOS!$I$2:$I$20000,"&lt;&gt;Conjunto"),""))</f>
        <v/>
      </c>
      <c r="H303" t="str">
        <f>IF(G303="","",IFERROR(AVERAGEIFS(DATOS!$K$2:$K$20000,DATOS!$A$2:$A$20000,G303,DATOS!$G$2:$G$20000,CONFIG_METADATA!$B$4,DATOS!$I$2:$I$20000,"Lenguaje Musical"),""))</f>
        <v/>
      </c>
      <c r="I303" t="str">
        <f>IF(G303="","",IFERROR(AVERAGEIFS(DATOS!$K$2:$K$20000,DATOS!$A$2:$A$20000,G303,DATOS!$G$2:$G$20000,CONFIG_METADATA!$B$4,DATOS!$I$2:$I$20000,"Coro"),""))</f>
        <v/>
      </c>
      <c r="J303" t="str">
        <f>IF(G303="","",IFERROR(AVERAGEIFS(DATOS!$K$2:$K$20000,DATOS!$A$2:$A$20000,G303,DATOS!$G$2:$G$20000,CONFIG_METADATA!$B$4,DATOS!$I$2:$I$20000,"Conjunto"),""))</f>
        <v/>
      </c>
      <c r="K303" t="str" cm="1">
        <f t="array" ref="K303">IF(G303="","",IFERROR(AVERAGE(IF((DATOS!$A$2:$A$20000=G303)*(DATOS!$G$2:$G$20000=CONFIG_METADATA!$B$4)*(DATOS!$I$2:$I$20000&lt;&gt;"Lenguaje Musical")*(DATOS!$I$2:$I$20000&lt;&gt;"Coro")*(DATOS!$I$2:$I$20000&lt;&gt;"Conjunto"),DATOS!$K$2:$K$20000)),""))</f>
        <v/>
      </c>
      <c r="N303" t="str">
        <f>IF(M303="","",IFERROR(AVERAGEIFS(DATOS!$K$2:$K$20000,DATOS!$A$2:$A$20000,M303,DATOS!$G$2:$G$20000,CONFIG_METADATA!$B$4,DATOS!$I$2:$I$20000,"Lenguaje Musical"),""))</f>
        <v/>
      </c>
      <c r="O303" t="str">
        <f>IF(M303="","",IFERROR(AVERAGEIFS(DATOS!$K$2:$K$20000,DATOS!$A$2:$A$20000,M303,DATOS!$G$2:$G$20000,CONFIG_METADATA!$B$4,DATOS!$I$2:$I$20000,"Coro"),""))</f>
        <v/>
      </c>
      <c r="P303" t="str">
        <f>IF(M303="","",IFERROR(AVERAGEIFS(DATOS!$K$2:$K$20000,DATOS!$A$2:$A$20000,M303,DATOS!$G$2:$G$20000,CONFIG_METADATA!$B$4,DATOS!$I$2:$I$20000,"Conjunto"),""))</f>
        <v/>
      </c>
      <c r="Q303" t="str">
        <f>IF(M303="","",IFERROR(AVERAGEIFS(DATOS!$K$2:$K$20000,DATOS!$A$2:$A$20000,M303,DATOS!$G$2:$G$20000,CONFIG_METADATA!$B$4,DATOS!$I$2:$I$20000,"&lt;&gt;Lenguaje Musical",DATOS!$I$2:$I$20000,"&lt;&gt;Coro",DATOS!$I$2:$I$20000,"&lt;&gt;Conjunto"),""))</f>
        <v/>
      </c>
      <c r="T303" t="str">
        <f>IF(S303="","",IFERROR(AVERAGEIFS(DATOS!$K$2:$K$20000,DATOS!$A$2:$A$20000,S303,DATOS!$G$2:$G$20000,CONFIG_METADATA!$B$4,DATOS!$I$2:$I$20000,"Lenguaje Musical"),""))</f>
        <v/>
      </c>
      <c r="U303" t="str">
        <f>IF(S303="","",IFERROR(AVERAGEIFS(DATOS!$K$2:$K$20000,DATOS!$A$2:$A$20000,S303,DATOS!$G$2:$G$20000,CONFIG_METADATA!$B$4,DATOS!$I$2:$I$20000,"Coro"),""))</f>
        <v/>
      </c>
      <c r="V303" t="str">
        <f>IF(S303="","",IFERROR(AVERAGEIFS(DATOS!$K$2:$K$20000,DATOS!$A$2:$A$20000,S303,DATOS!$G$2:$G$20000,CONFIG_METADATA!$B$4,DATOS!$I$2:$I$20000,"Conjunto"),""))</f>
        <v/>
      </c>
      <c r="W303" t="str" cm="1">
        <f t="array" ref="W303">IF(S303="","",IFERROR(AVERAGE(IF((DATOS!$A$2:$A$20000=S303)*(DATOS!$G$2:$G$20000=CONFIG_METADATA!$B$4)*(DATOS!$I$2:$I$20000&lt;&gt;"Lenguaje Musical")*(DATOS!$I$2:$I$20000&lt;&gt;"Coro")*(DATOS!$I$2:$I$20000&lt;&gt;"Conjunto"),DATOS!$K$2:$K$20000)),""))</f>
        <v/>
      </c>
    </row>
    <row r="304" spans="2:23" x14ac:dyDescent="0.2">
      <c r="B304" t="str">
        <f>IF(A304="","",IFERROR(AVERAGEIFS(DATOS!$K$2:$K$20000,DATOS!$A$2:$A$20000,A304,DATOS!$G$2:$G$20000,CONFIG_METADATA!$B$4,DATOS!$I$2:$I$20000,"Lenguaje Musical"),""))</f>
        <v/>
      </c>
      <c r="C304" t="str">
        <f>IF(A304="","",IFERROR(AVERAGEIFS(DATOS!$K$2:$K$20000,DATOS!$A$2:$A$20000,A304,DATOS!$G$2:$G$20000,CONFIG_METADATA!$B$4,DATOS!$I$2:$I$20000,"Coro"),""))</f>
        <v/>
      </c>
      <c r="D304" t="str">
        <f>IF(A304="","",IFERROR(AVERAGEIFS(DATOS!$K$2:$K$20000,DATOS!$A$2:$A$20000,A304,DATOS!$G$2:$G$20000,CONFIG_METADATA!$B$4,DATOS!$I$2:$I$20000,"Conjunto"),""))</f>
        <v/>
      </c>
      <c r="E304" t="str">
        <f>IF(A304="","",IFERROR(AVERAGEIFS(DATOS!$K$2:$K$20000,DATOS!$A$2:$A$20000,A304,DATOS!$G$2:$G$20000,CONFIG_METADATA!$B$4,DATOS!$I$2:$I$20000,"&lt;&gt;Lenguaje Musical",DATOS!$I$2:$I$20000,"&lt;&gt;Coro",DATOS!$I$2:$I$20000,"&lt;&gt;Conjunto"),""))</f>
        <v/>
      </c>
      <c r="H304" t="str">
        <f>IF(G304="","",IFERROR(AVERAGEIFS(DATOS!$K$2:$K$20000,DATOS!$A$2:$A$20000,G304,DATOS!$G$2:$G$20000,CONFIG_METADATA!$B$4,DATOS!$I$2:$I$20000,"Lenguaje Musical"),""))</f>
        <v/>
      </c>
      <c r="I304" t="str">
        <f>IF(G304="","",IFERROR(AVERAGEIFS(DATOS!$K$2:$K$20000,DATOS!$A$2:$A$20000,G304,DATOS!$G$2:$G$20000,CONFIG_METADATA!$B$4,DATOS!$I$2:$I$20000,"Coro"),""))</f>
        <v/>
      </c>
      <c r="J304" t="str">
        <f>IF(G304="","",IFERROR(AVERAGEIFS(DATOS!$K$2:$K$20000,DATOS!$A$2:$A$20000,G304,DATOS!$G$2:$G$20000,CONFIG_METADATA!$B$4,DATOS!$I$2:$I$20000,"Conjunto"),""))</f>
        <v/>
      </c>
      <c r="K304" t="str" cm="1">
        <f t="array" ref="K304">IF(G304="","",IFERROR(AVERAGE(IF((DATOS!$A$2:$A$20000=G304)*(DATOS!$G$2:$G$20000=CONFIG_METADATA!$B$4)*(DATOS!$I$2:$I$20000&lt;&gt;"Lenguaje Musical")*(DATOS!$I$2:$I$20000&lt;&gt;"Coro")*(DATOS!$I$2:$I$20000&lt;&gt;"Conjunto"),DATOS!$K$2:$K$20000)),""))</f>
        <v/>
      </c>
      <c r="N304" t="str">
        <f>IF(M304="","",IFERROR(AVERAGEIFS(DATOS!$K$2:$K$20000,DATOS!$A$2:$A$20000,M304,DATOS!$G$2:$G$20000,CONFIG_METADATA!$B$4,DATOS!$I$2:$I$20000,"Lenguaje Musical"),""))</f>
        <v/>
      </c>
      <c r="O304" t="str">
        <f>IF(M304="","",IFERROR(AVERAGEIFS(DATOS!$K$2:$K$20000,DATOS!$A$2:$A$20000,M304,DATOS!$G$2:$G$20000,CONFIG_METADATA!$B$4,DATOS!$I$2:$I$20000,"Coro"),""))</f>
        <v/>
      </c>
      <c r="P304" t="str">
        <f>IF(M304="","",IFERROR(AVERAGEIFS(DATOS!$K$2:$K$20000,DATOS!$A$2:$A$20000,M304,DATOS!$G$2:$G$20000,CONFIG_METADATA!$B$4,DATOS!$I$2:$I$20000,"Conjunto"),""))</f>
        <v/>
      </c>
      <c r="Q304" t="str">
        <f>IF(M304="","",IFERROR(AVERAGEIFS(DATOS!$K$2:$K$20000,DATOS!$A$2:$A$20000,M304,DATOS!$G$2:$G$20000,CONFIG_METADATA!$B$4,DATOS!$I$2:$I$20000,"&lt;&gt;Lenguaje Musical",DATOS!$I$2:$I$20000,"&lt;&gt;Coro",DATOS!$I$2:$I$20000,"&lt;&gt;Conjunto"),""))</f>
        <v/>
      </c>
      <c r="T304" t="str">
        <f>IF(S304="","",IFERROR(AVERAGEIFS(DATOS!$K$2:$K$20000,DATOS!$A$2:$A$20000,S304,DATOS!$G$2:$G$20000,CONFIG_METADATA!$B$4,DATOS!$I$2:$I$20000,"Lenguaje Musical"),""))</f>
        <v/>
      </c>
      <c r="U304" t="str">
        <f>IF(S304="","",IFERROR(AVERAGEIFS(DATOS!$K$2:$K$20000,DATOS!$A$2:$A$20000,S304,DATOS!$G$2:$G$20000,CONFIG_METADATA!$B$4,DATOS!$I$2:$I$20000,"Coro"),""))</f>
        <v/>
      </c>
      <c r="V304" t="str">
        <f>IF(S304="","",IFERROR(AVERAGEIFS(DATOS!$K$2:$K$20000,DATOS!$A$2:$A$20000,S304,DATOS!$G$2:$G$20000,CONFIG_METADATA!$B$4,DATOS!$I$2:$I$20000,"Conjunto"),""))</f>
        <v/>
      </c>
      <c r="W304" t="str" cm="1">
        <f t="array" ref="W304">IF(S304="","",IFERROR(AVERAGE(IF((DATOS!$A$2:$A$20000=S304)*(DATOS!$G$2:$G$20000=CONFIG_METADATA!$B$4)*(DATOS!$I$2:$I$20000&lt;&gt;"Lenguaje Musical")*(DATOS!$I$2:$I$20000&lt;&gt;"Coro")*(DATOS!$I$2:$I$20000&lt;&gt;"Conjunto"),DATOS!$K$2:$K$20000)),""))</f>
        <v/>
      </c>
    </row>
    <row r="305" spans="2:23" x14ac:dyDescent="0.2">
      <c r="B305" t="str">
        <f>IF(A305="","",IFERROR(AVERAGEIFS(DATOS!$K$2:$K$20000,DATOS!$A$2:$A$20000,A305,DATOS!$G$2:$G$20000,CONFIG_METADATA!$B$4,DATOS!$I$2:$I$20000,"Lenguaje Musical"),""))</f>
        <v/>
      </c>
      <c r="C305" t="str">
        <f>IF(A305="","",IFERROR(AVERAGEIFS(DATOS!$K$2:$K$20000,DATOS!$A$2:$A$20000,A305,DATOS!$G$2:$G$20000,CONFIG_METADATA!$B$4,DATOS!$I$2:$I$20000,"Coro"),""))</f>
        <v/>
      </c>
      <c r="D305" t="str">
        <f>IF(A305="","",IFERROR(AVERAGEIFS(DATOS!$K$2:$K$20000,DATOS!$A$2:$A$20000,A305,DATOS!$G$2:$G$20000,CONFIG_METADATA!$B$4,DATOS!$I$2:$I$20000,"Conjunto"),""))</f>
        <v/>
      </c>
      <c r="E305" t="str">
        <f>IF(A305="","",IFERROR(AVERAGEIFS(DATOS!$K$2:$K$20000,DATOS!$A$2:$A$20000,A305,DATOS!$G$2:$G$20000,CONFIG_METADATA!$B$4,DATOS!$I$2:$I$20000,"&lt;&gt;Lenguaje Musical",DATOS!$I$2:$I$20000,"&lt;&gt;Coro",DATOS!$I$2:$I$20000,"&lt;&gt;Conjunto"),""))</f>
        <v/>
      </c>
      <c r="H305" t="str">
        <f>IF(G305="","",IFERROR(AVERAGEIFS(DATOS!$K$2:$K$20000,DATOS!$A$2:$A$20000,G305,DATOS!$G$2:$G$20000,CONFIG_METADATA!$B$4,DATOS!$I$2:$I$20000,"Lenguaje Musical"),""))</f>
        <v/>
      </c>
      <c r="I305" t="str">
        <f>IF(G305="","",IFERROR(AVERAGEIFS(DATOS!$K$2:$K$20000,DATOS!$A$2:$A$20000,G305,DATOS!$G$2:$G$20000,CONFIG_METADATA!$B$4,DATOS!$I$2:$I$20000,"Coro"),""))</f>
        <v/>
      </c>
      <c r="J305" t="str">
        <f>IF(G305="","",IFERROR(AVERAGEIFS(DATOS!$K$2:$K$20000,DATOS!$A$2:$A$20000,G305,DATOS!$G$2:$G$20000,CONFIG_METADATA!$B$4,DATOS!$I$2:$I$20000,"Conjunto"),""))</f>
        <v/>
      </c>
      <c r="K305" t="str" cm="1">
        <f t="array" ref="K305">IF(G305="","",IFERROR(AVERAGE(IF((DATOS!$A$2:$A$20000=G305)*(DATOS!$G$2:$G$20000=CONFIG_METADATA!$B$4)*(DATOS!$I$2:$I$20000&lt;&gt;"Lenguaje Musical")*(DATOS!$I$2:$I$20000&lt;&gt;"Coro")*(DATOS!$I$2:$I$20000&lt;&gt;"Conjunto"),DATOS!$K$2:$K$20000)),""))</f>
        <v/>
      </c>
      <c r="N305" t="str">
        <f>IF(M305="","",IFERROR(AVERAGEIFS(DATOS!$K$2:$K$20000,DATOS!$A$2:$A$20000,M305,DATOS!$G$2:$G$20000,CONFIG_METADATA!$B$4,DATOS!$I$2:$I$20000,"Lenguaje Musical"),""))</f>
        <v/>
      </c>
      <c r="O305" t="str">
        <f>IF(M305="","",IFERROR(AVERAGEIFS(DATOS!$K$2:$K$20000,DATOS!$A$2:$A$20000,M305,DATOS!$G$2:$G$20000,CONFIG_METADATA!$B$4,DATOS!$I$2:$I$20000,"Coro"),""))</f>
        <v/>
      </c>
      <c r="P305" t="str">
        <f>IF(M305="","",IFERROR(AVERAGEIFS(DATOS!$K$2:$K$20000,DATOS!$A$2:$A$20000,M305,DATOS!$G$2:$G$20000,CONFIG_METADATA!$B$4,DATOS!$I$2:$I$20000,"Conjunto"),""))</f>
        <v/>
      </c>
      <c r="Q305" t="str">
        <f>IF(M305="","",IFERROR(AVERAGEIFS(DATOS!$K$2:$K$20000,DATOS!$A$2:$A$20000,M305,DATOS!$G$2:$G$20000,CONFIG_METADATA!$B$4,DATOS!$I$2:$I$20000,"&lt;&gt;Lenguaje Musical",DATOS!$I$2:$I$20000,"&lt;&gt;Coro",DATOS!$I$2:$I$20000,"&lt;&gt;Conjunto"),""))</f>
        <v/>
      </c>
      <c r="T305" t="str">
        <f>IF(S305="","",IFERROR(AVERAGEIFS(DATOS!$K$2:$K$20000,DATOS!$A$2:$A$20000,S305,DATOS!$G$2:$G$20000,CONFIG_METADATA!$B$4,DATOS!$I$2:$I$20000,"Lenguaje Musical"),""))</f>
        <v/>
      </c>
      <c r="U305" t="str">
        <f>IF(S305="","",IFERROR(AVERAGEIFS(DATOS!$K$2:$K$20000,DATOS!$A$2:$A$20000,S305,DATOS!$G$2:$G$20000,CONFIG_METADATA!$B$4,DATOS!$I$2:$I$20000,"Coro"),""))</f>
        <v/>
      </c>
      <c r="V305" t="str">
        <f>IF(S305="","",IFERROR(AVERAGEIFS(DATOS!$K$2:$K$20000,DATOS!$A$2:$A$20000,S305,DATOS!$G$2:$G$20000,CONFIG_METADATA!$B$4,DATOS!$I$2:$I$20000,"Conjunto"),""))</f>
        <v/>
      </c>
      <c r="W305" t="str" cm="1">
        <f t="array" ref="W305">IF(S305="","",IFERROR(AVERAGE(IF((DATOS!$A$2:$A$20000=S305)*(DATOS!$G$2:$G$20000=CONFIG_METADATA!$B$4)*(DATOS!$I$2:$I$20000&lt;&gt;"Lenguaje Musical")*(DATOS!$I$2:$I$20000&lt;&gt;"Coro")*(DATOS!$I$2:$I$20000&lt;&gt;"Conjunto"),DATOS!$K$2:$K$20000)),""))</f>
        <v/>
      </c>
    </row>
    <row r="306" spans="2:23" x14ac:dyDescent="0.2">
      <c r="B306" t="str">
        <f>IF(A306="","",IFERROR(AVERAGEIFS(DATOS!$K$2:$K$20000,DATOS!$A$2:$A$20000,A306,DATOS!$G$2:$G$20000,CONFIG_METADATA!$B$4,DATOS!$I$2:$I$20000,"Lenguaje Musical"),""))</f>
        <v/>
      </c>
      <c r="C306" t="str">
        <f>IF(A306="","",IFERROR(AVERAGEIFS(DATOS!$K$2:$K$20000,DATOS!$A$2:$A$20000,A306,DATOS!$G$2:$G$20000,CONFIG_METADATA!$B$4,DATOS!$I$2:$I$20000,"Coro"),""))</f>
        <v/>
      </c>
      <c r="D306" t="str">
        <f>IF(A306="","",IFERROR(AVERAGEIFS(DATOS!$K$2:$K$20000,DATOS!$A$2:$A$20000,A306,DATOS!$G$2:$G$20000,CONFIG_METADATA!$B$4,DATOS!$I$2:$I$20000,"Conjunto"),""))</f>
        <v/>
      </c>
      <c r="E306" t="str">
        <f>IF(A306="","",IFERROR(AVERAGEIFS(DATOS!$K$2:$K$20000,DATOS!$A$2:$A$20000,A306,DATOS!$G$2:$G$20000,CONFIG_METADATA!$B$4,DATOS!$I$2:$I$20000,"&lt;&gt;Lenguaje Musical",DATOS!$I$2:$I$20000,"&lt;&gt;Coro",DATOS!$I$2:$I$20000,"&lt;&gt;Conjunto"),""))</f>
        <v/>
      </c>
      <c r="H306" t="str">
        <f>IF(G306="","",IFERROR(AVERAGEIFS(DATOS!$K$2:$K$20000,DATOS!$A$2:$A$20000,G306,DATOS!$G$2:$G$20000,CONFIG_METADATA!$B$4,DATOS!$I$2:$I$20000,"Lenguaje Musical"),""))</f>
        <v/>
      </c>
      <c r="I306" t="str">
        <f>IF(G306="","",IFERROR(AVERAGEIFS(DATOS!$K$2:$K$20000,DATOS!$A$2:$A$20000,G306,DATOS!$G$2:$G$20000,CONFIG_METADATA!$B$4,DATOS!$I$2:$I$20000,"Coro"),""))</f>
        <v/>
      </c>
      <c r="J306" t="str">
        <f>IF(G306="","",IFERROR(AVERAGEIFS(DATOS!$K$2:$K$20000,DATOS!$A$2:$A$20000,G306,DATOS!$G$2:$G$20000,CONFIG_METADATA!$B$4,DATOS!$I$2:$I$20000,"Conjunto"),""))</f>
        <v/>
      </c>
      <c r="K306" t="str" cm="1">
        <f t="array" ref="K306">IF(G306="","",IFERROR(AVERAGE(IF((DATOS!$A$2:$A$20000=G306)*(DATOS!$G$2:$G$20000=CONFIG_METADATA!$B$4)*(DATOS!$I$2:$I$20000&lt;&gt;"Lenguaje Musical")*(DATOS!$I$2:$I$20000&lt;&gt;"Coro")*(DATOS!$I$2:$I$20000&lt;&gt;"Conjunto"),DATOS!$K$2:$K$20000)),""))</f>
        <v/>
      </c>
      <c r="N306" t="str">
        <f>IF(M306="","",IFERROR(AVERAGEIFS(DATOS!$K$2:$K$20000,DATOS!$A$2:$A$20000,M306,DATOS!$G$2:$G$20000,CONFIG_METADATA!$B$4,DATOS!$I$2:$I$20000,"Lenguaje Musical"),""))</f>
        <v/>
      </c>
      <c r="O306" t="str">
        <f>IF(M306="","",IFERROR(AVERAGEIFS(DATOS!$K$2:$K$20000,DATOS!$A$2:$A$20000,M306,DATOS!$G$2:$G$20000,CONFIG_METADATA!$B$4,DATOS!$I$2:$I$20000,"Coro"),""))</f>
        <v/>
      </c>
      <c r="P306" t="str">
        <f>IF(M306="","",IFERROR(AVERAGEIFS(DATOS!$K$2:$K$20000,DATOS!$A$2:$A$20000,M306,DATOS!$G$2:$G$20000,CONFIG_METADATA!$B$4,DATOS!$I$2:$I$20000,"Conjunto"),""))</f>
        <v/>
      </c>
      <c r="Q306" t="str">
        <f>IF(M306="","",IFERROR(AVERAGEIFS(DATOS!$K$2:$K$20000,DATOS!$A$2:$A$20000,M306,DATOS!$G$2:$G$20000,CONFIG_METADATA!$B$4,DATOS!$I$2:$I$20000,"&lt;&gt;Lenguaje Musical",DATOS!$I$2:$I$20000,"&lt;&gt;Coro",DATOS!$I$2:$I$20000,"&lt;&gt;Conjunto"),""))</f>
        <v/>
      </c>
      <c r="T306" t="str">
        <f>IF(S306="","",IFERROR(AVERAGEIFS(DATOS!$K$2:$K$20000,DATOS!$A$2:$A$20000,S306,DATOS!$G$2:$G$20000,CONFIG_METADATA!$B$4,DATOS!$I$2:$I$20000,"Lenguaje Musical"),""))</f>
        <v/>
      </c>
      <c r="U306" t="str">
        <f>IF(S306="","",IFERROR(AVERAGEIFS(DATOS!$K$2:$K$20000,DATOS!$A$2:$A$20000,S306,DATOS!$G$2:$G$20000,CONFIG_METADATA!$B$4,DATOS!$I$2:$I$20000,"Coro"),""))</f>
        <v/>
      </c>
      <c r="V306" t="str">
        <f>IF(S306="","",IFERROR(AVERAGEIFS(DATOS!$K$2:$K$20000,DATOS!$A$2:$A$20000,S306,DATOS!$G$2:$G$20000,CONFIG_METADATA!$B$4,DATOS!$I$2:$I$20000,"Conjunto"),""))</f>
        <v/>
      </c>
      <c r="W306" t="str" cm="1">
        <f t="array" ref="W306">IF(S306="","",IFERROR(AVERAGE(IF((DATOS!$A$2:$A$20000=S306)*(DATOS!$G$2:$G$20000=CONFIG_METADATA!$B$4)*(DATOS!$I$2:$I$20000&lt;&gt;"Lenguaje Musical")*(DATOS!$I$2:$I$20000&lt;&gt;"Coro")*(DATOS!$I$2:$I$20000&lt;&gt;"Conjunto"),DATOS!$K$2:$K$20000)),""))</f>
        <v/>
      </c>
    </row>
    <row r="307" spans="2:23" x14ac:dyDescent="0.2">
      <c r="B307" t="str">
        <f>IF(A307="","",IFERROR(AVERAGEIFS(DATOS!$K$2:$K$20000,DATOS!$A$2:$A$20000,A307,DATOS!$G$2:$G$20000,CONFIG_METADATA!$B$4,DATOS!$I$2:$I$20000,"Lenguaje Musical"),""))</f>
        <v/>
      </c>
      <c r="C307" t="str">
        <f>IF(A307="","",IFERROR(AVERAGEIFS(DATOS!$K$2:$K$20000,DATOS!$A$2:$A$20000,A307,DATOS!$G$2:$G$20000,CONFIG_METADATA!$B$4,DATOS!$I$2:$I$20000,"Coro"),""))</f>
        <v/>
      </c>
      <c r="D307" t="str">
        <f>IF(A307="","",IFERROR(AVERAGEIFS(DATOS!$K$2:$K$20000,DATOS!$A$2:$A$20000,A307,DATOS!$G$2:$G$20000,CONFIG_METADATA!$B$4,DATOS!$I$2:$I$20000,"Conjunto"),""))</f>
        <v/>
      </c>
      <c r="E307" t="str">
        <f>IF(A307="","",IFERROR(AVERAGEIFS(DATOS!$K$2:$K$20000,DATOS!$A$2:$A$20000,A307,DATOS!$G$2:$G$20000,CONFIG_METADATA!$B$4,DATOS!$I$2:$I$20000,"&lt;&gt;Lenguaje Musical",DATOS!$I$2:$I$20000,"&lt;&gt;Coro",DATOS!$I$2:$I$20000,"&lt;&gt;Conjunto"),""))</f>
        <v/>
      </c>
      <c r="H307" t="str">
        <f>IF(G307="","",IFERROR(AVERAGEIFS(DATOS!$K$2:$K$20000,DATOS!$A$2:$A$20000,G307,DATOS!$G$2:$G$20000,CONFIG_METADATA!$B$4,DATOS!$I$2:$I$20000,"Lenguaje Musical"),""))</f>
        <v/>
      </c>
      <c r="I307" t="str">
        <f>IF(G307="","",IFERROR(AVERAGEIFS(DATOS!$K$2:$K$20000,DATOS!$A$2:$A$20000,G307,DATOS!$G$2:$G$20000,CONFIG_METADATA!$B$4,DATOS!$I$2:$I$20000,"Coro"),""))</f>
        <v/>
      </c>
      <c r="J307" t="str">
        <f>IF(G307="","",IFERROR(AVERAGEIFS(DATOS!$K$2:$K$20000,DATOS!$A$2:$A$20000,G307,DATOS!$G$2:$G$20000,CONFIG_METADATA!$B$4,DATOS!$I$2:$I$20000,"Conjunto"),""))</f>
        <v/>
      </c>
      <c r="K307" t="str" cm="1">
        <f t="array" ref="K307">IF(G307="","",IFERROR(AVERAGE(IF((DATOS!$A$2:$A$20000=G307)*(DATOS!$G$2:$G$20000=CONFIG_METADATA!$B$4)*(DATOS!$I$2:$I$20000&lt;&gt;"Lenguaje Musical")*(DATOS!$I$2:$I$20000&lt;&gt;"Coro")*(DATOS!$I$2:$I$20000&lt;&gt;"Conjunto"),DATOS!$K$2:$K$20000)),""))</f>
        <v/>
      </c>
      <c r="N307" t="str">
        <f>IF(M307="","",IFERROR(AVERAGEIFS(DATOS!$K$2:$K$20000,DATOS!$A$2:$A$20000,M307,DATOS!$G$2:$G$20000,CONFIG_METADATA!$B$4,DATOS!$I$2:$I$20000,"Lenguaje Musical"),""))</f>
        <v/>
      </c>
      <c r="O307" t="str">
        <f>IF(M307="","",IFERROR(AVERAGEIFS(DATOS!$K$2:$K$20000,DATOS!$A$2:$A$20000,M307,DATOS!$G$2:$G$20000,CONFIG_METADATA!$B$4,DATOS!$I$2:$I$20000,"Coro"),""))</f>
        <v/>
      </c>
      <c r="P307" t="str">
        <f>IF(M307="","",IFERROR(AVERAGEIFS(DATOS!$K$2:$K$20000,DATOS!$A$2:$A$20000,M307,DATOS!$G$2:$G$20000,CONFIG_METADATA!$B$4,DATOS!$I$2:$I$20000,"Conjunto"),""))</f>
        <v/>
      </c>
      <c r="Q307" t="str">
        <f>IF(M307="","",IFERROR(AVERAGEIFS(DATOS!$K$2:$K$20000,DATOS!$A$2:$A$20000,M307,DATOS!$G$2:$G$20000,CONFIG_METADATA!$B$4,DATOS!$I$2:$I$20000,"&lt;&gt;Lenguaje Musical",DATOS!$I$2:$I$20000,"&lt;&gt;Coro",DATOS!$I$2:$I$20000,"&lt;&gt;Conjunto"),""))</f>
        <v/>
      </c>
      <c r="T307" t="str">
        <f>IF(S307="","",IFERROR(AVERAGEIFS(DATOS!$K$2:$K$20000,DATOS!$A$2:$A$20000,S307,DATOS!$G$2:$G$20000,CONFIG_METADATA!$B$4,DATOS!$I$2:$I$20000,"Lenguaje Musical"),""))</f>
        <v/>
      </c>
      <c r="U307" t="str">
        <f>IF(S307="","",IFERROR(AVERAGEIFS(DATOS!$K$2:$K$20000,DATOS!$A$2:$A$20000,S307,DATOS!$G$2:$G$20000,CONFIG_METADATA!$B$4,DATOS!$I$2:$I$20000,"Coro"),""))</f>
        <v/>
      </c>
      <c r="V307" t="str">
        <f>IF(S307="","",IFERROR(AVERAGEIFS(DATOS!$K$2:$K$20000,DATOS!$A$2:$A$20000,S307,DATOS!$G$2:$G$20000,CONFIG_METADATA!$B$4,DATOS!$I$2:$I$20000,"Conjunto"),""))</f>
        <v/>
      </c>
      <c r="W307" t="str" cm="1">
        <f t="array" ref="W307">IF(S307="","",IFERROR(AVERAGE(IF((DATOS!$A$2:$A$20000=S307)*(DATOS!$G$2:$G$20000=CONFIG_METADATA!$B$4)*(DATOS!$I$2:$I$20000&lt;&gt;"Lenguaje Musical")*(DATOS!$I$2:$I$20000&lt;&gt;"Coro")*(DATOS!$I$2:$I$20000&lt;&gt;"Conjunto"),DATOS!$K$2:$K$20000)),""))</f>
        <v/>
      </c>
    </row>
    <row r="308" spans="2:23" x14ac:dyDescent="0.2">
      <c r="B308" t="str">
        <f>IF(A308="","",IFERROR(AVERAGEIFS(DATOS!$K$2:$K$20000,DATOS!$A$2:$A$20000,A308,DATOS!$G$2:$G$20000,CONFIG_METADATA!$B$4,DATOS!$I$2:$I$20000,"Lenguaje Musical"),""))</f>
        <v/>
      </c>
      <c r="C308" t="str">
        <f>IF(A308="","",IFERROR(AVERAGEIFS(DATOS!$K$2:$K$20000,DATOS!$A$2:$A$20000,A308,DATOS!$G$2:$G$20000,CONFIG_METADATA!$B$4,DATOS!$I$2:$I$20000,"Coro"),""))</f>
        <v/>
      </c>
      <c r="D308" t="str">
        <f>IF(A308="","",IFERROR(AVERAGEIFS(DATOS!$K$2:$K$20000,DATOS!$A$2:$A$20000,A308,DATOS!$G$2:$G$20000,CONFIG_METADATA!$B$4,DATOS!$I$2:$I$20000,"Conjunto"),""))</f>
        <v/>
      </c>
      <c r="E308" t="str">
        <f>IF(A308="","",IFERROR(AVERAGEIFS(DATOS!$K$2:$K$20000,DATOS!$A$2:$A$20000,A308,DATOS!$G$2:$G$20000,CONFIG_METADATA!$B$4,DATOS!$I$2:$I$20000,"&lt;&gt;Lenguaje Musical",DATOS!$I$2:$I$20000,"&lt;&gt;Coro",DATOS!$I$2:$I$20000,"&lt;&gt;Conjunto"),""))</f>
        <v/>
      </c>
      <c r="H308" t="str">
        <f>IF(G308="","",IFERROR(AVERAGEIFS(DATOS!$K$2:$K$20000,DATOS!$A$2:$A$20000,G308,DATOS!$G$2:$G$20000,CONFIG_METADATA!$B$4,DATOS!$I$2:$I$20000,"Lenguaje Musical"),""))</f>
        <v/>
      </c>
      <c r="I308" t="str">
        <f>IF(G308="","",IFERROR(AVERAGEIFS(DATOS!$K$2:$K$20000,DATOS!$A$2:$A$20000,G308,DATOS!$G$2:$G$20000,CONFIG_METADATA!$B$4,DATOS!$I$2:$I$20000,"Coro"),""))</f>
        <v/>
      </c>
      <c r="J308" t="str">
        <f>IF(G308="","",IFERROR(AVERAGEIFS(DATOS!$K$2:$K$20000,DATOS!$A$2:$A$20000,G308,DATOS!$G$2:$G$20000,CONFIG_METADATA!$B$4,DATOS!$I$2:$I$20000,"Conjunto"),""))</f>
        <v/>
      </c>
      <c r="K308" t="str" cm="1">
        <f t="array" ref="K308">IF(G308="","",IFERROR(AVERAGE(IF((DATOS!$A$2:$A$20000=G308)*(DATOS!$G$2:$G$20000=CONFIG_METADATA!$B$4)*(DATOS!$I$2:$I$20000&lt;&gt;"Lenguaje Musical")*(DATOS!$I$2:$I$20000&lt;&gt;"Coro")*(DATOS!$I$2:$I$20000&lt;&gt;"Conjunto"),DATOS!$K$2:$K$20000)),""))</f>
        <v/>
      </c>
      <c r="N308" t="str">
        <f>IF(M308="","",IFERROR(AVERAGEIFS(DATOS!$K$2:$K$20000,DATOS!$A$2:$A$20000,M308,DATOS!$G$2:$G$20000,CONFIG_METADATA!$B$4,DATOS!$I$2:$I$20000,"Lenguaje Musical"),""))</f>
        <v/>
      </c>
      <c r="O308" t="str">
        <f>IF(M308="","",IFERROR(AVERAGEIFS(DATOS!$K$2:$K$20000,DATOS!$A$2:$A$20000,M308,DATOS!$G$2:$G$20000,CONFIG_METADATA!$B$4,DATOS!$I$2:$I$20000,"Coro"),""))</f>
        <v/>
      </c>
      <c r="P308" t="str">
        <f>IF(M308="","",IFERROR(AVERAGEIFS(DATOS!$K$2:$K$20000,DATOS!$A$2:$A$20000,M308,DATOS!$G$2:$G$20000,CONFIG_METADATA!$B$4,DATOS!$I$2:$I$20000,"Conjunto"),""))</f>
        <v/>
      </c>
      <c r="Q308" t="str">
        <f>IF(M308="","",IFERROR(AVERAGEIFS(DATOS!$K$2:$K$20000,DATOS!$A$2:$A$20000,M308,DATOS!$G$2:$G$20000,CONFIG_METADATA!$B$4,DATOS!$I$2:$I$20000,"&lt;&gt;Lenguaje Musical",DATOS!$I$2:$I$20000,"&lt;&gt;Coro",DATOS!$I$2:$I$20000,"&lt;&gt;Conjunto"),""))</f>
        <v/>
      </c>
      <c r="T308" t="str">
        <f>IF(S308="","",IFERROR(AVERAGEIFS(DATOS!$K$2:$K$20000,DATOS!$A$2:$A$20000,S308,DATOS!$G$2:$G$20000,CONFIG_METADATA!$B$4,DATOS!$I$2:$I$20000,"Lenguaje Musical"),""))</f>
        <v/>
      </c>
      <c r="U308" t="str">
        <f>IF(S308="","",IFERROR(AVERAGEIFS(DATOS!$K$2:$K$20000,DATOS!$A$2:$A$20000,S308,DATOS!$G$2:$G$20000,CONFIG_METADATA!$B$4,DATOS!$I$2:$I$20000,"Coro"),""))</f>
        <v/>
      </c>
      <c r="V308" t="str">
        <f>IF(S308="","",IFERROR(AVERAGEIFS(DATOS!$K$2:$K$20000,DATOS!$A$2:$A$20000,S308,DATOS!$G$2:$G$20000,CONFIG_METADATA!$B$4,DATOS!$I$2:$I$20000,"Conjunto"),""))</f>
        <v/>
      </c>
      <c r="W308" t="str" cm="1">
        <f t="array" ref="W308">IF(S308="","",IFERROR(AVERAGE(IF((DATOS!$A$2:$A$20000=S308)*(DATOS!$G$2:$G$20000=CONFIG_METADATA!$B$4)*(DATOS!$I$2:$I$20000&lt;&gt;"Lenguaje Musical")*(DATOS!$I$2:$I$20000&lt;&gt;"Coro")*(DATOS!$I$2:$I$20000&lt;&gt;"Conjunto"),DATOS!$K$2:$K$20000)),""))</f>
        <v/>
      </c>
    </row>
    <row r="309" spans="2:23" x14ac:dyDescent="0.2">
      <c r="B309" t="str">
        <f>IF(A309="","",IFERROR(AVERAGEIFS(DATOS!$K$2:$K$20000,DATOS!$A$2:$A$20000,A309,DATOS!$G$2:$G$20000,CONFIG_METADATA!$B$4,DATOS!$I$2:$I$20000,"Lenguaje Musical"),""))</f>
        <v/>
      </c>
      <c r="C309" t="str">
        <f>IF(A309="","",IFERROR(AVERAGEIFS(DATOS!$K$2:$K$20000,DATOS!$A$2:$A$20000,A309,DATOS!$G$2:$G$20000,CONFIG_METADATA!$B$4,DATOS!$I$2:$I$20000,"Coro"),""))</f>
        <v/>
      </c>
      <c r="D309" t="str">
        <f>IF(A309="","",IFERROR(AVERAGEIFS(DATOS!$K$2:$K$20000,DATOS!$A$2:$A$20000,A309,DATOS!$G$2:$G$20000,CONFIG_METADATA!$B$4,DATOS!$I$2:$I$20000,"Conjunto"),""))</f>
        <v/>
      </c>
      <c r="E309" t="str">
        <f>IF(A309="","",IFERROR(AVERAGEIFS(DATOS!$K$2:$K$20000,DATOS!$A$2:$A$20000,A309,DATOS!$G$2:$G$20000,CONFIG_METADATA!$B$4,DATOS!$I$2:$I$20000,"&lt;&gt;Lenguaje Musical",DATOS!$I$2:$I$20000,"&lt;&gt;Coro",DATOS!$I$2:$I$20000,"&lt;&gt;Conjunto"),""))</f>
        <v/>
      </c>
      <c r="H309" t="str">
        <f>IF(G309="","",IFERROR(AVERAGEIFS(DATOS!$K$2:$K$20000,DATOS!$A$2:$A$20000,G309,DATOS!$G$2:$G$20000,CONFIG_METADATA!$B$4,DATOS!$I$2:$I$20000,"Lenguaje Musical"),""))</f>
        <v/>
      </c>
      <c r="I309" t="str">
        <f>IF(G309="","",IFERROR(AVERAGEIFS(DATOS!$K$2:$K$20000,DATOS!$A$2:$A$20000,G309,DATOS!$G$2:$G$20000,CONFIG_METADATA!$B$4,DATOS!$I$2:$I$20000,"Coro"),""))</f>
        <v/>
      </c>
      <c r="J309" t="str">
        <f>IF(G309="","",IFERROR(AVERAGEIFS(DATOS!$K$2:$K$20000,DATOS!$A$2:$A$20000,G309,DATOS!$G$2:$G$20000,CONFIG_METADATA!$B$4,DATOS!$I$2:$I$20000,"Conjunto"),""))</f>
        <v/>
      </c>
      <c r="K309" t="str" cm="1">
        <f t="array" ref="K309">IF(G309="","",IFERROR(AVERAGE(IF((DATOS!$A$2:$A$20000=G309)*(DATOS!$G$2:$G$20000=CONFIG_METADATA!$B$4)*(DATOS!$I$2:$I$20000&lt;&gt;"Lenguaje Musical")*(DATOS!$I$2:$I$20000&lt;&gt;"Coro")*(DATOS!$I$2:$I$20000&lt;&gt;"Conjunto"),DATOS!$K$2:$K$20000)),""))</f>
        <v/>
      </c>
      <c r="N309" t="str">
        <f>IF(M309="","",IFERROR(AVERAGEIFS(DATOS!$K$2:$K$20000,DATOS!$A$2:$A$20000,M309,DATOS!$G$2:$G$20000,CONFIG_METADATA!$B$4,DATOS!$I$2:$I$20000,"Lenguaje Musical"),""))</f>
        <v/>
      </c>
      <c r="O309" t="str">
        <f>IF(M309="","",IFERROR(AVERAGEIFS(DATOS!$K$2:$K$20000,DATOS!$A$2:$A$20000,M309,DATOS!$G$2:$G$20000,CONFIG_METADATA!$B$4,DATOS!$I$2:$I$20000,"Coro"),""))</f>
        <v/>
      </c>
      <c r="P309" t="str">
        <f>IF(M309="","",IFERROR(AVERAGEIFS(DATOS!$K$2:$K$20000,DATOS!$A$2:$A$20000,M309,DATOS!$G$2:$G$20000,CONFIG_METADATA!$B$4,DATOS!$I$2:$I$20000,"Conjunto"),""))</f>
        <v/>
      </c>
      <c r="Q309" t="str">
        <f>IF(M309="","",IFERROR(AVERAGEIFS(DATOS!$K$2:$K$20000,DATOS!$A$2:$A$20000,M309,DATOS!$G$2:$G$20000,CONFIG_METADATA!$B$4,DATOS!$I$2:$I$20000,"&lt;&gt;Lenguaje Musical",DATOS!$I$2:$I$20000,"&lt;&gt;Coro",DATOS!$I$2:$I$20000,"&lt;&gt;Conjunto"),""))</f>
        <v/>
      </c>
      <c r="T309" t="str">
        <f>IF(S309="","",IFERROR(AVERAGEIFS(DATOS!$K$2:$K$20000,DATOS!$A$2:$A$20000,S309,DATOS!$G$2:$G$20000,CONFIG_METADATA!$B$4,DATOS!$I$2:$I$20000,"Lenguaje Musical"),""))</f>
        <v/>
      </c>
      <c r="U309" t="str">
        <f>IF(S309="","",IFERROR(AVERAGEIFS(DATOS!$K$2:$K$20000,DATOS!$A$2:$A$20000,S309,DATOS!$G$2:$G$20000,CONFIG_METADATA!$B$4,DATOS!$I$2:$I$20000,"Coro"),""))</f>
        <v/>
      </c>
      <c r="V309" t="str">
        <f>IF(S309="","",IFERROR(AVERAGEIFS(DATOS!$K$2:$K$20000,DATOS!$A$2:$A$20000,S309,DATOS!$G$2:$G$20000,CONFIG_METADATA!$B$4,DATOS!$I$2:$I$20000,"Conjunto"),""))</f>
        <v/>
      </c>
      <c r="W309" t="str" cm="1">
        <f t="array" ref="W309">IF(S309="","",IFERROR(AVERAGE(IF((DATOS!$A$2:$A$20000=S309)*(DATOS!$G$2:$G$20000=CONFIG_METADATA!$B$4)*(DATOS!$I$2:$I$20000&lt;&gt;"Lenguaje Musical")*(DATOS!$I$2:$I$20000&lt;&gt;"Coro")*(DATOS!$I$2:$I$20000&lt;&gt;"Conjunto"),DATOS!$K$2:$K$20000)),""))</f>
        <v/>
      </c>
    </row>
    <row r="310" spans="2:23" x14ac:dyDescent="0.2">
      <c r="B310" t="str">
        <f>IF(A310="","",IFERROR(AVERAGEIFS(DATOS!$K$2:$K$20000,DATOS!$A$2:$A$20000,A310,DATOS!$G$2:$G$20000,CONFIG_METADATA!$B$4,DATOS!$I$2:$I$20000,"Lenguaje Musical"),""))</f>
        <v/>
      </c>
      <c r="C310" t="str">
        <f>IF(A310="","",IFERROR(AVERAGEIFS(DATOS!$K$2:$K$20000,DATOS!$A$2:$A$20000,A310,DATOS!$G$2:$G$20000,CONFIG_METADATA!$B$4,DATOS!$I$2:$I$20000,"Coro"),""))</f>
        <v/>
      </c>
      <c r="D310" t="str">
        <f>IF(A310="","",IFERROR(AVERAGEIFS(DATOS!$K$2:$K$20000,DATOS!$A$2:$A$20000,A310,DATOS!$G$2:$G$20000,CONFIG_METADATA!$B$4,DATOS!$I$2:$I$20000,"Conjunto"),""))</f>
        <v/>
      </c>
      <c r="E310" t="str">
        <f>IF(A310="","",IFERROR(AVERAGEIFS(DATOS!$K$2:$K$20000,DATOS!$A$2:$A$20000,A310,DATOS!$G$2:$G$20000,CONFIG_METADATA!$B$4,DATOS!$I$2:$I$20000,"&lt;&gt;Lenguaje Musical",DATOS!$I$2:$I$20000,"&lt;&gt;Coro",DATOS!$I$2:$I$20000,"&lt;&gt;Conjunto"),""))</f>
        <v/>
      </c>
      <c r="H310" t="str">
        <f>IF(G310="","",IFERROR(AVERAGEIFS(DATOS!$K$2:$K$20000,DATOS!$A$2:$A$20000,G310,DATOS!$G$2:$G$20000,CONFIG_METADATA!$B$4,DATOS!$I$2:$I$20000,"Lenguaje Musical"),""))</f>
        <v/>
      </c>
      <c r="I310" t="str">
        <f>IF(G310="","",IFERROR(AVERAGEIFS(DATOS!$K$2:$K$20000,DATOS!$A$2:$A$20000,G310,DATOS!$G$2:$G$20000,CONFIG_METADATA!$B$4,DATOS!$I$2:$I$20000,"Coro"),""))</f>
        <v/>
      </c>
      <c r="J310" t="str">
        <f>IF(G310="","",IFERROR(AVERAGEIFS(DATOS!$K$2:$K$20000,DATOS!$A$2:$A$20000,G310,DATOS!$G$2:$G$20000,CONFIG_METADATA!$B$4,DATOS!$I$2:$I$20000,"Conjunto"),""))</f>
        <v/>
      </c>
      <c r="K310" t="str" cm="1">
        <f t="array" ref="K310">IF(G310="","",IFERROR(AVERAGE(IF((DATOS!$A$2:$A$20000=G310)*(DATOS!$G$2:$G$20000=CONFIG_METADATA!$B$4)*(DATOS!$I$2:$I$20000&lt;&gt;"Lenguaje Musical")*(DATOS!$I$2:$I$20000&lt;&gt;"Coro")*(DATOS!$I$2:$I$20000&lt;&gt;"Conjunto"),DATOS!$K$2:$K$20000)),""))</f>
        <v/>
      </c>
      <c r="N310" t="str">
        <f>IF(M310="","",IFERROR(AVERAGEIFS(DATOS!$K$2:$K$20000,DATOS!$A$2:$A$20000,M310,DATOS!$G$2:$G$20000,CONFIG_METADATA!$B$4,DATOS!$I$2:$I$20000,"Lenguaje Musical"),""))</f>
        <v/>
      </c>
      <c r="O310" t="str">
        <f>IF(M310="","",IFERROR(AVERAGEIFS(DATOS!$K$2:$K$20000,DATOS!$A$2:$A$20000,M310,DATOS!$G$2:$G$20000,CONFIG_METADATA!$B$4,DATOS!$I$2:$I$20000,"Coro"),""))</f>
        <v/>
      </c>
      <c r="P310" t="str">
        <f>IF(M310="","",IFERROR(AVERAGEIFS(DATOS!$K$2:$K$20000,DATOS!$A$2:$A$20000,M310,DATOS!$G$2:$G$20000,CONFIG_METADATA!$B$4,DATOS!$I$2:$I$20000,"Conjunto"),""))</f>
        <v/>
      </c>
      <c r="Q310" t="str">
        <f>IF(M310="","",IFERROR(AVERAGEIFS(DATOS!$K$2:$K$20000,DATOS!$A$2:$A$20000,M310,DATOS!$G$2:$G$20000,CONFIG_METADATA!$B$4,DATOS!$I$2:$I$20000,"&lt;&gt;Lenguaje Musical",DATOS!$I$2:$I$20000,"&lt;&gt;Coro",DATOS!$I$2:$I$20000,"&lt;&gt;Conjunto"),""))</f>
        <v/>
      </c>
      <c r="T310" t="str">
        <f>IF(S310="","",IFERROR(AVERAGEIFS(DATOS!$K$2:$K$20000,DATOS!$A$2:$A$20000,S310,DATOS!$G$2:$G$20000,CONFIG_METADATA!$B$4,DATOS!$I$2:$I$20000,"Lenguaje Musical"),""))</f>
        <v/>
      </c>
      <c r="U310" t="str">
        <f>IF(S310="","",IFERROR(AVERAGEIFS(DATOS!$K$2:$K$20000,DATOS!$A$2:$A$20000,S310,DATOS!$G$2:$G$20000,CONFIG_METADATA!$B$4,DATOS!$I$2:$I$20000,"Coro"),""))</f>
        <v/>
      </c>
      <c r="V310" t="str">
        <f>IF(S310="","",IFERROR(AVERAGEIFS(DATOS!$K$2:$K$20000,DATOS!$A$2:$A$20000,S310,DATOS!$G$2:$G$20000,CONFIG_METADATA!$B$4,DATOS!$I$2:$I$20000,"Conjunto"),""))</f>
        <v/>
      </c>
      <c r="W310" t="str" cm="1">
        <f t="array" ref="W310">IF(S310="","",IFERROR(AVERAGE(IF((DATOS!$A$2:$A$20000=S310)*(DATOS!$G$2:$G$20000=CONFIG_METADATA!$B$4)*(DATOS!$I$2:$I$20000&lt;&gt;"Lenguaje Musical")*(DATOS!$I$2:$I$20000&lt;&gt;"Coro")*(DATOS!$I$2:$I$20000&lt;&gt;"Conjunto"),DATOS!$K$2:$K$20000)),""))</f>
        <v/>
      </c>
    </row>
    <row r="311" spans="2:23" x14ac:dyDescent="0.2">
      <c r="B311" t="str">
        <f>IF(A311="","",IFERROR(AVERAGEIFS(DATOS!$K$2:$K$20000,DATOS!$A$2:$A$20000,A311,DATOS!$G$2:$G$20000,CONFIG_METADATA!$B$4,DATOS!$I$2:$I$20000,"Lenguaje Musical"),""))</f>
        <v/>
      </c>
      <c r="C311" t="str">
        <f>IF(A311="","",IFERROR(AVERAGEIFS(DATOS!$K$2:$K$20000,DATOS!$A$2:$A$20000,A311,DATOS!$G$2:$G$20000,CONFIG_METADATA!$B$4,DATOS!$I$2:$I$20000,"Coro"),""))</f>
        <v/>
      </c>
      <c r="D311" t="str">
        <f>IF(A311="","",IFERROR(AVERAGEIFS(DATOS!$K$2:$K$20000,DATOS!$A$2:$A$20000,A311,DATOS!$G$2:$G$20000,CONFIG_METADATA!$B$4,DATOS!$I$2:$I$20000,"Conjunto"),""))</f>
        <v/>
      </c>
      <c r="E311" t="str">
        <f>IF(A311="","",IFERROR(AVERAGEIFS(DATOS!$K$2:$K$20000,DATOS!$A$2:$A$20000,A311,DATOS!$G$2:$G$20000,CONFIG_METADATA!$B$4,DATOS!$I$2:$I$20000,"&lt;&gt;Lenguaje Musical",DATOS!$I$2:$I$20000,"&lt;&gt;Coro",DATOS!$I$2:$I$20000,"&lt;&gt;Conjunto"),""))</f>
        <v/>
      </c>
      <c r="H311" t="str">
        <f>IF(G311="","",IFERROR(AVERAGEIFS(DATOS!$K$2:$K$20000,DATOS!$A$2:$A$20000,G311,DATOS!$G$2:$G$20000,CONFIG_METADATA!$B$4,DATOS!$I$2:$I$20000,"Lenguaje Musical"),""))</f>
        <v/>
      </c>
      <c r="I311" t="str">
        <f>IF(G311="","",IFERROR(AVERAGEIFS(DATOS!$K$2:$K$20000,DATOS!$A$2:$A$20000,G311,DATOS!$G$2:$G$20000,CONFIG_METADATA!$B$4,DATOS!$I$2:$I$20000,"Coro"),""))</f>
        <v/>
      </c>
      <c r="J311" t="str">
        <f>IF(G311="","",IFERROR(AVERAGEIFS(DATOS!$K$2:$K$20000,DATOS!$A$2:$A$20000,G311,DATOS!$G$2:$G$20000,CONFIG_METADATA!$B$4,DATOS!$I$2:$I$20000,"Conjunto"),""))</f>
        <v/>
      </c>
      <c r="K311" t="str" cm="1">
        <f t="array" ref="K311">IF(G311="","",IFERROR(AVERAGE(IF((DATOS!$A$2:$A$20000=G311)*(DATOS!$G$2:$G$20000=CONFIG_METADATA!$B$4)*(DATOS!$I$2:$I$20000&lt;&gt;"Lenguaje Musical")*(DATOS!$I$2:$I$20000&lt;&gt;"Coro")*(DATOS!$I$2:$I$20000&lt;&gt;"Conjunto"),DATOS!$K$2:$K$20000)),""))</f>
        <v/>
      </c>
      <c r="N311" t="str">
        <f>IF(M311="","",IFERROR(AVERAGEIFS(DATOS!$K$2:$K$20000,DATOS!$A$2:$A$20000,M311,DATOS!$G$2:$G$20000,CONFIG_METADATA!$B$4,DATOS!$I$2:$I$20000,"Lenguaje Musical"),""))</f>
        <v/>
      </c>
      <c r="O311" t="str">
        <f>IF(M311="","",IFERROR(AVERAGEIFS(DATOS!$K$2:$K$20000,DATOS!$A$2:$A$20000,M311,DATOS!$G$2:$G$20000,CONFIG_METADATA!$B$4,DATOS!$I$2:$I$20000,"Coro"),""))</f>
        <v/>
      </c>
      <c r="P311" t="str">
        <f>IF(M311="","",IFERROR(AVERAGEIFS(DATOS!$K$2:$K$20000,DATOS!$A$2:$A$20000,M311,DATOS!$G$2:$G$20000,CONFIG_METADATA!$B$4,DATOS!$I$2:$I$20000,"Conjunto"),""))</f>
        <v/>
      </c>
      <c r="Q311" t="str">
        <f>IF(M311="","",IFERROR(AVERAGEIFS(DATOS!$K$2:$K$20000,DATOS!$A$2:$A$20000,M311,DATOS!$G$2:$G$20000,CONFIG_METADATA!$B$4,DATOS!$I$2:$I$20000,"&lt;&gt;Lenguaje Musical",DATOS!$I$2:$I$20000,"&lt;&gt;Coro",DATOS!$I$2:$I$20000,"&lt;&gt;Conjunto"),""))</f>
        <v/>
      </c>
      <c r="T311" t="str">
        <f>IF(S311="","",IFERROR(AVERAGEIFS(DATOS!$K$2:$K$20000,DATOS!$A$2:$A$20000,S311,DATOS!$G$2:$G$20000,CONFIG_METADATA!$B$4,DATOS!$I$2:$I$20000,"Lenguaje Musical"),""))</f>
        <v/>
      </c>
      <c r="U311" t="str">
        <f>IF(S311="","",IFERROR(AVERAGEIFS(DATOS!$K$2:$K$20000,DATOS!$A$2:$A$20000,S311,DATOS!$G$2:$G$20000,CONFIG_METADATA!$B$4,DATOS!$I$2:$I$20000,"Coro"),""))</f>
        <v/>
      </c>
      <c r="V311" t="str">
        <f>IF(S311="","",IFERROR(AVERAGEIFS(DATOS!$K$2:$K$20000,DATOS!$A$2:$A$20000,S311,DATOS!$G$2:$G$20000,CONFIG_METADATA!$B$4,DATOS!$I$2:$I$20000,"Conjunto"),""))</f>
        <v/>
      </c>
      <c r="W311" t="str" cm="1">
        <f t="array" ref="W311">IF(S311="","",IFERROR(AVERAGE(IF((DATOS!$A$2:$A$20000=S311)*(DATOS!$G$2:$G$20000=CONFIG_METADATA!$B$4)*(DATOS!$I$2:$I$20000&lt;&gt;"Lenguaje Musical")*(DATOS!$I$2:$I$20000&lt;&gt;"Coro")*(DATOS!$I$2:$I$20000&lt;&gt;"Conjunto"),DATOS!$K$2:$K$20000)),""))</f>
        <v/>
      </c>
    </row>
    <row r="312" spans="2:23" x14ac:dyDescent="0.2">
      <c r="B312" t="str">
        <f>IF(A312="","",IFERROR(AVERAGEIFS(DATOS!$K$2:$K$20000,DATOS!$A$2:$A$20000,A312,DATOS!$G$2:$G$20000,CONFIG_METADATA!$B$4,DATOS!$I$2:$I$20000,"Lenguaje Musical"),""))</f>
        <v/>
      </c>
      <c r="C312" t="str">
        <f>IF(A312="","",IFERROR(AVERAGEIFS(DATOS!$K$2:$K$20000,DATOS!$A$2:$A$20000,A312,DATOS!$G$2:$G$20000,CONFIG_METADATA!$B$4,DATOS!$I$2:$I$20000,"Coro"),""))</f>
        <v/>
      </c>
      <c r="D312" t="str">
        <f>IF(A312="","",IFERROR(AVERAGEIFS(DATOS!$K$2:$K$20000,DATOS!$A$2:$A$20000,A312,DATOS!$G$2:$G$20000,CONFIG_METADATA!$B$4,DATOS!$I$2:$I$20000,"Conjunto"),""))</f>
        <v/>
      </c>
      <c r="E312" t="str">
        <f>IF(A312="","",IFERROR(AVERAGEIFS(DATOS!$K$2:$K$20000,DATOS!$A$2:$A$20000,A312,DATOS!$G$2:$G$20000,CONFIG_METADATA!$B$4,DATOS!$I$2:$I$20000,"&lt;&gt;Lenguaje Musical",DATOS!$I$2:$I$20000,"&lt;&gt;Coro",DATOS!$I$2:$I$20000,"&lt;&gt;Conjunto"),""))</f>
        <v/>
      </c>
      <c r="H312" t="str">
        <f>IF(G312="","",IFERROR(AVERAGEIFS(DATOS!$K$2:$K$20000,DATOS!$A$2:$A$20000,G312,DATOS!$G$2:$G$20000,CONFIG_METADATA!$B$4,DATOS!$I$2:$I$20000,"Lenguaje Musical"),""))</f>
        <v/>
      </c>
      <c r="I312" t="str">
        <f>IF(G312="","",IFERROR(AVERAGEIFS(DATOS!$K$2:$K$20000,DATOS!$A$2:$A$20000,G312,DATOS!$G$2:$G$20000,CONFIG_METADATA!$B$4,DATOS!$I$2:$I$20000,"Coro"),""))</f>
        <v/>
      </c>
      <c r="J312" t="str">
        <f>IF(G312="","",IFERROR(AVERAGEIFS(DATOS!$K$2:$K$20000,DATOS!$A$2:$A$20000,G312,DATOS!$G$2:$G$20000,CONFIG_METADATA!$B$4,DATOS!$I$2:$I$20000,"Conjunto"),""))</f>
        <v/>
      </c>
      <c r="K312" t="str" cm="1">
        <f t="array" ref="K312">IF(G312="","",IFERROR(AVERAGE(IF((DATOS!$A$2:$A$20000=G312)*(DATOS!$G$2:$G$20000=CONFIG_METADATA!$B$4)*(DATOS!$I$2:$I$20000&lt;&gt;"Lenguaje Musical")*(DATOS!$I$2:$I$20000&lt;&gt;"Coro")*(DATOS!$I$2:$I$20000&lt;&gt;"Conjunto"),DATOS!$K$2:$K$20000)),""))</f>
        <v/>
      </c>
      <c r="N312" t="str">
        <f>IF(M312="","",IFERROR(AVERAGEIFS(DATOS!$K$2:$K$20000,DATOS!$A$2:$A$20000,M312,DATOS!$G$2:$G$20000,CONFIG_METADATA!$B$4,DATOS!$I$2:$I$20000,"Lenguaje Musical"),""))</f>
        <v/>
      </c>
      <c r="O312" t="str">
        <f>IF(M312="","",IFERROR(AVERAGEIFS(DATOS!$K$2:$K$20000,DATOS!$A$2:$A$20000,M312,DATOS!$G$2:$G$20000,CONFIG_METADATA!$B$4,DATOS!$I$2:$I$20000,"Coro"),""))</f>
        <v/>
      </c>
      <c r="P312" t="str">
        <f>IF(M312="","",IFERROR(AVERAGEIFS(DATOS!$K$2:$K$20000,DATOS!$A$2:$A$20000,M312,DATOS!$G$2:$G$20000,CONFIG_METADATA!$B$4,DATOS!$I$2:$I$20000,"Conjunto"),""))</f>
        <v/>
      </c>
      <c r="Q312" t="str">
        <f>IF(M312="","",IFERROR(AVERAGEIFS(DATOS!$K$2:$K$20000,DATOS!$A$2:$A$20000,M312,DATOS!$G$2:$G$20000,CONFIG_METADATA!$B$4,DATOS!$I$2:$I$20000,"&lt;&gt;Lenguaje Musical",DATOS!$I$2:$I$20000,"&lt;&gt;Coro",DATOS!$I$2:$I$20000,"&lt;&gt;Conjunto"),""))</f>
        <v/>
      </c>
      <c r="T312" t="str">
        <f>IF(S312="","",IFERROR(AVERAGEIFS(DATOS!$K$2:$K$20000,DATOS!$A$2:$A$20000,S312,DATOS!$G$2:$G$20000,CONFIG_METADATA!$B$4,DATOS!$I$2:$I$20000,"Lenguaje Musical"),""))</f>
        <v/>
      </c>
      <c r="U312" t="str">
        <f>IF(S312="","",IFERROR(AVERAGEIFS(DATOS!$K$2:$K$20000,DATOS!$A$2:$A$20000,S312,DATOS!$G$2:$G$20000,CONFIG_METADATA!$B$4,DATOS!$I$2:$I$20000,"Coro"),""))</f>
        <v/>
      </c>
      <c r="V312" t="str">
        <f>IF(S312="","",IFERROR(AVERAGEIFS(DATOS!$K$2:$K$20000,DATOS!$A$2:$A$20000,S312,DATOS!$G$2:$G$20000,CONFIG_METADATA!$B$4,DATOS!$I$2:$I$20000,"Conjunto"),""))</f>
        <v/>
      </c>
      <c r="W312" t="str" cm="1">
        <f t="array" ref="W312">IF(S312="","",IFERROR(AVERAGE(IF((DATOS!$A$2:$A$20000=S312)*(DATOS!$G$2:$G$20000=CONFIG_METADATA!$B$4)*(DATOS!$I$2:$I$20000&lt;&gt;"Lenguaje Musical")*(DATOS!$I$2:$I$20000&lt;&gt;"Coro")*(DATOS!$I$2:$I$20000&lt;&gt;"Conjunto"),DATOS!$K$2:$K$20000)),""))</f>
        <v/>
      </c>
    </row>
    <row r="313" spans="2:23" x14ac:dyDescent="0.2">
      <c r="B313" t="str">
        <f>IF(A313="","",IFERROR(AVERAGEIFS(DATOS!$K$2:$K$20000,DATOS!$A$2:$A$20000,A313,DATOS!$G$2:$G$20000,CONFIG_METADATA!$B$4,DATOS!$I$2:$I$20000,"Lenguaje Musical"),""))</f>
        <v/>
      </c>
      <c r="C313" t="str">
        <f>IF(A313="","",IFERROR(AVERAGEIFS(DATOS!$K$2:$K$20000,DATOS!$A$2:$A$20000,A313,DATOS!$G$2:$G$20000,CONFIG_METADATA!$B$4,DATOS!$I$2:$I$20000,"Coro"),""))</f>
        <v/>
      </c>
      <c r="D313" t="str">
        <f>IF(A313="","",IFERROR(AVERAGEIFS(DATOS!$K$2:$K$20000,DATOS!$A$2:$A$20000,A313,DATOS!$G$2:$G$20000,CONFIG_METADATA!$B$4,DATOS!$I$2:$I$20000,"Conjunto"),""))</f>
        <v/>
      </c>
      <c r="E313" t="str">
        <f>IF(A313="","",IFERROR(AVERAGEIFS(DATOS!$K$2:$K$20000,DATOS!$A$2:$A$20000,A313,DATOS!$G$2:$G$20000,CONFIG_METADATA!$B$4,DATOS!$I$2:$I$20000,"&lt;&gt;Lenguaje Musical",DATOS!$I$2:$I$20000,"&lt;&gt;Coro",DATOS!$I$2:$I$20000,"&lt;&gt;Conjunto"),""))</f>
        <v/>
      </c>
      <c r="H313" t="str">
        <f>IF(G313="","",IFERROR(AVERAGEIFS(DATOS!$K$2:$K$20000,DATOS!$A$2:$A$20000,G313,DATOS!$G$2:$G$20000,CONFIG_METADATA!$B$4,DATOS!$I$2:$I$20000,"Lenguaje Musical"),""))</f>
        <v/>
      </c>
      <c r="I313" t="str">
        <f>IF(G313="","",IFERROR(AVERAGEIFS(DATOS!$K$2:$K$20000,DATOS!$A$2:$A$20000,G313,DATOS!$G$2:$G$20000,CONFIG_METADATA!$B$4,DATOS!$I$2:$I$20000,"Coro"),""))</f>
        <v/>
      </c>
      <c r="J313" t="str">
        <f>IF(G313="","",IFERROR(AVERAGEIFS(DATOS!$K$2:$K$20000,DATOS!$A$2:$A$20000,G313,DATOS!$G$2:$G$20000,CONFIG_METADATA!$B$4,DATOS!$I$2:$I$20000,"Conjunto"),""))</f>
        <v/>
      </c>
      <c r="K313" t="str" cm="1">
        <f t="array" ref="K313">IF(G313="","",IFERROR(AVERAGE(IF((DATOS!$A$2:$A$20000=G313)*(DATOS!$G$2:$G$20000=CONFIG_METADATA!$B$4)*(DATOS!$I$2:$I$20000&lt;&gt;"Lenguaje Musical")*(DATOS!$I$2:$I$20000&lt;&gt;"Coro")*(DATOS!$I$2:$I$20000&lt;&gt;"Conjunto"),DATOS!$K$2:$K$20000)),""))</f>
        <v/>
      </c>
      <c r="N313" t="str">
        <f>IF(M313="","",IFERROR(AVERAGEIFS(DATOS!$K$2:$K$20000,DATOS!$A$2:$A$20000,M313,DATOS!$G$2:$G$20000,CONFIG_METADATA!$B$4,DATOS!$I$2:$I$20000,"Lenguaje Musical"),""))</f>
        <v/>
      </c>
      <c r="O313" t="str">
        <f>IF(M313="","",IFERROR(AVERAGEIFS(DATOS!$K$2:$K$20000,DATOS!$A$2:$A$20000,M313,DATOS!$G$2:$G$20000,CONFIG_METADATA!$B$4,DATOS!$I$2:$I$20000,"Coro"),""))</f>
        <v/>
      </c>
      <c r="P313" t="str">
        <f>IF(M313="","",IFERROR(AVERAGEIFS(DATOS!$K$2:$K$20000,DATOS!$A$2:$A$20000,M313,DATOS!$G$2:$G$20000,CONFIG_METADATA!$B$4,DATOS!$I$2:$I$20000,"Conjunto"),""))</f>
        <v/>
      </c>
      <c r="Q313" t="str">
        <f>IF(M313="","",IFERROR(AVERAGEIFS(DATOS!$K$2:$K$20000,DATOS!$A$2:$A$20000,M313,DATOS!$G$2:$G$20000,CONFIG_METADATA!$B$4,DATOS!$I$2:$I$20000,"&lt;&gt;Lenguaje Musical",DATOS!$I$2:$I$20000,"&lt;&gt;Coro",DATOS!$I$2:$I$20000,"&lt;&gt;Conjunto"),""))</f>
        <v/>
      </c>
      <c r="T313" t="str">
        <f>IF(S313="","",IFERROR(AVERAGEIFS(DATOS!$K$2:$K$20000,DATOS!$A$2:$A$20000,S313,DATOS!$G$2:$G$20000,CONFIG_METADATA!$B$4,DATOS!$I$2:$I$20000,"Lenguaje Musical"),""))</f>
        <v/>
      </c>
      <c r="U313" t="str">
        <f>IF(S313="","",IFERROR(AVERAGEIFS(DATOS!$K$2:$K$20000,DATOS!$A$2:$A$20000,S313,DATOS!$G$2:$G$20000,CONFIG_METADATA!$B$4,DATOS!$I$2:$I$20000,"Coro"),""))</f>
        <v/>
      </c>
      <c r="V313" t="str">
        <f>IF(S313="","",IFERROR(AVERAGEIFS(DATOS!$K$2:$K$20000,DATOS!$A$2:$A$20000,S313,DATOS!$G$2:$G$20000,CONFIG_METADATA!$B$4,DATOS!$I$2:$I$20000,"Conjunto"),""))</f>
        <v/>
      </c>
      <c r="W313" t="str" cm="1">
        <f t="array" ref="W313">IF(S313="","",IFERROR(AVERAGE(IF((DATOS!$A$2:$A$20000=S313)*(DATOS!$G$2:$G$20000=CONFIG_METADATA!$B$4)*(DATOS!$I$2:$I$20000&lt;&gt;"Lenguaje Musical")*(DATOS!$I$2:$I$20000&lt;&gt;"Coro")*(DATOS!$I$2:$I$20000&lt;&gt;"Conjunto"),DATOS!$K$2:$K$20000)),""))</f>
        <v/>
      </c>
    </row>
    <row r="314" spans="2:23" x14ac:dyDescent="0.2">
      <c r="B314" t="str">
        <f>IF(A314="","",IFERROR(AVERAGEIFS(DATOS!$K$2:$K$20000,DATOS!$A$2:$A$20000,A314,DATOS!$G$2:$G$20000,CONFIG_METADATA!$B$4,DATOS!$I$2:$I$20000,"Lenguaje Musical"),""))</f>
        <v/>
      </c>
      <c r="C314" t="str">
        <f>IF(A314="","",IFERROR(AVERAGEIFS(DATOS!$K$2:$K$20000,DATOS!$A$2:$A$20000,A314,DATOS!$G$2:$G$20000,CONFIG_METADATA!$B$4,DATOS!$I$2:$I$20000,"Coro"),""))</f>
        <v/>
      </c>
      <c r="D314" t="str">
        <f>IF(A314="","",IFERROR(AVERAGEIFS(DATOS!$K$2:$K$20000,DATOS!$A$2:$A$20000,A314,DATOS!$G$2:$G$20000,CONFIG_METADATA!$B$4,DATOS!$I$2:$I$20000,"Conjunto"),""))</f>
        <v/>
      </c>
      <c r="E314" t="str">
        <f>IF(A314="","",IFERROR(AVERAGEIFS(DATOS!$K$2:$K$20000,DATOS!$A$2:$A$20000,A314,DATOS!$G$2:$G$20000,CONFIG_METADATA!$B$4,DATOS!$I$2:$I$20000,"&lt;&gt;Lenguaje Musical",DATOS!$I$2:$I$20000,"&lt;&gt;Coro",DATOS!$I$2:$I$20000,"&lt;&gt;Conjunto"),""))</f>
        <v/>
      </c>
      <c r="H314" t="str">
        <f>IF(G314="","",IFERROR(AVERAGEIFS(DATOS!$K$2:$K$20000,DATOS!$A$2:$A$20000,G314,DATOS!$G$2:$G$20000,CONFIG_METADATA!$B$4,DATOS!$I$2:$I$20000,"Lenguaje Musical"),""))</f>
        <v/>
      </c>
      <c r="I314" t="str">
        <f>IF(G314="","",IFERROR(AVERAGEIFS(DATOS!$K$2:$K$20000,DATOS!$A$2:$A$20000,G314,DATOS!$G$2:$G$20000,CONFIG_METADATA!$B$4,DATOS!$I$2:$I$20000,"Coro"),""))</f>
        <v/>
      </c>
      <c r="J314" t="str">
        <f>IF(G314="","",IFERROR(AVERAGEIFS(DATOS!$K$2:$K$20000,DATOS!$A$2:$A$20000,G314,DATOS!$G$2:$G$20000,CONFIG_METADATA!$B$4,DATOS!$I$2:$I$20000,"Conjunto"),""))</f>
        <v/>
      </c>
      <c r="K314" t="str" cm="1">
        <f t="array" ref="K314">IF(G314="","",IFERROR(AVERAGE(IF((DATOS!$A$2:$A$20000=G314)*(DATOS!$G$2:$G$20000=CONFIG_METADATA!$B$4)*(DATOS!$I$2:$I$20000&lt;&gt;"Lenguaje Musical")*(DATOS!$I$2:$I$20000&lt;&gt;"Coro")*(DATOS!$I$2:$I$20000&lt;&gt;"Conjunto"),DATOS!$K$2:$K$20000)),""))</f>
        <v/>
      </c>
      <c r="N314" t="str">
        <f>IF(M314="","",IFERROR(AVERAGEIFS(DATOS!$K$2:$K$20000,DATOS!$A$2:$A$20000,M314,DATOS!$G$2:$G$20000,CONFIG_METADATA!$B$4,DATOS!$I$2:$I$20000,"Lenguaje Musical"),""))</f>
        <v/>
      </c>
      <c r="O314" t="str">
        <f>IF(M314="","",IFERROR(AVERAGEIFS(DATOS!$K$2:$K$20000,DATOS!$A$2:$A$20000,M314,DATOS!$G$2:$G$20000,CONFIG_METADATA!$B$4,DATOS!$I$2:$I$20000,"Coro"),""))</f>
        <v/>
      </c>
      <c r="P314" t="str">
        <f>IF(M314="","",IFERROR(AVERAGEIFS(DATOS!$K$2:$K$20000,DATOS!$A$2:$A$20000,M314,DATOS!$G$2:$G$20000,CONFIG_METADATA!$B$4,DATOS!$I$2:$I$20000,"Conjunto"),""))</f>
        <v/>
      </c>
      <c r="Q314" t="str">
        <f>IF(M314="","",IFERROR(AVERAGEIFS(DATOS!$K$2:$K$20000,DATOS!$A$2:$A$20000,M314,DATOS!$G$2:$G$20000,CONFIG_METADATA!$B$4,DATOS!$I$2:$I$20000,"&lt;&gt;Lenguaje Musical",DATOS!$I$2:$I$20000,"&lt;&gt;Coro",DATOS!$I$2:$I$20000,"&lt;&gt;Conjunto"),""))</f>
        <v/>
      </c>
      <c r="T314" t="str">
        <f>IF(S314="","",IFERROR(AVERAGEIFS(DATOS!$K$2:$K$20000,DATOS!$A$2:$A$20000,S314,DATOS!$G$2:$G$20000,CONFIG_METADATA!$B$4,DATOS!$I$2:$I$20000,"Lenguaje Musical"),""))</f>
        <v/>
      </c>
      <c r="U314" t="str">
        <f>IF(S314="","",IFERROR(AVERAGEIFS(DATOS!$K$2:$K$20000,DATOS!$A$2:$A$20000,S314,DATOS!$G$2:$G$20000,CONFIG_METADATA!$B$4,DATOS!$I$2:$I$20000,"Coro"),""))</f>
        <v/>
      </c>
      <c r="V314" t="str">
        <f>IF(S314="","",IFERROR(AVERAGEIFS(DATOS!$K$2:$K$20000,DATOS!$A$2:$A$20000,S314,DATOS!$G$2:$G$20000,CONFIG_METADATA!$B$4,DATOS!$I$2:$I$20000,"Conjunto"),""))</f>
        <v/>
      </c>
      <c r="W314" t="str" cm="1">
        <f t="array" ref="W314">IF(S314="","",IFERROR(AVERAGE(IF((DATOS!$A$2:$A$20000=S314)*(DATOS!$G$2:$G$20000=CONFIG_METADATA!$B$4)*(DATOS!$I$2:$I$20000&lt;&gt;"Lenguaje Musical")*(DATOS!$I$2:$I$20000&lt;&gt;"Coro")*(DATOS!$I$2:$I$20000&lt;&gt;"Conjunto"),DATOS!$K$2:$K$20000)),""))</f>
        <v/>
      </c>
    </row>
    <row r="315" spans="2:23" x14ac:dyDescent="0.2">
      <c r="B315" t="str">
        <f>IF(A315="","",IFERROR(AVERAGEIFS(DATOS!$K$2:$K$20000,DATOS!$A$2:$A$20000,A315,DATOS!$G$2:$G$20000,CONFIG_METADATA!$B$4,DATOS!$I$2:$I$20000,"Lenguaje Musical"),""))</f>
        <v/>
      </c>
      <c r="C315" t="str">
        <f>IF(A315="","",IFERROR(AVERAGEIFS(DATOS!$K$2:$K$20000,DATOS!$A$2:$A$20000,A315,DATOS!$G$2:$G$20000,CONFIG_METADATA!$B$4,DATOS!$I$2:$I$20000,"Coro"),""))</f>
        <v/>
      </c>
      <c r="D315" t="str">
        <f>IF(A315="","",IFERROR(AVERAGEIFS(DATOS!$K$2:$K$20000,DATOS!$A$2:$A$20000,A315,DATOS!$G$2:$G$20000,CONFIG_METADATA!$B$4,DATOS!$I$2:$I$20000,"Conjunto"),""))</f>
        <v/>
      </c>
      <c r="E315" t="str">
        <f>IF(A315="","",IFERROR(AVERAGEIFS(DATOS!$K$2:$K$20000,DATOS!$A$2:$A$20000,A315,DATOS!$G$2:$G$20000,CONFIG_METADATA!$B$4,DATOS!$I$2:$I$20000,"&lt;&gt;Lenguaje Musical",DATOS!$I$2:$I$20000,"&lt;&gt;Coro",DATOS!$I$2:$I$20000,"&lt;&gt;Conjunto"),""))</f>
        <v/>
      </c>
      <c r="H315" t="str">
        <f>IF(G315="","",IFERROR(AVERAGEIFS(DATOS!$K$2:$K$20000,DATOS!$A$2:$A$20000,G315,DATOS!$G$2:$G$20000,CONFIG_METADATA!$B$4,DATOS!$I$2:$I$20000,"Lenguaje Musical"),""))</f>
        <v/>
      </c>
      <c r="I315" t="str">
        <f>IF(G315="","",IFERROR(AVERAGEIFS(DATOS!$K$2:$K$20000,DATOS!$A$2:$A$20000,G315,DATOS!$G$2:$G$20000,CONFIG_METADATA!$B$4,DATOS!$I$2:$I$20000,"Coro"),""))</f>
        <v/>
      </c>
      <c r="J315" t="str">
        <f>IF(G315="","",IFERROR(AVERAGEIFS(DATOS!$K$2:$K$20000,DATOS!$A$2:$A$20000,G315,DATOS!$G$2:$G$20000,CONFIG_METADATA!$B$4,DATOS!$I$2:$I$20000,"Conjunto"),""))</f>
        <v/>
      </c>
      <c r="K315" t="str" cm="1">
        <f t="array" ref="K315">IF(G315="","",IFERROR(AVERAGE(IF((DATOS!$A$2:$A$20000=G315)*(DATOS!$G$2:$G$20000=CONFIG_METADATA!$B$4)*(DATOS!$I$2:$I$20000&lt;&gt;"Lenguaje Musical")*(DATOS!$I$2:$I$20000&lt;&gt;"Coro")*(DATOS!$I$2:$I$20000&lt;&gt;"Conjunto"),DATOS!$K$2:$K$20000)),""))</f>
        <v/>
      </c>
      <c r="N315" t="str">
        <f>IF(M315="","",IFERROR(AVERAGEIFS(DATOS!$K$2:$K$20000,DATOS!$A$2:$A$20000,M315,DATOS!$G$2:$G$20000,CONFIG_METADATA!$B$4,DATOS!$I$2:$I$20000,"Lenguaje Musical"),""))</f>
        <v/>
      </c>
      <c r="O315" t="str">
        <f>IF(M315="","",IFERROR(AVERAGEIFS(DATOS!$K$2:$K$20000,DATOS!$A$2:$A$20000,M315,DATOS!$G$2:$G$20000,CONFIG_METADATA!$B$4,DATOS!$I$2:$I$20000,"Coro"),""))</f>
        <v/>
      </c>
      <c r="P315" t="str">
        <f>IF(M315="","",IFERROR(AVERAGEIFS(DATOS!$K$2:$K$20000,DATOS!$A$2:$A$20000,M315,DATOS!$G$2:$G$20000,CONFIG_METADATA!$B$4,DATOS!$I$2:$I$20000,"Conjunto"),""))</f>
        <v/>
      </c>
      <c r="Q315" t="str">
        <f>IF(M315="","",IFERROR(AVERAGEIFS(DATOS!$K$2:$K$20000,DATOS!$A$2:$A$20000,M315,DATOS!$G$2:$G$20000,CONFIG_METADATA!$B$4,DATOS!$I$2:$I$20000,"&lt;&gt;Lenguaje Musical",DATOS!$I$2:$I$20000,"&lt;&gt;Coro",DATOS!$I$2:$I$20000,"&lt;&gt;Conjunto"),""))</f>
        <v/>
      </c>
      <c r="T315" t="str">
        <f>IF(S315="","",IFERROR(AVERAGEIFS(DATOS!$K$2:$K$20000,DATOS!$A$2:$A$20000,S315,DATOS!$G$2:$G$20000,CONFIG_METADATA!$B$4,DATOS!$I$2:$I$20000,"Lenguaje Musical"),""))</f>
        <v/>
      </c>
      <c r="U315" t="str">
        <f>IF(S315="","",IFERROR(AVERAGEIFS(DATOS!$K$2:$K$20000,DATOS!$A$2:$A$20000,S315,DATOS!$G$2:$G$20000,CONFIG_METADATA!$B$4,DATOS!$I$2:$I$20000,"Coro"),""))</f>
        <v/>
      </c>
      <c r="V315" t="str">
        <f>IF(S315="","",IFERROR(AVERAGEIFS(DATOS!$K$2:$K$20000,DATOS!$A$2:$A$20000,S315,DATOS!$G$2:$G$20000,CONFIG_METADATA!$B$4,DATOS!$I$2:$I$20000,"Conjunto"),""))</f>
        <v/>
      </c>
      <c r="W315" t="str" cm="1">
        <f t="array" ref="W315">IF(S315="","",IFERROR(AVERAGE(IF((DATOS!$A$2:$A$20000=S315)*(DATOS!$G$2:$G$20000=CONFIG_METADATA!$B$4)*(DATOS!$I$2:$I$20000&lt;&gt;"Lenguaje Musical")*(DATOS!$I$2:$I$20000&lt;&gt;"Coro")*(DATOS!$I$2:$I$20000&lt;&gt;"Conjunto"),DATOS!$K$2:$K$20000)),""))</f>
        <v/>
      </c>
    </row>
    <row r="316" spans="2:23" x14ac:dyDescent="0.2">
      <c r="B316" t="str">
        <f>IF(A316="","",IFERROR(AVERAGEIFS(DATOS!$K$2:$K$20000,DATOS!$A$2:$A$20000,A316,DATOS!$G$2:$G$20000,CONFIG_METADATA!$B$4,DATOS!$I$2:$I$20000,"Lenguaje Musical"),""))</f>
        <v/>
      </c>
      <c r="C316" t="str">
        <f>IF(A316="","",IFERROR(AVERAGEIFS(DATOS!$K$2:$K$20000,DATOS!$A$2:$A$20000,A316,DATOS!$G$2:$G$20000,CONFIG_METADATA!$B$4,DATOS!$I$2:$I$20000,"Coro"),""))</f>
        <v/>
      </c>
      <c r="D316" t="str">
        <f>IF(A316="","",IFERROR(AVERAGEIFS(DATOS!$K$2:$K$20000,DATOS!$A$2:$A$20000,A316,DATOS!$G$2:$G$20000,CONFIG_METADATA!$B$4,DATOS!$I$2:$I$20000,"Conjunto"),""))</f>
        <v/>
      </c>
      <c r="E316" t="str">
        <f>IF(A316="","",IFERROR(AVERAGEIFS(DATOS!$K$2:$K$20000,DATOS!$A$2:$A$20000,A316,DATOS!$G$2:$G$20000,CONFIG_METADATA!$B$4,DATOS!$I$2:$I$20000,"&lt;&gt;Lenguaje Musical",DATOS!$I$2:$I$20000,"&lt;&gt;Coro",DATOS!$I$2:$I$20000,"&lt;&gt;Conjunto"),""))</f>
        <v/>
      </c>
      <c r="H316" t="str">
        <f>IF(G316="","",IFERROR(AVERAGEIFS(DATOS!$K$2:$K$20000,DATOS!$A$2:$A$20000,G316,DATOS!$G$2:$G$20000,CONFIG_METADATA!$B$4,DATOS!$I$2:$I$20000,"Lenguaje Musical"),""))</f>
        <v/>
      </c>
      <c r="I316" t="str">
        <f>IF(G316="","",IFERROR(AVERAGEIFS(DATOS!$K$2:$K$20000,DATOS!$A$2:$A$20000,G316,DATOS!$G$2:$G$20000,CONFIG_METADATA!$B$4,DATOS!$I$2:$I$20000,"Coro"),""))</f>
        <v/>
      </c>
      <c r="J316" t="str">
        <f>IF(G316="","",IFERROR(AVERAGEIFS(DATOS!$K$2:$K$20000,DATOS!$A$2:$A$20000,G316,DATOS!$G$2:$G$20000,CONFIG_METADATA!$B$4,DATOS!$I$2:$I$20000,"Conjunto"),""))</f>
        <v/>
      </c>
      <c r="K316" t="str" cm="1">
        <f t="array" ref="K316">IF(G316="","",IFERROR(AVERAGE(IF((DATOS!$A$2:$A$20000=G316)*(DATOS!$G$2:$G$20000=CONFIG_METADATA!$B$4)*(DATOS!$I$2:$I$20000&lt;&gt;"Lenguaje Musical")*(DATOS!$I$2:$I$20000&lt;&gt;"Coro")*(DATOS!$I$2:$I$20000&lt;&gt;"Conjunto"),DATOS!$K$2:$K$20000)),""))</f>
        <v/>
      </c>
      <c r="N316" t="str">
        <f>IF(M316="","",IFERROR(AVERAGEIFS(DATOS!$K$2:$K$20000,DATOS!$A$2:$A$20000,M316,DATOS!$G$2:$G$20000,CONFIG_METADATA!$B$4,DATOS!$I$2:$I$20000,"Lenguaje Musical"),""))</f>
        <v/>
      </c>
      <c r="O316" t="str">
        <f>IF(M316="","",IFERROR(AVERAGEIFS(DATOS!$K$2:$K$20000,DATOS!$A$2:$A$20000,M316,DATOS!$G$2:$G$20000,CONFIG_METADATA!$B$4,DATOS!$I$2:$I$20000,"Coro"),""))</f>
        <v/>
      </c>
      <c r="P316" t="str">
        <f>IF(M316="","",IFERROR(AVERAGEIFS(DATOS!$K$2:$K$20000,DATOS!$A$2:$A$20000,M316,DATOS!$G$2:$G$20000,CONFIG_METADATA!$B$4,DATOS!$I$2:$I$20000,"Conjunto"),""))</f>
        <v/>
      </c>
      <c r="Q316" t="str">
        <f>IF(M316="","",IFERROR(AVERAGEIFS(DATOS!$K$2:$K$20000,DATOS!$A$2:$A$20000,M316,DATOS!$G$2:$G$20000,CONFIG_METADATA!$B$4,DATOS!$I$2:$I$20000,"&lt;&gt;Lenguaje Musical",DATOS!$I$2:$I$20000,"&lt;&gt;Coro",DATOS!$I$2:$I$20000,"&lt;&gt;Conjunto"),""))</f>
        <v/>
      </c>
      <c r="T316" t="str">
        <f>IF(S316="","",IFERROR(AVERAGEIFS(DATOS!$K$2:$K$20000,DATOS!$A$2:$A$20000,S316,DATOS!$G$2:$G$20000,CONFIG_METADATA!$B$4,DATOS!$I$2:$I$20000,"Lenguaje Musical"),""))</f>
        <v/>
      </c>
      <c r="U316" t="str">
        <f>IF(S316="","",IFERROR(AVERAGEIFS(DATOS!$K$2:$K$20000,DATOS!$A$2:$A$20000,S316,DATOS!$G$2:$G$20000,CONFIG_METADATA!$B$4,DATOS!$I$2:$I$20000,"Coro"),""))</f>
        <v/>
      </c>
      <c r="V316" t="str">
        <f>IF(S316="","",IFERROR(AVERAGEIFS(DATOS!$K$2:$K$20000,DATOS!$A$2:$A$20000,S316,DATOS!$G$2:$G$20000,CONFIG_METADATA!$B$4,DATOS!$I$2:$I$20000,"Conjunto"),""))</f>
        <v/>
      </c>
      <c r="W316" t="str" cm="1">
        <f t="array" ref="W316">IF(S316="","",IFERROR(AVERAGE(IF((DATOS!$A$2:$A$20000=S316)*(DATOS!$G$2:$G$20000=CONFIG_METADATA!$B$4)*(DATOS!$I$2:$I$20000&lt;&gt;"Lenguaje Musical")*(DATOS!$I$2:$I$20000&lt;&gt;"Coro")*(DATOS!$I$2:$I$20000&lt;&gt;"Conjunto"),DATOS!$K$2:$K$20000)),""))</f>
        <v/>
      </c>
    </row>
    <row r="317" spans="2:23" x14ac:dyDescent="0.2">
      <c r="B317" t="str">
        <f>IF(A317="","",IFERROR(AVERAGEIFS(DATOS!$K$2:$K$20000,DATOS!$A$2:$A$20000,A317,DATOS!$G$2:$G$20000,CONFIG_METADATA!$B$4,DATOS!$I$2:$I$20000,"Lenguaje Musical"),""))</f>
        <v/>
      </c>
      <c r="C317" t="str">
        <f>IF(A317="","",IFERROR(AVERAGEIFS(DATOS!$K$2:$K$20000,DATOS!$A$2:$A$20000,A317,DATOS!$G$2:$G$20000,CONFIG_METADATA!$B$4,DATOS!$I$2:$I$20000,"Coro"),""))</f>
        <v/>
      </c>
      <c r="D317" t="str">
        <f>IF(A317="","",IFERROR(AVERAGEIFS(DATOS!$K$2:$K$20000,DATOS!$A$2:$A$20000,A317,DATOS!$G$2:$G$20000,CONFIG_METADATA!$B$4,DATOS!$I$2:$I$20000,"Conjunto"),""))</f>
        <v/>
      </c>
      <c r="E317" t="str">
        <f>IF(A317="","",IFERROR(AVERAGEIFS(DATOS!$K$2:$K$20000,DATOS!$A$2:$A$20000,A317,DATOS!$G$2:$G$20000,CONFIG_METADATA!$B$4,DATOS!$I$2:$I$20000,"&lt;&gt;Lenguaje Musical",DATOS!$I$2:$I$20000,"&lt;&gt;Coro",DATOS!$I$2:$I$20000,"&lt;&gt;Conjunto"),""))</f>
        <v/>
      </c>
      <c r="H317" t="str">
        <f>IF(G317="","",IFERROR(AVERAGEIFS(DATOS!$K$2:$K$20000,DATOS!$A$2:$A$20000,G317,DATOS!$G$2:$G$20000,CONFIG_METADATA!$B$4,DATOS!$I$2:$I$20000,"Lenguaje Musical"),""))</f>
        <v/>
      </c>
      <c r="I317" t="str">
        <f>IF(G317="","",IFERROR(AVERAGEIFS(DATOS!$K$2:$K$20000,DATOS!$A$2:$A$20000,G317,DATOS!$G$2:$G$20000,CONFIG_METADATA!$B$4,DATOS!$I$2:$I$20000,"Coro"),""))</f>
        <v/>
      </c>
      <c r="J317" t="str">
        <f>IF(G317="","",IFERROR(AVERAGEIFS(DATOS!$K$2:$K$20000,DATOS!$A$2:$A$20000,G317,DATOS!$G$2:$G$20000,CONFIG_METADATA!$B$4,DATOS!$I$2:$I$20000,"Conjunto"),""))</f>
        <v/>
      </c>
      <c r="K317" t="str" cm="1">
        <f t="array" ref="K317">IF(G317="","",IFERROR(AVERAGE(IF((DATOS!$A$2:$A$20000=G317)*(DATOS!$G$2:$G$20000=CONFIG_METADATA!$B$4)*(DATOS!$I$2:$I$20000&lt;&gt;"Lenguaje Musical")*(DATOS!$I$2:$I$20000&lt;&gt;"Coro")*(DATOS!$I$2:$I$20000&lt;&gt;"Conjunto"),DATOS!$K$2:$K$20000)),""))</f>
        <v/>
      </c>
      <c r="N317" t="str">
        <f>IF(M317="","",IFERROR(AVERAGEIFS(DATOS!$K$2:$K$20000,DATOS!$A$2:$A$20000,M317,DATOS!$G$2:$G$20000,CONFIG_METADATA!$B$4,DATOS!$I$2:$I$20000,"Lenguaje Musical"),""))</f>
        <v/>
      </c>
      <c r="O317" t="str">
        <f>IF(M317="","",IFERROR(AVERAGEIFS(DATOS!$K$2:$K$20000,DATOS!$A$2:$A$20000,M317,DATOS!$G$2:$G$20000,CONFIG_METADATA!$B$4,DATOS!$I$2:$I$20000,"Coro"),""))</f>
        <v/>
      </c>
      <c r="P317" t="str">
        <f>IF(M317="","",IFERROR(AVERAGEIFS(DATOS!$K$2:$K$20000,DATOS!$A$2:$A$20000,M317,DATOS!$G$2:$G$20000,CONFIG_METADATA!$B$4,DATOS!$I$2:$I$20000,"Conjunto"),""))</f>
        <v/>
      </c>
      <c r="Q317" t="str">
        <f>IF(M317="","",IFERROR(AVERAGEIFS(DATOS!$K$2:$K$20000,DATOS!$A$2:$A$20000,M317,DATOS!$G$2:$G$20000,CONFIG_METADATA!$B$4,DATOS!$I$2:$I$20000,"&lt;&gt;Lenguaje Musical",DATOS!$I$2:$I$20000,"&lt;&gt;Coro",DATOS!$I$2:$I$20000,"&lt;&gt;Conjunto"),""))</f>
        <v/>
      </c>
      <c r="T317" t="str">
        <f>IF(S317="","",IFERROR(AVERAGEIFS(DATOS!$K$2:$K$20000,DATOS!$A$2:$A$20000,S317,DATOS!$G$2:$G$20000,CONFIG_METADATA!$B$4,DATOS!$I$2:$I$20000,"Lenguaje Musical"),""))</f>
        <v/>
      </c>
      <c r="U317" t="str">
        <f>IF(S317="","",IFERROR(AVERAGEIFS(DATOS!$K$2:$K$20000,DATOS!$A$2:$A$20000,S317,DATOS!$G$2:$G$20000,CONFIG_METADATA!$B$4,DATOS!$I$2:$I$20000,"Coro"),""))</f>
        <v/>
      </c>
      <c r="V317" t="str">
        <f>IF(S317="","",IFERROR(AVERAGEIFS(DATOS!$K$2:$K$20000,DATOS!$A$2:$A$20000,S317,DATOS!$G$2:$G$20000,CONFIG_METADATA!$B$4,DATOS!$I$2:$I$20000,"Conjunto"),""))</f>
        <v/>
      </c>
      <c r="W317" t="str" cm="1">
        <f t="array" ref="W317">IF(S317="","",IFERROR(AVERAGE(IF((DATOS!$A$2:$A$20000=S317)*(DATOS!$G$2:$G$20000=CONFIG_METADATA!$B$4)*(DATOS!$I$2:$I$20000&lt;&gt;"Lenguaje Musical")*(DATOS!$I$2:$I$20000&lt;&gt;"Coro")*(DATOS!$I$2:$I$20000&lt;&gt;"Conjunto"),DATOS!$K$2:$K$20000)),""))</f>
        <v/>
      </c>
    </row>
    <row r="318" spans="2:23" x14ac:dyDescent="0.2">
      <c r="B318" t="str">
        <f>IF(A318="","",IFERROR(AVERAGEIFS(DATOS!$K$2:$K$20000,DATOS!$A$2:$A$20000,A318,DATOS!$G$2:$G$20000,CONFIG_METADATA!$B$4,DATOS!$I$2:$I$20000,"Lenguaje Musical"),""))</f>
        <v/>
      </c>
      <c r="C318" t="str">
        <f>IF(A318="","",IFERROR(AVERAGEIFS(DATOS!$K$2:$K$20000,DATOS!$A$2:$A$20000,A318,DATOS!$G$2:$G$20000,CONFIG_METADATA!$B$4,DATOS!$I$2:$I$20000,"Coro"),""))</f>
        <v/>
      </c>
      <c r="D318" t="str">
        <f>IF(A318="","",IFERROR(AVERAGEIFS(DATOS!$K$2:$K$20000,DATOS!$A$2:$A$20000,A318,DATOS!$G$2:$G$20000,CONFIG_METADATA!$B$4,DATOS!$I$2:$I$20000,"Conjunto"),""))</f>
        <v/>
      </c>
      <c r="E318" t="str">
        <f>IF(A318="","",IFERROR(AVERAGEIFS(DATOS!$K$2:$K$20000,DATOS!$A$2:$A$20000,A318,DATOS!$G$2:$G$20000,CONFIG_METADATA!$B$4,DATOS!$I$2:$I$20000,"&lt;&gt;Lenguaje Musical",DATOS!$I$2:$I$20000,"&lt;&gt;Coro",DATOS!$I$2:$I$20000,"&lt;&gt;Conjunto"),""))</f>
        <v/>
      </c>
      <c r="H318" t="str">
        <f>IF(G318="","",IFERROR(AVERAGEIFS(DATOS!$K$2:$K$20000,DATOS!$A$2:$A$20000,G318,DATOS!$G$2:$G$20000,CONFIG_METADATA!$B$4,DATOS!$I$2:$I$20000,"Lenguaje Musical"),""))</f>
        <v/>
      </c>
      <c r="I318" t="str">
        <f>IF(G318="","",IFERROR(AVERAGEIFS(DATOS!$K$2:$K$20000,DATOS!$A$2:$A$20000,G318,DATOS!$G$2:$G$20000,CONFIG_METADATA!$B$4,DATOS!$I$2:$I$20000,"Coro"),""))</f>
        <v/>
      </c>
      <c r="J318" t="str">
        <f>IF(G318="","",IFERROR(AVERAGEIFS(DATOS!$K$2:$K$20000,DATOS!$A$2:$A$20000,G318,DATOS!$G$2:$G$20000,CONFIG_METADATA!$B$4,DATOS!$I$2:$I$20000,"Conjunto"),""))</f>
        <v/>
      </c>
      <c r="K318" t="str" cm="1">
        <f t="array" ref="K318">IF(G318="","",IFERROR(AVERAGE(IF((DATOS!$A$2:$A$20000=G318)*(DATOS!$G$2:$G$20000=CONFIG_METADATA!$B$4)*(DATOS!$I$2:$I$20000&lt;&gt;"Lenguaje Musical")*(DATOS!$I$2:$I$20000&lt;&gt;"Coro")*(DATOS!$I$2:$I$20000&lt;&gt;"Conjunto"),DATOS!$K$2:$K$20000)),""))</f>
        <v/>
      </c>
      <c r="N318" t="str">
        <f>IF(M318="","",IFERROR(AVERAGEIFS(DATOS!$K$2:$K$20000,DATOS!$A$2:$A$20000,M318,DATOS!$G$2:$G$20000,CONFIG_METADATA!$B$4,DATOS!$I$2:$I$20000,"Lenguaje Musical"),""))</f>
        <v/>
      </c>
      <c r="O318" t="str">
        <f>IF(M318="","",IFERROR(AVERAGEIFS(DATOS!$K$2:$K$20000,DATOS!$A$2:$A$20000,M318,DATOS!$G$2:$G$20000,CONFIG_METADATA!$B$4,DATOS!$I$2:$I$20000,"Coro"),""))</f>
        <v/>
      </c>
      <c r="P318" t="str">
        <f>IF(M318="","",IFERROR(AVERAGEIFS(DATOS!$K$2:$K$20000,DATOS!$A$2:$A$20000,M318,DATOS!$G$2:$G$20000,CONFIG_METADATA!$B$4,DATOS!$I$2:$I$20000,"Conjunto"),""))</f>
        <v/>
      </c>
      <c r="Q318" t="str">
        <f>IF(M318="","",IFERROR(AVERAGEIFS(DATOS!$K$2:$K$20000,DATOS!$A$2:$A$20000,M318,DATOS!$G$2:$G$20000,CONFIG_METADATA!$B$4,DATOS!$I$2:$I$20000,"&lt;&gt;Lenguaje Musical",DATOS!$I$2:$I$20000,"&lt;&gt;Coro",DATOS!$I$2:$I$20000,"&lt;&gt;Conjunto"),""))</f>
        <v/>
      </c>
      <c r="T318" t="str">
        <f>IF(S318="","",IFERROR(AVERAGEIFS(DATOS!$K$2:$K$20000,DATOS!$A$2:$A$20000,S318,DATOS!$G$2:$G$20000,CONFIG_METADATA!$B$4,DATOS!$I$2:$I$20000,"Lenguaje Musical"),""))</f>
        <v/>
      </c>
      <c r="U318" t="str">
        <f>IF(S318="","",IFERROR(AVERAGEIFS(DATOS!$K$2:$K$20000,DATOS!$A$2:$A$20000,S318,DATOS!$G$2:$G$20000,CONFIG_METADATA!$B$4,DATOS!$I$2:$I$20000,"Coro"),""))</f>
        <v/>
      </c>
      <c r="V318" t="str">
        <f>IF(S318="","",IFERROR(AVERAGEIFS(DATOS!$K$2:$K$20000,DATOS!$A$2:$A$20000,S318,DATOS!$G$2:$G$20000,CONFIG_METADATA!$B$4,DATOS!$I$2:$I$20000,"Conjunto"),""))</f>
        <v/>
      </c>
      <c r="W318" t="str" cm="1">
        <f t="array" ref="W318">IF(S318="","",IFERROR(AVERAGE(IF((DATOS!$A$2:$A$20000=S318)*(DATOS!$G$2:$G$20000=CONFIG_METADATA!$B$4)*(DATOS!$I$2:$I$20000&lt;&gt;"Lenguaje Musical")*(DATOS!$I$2:$I$20000&lt;&gt;"Coro")*(DATOS!$I$2:$I$20000&lt;&gt;"Conjunto"),DATOS!$K$2:$K$20000)),""))</f>
        <v/>
      </c>
    </row>
    <row r="319" spans="2:23" x14ac:dyDescent="0.2">
      <c r="B319" t="str">
        <f>IF(A319="","",IFERROR(AVERAGEIFS(DATOS!$K$2:$K$20000,DATOS!$A$2:$A$20000,A319,DATOS!$G$2:$G$20000,CONFIG_METADATA!$B$4,DATOS!$I$2:$I$20000,"Lenguaje Musical"),""))</f>
        <v/>
      </c>
      <c r="C319" t="str">
        <f>IF(A319="","",IFERROR(AVERAGEIFS(DATOS!$K$2:$K$20000,DATOS!$A$2:$A$20000,A319,DATOS!$G$2:$G$20000,CONFIG_METADATA!$B$4,DATOS!$I$2:$I$20000,"Coro"),""))</f>
        <v/>
      </c>
      <c r="D319" t="str">
        <f>IF(A319="","",IFERROR(AVERAGEIFS(DATOS!$K$2:$K$20000,DATOS!$A$2:$A$20000,A319,DATOS!$G$2:$G$20000,CONFIG_METADATA!$B$4,DATOS!$I$2:$I$20000,"Conjunto"),""))</f>
        <v/>
      </c>
      <c r="E319" t="str">
        <f>IF(A319="","",IFERROR(AVERAGEIFS(DATOS!$K$2:$K$20000,DATOS!$A$2:$A$20000,A319,DATOS!$G$2:$G$20000,CONFIG_METADATA!$B$4,DATOS!$I$2:$I$20000,"&lt;&gt;Lenguaje Musical",DATOS!$I$2:$I$20000,"&lt;&gt;Coro",DATOS!$I$2:$I$20000,"&lt;&gt;Conjunto"),""))</f>
        <v/>
      </c>
      <c r="H319" t="str">
        <f>IF(G319="","",IFERROR(AVERAGEIFS(DATOS!$K$2:$K$20000,DATOS!$A$2:$A$20000,G319,DATOS!$G$2:$G$20000,CONFIG_METADATA!$B$4,DATOS!$I$2:$I$20000,"Lenguaje Musical"),""))</f>
        <v/>
      </c>
      <c r="I319" t="str">
        <f>IF(G319="","",IFERROR(AVERAGEIFS(DATOS!$K$2:$K$20000,DATOS!$A$2:$A$20000,G319,DATOS!$G$2:$G$20000,CONFIG_METADATA!$B$4,DATOS!$I$2:$I$20000,"Coro"),""))</f>
        <v/>
      </c>
      <c r="J319" t="str">
        <f>IF(G319="","",IFERROR(AVERAGEIFS(DATOS!$K$2:$K$20000,DATOS!$A$2:$A$20000,G319,DATOS!$G$2:$G$20000,CONFIG_METADATA!$B$4,DATOS!$I$2:$I$20000,"Conjunto"),""))</f>
        <v/>
      </c>
      <c r="K319" t="str" cm="1">
        <f t="array" ref="K319">IF(G319="","",IFERROR(AVERAGE(IF((DATOS!$A$2:$A$20000=G319)*(DATOS!$G$2:$G$20000=CONFIG_METADATA!$B$4)*(DATOS!$I$2:$I$20000&lt;&gt;"Lenguaje Musical")*(DATOS!$I$2:$I$20000&lt;&gt;"Coro")*(DATOS!$I$2:$I$20000&lt;&gt;"Conjunto"),DATOS!$K$2:$K$20000)),""))</f>
        <v/>
      </c>
      <c r="N319" t="str">
        <f>IF(M319="","",IFERROR(AVERAGEIFS(DATOS!$K$2:$K$20000,DATOS!$A$2:$A$20000,M319,DATOS!$G$2:$G$20000,CONFIG_METADATA!$B$4,DATOS!$I$2:$I$20000,"Lenguaje Musical"),""))</f>
        <v/>
      </c>
      <c r="O319" t="str">
        <f>IF(M319="","",IFERROR(AVERAGEIFS(DATOS!$K$2:$K$20000,DATOS!$A$2:$A$20000,M319,DATOS!$G$2:$G$20000,CONFIG_METADATA!$B$4,DATOS!$I$2:$I$20000,"Coro"),""))</f>
        <v/>
      </c>
      <c r="P319" t="str">
        <f>IF(M319="","",IFERROR(AVERAGEIFS(DATOS!$K$2:$K$20000,DATOS!$A$2:$A$20000,M319,DATOS!$G$2:$G$20000,CONFIG_METADATA!$B$4,DATOS!$I$2:$I$20000,"Conjunto"),""))</f>
        <v/>
      </c>
      <c r="Q319" t="str">
        <f>IF(M319="","",IFERROR(AVERAGEIFS(DATOS!$K$2:$K$20000,DATOS!$A$2:$A$20000,M319,DATOS!$G$2:$G$20000,CONFIG_METADATA!$B$4,DATOS!$I$2:$I$20000,"&lt;&gt;Lenguaje Musical",DATOS!$I$2:$I$20000,"&lt;&gt;Coro",DATOS!$I$2:$I$20000,"&lt;&gt;Conjunto"),""))</f>
        <v/>
      </c>
      <c r="T319" t="str">
        <f>IF(S319="","",IFERROR(AVERAGEIFS(DATOS!$K$2:$K$20000,DATOS!$A$2:$A$20000,S319,DATOS!$G$2:$G$20000,CONFIG_METADATA!$B$4,DATOS!$I$2:$I$20000,"Lenguaje Musical"),""))</f>
        <v/>
      </c>
      <c r="U319" t="str">
        <f>IF(S319="","",IFERROR(AVERAGEIFS(DATOS!$K$2:$K$20000,DATOS!$A$2:$A$20000,S319,DATOS!$G$2:$G$20000,CONFIG_METADATA!$B$4,DATOS!$I$2:$I$20000,"Coro"),""))</f>
        <v/>
      </c>
      <c r="V319" t="str">
        <f>IF(S319="","",IFERROR(AVERAGEIFS(DATOS!$K$2:$K$20000,DATOS!$A$2:$A$20000,S319,DATOS!$G$2:$G$20000,CONFIG_METADATA!$B$4,DATOS!$I$2:$I$20000,"Conjunto"),""))</f>
        <v/>
      </c>
      <c r="W319" t="str" cm="1">
        <f t="array" ref="W319">IF(S319="","",IFERROR(AVERAGE(IF((DATOS!$A$2:$A$20000=S319)*(DATOS!$G$2:$G$20000=CONFIG_METADATA!$B$4)*(DATOS!$I$2:$I$20000&lt;&gt;"Lenguaje Musical")*(DATOS!$I$2:$I$20000&lt;&gt;"Coro")*(DATOS!$I$2:$I$20000&lt;&gt;"Conjunto"),DATOS!$K$2:$K$20000)),""))</f>
        <v/>
      </c>
    </row>
    <row r="320" spans="2:23" x14ac:dyDescent="0.2">
      <c r="B320" t="str">
        <f>IF(A320="","",IFERROR(AVERAGEIFS(DATOS!$K$2:$K$20000,DATOS!$A$2:$A$20000,A320,DATOS!$G$2:$G$20000,CONFIG_METADATA!$B$4,DATOS!$I$2:$I$20000,"Lenguaje Musical"),""))</f>
        <v/>
      </c>
      <c r="C320" t="str">
        <f>IF(A320="","",IFERROR(AVERAGEIFS(DATOS!$K$2:$K$20000,DATOS!$A$2:$A$20000,A320,DATOS!$G$2:$G$20000,CONFIG_METADATA!$B$4,DATOS!$I$2:$I$20000,"Coro"),""))</f>
        <v/>
      </c>
      <c r="D320" t="str">
        <f>IF(A320="","",IFERROR(AVERAGEIFS(DATOS!$K$2:$K$20000,DATOS!$A$2:$A$20000,A320,DATOS!$G$2:$G$20000,CONFIG_METADATA!$B$4,DATOS!$I$2:$I$20000,"Conjunto"),""))</f>
        <v/>
      </c>
      <c r="E320" t="str">
        <f>IF(A320="","",IFERROR(AVERAGEIFS(DATOS!$K$2:$K$20000,DATOS!$A$2:$A$20000,A320,DATOS!$G$2:$G$20000,CONFIG_METADATA!$B$4,DATOS!$I$2:$I$20000,"&lt;&gt;Lenguaje Musical",DATOS!$I$2:$I$20000,"&lt;&gt;Coro",DATOS!$I$2:$I$20000,"&lt;&gt;Conjunto"),""))</f>
        <v/>
      </c>
      <c r="H320" t="str">
        <f>IF(G320="","",IFERROR(AVERAGEIFS(DATOS!$K$2:$K$20000,DATOS!$A$2:$A$20000,G320,DATOS!$G$2:$G$20000,CONFIG_METADATA!$B$4,DATOS!$I$2:$I$20000,"Lenguaje Musical"),""))</f>
        <v/>
      </c>
      <c r="I320" t="str">
        <f>IF(G320="","",IFERROR(AVERAGEIFS(DATOS!$K$2:$K$20000,DATOS!$A$2:$A$20000,G320,DATOS!$G$2:$G$20000,CONFIG_METADATA!$B$4,DATOS!$I$2:$I$20000,"Coro"),""))</f>
        <v/>
      </c>
      <c r="J320" t="str">
        <f>IF(G320="","",IFERROR(AVERAGEIFS(DATOS!$K$2:$K$20000,DATOS!$A$2:$A$20000,G320,DATOS!$G$2:$G$20000,CONFIG_METADATA!$B$4,DATOS!$I$2:$I$20000,"Conjunto"),""))</f>
        <v/>
      </c>
      <c r="K320" t="str" cm="1">
        <f t="array" ref="K320">IF(G320="","",IFERROR(AVERAGE(IF((DATOS!$A$2:$A$20000=G320)*(DATOS!$G$2:$G$20000=CONFIG_METADATA!$B$4)*(DATOS!$I$2:$I$20000&lt;&gt;"Lenguaje Musical")*(DATOS!$I$2:$I$20000&lt;&gt;"Coro")*(DATOS!$I$2:$I$20000&lt;&gt;"Conjunto"),DATOS!$K$2:$K$20000)),""))</f>
        <v/>
      </c>
      <c r="N320" t="str">
        <f>IF(M320="","",IFERROR(AVERAGEIFS(DATOS!$K$2:$K$20000,DATOS!$A$2:$A$20000,M320,DATOS!$G$2:$G$20000,CONFIG_METADATA!$B$4,DATOS!$I$2:$I$20000,"Lenguaje Musical"),""))</f>
        <v/>
      </c>
      <c r="O320" t="str">
        <f>IF(M320="","",IFERROR(AVERAGEIFS(DATOS!$K$2:$K$20000,DATOS!$A$2:$A$20000,M320,DATOS!$G$2:$G$20000,CONFIG_METADATA!$B$4,DATOS!$I$2:$I$20000,"Coro"),""))</f>
        <v/>
      </c>
      <c r="P320" t="str">
        <f>IF(M320="","",IFERROR(AVERAGEIFS(DATOS!$K$2:$K$20000,DATOS!$A$2:$A$20000,M320,DATOS!$G$2:$G$20000,CONFIG_METADATA!$B$4,DATOS!$I$2:$I$20000,"Conjunto"),""))</f>
        <v/>
      </c>
      <c r="Q320" t="str">
        <f>IF(M320="","",IFERROR(AVERAGEIFS(DATOS!$K$2:$K$20000,DATOS!$A$2:$A$20000,M320,DATOS!$G$2:$G$20000,CONFIG_METADATA!$B$4,DATOS!$I$2:$I$20000,"&lt;&gt;Lenguaje Musical",DATOS!$I$2:$I$20000,"&lt;&gt;Coro",DATOS!$I$2:$I$20000,"&lt;&gt;Conjunto"),""))</f>
        <v/>
      </c>
      <c r="T320" t="str">
        <f>IF(S320="","",IFERROR(AVERAGEIFS(DATOS!$K$2:$K$20000,DATOS!$A$2:$A$20000,S320,DATOS!$G$2:$G$20000,CONFIG_METADATA!$B$4,DATOS!$I$2:$I$20000,"Lenguaje Musical"),""))</f>
        <v/>
      </c>
      <c r="U320" t="str">
        <f>IF(S320="","",IFERROR(AVERAGEIFS(DATOS!$K$2:$K$20000,DATOS!$A$2:$A$20000,S320,DATOS!$G$2:$G$20000,CONFIG_METADATA!$B$4,DATOS!$I$2:$I$20000,"Coro"),""))</f>
        <v/>
      </c>
      <c r="V320" t="str">
        <f>IF(S320="","",IFERROR(AVERAGEIFS(DATOS!$K$2:$K$20000,DATOS!$A$2:$A$20000,S320,DATOS!$G$2:$G$20000,CONFIG_METADATA!$B$4,DATOS!$I$2:$I$20000,"Conjunto"),""))</f>
        <v/>
      </c>
      <c r="W320" t="str" cm="1">
        <f t="array" ref="W320">IF(S320="","",IFERROR(AVERAGE(IF((DATOS!$A$2:$A$20000=S320)*(DATOS!$G$2:$G$20000=CONFIG_METADATA!$B$4)*(DATOS!$I$2:$I$20000&lt;&gt;"Lenguaje Musical")*(DATOS!$I$2:$I$20000&lt;&gt;"Coro")*(DATOS!$I$2:$I$20000&lt;&gt;"Conjunto"),DATOS!$K$2:$K$20000)),""))</f>
        <v/>
      </c>
    </row>
    <row r="321" spans="2:23" x14ac:dyDescent="0.2">
      <c r="B321" t="str">
        <f>IF(A321="","",IFERROR(AVERAGEIFS(DATOS!$K$2:$K$20000,DATOS!$A$2:$A$20000,A321,DATOS!$G$2:$G$20000,CONFIG_METADATA!$B$4,DATOS!$I$2:$I$20000,"Lenguaje Musical"),""))</f>
        <v/>
      </c>
      <c r="C321" t="str">
        <f>IF(A321="","",IFERROR(AVERAGEIFS(DATOS!$K$2:$K$20000,DATOS!$A$2:$A$20000,A321,DATOS!$G$2:$G$20000,CONFIG_METADATA!$B$4,DATOS!$I$2:$I$20000,"Coro"),""))</f>
        <v/>
      </c>
      <c r="D321" t="str">
        <f>IF(A321="","",IFERROR(AVERAGEIFS(DATOS!$K$2:$K$20000,DATOS!$A$2:$A$20000,A321,DATOS!$G$2:$G$20000,CONFIG_METADATA!$B$4,DATOS!$I$2:$I$20000,"Conjunto"),""))</f>
        <v/>
      </c>
      <c r="E321" t="str">
        <f>IF(A321="","",IFERROR(AVERAGEIFS(DATOS!$K$2:$K$20000,DATOS!$A$2:$A$20000,A321,DATOS!$G$2:$G$20000,CONFIG_METADATA!$B$4,DATOS!$I$2:$I$20000,"&lt;&gt;Lenguaje Musical",DATOS!$I$2:$I$20000,"&lt;&gt;Coro",DATOS!$I$2:$I$20000,"&lt;&gt;Conjunto"),""))</f>
        <v/>
      </c>
      <c r="H321" t="str">
        <f>IF(G321="","",IFERROR(AVERAGEIFS(DATOS!$K$2:$K$20000,DATOS!$A$2:$A$20000,G321,DATOS!$G$2:$G$20000,CONFIG_METADATA!$B$4,DATOS!$I$2:$I$20000,"Lenguaje Musical"),""))</f>
        <v/>
      </c>
      <c r="I321" t="str">
        <f>IF(G321="","",IFERROR(AVERAGEIFS(DATOS!$K$2:$K$20000,DATOS!$A$2:$A$20000,G321,DATOS!$G$2:$G$20000,CONFIG_METADATA!$B$4,DATOS!$I$2:$I$20000,"Coro"),""))</f>
        <v/>
      </c>
      <c r="J321" t="str">
        <f>IF(G321="","",IFERROR(AVERAGEIFS(DATOS!$K$2:$K$20000,DATOS!$A$2:$A$20000,G321,DATOS!$G$2:$G$20000,CONFIG_METADATA!$B$4,DATOS!$I$2:$I$20000,"Conjunto"),""))</f>
        <v/>
      </c>
      <c r="K321" t="str" cm="1">
        <f t="array" ref="K321">IF(G321="","",IFERROR(AVERAGE(IF((DATOS!$A$2:$A$20000=G321)*(DATOS!$G$2:$G$20000=CONFIG_METADATA!$B$4)*(DATOS!$I$2:$I$20000&lt;&gt;"Lenguaje Musical")*(DATOS!$I$2:$I$20000&lt;&gt;"Coro")*(DATOS!$I$2:$I$20000&lt;&gt;"Conjunto"),DATOS!$K$2:$K$20000)),""))</f>
        <v/>
      </c>
      <c r="N321" t="str">
        <f>IF(M321="","",IFERROR(AVERAGEIFS(DATOS!$K$2:$K$20000,DATOS!$A$2:$A$20000,M321,DATOS!$G$2:$G$20000,CONFIG_METADATA!$B$4,DATOS!$I$2:$I$20000,"Lenguaje Musical"),""))</f>
        <v/>
      </c>
      <c r="O321" t="str">
        <f>IF(M321="","",IFERROR(AVERAGEIFS(DATOS!$K$2:$K$20000,DATOS!$A$2:$A$20000,M321,DATOS!$G$2:$G$20000,CONFIG_METADATA!$B$4,DATOS!$I$2:$I$20000,"Coro"),""))</f>
        <v/>
      </c>
      <c r="P321" t="str">
        <f>IF(M321="","",IFERROR(AVERAGEIFS(DATOS!$K$2:$K$20000,DATOS!$A$2:$A$20000,M321,DATOS!$G$2:$G$20000,CONFIG_METADATA!$B$4,DATOS!$I$2:$I$20000,"Conjunto"),""))</f>
        <v/>
      </c>
      <c r="Q321" t="str">
        <f>IF(M321="","",IFERROR(AVERAGEIFS(DATOS!$K$2:$K$20000,DATOS!$A$2:$A$20000,M321,DATOS!$G$2:$G$20000,CONFIG_METADATA!$B$4,DATOS!$I$2:$I$20000,"&lt;&gt;Lenguaje Musical",DATOS!$I$2:$I$20000,"&lt;&gt;Coro",DATOS!$I$2:$I$20000,"&lt;&gt;Conjunto"),""))</f>
        <v/>
      </c>
      <c r="T321" t="str">
        <f>IF(S321="","",IFERROR(AVERAGEIFS(DATOS!$K$2:$K$20000,DATOS!$A$2:$A$20000,S321,DATOS!$G$2:$G$20000,CONFIG_METADATA!$B$4,DATOS!$I$2:$I$20000,"Lenguaje Musical"),""))</f>
        <v/>
      </c>
      <c r="U321" t="str">
        <f>IF(S321="","",IFERROR(AVERAGEIFS(DATOS!$K$2:$K$20000,DATOS!$A$2:$A$20000,S321,DATOS!$G$2:$G$20000,CONFIG_METADATA!$B$4,DATOS!$I$2:$I$20000,"Coro"),""))</f>
        <v/>
      </c>
      <c r="V321" t="str">
        <f>IF(S321="","",IFERROR(AVERAGEIFS(DATOS!$K$2:$K$20000,DATOS!$A$2:$A$20000,S321,DATOS!$G$2:$G$20000,CONFIG_METADATA!$B$4,DATOS!$I$2:$I$20000,"Conjunto"),""))</f>
        <v/>
      </c>
      <c r="W321" t="str" cm="1">
        <f t="array" ref="W321">IF(S321="","",IFERROR(AVERAGE(IF((DATOS!$A$2:$A$20000=S321)*(DATOS!$G$2:$G$20000=CONFIG_METADATA!$B$4)*(DATOS!$I$2:$I$20000&lt;&gt;"Lenguaje Musical")*(DATOS!$I$2:$I$20000&lt;&gt;"Coro")*(DATOS!$I$2:$I$20000&lt;&gt;"Conjunto"),DATOS!$K$2:$K$20000)),""))</f>
        <v/>
      </c>
    </row>
    <row r="322" spans="2:23" x14ac:dyDescent="0.2">
      <c r="B322" t="str">
        <f>IF(A322="","",IFERROR(AVERAGEIFS(DATOS!$K$2:$K$20000,DATOS!$A$2:$A$20000,A322,DATOS!$G$2:$G$20000,CONFIG_METADATA!$B$4,DATOS!$I$2:$I$20000,"Lenguaje Musical"),""))</f>
        <v/>
      </c>
      <c r="C322" t="str">
        <f>IF(A322="","",IFERROR(AVERAGEIFS(DATOS!$K$2:$K$20000,DATOS!$A$2:$A$20000,A322,DATOS!$G$2:$G$20000,CONFIG_METADATA!$B$4,DATOS!$I$2:$I$20000,"Coro"),""))</f>
        <v/>
      </c>
      <c r="D322" t="str">
        <f>IF(A322="","",IFERROR(AVERAGEIFS(DATOS!$K$2:$K$20000,DATOS!$A$2:$A$20000,A322,DATOS!$G$2:$G$20000,CONFIG_METADATA!$B$4,DATOS!$I$2:$I$20000,"Conjunto"),""))</f>
        <v/>
      </c>
      <c r="E322" t="str">
        <f>IF(A322="","",IFERROR(AVERAGEIFS(DATOS!$K$2:$K$20000,DATOS!$A$2:$A$20000,A322,DATOS!$G$2:$G$20000,CONFIG_METADATA!$B$4,DATOS!$I$2:$I$20000,"&lt;&gt;Lenguaje Musical",DATOS!$I$2:$I$20000,"&lt;&gt;Coro",DATOS!$I$2:$I$20000,"&lt;&gt;Conjunto"),""))</f>
        <v/>
      </c>
      <c r="H322" t="str">
        <f>IF(G322="","",IFERROR(AVERAGEIFS(DATOS!$K$2:$K$20000,DATOS!$A$2:$A$20000,G322,DATOS!$G$2:$G$20000,CONFIG_METADATA!$B$4,DATOS!$I$2:$I$20000,"Lenguaje Musical"),""))</f>
        <v/>
      </c>
      <c r="I322" t="str">
        <f>IF(G322="","",IFERROR(AVERAGEIFS(DATOS!$K$2:$K$20000,DATOS!$A$2:$A$20000,G322,DATOS!$G$2:$G$20000,CONFIG_METADATA!$B$4,DATOS!$I$2:$I$20000,"Coro"),""))</f>
        <v/>
      </c>
      <c r="J322" t="str">
        <f>IF(G322="","",IFERROR(AVERAGEIFS(DATOS!$K$2:$K$20000,DATOS!$A$2:$A$20000,G322,DATOS!$G$2:$G$20000,CONFIG_METADATA!$B$4,DATOS!$I$2:$I$20000,"Conjunto"),""))</f>
        <v/>
      </c>
      <c r="K322" t="str" cm="1">
        <f t="array" ref="K322">IF(G322="","",IFERROR(AVERAGE(IF((DATOS!$A$2:$A$20000=G322)*(DATOS!$G$2:$G$20000=CONFIG_METADATA!$B$4)*(DATOS!$I$2:$I$20000&lt;&gt;"Lenguaje Musical")*(DATOS!$I$2:$I$20000&lt;&gt;"Coro")*(DATOS!$I$2:$I$20000&lt;&gt;"Conjunto"),DATOS!$K$2:$K$20000)),""))</f>
        <v/>
      </c>
      <c r="N322" t="str">
        <f>IF(M322="","",IFERROR(AVERAGEIFS(DATOS!$K$2:$K$20000,DATOS!$A$2:$A$20000,M322,DATOS!$G$2:$G$20000,CONFIG_METADATA!$B$4,DATOS!$I$2:$I$20000,"Lenguaje Musical"),""))</f>
        <v/>
      </c>
      <c r="O322" t="str">
        <f>IF(M322="","",IFERROR(AVERAGEIFS(DATOS!$K$2:$K$20000,DATOS!$A$2:$A$20000,M322,DATOS!$G$2:$G$20000,CONFIG_METADATA!$B$4,DATOS!$I$2:$I$20000,"Coro"),""))</f>
        <v/>
      </c>
      <c r="P322" t="str">
        <f>IF(M322="","",IFERROR(AVERAGEIFS(DATOS!$K$2:$K$20000,DATOS!$A$2:$A$20000,M322,DATOS!$G$2:$G$20000,CONFIG_METADATA!$B$4,DATOS!$I$2:$I$20000,"Conjunto"),""))</f>
        <v/>
      </c>
      <c r="Q322" t="str">
        <f>IF(M322="","",IFERROR(AVERAGEIFS(DATOS!$K$2:$K$20000,DATOS!$A$2:$A$20000,M322,DATOS!$G$2:$G$20000,CONFIG_METADATA!$B$4,DATOS!$I$2:$I$20000,"&lt;&gt;Lenguaje Musical",DATOS!$I$2:$I$20000,"&lt;&gt;Coro",DATOS!$I$2:$I$20000,"&lt;&gt;Conjunto"),""))</f>
        <v/>
      </c>
      <c r="T322" t="str">
        <f>IF(S322="","",IFERROR(AVERAGEIFS(DATOS!$K$2:$K$20000,DATOS!$A$2:$A$20000,S322,DATOS!$G$2:$G$20000,CONFIG_METADATA!$B$4,DATOS!$I$2:$I$20000,"Lenguaje Musical"),""))</f>
        <v/>
      </c>
      <c r="U322" t="str">
        <f>IF(S322="","",IFERROR(AVERAGEIFS(DATOS!$K$2:$K$20000,DATOS!$A$2:$A$20000,S322,DATOS!$G$2:$G$20000,CONFIG_METADATA!$B$4,DATOS!$I$2:$I$20000,"Coro"),""))</f>
        <v/>
      </c>
      <c r="V322" t="str">
        <f>IF(S322="","",IFERROR(AVERAGEIFS(DATOS!$K$2:$K$20000,DATOS!$A$2:$A$20000,S322,DATOS!$G$2:$G$20000,CONFIG_METADATA!$B$4,DATOS!$I$2:$I$20000,"Conjunto"),""))</f>
        <v/>
      </c>
      <c r="W322" t="str" cm="1">
        <f t="array" ref="W322">IF(S322="","",IFERROR(AVERAGE(IF((DATOS!$A$2:$A$20000=S322)*(DATOS!$G$2:$G$20000=CONFIG_METADATA!$B$4)*(DATOS!$I$2:$I$20000&lt;&gt;"Lenguaje Musical")*(DATOS!$I$2:$I$20000&lt;&gt;"Coro")*(DATOS!$I$2:$I$20000&lt;&gt;"Conjunto"),DATOS!$K$2:$K$20000)),""))</f>
        <v/>
      </c>
    </row>
    <row r="323" spans="2:23" x14ac:dyDescent="0.2">
      <c r="B323" t="str">
        <f>IF(A323="","",IFERROR(AVERAGEIFS(DATOS!$K$2:$K$20000,DATOS!$A$2:$A$20000,A323,DATOS!$G$2:$G$20000,CONFIG_METADATA!$B$4,DATOS!$I$2:$I$20000,"Lenguaje Musical"),""))</f>
        <v/>
      </c>
      <c r="C323" t="str">
        <f>IF(A323="","",IFERROR(AVERAGEIFS(DATOS!$K$2:$K$20000,DATOS!$A$2:$A$20000,A323,DATOS!$G$2:$G$20000,CONFIG_METADATA!$B$4,DATOS!$I$2:$I$20000,"Coro"),""))</f>
        <v/>
      </c>
      <c r="D323" t="str">
        <f>IF(A323="","",IFERROR(AVERAGEIFS(DATOS!$K$2:$K$20000,DATOS!$A$2:$A$20000,A323,DATOS!$G$2:$G$20000,CONFIG_METADATA!$B$4,DATOS!$I$2:$I$20000,"Conjunto"),""))</f>
        <v/>
      </c>
      <c r="E323" t="str">
        <f>IF(A323="","",IFERROR(AVERAGEIFS(DATOS!$K$2:$K$20000,DATOS!$A$2:$A$20000,A323,DATOS!$G$2:$G$20000,CONFIG_METADATA!$B$4,DATOS!$I$2:$I$20000,"&lt;&gt;Lenguaje Musical",DATOS!$I$2:$I$20000,"&lt;&gt;Coro",DATOS!$I$2:$I$20000,"&lt;&gt;Conjunto"),""))</f>
        <v/>
      </c>
      <c r="H323" t="str">
        <f>IF(G323="","",IFERROR(AVERAGEIFS(DATOS!$K$2:$K$20000,DATOS!$A$2:$A$20000,G323,DATOS!$G$2:$G$20000,CONFIG_METADATA!$B$4,DATOS!$I$2:$I$20000,"Lenguaje Musical"),""))</f>
        <v/>
      </c>
      <c r="I323" t="str">
        <f>IF(G323="","",IFERROR(AVERAGEIFS(DATOS!$K$2:$K$20000,DATOS!$A$2:$A$20000,G323,DATOS!$G$2:$G$20000,CONFIG_METADATA!$B$4,DATOS!$I$2:$I$20000,"Coro"),""))</f>
        <v/>
      </c>
      <c r="J323" t="str">
        <f>IF(G323="","",IFERROR(AVERAGEIFS(DATOS!$K$2:$K$20000,DATOS!$A$2:$A$20000,G323,DATOS!$G$2:$G$20000,CONFIG_METADATA!$B$4,DATOS!$I$2:$I$20000,"Conjunto"),""))</f>
        <v/>
      </c>
      <c r="K323" t="str" cm="1">
        <f t="array" ref="K323">IF(G323="","",IFERROR(AVERAGE(IF((DATOS!$A$2:$A$20000=G323)*(DATOS!$G$2:$G$20000=CONFIG_METADATA!$B$4)*(DATOS!$I$2:$I$20000&lt;&gt;"Lenguaje Musical")*(DATOS!$I$2:$I$20000&lt;&gt;"Coro")*(DATOS!$I$2:$I$20000&lt;&gt;"Conjunto"),DATOS!$K$2:$K$20000)),""))</f>
        <v/>
      </c>
      <c r="N323" t="str">
        <f>IF(M323="","",IFERROR(AVERAGEIFS(DATOS!$K$2:$K$20000,DATOS!$A$2:$A$20000,M323,DATOS!$G$2:$G$20000,CONFIG_METADATA!$B$4,DATOS!$I$2:$I$20000,"Lenguaje Musical"),""))</f>
        <v/>
      </c>
      <c r="O323" t="str">
        <f>IF(M323="","",IFERROR(AVERAGEIFS(DATOS!$K$2:$K$20000,DATOS!$A$2:$A$20000,M323,DATOS!$G$2:$G$20000,CONFIG_METADATA!$B$4,DATOS!$I$2:$I$20000,"Coro"),""))</f>
        <v/>
      </c>
      <c r="P323" t="str">
        <f>IF(M323="","",IFERROR(AVERAGEIFS(DATOS!$K$2:$K$20000,DATOS!$A$2:$A$20000,M323,DATOS!$G$2:$G$20000,CONFIG_METADATA!$B$4,DATOS!$I$2:$I$20000,"Conjunto"),""))</f>
        <v/>
      </c>
      <c r="Q323" t="str">
        <f>IF(M323="","",IFERROR(AVERAGEIFS(DATOS!$K$2:$K$20000,DATOS!$A$2:$A$20000,M323,DATOS!$G$2:$G$20000,CONFIG_METADATA!$B$4,DATOS!$I$2:$I$20000,"&lt;&gt;Lenguaje Musical",DATOS!$I$2:$I$20000,"&lt;&gt;Coro",DATOS!$I$2:$I$20000,"&lt;&gt;Conjunto"),""))</f>
        <v/>
      </c>
      <c r="T323" t="str">
        <f>IF(S323="","",IFERROR(AVERAGEIFS(DATOS!$K$2:$K$20000,DATOS!$A$2:$A$20000,S323,DATOS!$G$2:$G$20000,CONFIG_METADATA!$B$4,DATOS!$I$2:$I$20000,"Lenguaje Musical"),""))</f>
        <v/>
      </c>
      <c r="U323" t="str">
        <f>IF(S323="","",IFERROR(AVERAGEIFS(DATOS!$K$2:$K$20000,DATOS!$A$2:$A$20000,S323,DATOS!$G$2:$G$20000,CONFIG_METADATA!$B$4,DATOS!$I$2:$I$20000,"Coro"),""))</f>
        <v/>
      </c>
      <c r="V323" t="str">
        <f>IF(S323="","",IFERROR(AVERAGEIFS(DATOS!$K$2:$K$20000,DATOS!$A$2:$A$20000,S323,DATOS!$G$2:$G$20000,CONFIG_METADATA!$B$4,DATOS!$I$2:$I$20000,"Conjunto"),""))</f>
        <v/>
      </c>
      <c r="W323" t="str" cm="1">
        <f t="array" ref="W323">IF(S323="","",IFERROR(AVERAGE(IF((DATOS!$A$2:$A$20000=S323)*(DATOS!$G$2:$G$20000=CONFIG_METADATA!$B$4)*(DATOS!$I$2:$I$20000&lt;&gt;"Lenguaje Musical")*(DATOS!$I$2:$I$20000&lt;&gt;"Coro")*(DATOS!$I$2:$I$20000&lt;&gt;"Conjunto"),DATOS!$K$2:$K$20000)),""))</f>
        <v/>
      </c>
    </row>
    <row r="324" spans="2:23" x14ac:dyDescent="0.2">
      <c r="B324" t="str">
        <f>IF(A324="","",IFERROR(AVERAGEIFS(DATOS!$K$2:$K$20000,DATOS!$A$2:$A$20000,A324,DATOS!$G$2:$G$20000,CONFIG_METADATA!$B$4,DATOS!$I$2:$I$20000,"Lenguaje Musical"),""))</f>
        <v/>
      </c>
      <c r="C324" t="str">
        <f>IF(A324="","",IFERROR(AVERAGEIFS(DATOS!$K$2:$K$20000,DATOS!$A$2:$A$20000,A324,DATOS!$G$2:$G$20000,CONFIG_METADATA!$B$4,DATOS!$I$2:$I$20000,"Coro"),""))</f>
        <v/>
      </c>
      <c r="D324" t="str">
        <f>IF(A324="","",IFERROR(AVERAGEIFS(DATOS!$K$2:$K$20000,DATOS!$A$2:$A$20000,A324,DATOS!$G$2:$G$20000,CONFIG_METADATA!$B$4,DATOS!$I$2:$I$20000,"Conjunto"),""))</f>
        <v/>
      </c>
      <c r="E324" t="str">
        <f>IF(A324="","",IFERROR(AVERAGEIFS(DATOS!$K$2:$K$20000,DATOS!$A$2:$A$20000,A324,DATOS!$G$2:$G$20000,CONFIG_METADATA!$B$4,DATOS!$I$2:$I$20000,"&lt;&gt;Lenguaje Musical",DATOS!$I$2:$I$20000,"&lt;&gt;Coro",DATOS!$I$2:$I$20000,"&lt;&gt;Conjunto"),""))</f>
        <v/>
      </c>
      <c r="H324" t="str">
        <f>IF(G324="","",IFERROR(AVERAGEIFS(DATOS!$K$2:$K$20000,DATOS!$A$2:$A$20000,G324,DATOS!$G$2:$G$20000,CONFIG_METADATA!$B$4,DATOS!$I$2:$I$20000,"Lenguaje Musical"),""))</f>
        <v/>
      </c>
      <c r="I324" t="str">
        <f>IF(G324="","",IFERROR(AVERAGEIFS(DATOS!$K$2:$K$20000,DATOS!$A$2:$A$20000,G324,DATOS!$G$2:$G$20000,CONFIG_METADATA!$B$4,DATOS!$I$2:$I$20000,"Coro"),""))</f>
        <v/>
      </c>
      <c r="J324" t="str">
        <f>IF(G324="","",IFERROR(AVERAGEIFS(DATOS!$K$2:$K$20000,DATOS!$A$2:$A$20000,G324,DATOS!$G$2:$G$20000,CONFIG_METADATA!$B$4,DATOS!$I$2:$I$20000,"Conjunto"),""))</f>
        <v/>
      </c>
      <c r="K324" t="str" cm="1">
        <f t="array" ref="K324">IF(G324="","",IFERROR(AVERAGE(IF((DATOS!$A$2:$A$20000=G324)*(DATOS!$G$2:$G$20000=CONFIG_METADATA!$B$4)*(DATOS!$I$2:$I$20000&lt;&gt;"Lenguaje Musical")*(DATOS!$I$2:$I$20000&lt;&gt;"Coro")*(DATOS!$I$2:$I$20000&lt;&gt;"Conjunto"),DATOS!$K$2:$K$20000)),""))</f>
        <v/>
      </c>
      <c r="N324" t="str">
        <f>IF(M324="","",IFERROR(AVERAGEIFS(DATOS!$K$2:$K$20000,DATOS!$A$2:$A$20000,M324,DATOS!$G$2:$G$20000,CONFIG_METADATA!$B$4,DATOS!$I$2:$I$20000,"Lenguaje Musical"),""))</f>
        <v/>
      </c>
      <c r="O324" t="str">
        <f>IF(M324="","",IFERROR(AVERAGEIFS(DATOS!$K$2:$K$20000,DATOS!$A$2:$A$20000,M324,DATOS!$G$2:$G$20000,CONFIG_METADATA!$B$4,DATOS!$I$2:$I$20000,"Coro"),""))</f>
        <v/>
      </c>
      <c r="P324" t="str">
        <f>IF(M324="","",IFERROR(AVERAGEIFS(DATOS!$K$2:$K$20000,DATOS!$A$2:$A$20000,M324,DATOS!$G$2:$G$20000,CONFIG_METADATA!$B$4,DATOS!$I$2:$I$20000,"Conjunto"),""))</f>
        <v/>
      </c>
      <c r="Q324" t="str">
        <f>IF(M324="","",IFERROR(AVERAGEIFS(DATOS!$K$2:$K$20000,DATOS!$A$2:$A$20000,M324,DATOS!$G$2:$G$20000,CONFIG_METADATA!$B$4,DATOS!$I$2:$I$20000,"&lt;&gt;Lenguaje Musical",DATOS!$I$2:$I$20000,"&lt;&gt;Coro",DATOS!$I$2:$I$20000,"&lt;&gt;Conjunto"),""))</f>
        <v/>
      </c>
      <c r="T324" t="str">
        <f>IF(S324="","",IFERROR(AVERAGEIFS(DATOS!$K$2:$K$20000,DATOS!$A$2:$A$20000,S324,DATOS!$G$2:$G$20000,CONFIG_METADATA!$B$4,DATOS!$I$2:$I$20000,"Lenguaje Musical"),""))</f>
        <v/>
      </c>
      <c r="U324" t="str">
        <f>IF(S324="","",IFERROR(AVERAGEIFS(DATOS!$K$2:$K$20000,DATOS!$A$2:$A$20000,S324,DATOS!$G$2:$G$20000,CONFIG_METADATA!$B$4,DATOS!$I$2:$I$20000,"Coro"),""))</f>
        <v/>
      </c>
      <c r="V324" t="str">
        <f>IF(S324="","",IFERROR(AVERAGEIFS(DATOS!$K$2:$K$20000,DATOS!$A$2:$A$20000,S324,DATOS!$G$2:$G$20000,CONFIG_METADATA!$B$4,DATOS!$I$2:$I$20000,"Conjunto"),""))</f>
        <v/>
      </c>
      <c r="W324" t="str" cm="1">
        <f t="array" ref="W324">IF(S324="","",IFERROR(AVERAGE(IF((DATOS!$A$2:$A$20000=S324)*(DATOS!$G$2:$G$20000=CONFIG_METADATA!$B$4)*(DATOS!$I$2:$I$20000&lt;&gt;"Lenguaje Musical")*(DATOS!$I$2:$I$20000&lt;&gt;"Coro")*(DATOS!$I$2:$I$20000&lt;&gt;"Conjunto"),DATOS!$K$2:$K$20000)),""))</f>
        <v/>
      </c>
    </row>
    <row r="325" spans="2:23" x14ac:dyDescent="0.2">
      <c r="B325" t="str">
        <f>IF(A325="","",IFERROR(AVERAGEIFS(DATOS!$K$2:$K$20000,DATOS!$A$2:$A$20000,A325,DATOS!$G$2:$G$20000,CONFIG_METADATA!$B$4,DATOS!$I$2:$I$20000,"Lenguaje Musical"),""))</f>
        <v/>
      </c>
      <c r="C325" t="str">
        <f>IF(A325="","",IFERROR(AVERAGEIFS(DATOS!$K$2:$K$20000,DATOS!$A$2:$A$20000,A325,DATOS!$G$2:$G$20000,CONFIG_METADATA!$B$4,DATOS!$I$2:$I$20000,"Coro"),""))</f>
        <v/>
      </c>
      <c r="D325" t="str">
        <f>IF(A325="","",IFERROR(AVERAGEIFS(DATOS!$K$2:$K$20000,DATOS!$A$2:$A$20000,A325,DATOS!$G$2:$G$20000,CONFIG_METADATA!$B$4,DATOS!$I$2:$I$20000,"Conjunto"),""))</f>
        <v/>
      </c>
      <c r="E325" t="str">
        <f>IF(A325="","",IFERROR(AVERAGEIFS(DATOS!$K$2:$K$20000,DATOS!$A$2:$A$20000,A325,DATOS!$G$2:$G$20000,CONFIG_METADATA!$B$4,DATOS!$I$2:$I$20000,"&lt;&gt;Lenguaje Musical",DATOS!$I$2:$I$20000,"&lt;&gt;Coro",DATOS!$I$2:$I$20000,"&lt;&gt;Conjunto"),""))</f>
        <v/>
      </c>
      <c r="H325" t="str">
        <f>IF(G325="","",IFERROR(AVERAGEIFS(DATOS!$K$2:$K$20000,DATOS!$A$2:$A$20000,G325,DATOS!$G$2:$G$20000,CONFIG_METADATA!$B$4,DATOS!$I$2:$I$20000,"Lenguaje Musical"),""))</f>
        <v/>
      </c>
      <c r="I325" t="str">
        <f>IF(G325="","",IFERROR(AVERAGEIFS(DATOS!$K$2:$K$20000,DATOS!$A$2:$A$20000,G325,DATOS!$G$2:$G$20000,CONFIG_METADATA!$B$4,DATOS!$I$2:$I$20000,"Coro"),""))</f>
        <v/>
      </c>
      <c r="J325" t="str">
        <f>IF(G325="","",IFERROR(AVERAGEIFS(DATOS!$K$2:$K$20000,DATOS!$A$2:$A$20000,G325,DATOS!$G$2:$G$20000,CONFIG_METADATA!$B$4,DATOS!$I$2:$I$20000,"Conjunto"),""))</f>
        <v/>
      </c>
      <c r="K325" t="str" cm="1">
        <f t="array" ref="K325">IF(G325="","",IFERROR(AVERAGE(IF((DATOS!$A$2:$A$20000=G325)*(DATOS!$G$2:$G$20000=CONFIG_METADATA!$B$4)*(DATOS!$I$2:$I$20000&lt;&gt;"Lenguaje Musical")*(DATOS!$I$2:$I$20000&lt;&gt;"Coro")*(DATOS!$I$2:$I$20000&lt;&gt;"Conjunto"),DATOS!$K$2:$K$20000)),""))</f>
        <v/>
      </c>
      <c r="N325" t="str">
        <f>IF(M325="","",IFERROR(AVERAGEIFS(DATOS!$K$2:$K$20000,DATOS!$A$2:$A$20000,M325,DATOS!$G$2:$G$20000,CONFIG_METADATA!$B$4,DATOS!$I$2:$I$20000,"Lenguaje Musical"),""))</f>
        <v/>
      </c>
      <c r="O325" t="str">
        <f>IF(M325="","",IFERROR(AVERAGEIFS(DATOS!$K$2:$K$20000,DATOS!$A$2:$A$20000,M325,DATOS!$G$2:$G$20000,CONFIG_METADATA!$B$4,DATOS!$I$2:$I$20000,"Coro"),""))</f>
        <v/>
      </c>
      <c r="P325" t="str">
        <f>IF(M325="","",IFERROR(AVERAGEIFS(DATOS!$K$2:$K$20000,DATOS!$A$2:$A$20000,M325,DATOS!$G$2:$G$20000,CONFIG_METADATA!$B$4,DATOS!$I$2:$I$20000,"Conjunto"),""))</f>
        <v/>
      </c>
      <c r="Q325" t="str">
        <f>IF(M325="","",IFERROR(AVERAGEIFS(DATOS!$K$2:$K$20000,DATOS!$A$2:$A$20000,M325,DATOS!$G$2:$G$20000,CONFIG_METADATA!$B$4,DATOS!$I$2:$I$20000,"&lt;&gt;Lenguaje Musical",DATOS!$I$2:$I$20000,"&lt;&gt;Coro",DATOS!$I$2:$I$20000,"&lt;&gt;Conjunto"),""))</f>
        <v/>
      </c>
      <c r="T325" t="str">
        <f>IF(S325="","",IFERROR(AVERAGEIFS(DATOS!$K$2:$K$20000,DATOS!$A$2:$A$20000,S325,DATOS!$G$2:$G$20000,CONFIG_METADATA!$B$4,DATOS!$I$2:$I$20000,"Lenguaje Musical"),""))</f>
        <v/>
      </c>
      <c r="U325" t="str">
        <f>IF(S325="","",IFERROR(AVERAGEIFS(DATOS!$K$2:$K$20000,DATOS!$A$2:$A$20000,S325,DATOS!$G$2:$G$20000,CONFIG_METADATA!$B$4,DATOS!$I$2:$I$20000,"Coro"),""))</f>
        <v/>
      </c>
      <c r="V325" t="str">
        <f>IF(S325="","",IFERROR(AVERAGEIFS(DATOS!$K$2:$K$20000,DATOS!$A$2:$A$20000,S325,DATOS!$G$2:$G$20000,CONFIG_METADATA!$B$4,DATOS!$I$2:$I$20000,"Conjunto"),""))</f>
        <v/>
      </c>
      <c r="W325" t="str" cm="1">
        <f t="array" ref="W325">IF(S325="","",IFERROR(AVERAGE(IF((DATOS!$A$2:$A$20000=S325)*(DATOS!$G$2:$G$20000=CONFIG_METADATA!$B$4)*(DATOS!$I$2:$I$20000&lt;&gt;"Lenguaje Musical")*(DATOS!$I$2:$I$20000&lt;&gt;"Coro")*(DATOS!$I$2:$I$20000&lt;&gt;"Conjunto"),DATOS!$K$2:$K$20000)),""))</f>
        <v/>
      </c>
    </row>
    <row r="326" spans="2:23" x14ac:dyDescent="0.2">
      <c r="B326" t="str">
        <f>IF(A326="","",IFERROR(AVERAGEIFS(DATOS!$K$2:$K$20000,DATOS!$A$2:$A$20000,A326,DATOS!$G$2:$G$20000,CONFIG_METADATA!$B$4,DATOS!$I$2:$I$20000,"Lenguaje Musical"),""))</f>
        <v/>
      </c>
      <c r="C326" t="str">
        <f>IF(A326="","",IFERROR(AVERAGEIFS(DATOS!$K$2:$K$20000,DATOS!$A$2:$A$20000,A326,DATOS!$G$2:$G$20000,CONFIG_METADATA!$B$4,DATOS!$I$2:$I$20000,"Coro"),""))</f>
        <v/>
      </c>
      <c r="D326" t="str">
        <f>IF(A326="","",IFERROR(AVERAGEIFS(DATOS!$K$2:$K$20000,DATOS!$A$2:$A$20000,A326,DATOS!$G$2:$G$20000,CONFIG_METADATA!$B$4,DATOS!$I$2:$I$20000,"Conjunto"),""))</f>
        <v/>
      </c>
      <c r="E326" t="str">
        <f>IF(A326="","",IFERROR(AVERAGEIFS(DATOS!$K$2:$K$20000,DATOS!$A$2:$A$20000,A326,DATOS!$G$2:$G$20000,CONFIG_METADATA!$B$4,DATOS!$I$2:$I$20000,"&lt;&gt;Lenguaje Musical",DATOS!$I$2:$I$20000,"&lt;&gt;Coro",DATOS!$I$2:$I$20000,"&lt;&gt;Conjunto"),""))</f>
        <v/>
      </c>
      <c r="H326" t="str">
        <f>IF(G326="","",IFERROR(AVERAGEIFS(DATOS!$K$2:$K$20000,DATOS!$A$2:$A$20000,G326,DATOS!$G$2:$G$20000,CONFIG_METADATA!$B$4,DATOS!$I$2:$I$20000,"Lenguaje Musical"),""))</f>
        <v/>
      </c>
      <c r="I326" t="str">
        <f>IF(G326="","",IFERROR(AVERAGEIFS(DATOS!$K$2:$K$20000,DATOS!$A$2:$A$20000,G326,DATOS!$G$2:$G$20000,CONFIG_METADATA!$B$4,DATOS!$I$2:$I$20000,"Coro"),""))</f>
        <v/>
      </c>
      <c r="J326" t="str">
        <f>IF(G326="","",IFERROR(AVERAGEIFS(DATOS!$K$2:$K$20000,DATOS!$A$2:$A$20000,G326,DATOS!$G$2:$G$20000,CONFIG_METADATA!$B$4,DATOS!$I$2:$I$20000,"Conjunto"),""))</f>
        <v/>
      </c>
      <c r="K326" t="str" cm="1">
        <f t="array" ref="K326">IF(G326="","",IFERROR(AVERAGE(IF((DATOS!$A$2:$A$20000=G326)*(DATOS!$G$2:$G$20000=CONFIG_METADATA!$B$4)*(DATOS!$I$2:$I$20000&lt;&gt;"Lenguaje Musical")*(DATOS!$I$2:$I$20000&lt;&gt;"Coro")*(DATOS!$I$2:$I$20000&lt;&gt;"Conjunto"),DATOS!$K$2:$K$20000)),""))</f>
        <v/>
      </c>
      <c r="N326" t="str">
        <f>IF(M326="","",IFERROR(AVERAGEIFS(DATOS!$K$2:$K$20000,DATOS!$A$2:$A$20000,M326,DATOS!$G$2:$G$20000,CONFIG_METADATA!$B$4,DATOS!$I$2:$I$20000,"Lenguaje Musical"),""))</f>
        <v/>
      </c>
      <c r="O326" t="str">
        <f>IF(M326="","",IFERROR(AVERAGEIFS(DATOS!$K$2:$K$20000,DATOS!$A$2:$A$20000,M326,DATOS!$G$2:$G$20000,CONFIG_METADATA!$B$4,DATOS!$I$2:$I$20000,"Coro"),""))</f>
        <v/>
      </c>
      <c r="P326" t="str">
        <f>IF(M326="","",IFERROR(AVERAGEIFS(DATOS!$K$2:$K$20000,DATOS!$A$2:$A$20000,M326,DATOS!$G$2:$G$20000,CONFIG_METADATA!$B$4,DATOS!$I$2:$I$20000,"Conjunto"),""))</f>
        <v/>
      </c>
      <c r="Q326" t="str">
        <f>IF(M326="","",IFERROR(AVERAGEIFS(DATOS!$K$2:$K$20000,DATOS!$A$2:$A$20000,M326,DATOS!$G$2:$G$20000,CONFIG_METADATA!$B$4,DATOS!$I$2:$I$20000,"&lt;&gt;Lenguaje Musical",DATOS!$I$2:$I$20000,"&lt;&gt;Coro",DATOS!$I$2:$I$20000,"&lt;&gt;Conjunto"),""))</f>
        <v/>
      </c>
      <c r="T326" t="str">
        <f>IF(S326="","",IFERROR(AVERAGEIFS(DATOS!$K$2:$K$20000,DATOS!$A$2:$A$20000,S326,DATOS!$G$2:$G$20000,CONFIG_METADATA!$B$4,DATOS!$I$2:$I$20000,"Lenguaje Musical"),""))</f>
        <v/>
      </c>
      <c r="U326" t="str">
        <f>IF(S326="","",IFERROR(AVERAGEIFS(DATOS!$K$2:$K$20000,DATOS!$A$2:$A$20000,S326,DATOS!$G$2:$G$20000,CONFIG_METADATA!$B$4,DATOS!$I$2:$I$20000,"Coro"),""))</f>
        <v/>
      </c>
      <c r="V326" t="str">
        <f>IF(S326="","",IFERROR(AVERAGEIFS(DATOS!$K$2:$K$20000,DATOS!$A$2:$A$20000,S326,DATOS!$G$2:$G$20000,CONFIG_METADATA!$B$4,DATOS!$I$2:$I$20000,"Conjunto"),""))</f>
        <v/>
      </c>
      <c r="W326" t="str" cm="1">
        <f t="array" ref="W326">IF(S326="","",IFERROR(AVERAGE(IF((DATOS!$A$2:$A$20000=S326)*(DATOS!$G$2:$G$20000=CONFIG_METADATA!$B$4)*(DATOS!$I$2:$I$20000&lt;&gt;"Lenguaje Musical")*(DATOS!$I$2:$I$20000&lt;&gt;"Coro")*(DATOS!$I$2:$I$20000&lt;&gt;"Conjunto"),DATOS!$K$2:$K$20000)),""))</f>
        <v/>
      </c>
    </row>
    <row r="327" spans="2:23" x14ac:dyDescent="0.2">
      <c r="B327" t="str">
        <f>IF(A327="","",IFERROR(AVERAGEIFS(DATOS!$K$2:$K$20000,DATOS!$A$2:$A$20000,A327,DATOS!$G$2:$G$20000,CONFIG_METADATA!$B$4,DATOS!$I$2:$I$20000,"Lenguaje Musical"),""))</f>
        <v/>
      </c>
      <c r="C327" t="str">
        <f>IF(A327="","",IFERROR(AVERAGEIFS(DATOS!$K$2:$K$20000,DATOS!$A$2:$A$20000,A327,DATOS!$G$2:$G$20000,CONFIG_METADATA!$B$4,DATOS!$I$2:$I$20000,"Coro"),""))</f>
        <v/>
      </c>
      <c r="D327" t="str">
        <f>IF(A327="","",IFERROR(AVERAGEIFS(DATOS!$K$2:$K$20000,DATOS!$A$2:$A$20000,A327,DATOS!$G$2:$G$20000,CONFIG_METADATA!$B$4,DATOS!$I$2:$I$20000,"Conjunto"),""))</f>
        <v/>
      </c>
      <c r="E327" t="str">
        <f>IF(A327="","",IFERROR(AVERAGEIFS(DATOS!$K$2:$K$20000,DATOS!$A$2:$A$20000,A327,DATOS!$G$2:$G$20000,CONFIG_METADATA!$B$4,DATOS!$I$2:$I$20000,"&lt;&gt;Lenguaje Musical",DATOS!$I$2:$I$20000,"&lt;&gt;Coro",DATOS!$I$2:$I$20000,"&lt;&gt;Conjunto"),""))</f>
        <v/>
      </c>
      <c r="H327" t="str">
        <f>IF(G327="","",IFERROR(AVERAGEIFS(DATOS!$K$2:$K$20000,DATOS!$A$2:$A$20000,G327,DATOS!$G$2:$G$20000,CONFIG_METADATA!$B$4,DATOS!$I$2:$I$20000,"Lenguaje Musical"),""))</f>
        <v/>
      </c>
      <c r="I327" t="str">
        <f>IF(G327="","",IFERROR(AVERAGEIFS(DATOS!$K$2:$K$20000,DATOS!$A$2:$A$20000,G327,DATOS!$G$2:$G$20000,CONFIG_METADATA!$B$4,DATOS!$I$2:$I$20000,"Coro"),""))</f>
        <v/>
      </c>
      <c r="J327" t="str">
        <f>IF(G327="","",IFERROR(AVERAGEIFS(DATOS!$K$2:$K$20000,DATOS!$A$2:$A$20000,G327,DATOS!$G$2:$G$20000,CONFIG_METADATA!$B$4,DATOS!$I$2:$I$20000,"Conjunto"),""))</f>
        <v/>
      </c>
      <c r="K327" t="str" cm="1">
        <f t="array" ref="K327">IF(G327="","",IFERROR(AVERAGE(IF((DATOS!$A$2:$A$20000=G327)*(DATOS!$G$2:$G$20000=CONFIG_METADATA!$B$4)*(DATOS!$I$2:$I$20000&lt;&gt;"Lenguaje Musical")*(DATOS!$I$2:$I$20000&lt;&gt;"Coro")*(DATOS!$I$2:$I$20000&lt;&gt;"Conjunto"),DATOS!$K$2:$K$20000)),""))</f>
        <v/>
      </c>
      <c r="N327" t="str">
        <f>IF(M327="","",IFERROR(AVERAGEIFS(DATOS!$K$2:$K$20000,DATOS!$A$2:$A$20000,M327,DATOS!$G$2:$G$20000,CONFIG_METADATA!$B$4,DATOS!$I$2:$I$20000,"Lenguaje Musical"),""))</f>
        <v/>
      </c>
      <c r="O327" t="str">
        <f>IF(M327="","",IFERROR(AVERAGEIFS(DATOS!$K$2:$K$20000,DATOS!$A$2:$A$20000,M327,DATOS!$G$2:$G$20000,CONFIG_METADATA!$B$4,DATOS!$I$2:$I$20000,"Coro"),""))</f>
        <v/>
      </c>
      <c r="P327" t="str">
        <f>IF(M327="","",IFERROR(AVERAGEIFS(DATOS!$K$2:$K$20000,DATOS!$A$2:$A$20000,M327,DATOS!$G$2:$G$20000,CONFIG_METADATA!$B$4,DATOS!$I$2:$I$20000,"Conjunto"),""))</f>
        <v/>
      </c>
      <c r="Q327" t="str">
        <f>IF(M327="","",IFERROR(AVERAGEIFS(DATOS!$K$2:$K$20000,DATOS!$A$2:$A$20000,M327,DATOS!$G$2:$G$20000,CONFIG_METADATA!$B$4,DATOS!$I$2:$I$20000,"&lt;&gt;Lenguaje Musical",DATOS!$I$2:$I$20000,"&lt;&gt;Coro",DATOS!$I$2:$I$20000,"&lt;&gt;Conjunto"),""))</f>
        <v/>
      </c>
      <c r="T327" t="str">
        <f>IF(S327="","",IFERROR(AVERAGEIFS(DATOS!$K$2:$K$20000,DATOS!$A$2:$A$20000,S327,DATOS!$G$2:$G$20000,CONFIG_METADATA!$B$4,DATOS!$I$2:$I$20000,"Lenguaje Musical"),""))</f>
        <v/>
      </c>
      <c r="U327" t="str">
        <f>IF(S327="","",IFERROR(AVERAGEIFS(DATOS!$K$2:$K$20000,DATOS!$A$2:$A$20000,S327,DATOS!$G$2:$G$20000,CONFIG_METADATA!$B$4,DATOS!$I$2:$I$20000,"Coro"),""))</f>
        <v/>
      </c>
      <c r="V327" t="str">
        <f>IF(S327="","",IFERROR(AVERAGEIFS(DATOS!$K$2:$K$20000,DATOS!$A$2:$A$20000,S327,DATOS!$G$2:$G$20000,CONFIG_METADATA!$B$4,DATOS!$I$2:$I$20000,"Conjunto"),""))</f>
        <v/>
      </c>
      <c r="W327" t="str" cm="1">
        <f t="array" ref="W327">IF(S327="","",IFERROR(AVERAGE(IF((DATOS!$A$2:$A$20000=S327)*(DATOS!$G$2:$G$20000=CONFIG_METADATA!$B$4)*(DATOS!$I$2:$I$20000&lt;&gt;"Lenguaje Musical")*(DATOS!$I$2:$I$20000&lt;&gt;"Coro")*(DATOS!$I$2:$I$20000&lt;&gt;"Conjunto"),DATOS!$K$2:$K$20000)),""))</f>
        <v/>
      </c>
    </row>
    <row r="328" spans="2:23" x14ac:dyDescent="0.2">
      <c r="B328" t="str">
        <f>IF(A328="","",IFERROR(AVERAGEIFS(DATOS!$K$2:$K$20000,DATOS!$A$2:$A$20000,A328,DATOS!$G$2:$G$20000,CONFIG_METADATA!$B$4,DATOS!$I$2:$I$20000,"Lenguaje Musical"),""))</f>
        <v/>
      </c>
      <c r="C328" t="str">
        <f>IF(A328="","",IFERROR(AVERAGEIFS(DATOS!$K$2:$K$20000,DATOS!$A$2:$A$20000,A328,DATOS!$G$2:$G$20000,CONFIG_METADATA!$B$4,DATOS!$I$2:$I$20000,"Coro"),""))</f>
        <v/>
      </c>
      <c r="D328" t="str">
        <f>IF(A328="","",IFERROR(AVERAGEIFS(DATOS!$K$2:$K$20000,DATOS!$A$2:$A$20000,A328,DATOS!$G$2:$G$20000,CONFIG_METADATA!$B$4,DATOS!$I$2:$I$20000,"Conjunto"),""))</f>
        <v/>
      </c>
      <c r="E328" t="str">
        <f>IF(A328="","",IFERROR(AVERAGEIFS(DATOS!$K$2:$K$20000,DATOS!$A$2:$A$20000,A328,DATOS!$G$2:$G$20000,CONFIG_METADATA!$B$4,DATOS!$I$2:$I$20000,"&lt;&gt;Lenguaje Musical",DATOS!$I$2:$I$20000,"&lt;&gt;Coro",DATOS!$I$2:$I$20000,"&lt;&gt;Conjunto"),""))</f>
        <v/>
      </c>
      <c r="H328" t="str">
        <f>IF(G328="","",IFERROR(AVERAGEIFS(DATOS!$K$2:$K$20000,DATOS!$A$2:$A$20000,G328,DATOS!$G$2:$G$20000,CONFIG_METADATA!$B$4,DATOS!$I$2:$I$20000,"Lenguaje Musical"),""))</f>
        <v/>
      </c>
      <c r="I328" t="str">
        <f>IF(G328="","",IFERROR(AVERAGEIFS(DATOS!$K$2:$K$20000,DATOS!$A$2:$A$20000,G328,DATOS!$G$2:$G$20000,CONFIG_METADATA!$B$4,DATOS!$I$2:$I$20000,"Coro"),""))</f>
        <v/>
      </c>
      <c r="J328" t="str">
        <f>IF(G328="","",IFERROR(AVERAGEIFS(DATOS!$K$2:$K$20000,DATOS!$A$2:$A$20000,G328,DATOS!$G$2:$G$20000,CONFIG_METADATA!$B$4,DATOS!$I$2:$I$20000,"Conjunto"),""))</f>
        <v/>
      </c>
      <c r="K328" t="str" cm="1">
        <f t="array" ref="K328">IF(G328="","",IFERROR(AVERAGE(IF((DATOS!$A$2:$A$20000=G328)*(DATOS!$G$2:$G$20000=CONFIG_METADATA!$B$4)*(DATOS!$I$2:$I$20000&lt;&gt;"Lenguaje Musical")*(DATOS!$I$2:$I$20000&lt;&gt;"Coro")*(DATOS!$I$2:$I$20000&lt;&gt;"Conjunto"),DATOS!$K$2:$K$20000)),""))</f>
        <v/>
      </c>
      <c r="N328" t="str">
        <f>IF(M328="","",IFERROR(AVERAGEIFS(DATOS!$K$2:$K$20000,DATOS!$A$2:$A$20000,M328,DATOS!$G$2:$G$20000,CONFIG_METADATA!$B$4,DATOS!$I$2:$I$20000,"Lenguaje Musical"),""))</f>
        <v/>
      </c>
      <c r="O328" t="str">
        <f>IF(M328="","",IFERROR(AVERAGEIFS(DATOS!$K$2:$K$20000,DATOS!$A$2:$A$20000,M328,DATOS!$G$2:$G$20000,CONFIG_METADATA!$B$4,DATOS!$I$2:$I$20000,"Coro"),""))</f>
        <v/>
      </c>
      <c r="P328" t="str">
        <f>IF(M328="","",IFERROR(AVERAGEIFS(DATOS!$K$2:$K$20000,DATOS!$A$2:$A$20000,M328,DATOS!$G$2:$G$20000,CONFIG_METADATA!$B$4,DATOS!$I$2:$I$20000,"Conjunto"),""))</f>
        <v/>
      </c>
      <c r="Q328" t="str">
        <f>IF(M328="","",IFERROR(AVERAGEIFS(DATOS!$K$2:$K$20000,DATOS!$A$2:$A$20000,M328,DATOS!$G$2:$G$20000,CONFIG_METADATA!$B$4,DATOS!$I$2:$I$20000,"&lt;&gt;Lenguaje Musical",DATOS!$I$2:$I$20000,"&lt;&gt;Coro",DATOS!$I$2:$I$20000,"&lt;&gt;Conjunto"),""))</f>
        <v/>
      </c>
      <c r="T328" t="str">
        <f>IF(S328="","",IFERROR(AVERAGEIFS(DATOS!$K$2:$K$20000,DATOS!$A$2:$A$20000,S328,DATOS!$G$2:$G$20000,CONFIG_METADATA!$B$4,DATOS!$I$2:$I$20000,"Lenguaje Musical"),""))</f>
        <v/>
      </c>
      <c r="U328" t="str">
        <f>IF(S328="","",IFERROR(AVERAGEIFS(DATOS!$K$2:$K$20000,DATOS!$A$2:$A$20000,S328,DATOS!$G$2:$G$20000,CONFIG_METADATA!$B$4,DATOS!$I$2:$I$20000,"Coro"),""))</f>
        <v/>
      </c>
      <c r="V328" t="str">
        <f>IF(S328="","",IFERROR(AVERAGEIFS(DATOS!$K$2:$K$20000,DATOS!$A$2:$A$20000,S328,DATOS!$G$2:$G$20000,CONFIG_METADATA!$B$4,DATOS!$I$2:$I$20000,"Conjunto"),""))</f>
        <v/>
      </c>
      <c r="W328" t="str" cm="1">
        <f t="array" ref="W328">IF(S328="","",IFERROR(AVERAGE(IF((DATOS!$A$2:$A$20000=S328)*(DATOS!$G$2:$G$20000=CONFIG_METADATA!$B$4)*(DATOS!$I$2:$I$20000&lt;&gt;"Lenguaje Musical")*(DATOS!$I$2:$I$20000&lt;&gt;"Coro")*(DATOS!$I$2:$I$20000&lt;&gt;"Conjunto"),DATOS!$K$2:$K$20000)),""))</f>
        <v/>
      </c>
    </row>
    <row r="329" spans="2:23" x14ac:dyDescent="0.2">
      <c r="B329" t="str">
        <f>IF(A329="","",IFERROR(AVERAGEIFS(DATOS!$K$2:$K$20000,DATOS!$A$2:$A$20000,A329,DATOS!$G$2:$G$20000,CONFIG_METADATA!$B$4,DATOS!$I$2:$I$20000,"Lenguaje Musical"),""))</f>
        <v/>
      </c>
      <c r="C329" t="str">
        <f>IF(A329="","",IFERROR(AVERAGEIFS(DATOS!$K$2:$K$20000,DATOS!$A$2:$A$20000,A329,DATOS!$G$2:$G$20000,CONFIG_METADATA!$B$4,DATOS!$I$2:$I$20000,"Coro"),""))</f>
        <v/>
      </c>
      <c r="D329" t="str">
        <f>IF(A329="","",IFERROR(AVERAGEIFS(DATOS!$K$2:$K$20000,DATOS!$A$2:$A$20000,A329,DATOS!$G$2:$G$20000,CONFIG_METADATA!$B$4,DATOS!$I$2:$I$20000,"Conjunto"),""))</f>
        <v/>
      </c>
      <c r="E329" t="str">
        <f>IF(A329="","",IFERROR(AVERAGEIFS(DATOS!$K$2:$K$20000,DATOS!$A$2:$A$20000,A329,DATOS!$G$2:$G$20000,CONFIG_METADATA!$B$4,DATOS!$I$2:$I$20000,"&lt;&gt;Lenguaje Musical",DATOS!$I$2:$I$20000,"&lt;&gt;Coro",DATOS!$I$2:$I$20000,"&lt;&gt;Conjunto"),""))</f>
        <v/>
      </c>
      <c r="H329" t="str">
        <f>IF(G329="","",IFERROR(AVERAGEIFS(DATOS!$K$2:$K$20000,DATOS!$A$2:$A$20000,G329,DATOS!$G$2:$G$20000,CONFIG_METADATA!$B$4,DATOS!$I$2:$I$20000,"Lenguaje Musical"),""))</f>
        <v/>
      </c>
      <c r="I329" t="str">
        <f>IF(G329="","",IFERROR(AVERAGEIFS(DATOS!$K$2:$K$20000,DATOS!$A$2:$A$20000,G329,DATOS!$G$2:$G$20000,CONFIG_METADATA!$B$4,DATOS!$I$2:$I$20000,"Coro"),""))</f>
        <v/>
      </c>
      <c r="J329" t="str">
        <f>IF(G329="","",IFERROR(AVERAGEIFS(DATOS!$K$2:$K$20000,DATOS!$A$2:$A$20000,G329,DATOS!$G$2:$G$20000,CONFIG_METADATA!$B$4,DATOS!$I$2:$I$20000,"Conjunto"),""))</f>
        <v/>
      </c>
      <c r="K329" t="str" cm="1">
        <f t="array" ref="K329">IF(G329="","",IFERROR(AVERAGE(IF((DATOS!$A$2:$A$20000=G329)*(DATOS!$G$2:$G$20000=CONFIG_METADATA!$B$4)*(DATOS!$I$2:$I$20000&lt;&gt;"Lenguaje Musical")*(DATOS!$I$2:$I$20000&lt;&gt;"Coro")*(DATOS!$I$2:$I$20000&lt;&gt;"Conjunto"),DATOS!$K$2:$K$20000)),""))</f>
        <v/>
      </c>
      <c r="N329" t="str">
        <f>IF(M329="","",IFERROR(AVERAGEIFS(DATOS!$K$2:$K$20000,DATOS!$A$2:$A$20000,M329,DATOS!$G$2:$G$20000,CONFIG_METADATA!$B$4,DATOS!$I$2:$I$20000,"Lenguaje Musical"),""))</f>
        <v/>
      </c>
      <c r="O329" t="str">
        <f>IF(M329="","",IFERROR(AVERAGEIFS(DATOS!$K$2:$K$20000,DATOS!$A$2:$A$20000,M329,DATOS!$G$2:$G$20000,CONFIG_METADATA!$B$4,DATOS!$I$2:$I$20000,"Coro"),""))</f>
        <v/>
      </c>
      <c r="P329" t="str">
        <f>IF(M329="","",IFERROR(AVERAGEIFS(DATOS!$K$2:$K$20000,DATOS!$A$2:$A$20000,M329,DATOS!$G$2:$G$20000,CONFIG_METADATA!$B$4,DATOS!$I$2:$I$20000,"Conjunto"),""))</f>
        <v/>
      </c>
      <c r="Q329" t="str">
        <f>IF(M329="","",IFERROR(AVERAGEIFS(DATOS!$K$2:$K$20000,DATOS!$A$2:$A$20000,M329,DATOS!$G$2:$G$20000,CONFIG_METADATA!$B$4,DATOS!$I$2:$I$20000,"&lt;&gt;Lenguaje Musical",DATOS!$I$2:$I$20000,"&lt;&gt;Coro",DATOS!$I$2:$I$20000,"&lt;&gt;Conjunto"),""))</f>
        <v/>
      </c>
      <c r="T329" t="str">
        <f>IF(S329="","",IFERROR(AVERAGEIFS(DATOS!$K$2:$K$20000,DATOS!$A$2:$A$20000,S329,DATOS!$G$2:$G$20000,CONFIG_METADATA!$B$4,DATOS!$I$2:$I$20000,"Lenguaje Musical"),""))</f>
        <v/>
      </c>
      <c r="U329" t="str">
        <f>IF(S329="","",IFERROR(AVERAGEIFS(DATOS!$K$2:$K$20000,DATOS!$A$2:$A$20000,S329,DATOS!$G$2:$G$20000,CONFIG_METADATA!$B$4,DATOS!$I$2:$I$20000,"Coro"),""))</f>
        <v/>
      </c>
      <c r="V329" t="str">
        <f>IF(S329="","",IFERROR(AVERAGEIFS(DATOS!$K$2:$K$20000,DATOS!$A$2:$A$20000,S329,DATOS!$G$2:$G$20000,CONFIG_METADATA!$B$4,DATOS!$I$2:$I$20000,"Conjunto"),""))</f>
        <v/>
      </c>
      <c r="W329" t="str" cm="1">
        <f t="array" ref="W329">IF(S329="","",IFERROR(AVERAGE(IF((DATOS!$A$2:$A$20000=S329)*(DATOS!$G$2:$G$20000=CONFIG_METADATA!$B$4)*(DATOS!$I$2:$I$20000&lt;&gt;"Lenguaje Musical")*(DATOS!$I$2:$I$20000&lt;&gt;"Coro")*(DATOS!$I$2:$I$20000&lt;&gt;"Conjunto"),DATOS!$K$2:$K$20000)),""))</f>
        <v/>
      </c>
    </row>
    <row r="330" spans="2:23" x14ac:dyDescent="0.2">
      <c r="B330" t="str">
        <f>IF(A330="","",IFERROR(AVERAGEIFS(DATOS!$K$2:$K$20000,DATOS!$A$2:$A$20000,A330,DATOS!$G$2:$G$20000,CONFIG_METADATA!$B$4,DATOS!$I$2:$I$20000,"Lenguaje Musical"),""))</f>
        <v/>
      </c>
      <c r="C330" t="str">
        <f>IF(A330="","",IFERROR(AVERAGEIFS(DATOS!$K$2:$K$20000,DATOS!$A$2:$A$20000,A330,DATOS!$G$2:$G$20000,CONFIG_METADATA!$B$4,DATOS!$I$2:$I$20000,"Coro"),""))</f>
        <v/>
      </c>
      <c r="D330" t="str">
        <f>IF(A330="","",IFERROR(AVERAGEIFS(DATOS!$K$2:$K$20000,DATOS!$A$2:$A$20000,A330,DATOS!$G$2:$G$20000,CONFIG_METADATA!$B$4,DATOS!$I$2:$I$20000,"Conjunto"),""))</f>
        <v/>
      </c>
      <c r="E330" t="str">
        <f>IF(A330="","",IFERROR(AVERAGEIFS(DATOS!$K$2:$K$20000,DATOS!$A$2:$A$20000,A330,DATOS!$G$2:$G$20000,CONFIG_METADATA!$B$4,DATOS!$I$2:$I$20000,"&lt;&gt;Lenguaje Musical",DATOS!$I$2:$I$20000,"&lt;&gt;Coro",DATOS!$I$2:$I$20000,"&lt;&gt;Conjunto"),""))</f>
        <v/>
      </c>
      <c r="H330" t="str">
        <f>IF(G330="","",IFERROR(AVERAGEIFS(DATOS!$K$2:$K$20000,DATOS!$A$2:$A$20000,G330,DATOS!$G$2:$G$20000,CONFIG_METADATA!$B$4,DATOS!$I$2:$I$20000,"Lenguaje Musical"),""))</f>
        <v/>
      </c>
      <c r="I330" t="str">
        <f>IF(G330="","",IFERROR(AVERAGEIFS(DATOS!$K$2:$K$20000,DATOS!$A$2:$A$20000,G330,DATOS!$G$2:$G$20000,CONFIG_METADATA!$B$4,DATOS!$I$2:$I$20000,"Coro"),""))</f>
        <v/>
      </c>
      <c r="J330" t="str">
        <f>IF(G330="","",IFERROR(AVERAGEIFS(DATOS!$K$2:$K$20000,DATOS!$A$2:$A$20000,G330,DATOS!$G$2:$G$20000,CONFIG_METADATA!$B$4,DATOS!$I$2:$I$20000,"Conjunto"),""))</f>
        <v/>
      </c>
      <c r="K330" t="str" cm="1">
        <f t="array" ref="K330">IF(G330="","",IFERROR(AVERAGE(IF((DATOS!$A$2:$A$20000=G330)*(DATOS!$G$2:$G$20000=CONFIG_METADATA!$B$4)*(DATOS!$I$2:$I$20000&lt;&gt;"Lenguaje Musical")*(DATOS!$I$2:$I$20000&lt;&gt;"Coro")*(DATOS!$I$2:$I$20000&lt;&gt;"Conjunto"),DATOS!$K$2:$K$20000)),""))</f>
        <v/>
      </c>
      <c r="N330" t="str">
        <f>IF(M330="","",IFERROR(AVERAGEIFS(DATOS!$K$2:$K$20000,DATOS!$A$2:$A$20000,M330,DATOS!$G$2:$G$20000,CONFIG_METADATA!$B$4,DATOS!$I$2:$I$20000,"Lenguaje Musical"),""))</f>
        <v/>
      </c>
      <c r="O330" t="str">
        <f>IF(M330="","",IFERROR(AVERAGEIFS(DATOS!$K$2:$K$20000,DATOS!$A$2:$A$20000,M330,DATOS!$G$2:$G$20000,CONFIG_METADATA!$B$4,DATOS!$I$2:$I$20000,"Coro"),""))</f>
        <v/>
      </c>
      <c r="P330" t="str">
        <f>IF(M330="","",IFERROR(AVERAGEIFS(DATOS!$K$2:$K$20000,DATOS!$A$2:$A$20000,M330,DATOS!$G$2:$G$20000,CONFIG_METADATA!$B$4,DATOS!$I$2:$I$20000,"Conjunto"),""))</f>
        <v/>
      </c>
      <c r="Q330" t="str">
        <f>IF(M330="","",IFERROR(AVERAGEIFS(DATOS!$K$2:$K$20000,DATOS!$A$2:$A$20000,M330,DATOS!$G$2:$G$20000,CONFIG_METADATA!$B$4,DATOS!$I$2:$I$20000,"&lt;&gt;Lenguaje Musical",DATOS!$I$2:$I$20000,"&lt;&gt;Coro",DATOS!$I$2:$I$20000,"&lt;&gt;Conjunto"),""))</f>
        <v/>
      </c>
      <c r="T330" t="str">
        <f>IF(S330="","",IFERROR(AVERAGEIFS(DATOS!$K$2:$K$20000,DATOS!$A$2:$A$20000,S330,DATOS!$G$2:$G$20000,CONFIG_METADATA!$B$4,DATOS!$I$2:$I$20000,"Lenguaje Musical"),""))</f>
        <v/>
      </c>
      <c r="U330" t="str">
        <f>IF(S330="","",IFERROR(AVERAGEIFS(DATOS!$K$2:$K$20000,DATOS!$A$2:$A$20000,S330,DATOS!$G$2:$G$20000,CONFIG_METADATA!$B$4,DATOS!$I$2:$I$20000,"Coro"),""))</f>
        <v/>
      </c>
      <c r="V330" t="str">
        <f>IF(S330="","",IFERROR(AVERAGEIFS(DATOS!$K$2:$K$20000,DATOS!$A$2:$A$20000,S330,DATOS!$G$2:$G$20000,CONFIG_METADATA!$B$4,DATOS!$I$2:$I$20000,"Conjunto"),""))</f>
        <v/>
      </c>
      <c r="W330" t="str" cm="1">
        <f t="array" ref="W330">IF(S330="","",IFERROR(AVERAGE(IF((DATOS!$A$2:$A$20000=S330)*(DATOS!$G$2:$G$20000=CONFIG_METADATA!$B$4)*(DATOS!$I$2:$I$20000&lt;&gt;"Lenguaje Musical")*(DATOS!$I$2:$I$20000&lt;&gt;"Coro")*(DATOS!$I$2:$I$20000&lt;&gt;"Conjunto"),DATOS!$K$2:$K$20000)),""))</f>
        <v/>
      </c>
    </row>
    <row r="331" spans="2:23" x14ac:dyDescent="0.2">
      <c r="B331" t="str">
        <f>IF(A331="","",IFERROR(AVERAGEIFS(DATOS!$K$2:$K$20000,DATOS!$A$2:$A$20000,A331,DATOS!$G$2:$G$20000,CONFIG_METADATA!$B$4,DATOS!$I$2:$I$20000,"Lenguaje Musical"),""))</f>
        <v/>
      </c>
      <c r="C331" t="str">
        <f>IF(A331="","",IFERROR(AVERAGEIFS(DATOS!$K$2:$K$20000,DATOS!$A$2:$A$20000,A331,DATOS!$G$2:$G$20000,CONFIG_METADATA!$B$4,DATOS!$I$2:$I$20000,"Coro"),""))</f>
        <v/>
      </c>
      <c r="D331" t="str">
        <f>IF(A331="","",IFERROR(AVERAGEIFS(DATOS!$K$2:$K$20000,DATOS!$A$2:$A$20000,A331,DATOS!$G$2:$G$20000,CONFIG_METADATA!$B$4,DATOS!$I$2:$I$20000,"Conjunto"),""))</f>
        <v/>
      </c>
      <c r="E331" t="str">
        <f>IF(A331="","",IFERROR(AVERAGEIFS(DATOS!$K$2:$K$20000,DATOS!$A$2:$A$20000,A331,DATOS!$G$2:$G$20000,CONFIG_METADATA!$B$4,DATOS!$I$2:$I$20000,"&lt;&gt;Lenguaje Musical",DATOS!$I$2:$I$20000,"&lt;&gt;Coro",DATOS!$I$2:$I$20000,"&lt;&gt;Conjunto"),""))</f>
        <v/>
      </c>
      <c r="H331" t="str">
        <f>IF(G331="","",IFERROR(AVERAGEIFS(DATOS!$K$2:$K$20000,DATOS!$A$2:$A$20000,G331,DATOS!$G$2:$G$20000,CONFIG_METADATA!$B$4,DATOS!$I$2:$I$20000,"Lenguaje Musical"),""))</f>
        <v/>
      </c>
      <c r="I331" t="str">
        <f>IF(G331="","",IFERROR(AVERAGEIFS(DATOS!$K$2:$K$20000,DATOS!$A$2:$A$20000,G331,DATOS!$G$2:$G$20000,CONFIG_METADATA!$B$4,DATOS!$I$2:$I$20000,"Coro"),""))</f>
        <v/>
      </c>
      <c r="J331" t="str">
        <f>IF(G331="","",IFERROR(AVERAGEIFS(DATOS!$K$2:$K$20000,DATOS!$A$2:$A$20000,G331,DATOS!$G$2:$G$20000,CONFIG_METADATA!$B$4,DATOS!$I$2:$I$20000,"Conjunto"),""))</f>
        <v/>
      </c>
      <c r="K331" t="str" cm="1">
        <f t="array" ref="K331">IF(G331="","",IFERROR(AVERAGE(IF((DATOS!$A$2:$A$20000=G331)*(DATOS!$G$2:$G$20000=CONFIG_METADATA!$B$4)*(DATOS!$I$2:$I$20000&lt;&gt;"Lenguaje Musical")*(DATOS!$I$2:$I$20000&lt;&gt;"Coro")*(DATOS!$I$2:$I$20000&lt;&gt;"Conjunto"),DATOS!$K$2:$K$20000)),""))</f>
        <v/>
      </c>
      <c r="N331" t="str">
        <f>IF(M331="","",IFERROR(AVERAGEIFS(DATOS!$K$2:$K$20000,DATOS!$A$2:$A$20000,M331,DATOS!$G$2:$G$20000,CONFIG_METADATA!$B$4,DATOS!$I$2:$I$20000,"Lenguaje Musical"),""))</f>
        <v/>
      </c>
      <c r="O331" t="str">
        <f>IF(M331="","",IFERROR(AVERAGEIFS(DATOS!$K$2:$K$20000,DATOS!$A$2:$A$20000,M331,DATOS!$G$2:$G$20000,CONFIG_METADATA!$B$4,DATOS!$I$2:$I$20000,"Coro"),""))</f>
        <v/>
      </c>
      <c r="P331" t="str">
        <f>IF(M331="","",IFERROR(AVERAGEIFS(DATOS!$K$2:$K$20000,DATOS!$A$2:$A$20000,M331,DATOS!$G$2:$G$20000,CONFIG_METADATA!$B$4,DATOS!$I$2:$I$20000,"Conjunto"),""))</f>
        <v/>
      </c>
      <c r="Q331" t="str">
        <f>IF(M331="","",IFERROR(AVERAGEIFS(DATOS!$K$2:$K$20000,DATOS!$A$2:$A$20000,M331,DATOS!$G$2:$G$20000,CONFIG_METADATA!$B$4,DATOS!$I$2:$I$20000,"&lt;&gt;Lenguaje Musical",DATOS!$I$2:$I$20000,"&lt;&gt;Coro",DATOS!$I$2:$I$20000,"&lt;&gt;Conjunto"),""))</f>
        <v/>
      </c>
      <c r="T331" t="str">
        <f>IF(S331="","",IFERROR(AVERAGEIFS(DATOS!$K$2:$K$20000,DATOS!$A$2:$A$20000,S331,DATOS!$G$2:$G$20000,CONFIG_METADATA!$B$4,DATOS!$I$2:$I$20000,"Lenguaje Musical"),""))</f>
        <v/>
      </c>
      <c r="U331" t="str">
        <f>IF(S331="","",IFERROR(AVERAGEIFS(DATOS!$K$2:$K$20000,DATOS!$A$2:$A$20000,S331,DATOS!$G$2:$G$20000,CONFIG_METADATA!$B$4,DATOS!$I$2:$I$20000,"Coro"),""))</f>
        <v/>
      </c>
      <c r="V331" t="str">
        <f>IF(S331="","",IFERROR(AVERAGEIFS(DATOS!$K$2:$K$20000,DATOS!$A$2:$A$20000,S331,DATOS!$G$2:$G$20000,CONFIG_METADATA!$B$4,DATOS!$I$2:$I$20000,"Conjunto"),""))</f>
        <v/>
      </c>
      <c r="W331" t="str" cm="1">
        <f t="array" ref="W331">IF(S331="","",IFERROR(AVERAGE(IF((DATOS!$A$2:$A$20000=S331)*(DATOS!$G$2:$G$20000=CONFIG_METADATA!$B$4)*(DATOS!$I$2:$I$20000&lt;&gt;"Lenguaje Musical")*(DATOS!$I$2:$I$20000&lt;&gt;"Coro")*(DATOS!$I$2:$I$20000&lt;&gt;"Conjunto"),DATOS!$K$2:$K$20000)),""))</f>
        <v/>
      </c>
    </row>
    <row r="332" spans="2:23" x14ac:dyDescent="0.2">
      <c r="B332" t="str">
        <f>IF(A332="","",IFERROR(AVERAGEIFS(DATOS!$K$2:$K$20000,DATOS!$A$2:$A$20000,A332,DATOS!$G$2:$G$20000,CONFIG_METADATA!$B$4,DATOS!$I$2:$I$20000,"Lenguaje Musical"),""))</f>
        <v/>
      </c>
      <c r="C332" t="str">
        <f>IF(A332="","",IFERROR(AVERAGEIFS(DATOS!$K$2:$K$20000,DATOS!$A$2:$A$20000,A332,DATOS!$G$2:$G$20000,CONFIG_METADATA!$B$4,DATOS!$I$2:$I$20000,"Coro"),""))</f>
        <v/>
      </c>
      <c r="D332" t="str">
        <f>IF(A332="","",IFERROR(AVERAGEIFS(DATOS!$K$2:$K$20000,DATOS!$A$2:$A$20000,A332,DATOS!$G$2:$G$20000,CONFIG_METADATA!$B$4,DATOS!$I$2:$I$20000,"Conjunto"),""))</f>
        <v/>
      </c>
      <c r="E332" t="str">
        <f>IF(A332="","",IFERROR(AVERAGEIFS(DATOS!$K$2:$K$20000,DATOS!$A$2:$A$20000,A332,DATOS!$G$2:$G$20000,CONFIG_METADATA!$B$4,DATOS!$I$2:$I$20000,"&lt;&gt;Lenguaje Musical",DATOS!$I$2:$I$20000,"&lt;&gt;Coro",DATOS!$I$2:$I$20000,"&lt;&gt;Conjunto"),""))</f>
        <v/>
      </c>
      <c r="H332" t="str">
        <f>IF(G332="","",IFERROR(AVERAGEIFS(DATOS!$K$2:$K$20000,DATOS!$A$2:$A$20000,G332,DATOS!$G$2:$G$20000,CONFIG_METADATA!$B$4,DATOS!$I$2:$I$20000,"Lenguaje Musical"),""))</f>
        <v/>
      </c>
      <c r="I332" t="str">
        <f>IF(G332="","",IFERROR(AVERAGEIFS(DATOS!$K$2:$K$20000,DATOS!$A$2:$A$20000,G332,DATOS!$G$2:$G$20000,CONFIG_METADATA!$B$4,DATOS!$I$2:$I$20000,"Coro"),""))</f>
        <v/>
      </c>
      <c r="J332" t="str">
        <f>IF(G332="","",IFERROR(AVERAGEIFS(DATOS!$K$2:$K$20000,DATOS!$A$2:$A$20000,G332,DATOS!$G$2:$G$20000,CONFIG_METADATA!$B$4,DATOS!$I$2:$I$20000,"Conjunto"),""))</f>
        <v/>
      </c>
      <c r="K332" t="str" cm="1">
        <f t="array" ref="K332">IF(G332="","",IFERROR(AVERAGE(IF((DATOS!$A$2:$A$20000=G332)*(DATOS!$G$2:$G$20000=CONFIG_METADATA!$B$4)*(DATOS!$I$2:$I$20000&lt;&gt;"Lenguaje Musical")*(DATOS!$I$2:$I$20000&lt;&gt;"Coro")*(DATOS!$I$2:$I$20000&lt;&gt;"Conjunto"),DATOS!$K$2:$K$20000)),""))</f>
        <v/>
      </c>
      <c r="N332" t="str">
        <f>IF(M332="","",IFERROR(AVERAGEIFS(DATOS!$K$2:$K$20000,DATOS!$A$2:$A$20000,M332,DATOS!$G$2:$G$20000,CONFIG_METADATA!$B$4,DATOS!$I$2:$I$20000,"Lenguaje Musical"),""))</f>
        <v/>
      </c>
      <c r="O332" t="str">
        <f>IF(M332="","",IFERROR(AVERAGEIFS(DATOS!$K$2:$K$20000,DATOS!$A$2:$A$20000,M332,DATOS!$G$2:$G$20000,CONFIG_METADATA!$B$4,DATOS!$I$2:$I$20000,"Coro"),""))</f>
        <v/>
      </c>
      <c r="P332" t="str">
        <f>IF(M332="","",IFERROR(AVERAGEIFS(DATOS!$K$2:$K$20000,DATOS!$A$2:$A$20000,M332,DATOS!$G$2:$G$20000,CONFIG_METADATA!$B$4,DATOS!$I$2:$I$20000,"Conjunto"),""))</f>
        <v/>
      </c>
      <c r="Q332" t="str">
        <f>IF(M332="","",IFERROR(AVERAGEIFS(DATOS!$K$2:$K$20000,DATOS!$A$2:$A$20000,M332,DATOS!$G$2:$G$20000,CONFIG_METADATA!$B$4,DATOS!$I$2:$I$20000,"&lt;&gt;Lenguaje Musical",DATOS!$I$2:$I$20000,"&lt;&gt;Coro",DATOS!$I$2:$I$20000,"&lt;&gt;Conjunto"),""))</f>
        <v/>
      </c>
      <c r="T332" t="str">
        <f>IF(S332="","",IFERROR(AVERAGEIFS(DATOS!$K$2:$K$20000,DATOS!$A$2:$A$20000,S332,DATOS!$G$2:$G$20000,CONFIG_METADATA!$B$4,DATOS!$I$2:$I$20000,"Lenguaje Musical"),""))</f>
        <v/>
      </c>
      <c r="U332" t="str">
        <f>IF(S332="","",IFERROR(AVERAGEIFS(DATOS!$K$2:$K$20000,DATOS!$A$2:$A$20000,S332,DATOS!$G$2:$G$20000,CONFIG_METADATA!$B$4,DATOS!$I$2:$I$20000,"Coro"),""))</f>
        <v/>
      </c>
      <c r="V332" t="str">
        <f>IF(S332="","",IFERROR(AVERAGEIFS(DATOS!$K$2:$K$20000,DATOS!$A$2:$A$20000,S332,DATOS!$G$2:$G$20000,CONFIG_METADATA!$B$4,DATOS!$I$2:$I$20000,"Conjunto"),""))</f>
        <v/>
      </c>
      <c r="W332" t="str" cm="1">
        <f t="array" ref="W332">IF(S332="","",IFERROR(AVERAGE(IF((DATOS!$A$2:$A$20000=S332)*(DATOS!$G$2:$G$20000=CONFIG_METADATA!$B$4)*(DATOS!$I$2:$I$20000&lt;&gt;"Lenguaje Musical")*(DATOS!$I$2:$I$20000&lt;&gt;"Coro")*(DATOS!$I$2:$I$20000&lt;&gt;"Conjunto"),DATOS!$K$2:$K$20000)),""))</f>
        <v/>
      </c>
    </row>
    <row r="333" spans="2:23" x14ac:dyDescent="0.2">
      <c r="B333" t="str">
        <f>IF(A333="","",IFERROR(AVERAGEIFS(DATOS!$K$2:$K$20000,DATOS!$A$2:$A$20000,A333,DATOS!$G$2:$G$20000,CONFIG_METADATA!$B$4,DATOS!$I$2:$I$20000,"Lenguaje Musical"),""))</f>
        <v/>
      </c>
      <c r="C333" t="str">
        <f>IF(A333="","",IFERROR(AVERAGEIFS(DATOS!$K$2:$K$20000,DATOS!$A$2:$A$20000,A333,DATOS!$G$2:$G$20000,CONFIG_METADATA!$B$4,DATOS!$I$2:$I$20000,"Coro"),""))</f>
        <v/>
      </c>
      <c r="D333" t="str">
        <f>IF(A333="","",IFERROR(AVERAGEIFS(DATOS!$K$2:$K$20000,DATOS!$A$2:$A$20000,A333,DATOS!$G$2:$G$20000,CONFIG_METADATA!$B$4,DATOS!$I$2:$I$20000,"Conjunto"),""))</f>
        <v/>
      </c>
      <c r="E333" t="str">
        <f>IF(A333="","",IFERROR(AVERAGEIFS(DATOS!$K$2:$K$20000,DATOS!$A$2:$A$20000,A333,DATOS!$G$2:$G$20000,CONFIG_METADATA!$B$4,DATOS!$I$2:$I$20000,"&lt;&gt;Lenguaje Musical",DATOS!$I$2:$I$20000,"&lt;&gt;Coro",DATOS!$I$2:$I$20000,"&lt;&gt;Conjunto"),""))</f>
        <v/>
      </c>
      <c r="H333" t="str">
        <f>IF(G333="","",IFERROR(AVERAGEIFS(DATOS!$K$2:$K$20000,DATOS!$A$2:$A$20000,G333,DATOS!$G$2:$G$20000,CONFIG_METADATA!$B$4,DATOS!$I$2:$I$20000,"Lenguaje Musical"),""))</f>
        <v/>
      </c>
      <c r="I333" t="str">
        <f>IF(G333="","",IFERROR(AVERAGEIFS(DATOS!$K$2:$K$20000,DATOS!$A$2:$A$20000,G333,DATOS!$G$2:$G$20000,CONFIG_METADATA!$B$4,DATOS!$I$2:$I$20000,"Coro"),""))</f>
        <v/>
      </c>
      <c r="J333" t="str">
        <f>IF(G333="","",IFERROR(AVERAGEIFS(DATOS!$K$2:$K$20000,DATOS!$A$2:$A$20000,G333,DATOS!$G$2:$G$20000,CONFIG_METADATA!$B$4,DATOS!$I$2:$I$20000,"Conjunto"),""))</f>
        <v/>
      </c>
      <c r="K333" t="str" cm="1">
        <f t="array" ref="K333">IF(G333="","",IFERROR(AVERAGE(IF((DATOS!$A$2:$A$20000=G333)*(DATOS!$G$2:$G$20000=CONFIG_METADATA!$B$4)*(DATOS!$I$2:$I$20000&lt;&gt;"Lenguaje Musical")*(DATOS!$I$2:$I$20000&lt;&gt;"Coro")*(DATOS!$I$2:$I$20000&lt;&gt;"Conjunto"),DATOS!$K$2:$K$20000)),""))</f>
        <v/>
      </c>
      <c r="N333" t="str">
        <f>IF(M333="","",IFERROR(AVERAGEIFS(DATOS!$K$2:$K$20000,DATOS!$A$2:$A$20000,M333,DATOS!$G$2:$G$20000,CONFIG_METADATA!$B$4,DATOS!$I$2:$I$20000,"Lenguaje Musical"),""))</f>
        <v/>
      </c>
      <c r="O333" t="str">
        <f>IF(M333="","",IFERROR(AVERAGEIFS(DATOS!$K$2:$K$20000,DATOS!$A$2:$A$20000,M333,DATOS!$G$2:$G$20000,CONFIG_METADATA!$B$4,DATOS!$I$2:$I$20000,"Coro"),""))</f>
        <v/>
      </c>
      <c r="P333" t="str">
        <f>IF(M333="","",IFERROR(AVERAGEIFS(DATOS!$K$2:$K$20000,DATOS!$A$2:$A$20000,M333,DATOS!$G$2:$G$20000,CONFIG_METADATA!$B$4,DATOS!$I$2:$I$20000,"Conjunto"),""))</f>
        <v/>
      </c>
      <c r="Q333" t="str">
        <f>IF(M333="","",IFERROR(AVERAGEIFS(DATOS!$K$2:$K$20000,DATOS!$A$2:$A$20000,M333,DATOS!$G$2:$G$20000,CONFIG_METADATA!$B$4,DATOS!$I$2:$I$20000,"&lt;&gt;Lenguaje Musical",DATOS!$I$2:$I$20000,"&lt;&gt;Coro",DATOS!$I$2:$I$20000,"&lt;&gt;Conjunto"),""))</f>
        <v/>
      </c>
      <c r="T333" t="str">
        <f>IF(S333="","",IFERROR(AVERAGEIFS(DATOS!$K$2:$K$20000,DATOS!$A$2:$A$20000,S333,DATOS!$G$2:$G$20000,CONFIG_METADATA!$B$4,DATOS!$I$2:$I$20000,"Lenguaje Musical"),""))</f>
        <v/>
      </c>
      <c r="U333" t="str">
        <f>IF(S333="","",IFERROR(AVERAGEIFS(DATOS!$K$2:$K$20000,DATOS!$A$2:$A$20000,S333,DATOS!$G$2:$G$20000,CONFIG_METADATA!$B$4,DATOS!$I$2:$I$20000,"Coro"),""))</f>
        <v/>
      </c>
      <c r="V333" t="str">
        <f>IF(S333="","",IFERROR(AVERAGEIFS(DATOS!$K$2:$K$20000,DATOS!$A$2:$A$20000,S333,DATOS!$G$2:$G$20000,CONFIG_METADATA!$B$4,DATOS!$I$2:$I$20000,"Conjunto"),""))</f>
        <v/>
      </c>
      <c r="W333" t="str" cm="1">
        <f t="array" ref="W333">IF(S333="","",IFERROR(AVERAGE(IF((DATOS!$A$2:$A$20000=S333)*(DATOS!$G$2:$G$20000=CONFIG_METADATA!$B$4)*(DATOS!$I$2:$I$20000&lt;&gt;"Lenguaje Musical")*(DATOS!$I$2:$I$20000&lt;&gt;"Coro")*(DATOS!$I$2:$I$20000&lt;&gt;"Conjunto"),DATOS!$K$2:$K$20000)),""))</f>
        <v/>
      </c>
    </row>
    <row r="334" spans="2:23" x14ac:dyDescent="0.2">
      <c r="B334" t="str">
        <f>IF(A334="","",IFERROR(AVERAGEIFS(DATOS!$K$2:$K$20000,DATOS!$A$2:$A$20000,A334,DATOS!$G$2:$G$20000,CONFIG_METADATA!$B$4,DATOS!$I$2:$I$20000,"Lenguaje Musical"),""))</f>
        <v/>
      </c>
      <c r="C334" t="str">
        <f>IF(A334="","",IFERROR(AVERAGEIFS(DATOS!$K$2:$K$20000,DATOS!$A$2:$A$20000,A334,DATOS!$G$2:$G$20000,CONFIG_METADATA!$B$4,DATOS!$I$2:$I$20000,"Coro"),""))</f>
        <v/>
      </c>
      <c r="D334" t="str">
        <f>IF(A334="","",IFERROR(AVERAGEIFS(DATOS!$K$2:$K$20000,DATOS!$A$2:$A$20000,A334,DATOS!$G$2:$G$20000,CONFIG_METADATA!$B$4,DATOS!$I$2:$I$20000,"Conjunto"),""))</f>
        <v/>
      </c>
      <c r="E334" t="str">
        <f>IF(A334="","",IFERROR(AVERAGEIFS(DATOS!$K$2:$K$20000,DATOS!$A$2:$A$20000,A334,DATOS!$G$2:$G$20000,CONFIG_METADATA!$B$4,DATOS!$I$2:$I$20000,"&lt;&gt;Lenguaje Musical",DATOS!$I$2:$I$20000,"&lt;&gt;Coro",DATOS!$I$2:$I$20000,"&lt;&gt;Conjunto"),""))</f>
        <v/>
      </c>
      <c r="H334" t="str">
        <f>IF(G334="","",IFERROR(AVERAGEIFS(DATOS!$K$2:$K$20000,DATOS!$A$2:$A$20000,G334,DATOS!$G$2:$G$20000,CONFIG_METADATA!$B$4,DATOS!$I$2:$I$20000,"Lenguaje Musical"),""))</f>
        <v/>
      </c>
      <c r="I334" t="str">
        <f>IF(G334="","",IFERROR(AVERAGEIFS(DATOS!$K$2:$K$20000,DATOS!$A$2:$A$20000,G334,DATOS!$G$2:$G$20000,CONFIG_METADATA!$B$4,DATOS!$I$2:$I$20000,"Coro"),""))</f>
        <v/>
      </c>
      <c r="J334" t="str">
        <f>IF(G334="","",IFERROR(AVERAGEIFS(DATOS!$K$2:$K$20000,DATOS!$A$2:$A$20000,G334,DATOS!$G$2:$G$20000,CONFIG_METADATA!$B$4,DATOS!$I$2:$I$20000,"Conjunto"),""))</f>
        <v/>
      </c>
      <c r="K334" t="str" cm="1">
        <f t="array" ref="K334">IF(G334="","",IFERROR(AVERAGE(IF((DATOS!$A$2:$A$20000=G334)*(DATOS!$G$2:$G$20000=CONFIG_METADATA!$B$4)*(DATOS!$I$2:$I$20000&lt;&gt;"Lenguaje Musical")*(DATOS!$I$2:$I$20000&lt;&gt;"Coro")*(DATOS!$I$2:$I$20000&lt;&gt;"Conjunto"),DATOS!$K$2:$K$20000)),""))</f>
        <v/>
      </c>
      <c r="N334" t="str">
        <f>IF(M334="","",IFERROR(AVERAGEIFS(DATOS!$K$2:$K$20000,DATOS!$A$2:$A$20000,M334,DATOS!$G$2:$G$20000,CONFIG_METADATA!$B$4,DATOS!$I$2:$I$20000,"Lenguaje Musical"),""))</f>
        <v/>
      </c>
      <c r="O334" t="str">
        <f>IF(M334="","",IFERROR(AVERAGEIFS(DATOS!$K$2:$K$20000,DATOS!$A$2:$A$20000,M334,DATOS!$G$2:$G$20000,CONFIG_METADATA!$B$4,DATOS!$I$2:$I$20000,"Coro"),""))</f>
        <v/>
      </c>
      <c r="P334" t="str">
        <f>IF(M334="","",IFERROR(AVERAGEIFS(DATOS!$K$2:$K$20000,DATOS!$A$2:$A$20000,M334,DATOS!$G$2:$G$20000,CONFIG_METADATA!$B$4,DATOS!$I$2:$I$20000,"Conjunto"),""))</f>
        <v/>
      </c>
      <c r="Q334" t="str">
        <f>IF(M334="","",IFERROR(AVERAGEIFS(DATOS!$K$2:$K$20000,DATOS!$A$2:$A$20000,M334,DATOS!$G$2:$G$20000,CONFIG_METADATA!$B$4,DATOS!$I$2:$I$20000,"&lt;&gt;Lenguaje Musical",DATOS!$I$2:$I$20000,"&lt;&gt;Coro",DATOS!$I$2:$I$20000,"&lt;&gt;Conjunto"),""))</f>
        <v/>
      </c>
      <c r="T334" t="str">
        <f>IF(S334="","",IFERROR(AVERAGEIFS(DATOS!$K$2:$K$20000,DATOS!$A$2:$A$20000,S334,DATOS!$G$2:$G$20000,CONFIG_METADATA!$B$4,DATOS!$I$2:$I$20000,"Lenguaje Musical"),""))</f>
        <v/>
      </c>
      <c r="U334" t="str">
        <f>IF(S334="","",IFERROR(AVERAGEIFS(DATOS!$K$2:$K$20000,DATOS!$A$2:$A$20000,S334,DATOS!$G$2:$G$20000,CONFIG_METADATA!$B$4,DATOS!$I$2:$I$20000,"Coro"),""))</f>
        <v/>
      </c>
      <c r="V334" t="str">
        <f>IF(S334="","",IFERROR(AVERAGEIFS(DATOS!$K$2:$K$20000,DATOS!$A$2:$A$20000,S334,DATOS!$G$2:$G$20000,CONFIG_METADATA!$B$4,DATOS!$I$2:$I$20000,"Conjunto"),""))</f>
        <v/>
      </c>
      <c r="W334" t="str" cm="1">
        <f t="array" ref="W334">IF(S334="","",IFERROR(AVERAGE(IF((DATOS!$A$2:$A$20000=S334)*(DATOS!$G$2:$G$20000=CONFIG_METADATA!$B$4)*(DATOS!$I$2:$I$20000&lt;&gt;"Lenguaje Musical")*(DATOS!$I$2:$I$20000&lt;&gt;"Coro")*(DATOS!$I$2:$I$20000&lt;&gt;"Conjunto"),DATOS!$K$2:$K$20000)),""))</f>
        <v/>
      </c>
    </row>
    <row r="335" spans="2:23" x14ac:dyDescent="0.2">
      <c r="B335" t="str">
        <f>IF(A335="","",IFERROR(AVERAGEIFS(DATOS!$K$2:$K$20000,DATOS!$A$2:$A$20000,A335,DATOS!$G$2:$G$20000,CONFIG_METADATA!$B$4,DATOS!$I$2:$I$20000,"Lenguaje Musical"),""))</f>
        <v/>
      </c>
      <c r="C335" t="str">
        <f>IF(A335="","",IFERROR(AVERAGEIFS(DATOS!$K$2:$K$20000,DATOS!$A$2:$A$20000,A335,DATOS!$G$2:$G$20000,CONFIG_METADATA!$B$4,DATOS!$I$2:$I$20000,"Coro"),""))</f>
        <v/>
      </c>
      <c r="D335" t="str">
        <f>IF(A335="","",IFERROR(AVERAGEIFS(DATOS!$K$2:$K$20000,DATOS!$A$2:$A$20000,A335,DATOS!$G$2:$G$20000,CONFIG_METADATA!$B$4,DATOS!$I$2:$I$20000,"Conjunto"),""))</f>
        <v/>
      </c>
      <c r="E335" t="str">
        <f>IF(A335="","",IFERROR(AVERAGEIFS(DATOS!$K$2:$K$20000,DATOS!$A$2:$A$20000,A335,DATOS!$G$2:$G$20000,CONFIG_METADATA!$B$4,DATOS!$I$2:$I$20000,"&lt;&gt;Lenguaje Musical",DATOS!$I$2:$I$20000,"&lt;&gt;Coro",DATOS!$I$2:$I$20000,"&lt;&gt;Conjunto"),""))</f>
        <v/>
      </c>
      <c r="H335" t="str">
        <f>IF(G335="","",IFERROR(AVERAGEIFS(DATOS!$K$2:$K$20000,DATOS!$A$2:$A$20000,G335,DATOS!$G$2:$G$20000,CONFIG_METADATA!$B$4,DATOS!$I$2:$I$20000,"Lenguaje Musical"),""))</f>
        <v/>
      </c>
      <c r="I335" t="str">
        <f>IF(G335="","",IFERROR(AVERAGEIFS(DATOS!$K$2:$K$20000,DATOS!$A$2:$A$20000,G335,DATOS!$G$2:$G$20000,CONFIG_METADATA!$B$4,DATOS!$I$2:$I$20000,"Coro"),""))</f>
        <v/>
      </c>
      <c r="J335" t="str">
        <f>IF(G335="","",IFERROR(AVERAGEIFS(DATOS!$K$2:$K$20000,DATOS!$A$2:$A$20000,G335,DATOS!$G$2:$G$20000,CONFIG_METADATA!$B$4,DATOS!$I$2:$I$20000,"Conjunto"),""))</f>
        <v/>
      </c>
      <c r="K335" t="str" cm="1">
        <f t="array" ref="K335">IF(G335="","",IFERROR(AVERAGE(IF((DATOS!$A$2:$A$20000=G335)*(DATOS!$G$2:$G$20000=CONFIG_METADATA!$B$4)*(DATOS!$I$2:$I$20000&lt;&gt;"Lenguaje Musical")*(DATOS!$I$2:$I$20000&lt;&gt;"Coro")*(DATOS!$I$2:$I$20000&lt;&gt;"Conjunto"),DATOS!$K$2:$K$20000)),""))</f>
        <v/>
      </c>
      <c r="N335" t="str">
        <f>IF(M335="","",IFERROR(AVERAGEIFS(DATOS!$K$2:$K$20000,DATOS!$A$2:$A$20000,M335,DATOS!$G$2:$G$20000,CONFIG_METADATA!$B$4,DATOS!$I$2:$I$20000,"Lenguaje Musical"),""))</f>
        <v/>
      </c>
      <c r="O335" t="str">
        <f>IF(M335="","",IFERROR(AVERAGEIFS(DATOS!$K$2:$K$20000,DATOS!$A$2:$A$20000,M335,DATOS!$G$2:$G$20000,CONFIG_METADATA!$B$4,DATOS!$I$2:$I$20000,"Coro"),""))</f>
        <v/>
      </c>
      <c r="P335" t="str">
        <f>IF(M335="","",IFERROR(AVERAGEIFS(DATOS!$K$2:$K$20000,DATOS!$A$2:$A$20000,M335,DATOS!$G$2:$G$20000,CONFIG_METADATA!$B$4,DATOS!$I$2:$I$20000,"Conjunto"),""))</f>
        <v/>
      </c>
      <c r="Q335" t="str">
        <f>IF(M335="","",IFERROR(AVERAGEIFS(DATOS!$K$2:$K$20000,DATOS!$A$2:$A$20000,M335,DATOS!$G$2:$G$20000,CONFIG_METADATA!$B$4,DATOS!$I$2:$I$20000,"&lt;&gt;Lenguaje Musical",DATOS!$I$2:$I$20000,"&lt;&gt;Coro",DATOS!$I$2:$I$20000,"&lt;&gt;Conjunto"),""))</f>
        <v/>
      </c>
      <c r="T335" t="str">
        <f>IF(S335="","",IFERROR(AVERAGEIFS(DATOS!$K$2:$K$20000,DATOS!$A$2:$A$20000,S335,DATOS!$G$2:$G$20000,CONFIG_METADATA!$B$4,DATOS!$I$2:$I$20000,"Lenguaje Musical"),""))</f>
        <v/>
      </c>
      <c r="U335" t="str">
        <f>IF(S335="","",IFERROR(AVERAGEIFS(DATOS!$K$2:$K$20000,DATOS!$A$2:$A$20000,S335,DATOS!$G$2:$G$20000,CONFIG_METADATA!$B$4,DATOS!$I$2:$I$20000,"Coro"),""))</f>
        <v/>
      </c>
      <c r="V335" t="str">
        <f>IF(S335="","",IFERROR(AVERAGEIFS(DATOS!$K$2:$K$20000,DATOS!$A$2:$A$20000,S335,DATOS!$G$2:$G$20000,CONFIG_METADATA!$B$4,DATOS!$I$2:$I$20000,"Conjunto"),""))</f>
        <v/>
      </c>
      <c r="W335" t="str" cm="1">
        <f t="array" ref="W335">IF(S335="","",IFERROR(AVERAGE(IF((DATOS!$A$2:$A$20000=S335)*(DATOS!$G$2:$G$20000=CONFIG_METADATA!$B$4)*(DATOS!$I$2:$I$20000&lt;&gt;"Lenguaje Musical")*(DATOS!$I$2:$I$20000&lt;&gt;"Coro")*(DATOS!$I$2:$I$20000&lt;&gt;"Conjunto"),DATOS!$K$2:$K$20000)),""))</f>
        <v/>
      </c>
    </row>
    <row r="336" spans="2:23" x14ac:dyDescent="0.2">
      <c r="B336" t="str">
        <f>IF(A336="","",IFERROR(AVERAGEIFS(DATOS!$K$2:$K$20000,DATOS!$A$2:$A$20000,A336,DATOS!$G$2:$G$20000,CONFIG_METADATA!$B$4,DATOS!$I$2:$I$20000,"Lenguaje Musical"),""))</f>
        <v/>
      </c>
      <c r="C336" t="str">
        <f>IF(A336="","",IFERROR(AVERAGEIFS(DATOS!$K$2:$K$20000,DATOS!$A$2:$A$20000,A336,DATOS!$G$2:$G$20000,CONFIG_METADATA!$B$4,DATOS!$I$2:$I$20000,"Coro"),""))</f>
        <v/>
      </c>
      <c r="D336" t="str">
        <f>IF(A336="","",IFERROR(AVERAGEIFS(DATOS!$K$2:$K$20000,DATOS!$A$2:$A$20000,A336,DATOS!$G$2:$G$20000,CONFIG_METADATA!$B$4,DATOS!$I$2:$I$20000,"Conjunto"),""))</f>
        <v/>
      </c>
      <c r="E336" t="str">
        <f>IF(A336="","",IFERROR(AVERAGEIFS(DATOS!$K$2:$K$20000,DATOS!$A$2:$A$20000,A336,DATOS!$G$2:$G$20000,CONFIG_METADATA!$B$4,DATOS!$I$2:$I$20000,"&lt;&gt;Lenguaje Musical",DATOS!$I$2:$I$20000,"&lt;&gt;Coro",DATOS!$I$2:$I$20000,"&lt;&gt;Conjunto"),""))</f>
        <v/>
      </c>
      <c r="H336" t="str">
        <f>IF(G336="","",IFERROR(AVERAGEIFS(DATOS!$K$2:$K$20000,DATOS!$A$2:$A$20000,G336,DATOS!$G$2:$G$20000,CONFIG_METADATA!$B$4,DATOS!$I$2:$I$20000,"Lenguaje Musical"),""))</f>
        <v/>
      </c>
      <c r="I336" t="str">
        <f>IF(G336="","",IFERROR(AVERAGEIFS(DATOS!$K$2:$K$20000,DATOS!$A$2:$A$20000,G336,DATOS!$G$2:$G$20000,CONFIG_METADATA!$B$4,DATOS!$I$2:$I$20000,"Coro"),""))</f>
        <v/>
      </c>
      <c r="J336" t="str">
        <f>IF(G336="","",IFERROR(AVERAGEIFS(DATOS!$K$2:$K$20000,DATOS!$A$2:$A$20000,G336,DATOS!$G$2:$G$20000,CONFIG_METADATA!$B$4,DATOS!$I$2:$I$20000,"Conjunto"),""))</f>
        <v/>
      </c>
      <c r="K336" t="str" cm="1">
        <f t="array" ref="K336">IF(G336="","",IFERROR(AVERAGE(IF((DATOS!$A$2:$A$20000=G336)*(DATOS!$G$2:$G$20000=CONFIG_METADATA!$B$4)*(DATOS!$I$2:$I$20000&lt;&gt;"Lenguaje Musical")*(DATOS!$I$2:$I$20000&lt;&gt;"Coro")*(DATOS!$I$2:$I$20000&lt;&gt;"Conjunto"),DATOS!$K$2:$K$20000)),""))</f>
        <v/>
      </c>
      <c r="N336" t="str">
        <f>IF(M336="","",IFERROR(AVERAGEIFS(DATOS!$K$2:$K$20000,DATOS!$A$2:$A$20000,M336,DATOS!$G$2:$G$20000,CONFIG_METADATA!$B$4,DATOS!$I$2:$I$20000,"Lenguaje Musical"),""))</f>
        <v/>
      </c>
      <c r="O336" t="str">
        <f>IF(M336="","",IFERROR(AVERAGEIFS(DATOS!$K$2:$K$20000,DATOS!$A$2:$A$20000,M336,DATOS!$G$2:$G$20000,CONFIG_METADATA!$B$4,DATOS!$I$2:$I$20000,"Coro"),""))</f>
        <v/>
      </c>
      <c r="P336" t="str">
        <f>IF(M336="","",IFERROR(AVERAGEIFS(DATOS!$K$2:$K$20000,DATOS!$A$2:$A$20000,M336,DATOS!$G$2:$G$20000,CONFIG_METADATA!$B$4,DATOS!$I$2:$I$20000,"Conjunto"),""))</f>
        <v/>
      </c>
      <c r="Q336" t="str">
        <f>IF(M336="","",IFERROR(AVERAGEIFS(DATOS!$K$2:$K$20000,DATOS!$A$2:$A$20000,M336,DATOS!$G$2:$G$20000,CONFIG_METADATA!$B$4,DATOS!$I$2:$I$20000,"&lt;&gt;Lenguaje Musical",DATOS!$I$2:$I$20000,"&lt;&gt;Coro",DATOS!$I$2:$I$20000,"&lt;&gt;Conjunto"),""))</f>
        <v/>
      </c>
      <c r="T336" t="str">
        <f>IF(S336="","",IFERROR(AVERAGEIFS(DATOS!$K$2:$K$20000,DATOS!$A$2:$A$20000,S336,DATOS!$G$2:$G$20000,CONFIG_METADATA!$B$4,DATOS!$I$2:$I$20000,"Lenguaje Musical"),""))</f>
        <v/>
      </c>
      <c r="U336" t="str">
        <f>IF(S336="","",IFERROR(AVERAGEIFS(DATOS!$K$2:$K$20000,DATOS!$A$2:$A$20000,S336,DATOS!$G$2:$G$20000,CONFIG_METADATA!$B$4,DATOS!$I$2:$I$20000,"Coro"),""))</f>
        <v/>
      </c>
      <c r="V336" t="str">
        <f>IF(S336="","",IFERROR(AVERAGEIFS(DATOS!$K$2:$K$20000,DATOS!$A$2:$A$20000,S336,DATOS!$G$2:$G$20000,CONFIG_METADATA!$B$4,DATOS!$I$2:$I$20000,"Conjunto"),""))</f>
        <v/>
      </c>
      <c r="W336" t="str" cm="1">
        <f t="array" ref="W336">IF(S336="","",IFERROR(AVERAGE(IF((DATOS!$A$2:$A$20000=S336)*(DATOS!$G$2:$G$20000=CONFIG_METADATA!$B$4)*(DATOS!$I$2:$I$20000&lt;&gt;"Lenguaje Musical")*(DATOS!$I$2:$I$20000&lt;&gt;"Coro")*(DATOS!$I$2:$I$20000&lt;&gt;"Conjunto"),DATOS!$K$2:$K$20000)),""))</f>
        <v/>
      </c>
    </row>
    <row r="337" spans="2:23" x14ac:dyDescent="0.2">
      <c r="B337" t="str">
        <f>IF(A337="","",IFERROR(AVERAGEIFS(DATOS!$K$2:$K$20000,DATOS!$A$2:$A$20000,A337,DATOS!$G$2:$G$20000,CONFIG_METADATA!$B$4,DATOS!$I$2:$I$20000,"Lenguaje Musical"),""))</f>
        <v/>
      </c>
      <c r="C337" t="str">
        <f>IF(A337="","",IFERROR(AVERAGEIFS(DATOS!$K$2:$K$20000,DATOS!$A$2:$A$20000,A337,DATOS!$G$2:$G$20000,CONFIG_METADATA!$B$4,DATOS!$I$2:$I$20000,"Coro"),""))</f>
        <v/>
      </c>
      <c r="D337" t="str">
        <f>IF(A337="","",IFERROR(AVERAGEIFS(DATOS!$K$2:$K$20000,DATOS!$A$2:$A$20000,A337,DATOS!$G$2:$G$20000,CONFIG_METADATA!$B$4,DATOS!$I$2:$I$20000,"Conjunto"),""))</f>
        <v/>
      </c>
      <c r="E337" t="str">
        <f>IF(A337="","",IFERROR(AVERAGEIFS(DATOS!$K$2:$K$20000,DATOS!$A$2:$A$20000,A337,DATOS!$G$2:$G$20000,CONFIG_METADATA!$B$4,DATOS!$I$2:$I$20000,"&lt;&gt;Lenguaje Musical",DATOS!$I$2:$I$20000,"&lt;&gt;Coro",DATOS!$I$2:$I$20000,"&lt;&gt;Conjunto"),""))</f>
        <v/>
      </c>
      <c r="H337" t="str">
        <f>IF(G337="","",IFERROR(AVERAGEIFS(DATOS!$K$2:$K$20000,DATOS!$A$2:$A$20000,G337,DATOS!$G$2:$G$20000,CONFIG_METADATA!$B$4,DATOS!$I$2:$I$20000,"Lenguaje Musical"),""))</f>
        <v/>
      </c>
      <c r="I337" t="str">
        <f>IF(G337="","",IFERROR(AVERAGEIFS(DATOS!$K$2:$K$20000,DATOS!$A$2:$A$20000,G337,DATOS!$G$2:$G$20000,CONFIG_METADATA!$B$4,DATOS!$I$2:$I$20000,"Coro"),""))</f>
        <v/>
      </c>
      <c r="J337" t="str">
        <f>IF(G337="","",IFERROR(AVERAGEIFS(DATOS!$K$2:$K$20000,DATOS!$A$2:$A$20000,G337,DATOS!$G$2:$G$20000,CONFIG_METADATA!$B$4,DATOS!$I$2:$I$20000,"Conjunto"),""))</f>
        <v/>
      </c>
      <c r="K337" t="str" cm="1">
        <f t="array" ref="K337">IF(G337="","",IFERROR(AVERAGE(IF((DATOS!$A$2:$A$20000=G337)*(DATOS!$G$2:$G$20000=CONFIG_METADATA!$B$4)*(DATOS!$I$2:$I$20000&lt;&gt;"Lenguaje Musical")*(DATOS!$I$2:$I$20000&lt;&gt;"Coro")*(DATOS!$I$2:$I$20000&lt;&gt;"Conjunto"),DATOS!$K$2:$K$20000)),""))</f>
        <v/>
      </c>
      <c r="N337" t="str">
        <f>IF(M337="","",IFERROR(AVERAGEIFS(DATOS!$K$2:$K$20000,DATOS!$A$2:$A$20000,M337,DATOS!$G$2:$G$20000,CONFIG_METADATA!$B$4,DATOS!$I$2:$I$20000,"Lenguaje Musical"),""))</f>
        <v/>
      </c>
      <c r="O337" t="str">
        <f>IF(M337="","",IFERROR(AVERAGEIFS(DATOS!$K$2:$K$20000,DATOS!$A$2:$A$20000,M337,DATOS!$G$2:$G$20000,CONFIG_METADATA!$B$4,DATOS!$I$2:$I$20000,"Coro"),""))</f>
        <v/>
      </c>
      <c r="P337" t="str">
        <f>IF(M337="","",IFERROR(AVERAGEIFS(DATOS!$K$2:$K$20000,DATOS!$A$2:$A$20000,M337,DATOS!$G$2:$G$20000,CONFIG_METADATA!$B$4,DATOS!$I$2:$I$20000,"Conjunto"),""))</f>
        <v/>
      </c>
      <c r="Q337" t="str">
        <f>IF(M337="","",IFERROR(AVERAGEIFS(DATOS!$K$2:$K$20000,DATOS!$A$2:$A$20000,M337,DATOS!$G$2:$G$20000,CONFIG_METADATA!$B$4,DATOS!$I$2:$I$20000,"&lt;&gt;Lenguaje Musical",DATOS!$I$2:$I$20000,"&lt;&gt;Coro",DATOS!$I$2:$I$20000,"&lt;&gt;Conjunto"),""))</f>
        <v/>
      </c>
      <c r="T337" t="str">
        <f>IF(S337="","",IFERROR(AVERAGEIFS(DATOS!$K$2:$K$20000,DATOS!$A$2:$A$20000,S337,DATOS!$G$2:$G$20000,CONFIG_METADATA!$B$4,DATOS!$I$2:$I$20000,"Lenguaje Musical"),""))</f>
        <v/>
      </c>
      <c r="U337" t="str">
        <f>IF(S337="","",IFERROR(AVERAGEIFS(DATOS!$K$2:$K$20000,DATOS!$A$2:$A$20000,S337,DATOS!$G$2:$G$20000,CONFIG_METADATA!$B$4,DATOS!$I$2:$I$20000,"Coro"),""))</f>
        <v/>
      </c>
      <c r="V337" t="str">
        <f>IF(S337="","",IFERROR(AVERAGEIFS(DATOS!$K$2:$K$20000,DATOS!$A$2:$A$20000,S337,DATOS!$G$2:$G$20000,CONFIG_METADATA!$B$4,DATOS!$I$2:$I$20000,"Conjunto"),""))</f>
        <v/>
      </c>
      <c r="W337" t="str" cm="1">
        <f t="array" ref="W337">IF(S337="","",IFERROR(AVERAGE(IF((DATOS!$A$2:$A$20000=S337)*(DATOS!$G$2:$G$20000=CONFIG_METADATA!$B$4)*(DATOS!$I$2:$I$20000&lt;&gt;"Lenguaje Musical")*(DATOS!$I$2:$I$20000&lt;&gt;"Coro")*(DATOS!$I$2:$I$20000&lt;&gt;"Conjunto"),DATOS!$K$2:$K$20000)),""))</f>
        <v/>
      </c>
    </row>
    <row r="338" spans="2:23" x14ac:dyDescent="0.2">
      <c r="B338" t="str">
        <f>IF(A338="","",IFERROR(AVERAGEIFS(DATOS!$K$2:$K$20000,DATOS!$A$2:$A$20000,A338,DATOS!$G$2:$G$20000,CONFIG_METADATA!$B$4,DATOS!$I$2:$I$20000,"Lenguaje Musical"),""))</f>
        <v/>
      </c>
      <c r="C338" t="str">
        <f>IF(A338="","",IFERROR(AVERAGEIFS(DATOS!$K$2:$K$20000,DATOS!$A$2:$A$20000,A338,DATOS!$G$2:$G$20000,CONFIG_METADATA!$B$4,DATOS!$I$2:$I$20000,"Coro"),""))</f>
        <v/>
      </c>
      <c r="D338" t="str">
        <f>IF(A338="","",IFERROR(AVERAGEIFS(DATOS!$K$2:$K$20000,DATOS!$A$2:$A$20000,A338,DATOS!$G$2:$G$20000,CONFIG_METADATA!$B$4,DATOS!$I$2:$I$20000,"Conjunto"),""))</f>
        <v/>
      </c>
      <c r="E338" t="str">
        <f>IF(A338="","",IFERROR(AVERAGEIFS(DATOS!$K$2:$K$20000,DATOS!$A$2:$A$20000,A338,DATOS!$G$2:$G$20000,CONFIG_METADATA!$B$4,DATOS!$I$2:$I$20000,"&lt;&gt;Lenguaje Musical",DATOS!$I$2:$I$20000,"&lt;&gt;Coro",DATOS!$I$2:$I$20000,"&lt;&gt;Conjunto"),""))</f>
        <v/>
      </c>
      <c r="H338" t="str">
        <f>IF(G338="","",IFERROR(AVERAGEIFS(DATOS!$K$2:$K$20000,DATOS!$A$2:$A$20000,G338,DATOS!$G$2:$G$20000,CONFIG_METADATA!$B$4,DATOS!$I$2:$I$20000,"Lenguaje Musical"),""))</f>
        <v/>
      </c>
      <c r="I338" t="str">
        <f>IF(G338="","",IFERROR(AVERAGEIFS(DATOS!$K$2:$K$20000,DATOS!$A$2:$A$20000,G338,DATOS!$G$2:$G$20000,CONFIG_METADATA!$B$4,DATOS!$I$2:$I$20000,"Coro"),""))</f>
        <v/>
      </c>
      <c r="J338" t="str">
        <f>IF(G338="","",IFERROR(AVERAGEIFS(DATOS!$K$2:$K$20000,DATOS!$A$2:$A$20000,G338,DATOS!$G$2:$G$20000,CONFIG_METADATA!$B$4,DATOS!$I$2:$I$20000,"Conjunto"),""))</f>
        <v/>
      </c>
      <c r="K338" t="str" cm="1">
        <f t="array" ref="K338">IF(G338="","",IFERROR(AVERAGE(IF((DATOS!$A$2:$A$20000=G338)*(DATOS!$G$2:$G$20000=CONFIG_METADATA!$B$4)*(DATOS!$I$2:$I$20000&lt;&gt;"Lenguaje Musical")*(DATOS!$I$2:$I$20000&lt;&gt;"Coro")*(DATOS!$I$2:$I$20000&lt;&gt;"Conjunto"),DATOS!$K$2:$K$20000)),""))</f>
        <v/>
      </c>
      <c r="N338" t="str">
        <f>IF(M338="","",IFERROR(AVERAGEIFS(DATOS!$K$2:$K$20000,DATOS!$A$2:$A$20000,M338,DATOS!$G$2:$G$20000,CONFIG_METADATA!$B$4,DATOS!$I$2:$I$20000,"Lenguaje Musical"),""))</f>
        <v/>
      </c>
      <c r="O338" t="str">
        <f>IF(M338="","",IFERROR(AVERAGEIFS(DATOS!$K$2:$K$20000,DATOS!$A$2:$A$20000,M338,DATOS!$G$2:$G$20000,CONFIG_METADATA!$B$4,DATOS!$I$2:$I$20000,"Coro"),""))</f>
        <v/>
      </c>
      <c r="P338" t="str">
        <f>IF(M338="","",IFERROR(AVERAGEIFS(DATOS!$K$2:$K$20000,DATOS!$A$2:$A$20000,M338,DATOS!$G$2:$G$20000,CONFIG_METADATA!$B$4,DATOS!$I$2:$I$20000,"Conjunto"),""))</f>
        <v/>
      </c>
      <c r="Q338" t="str">
        <f>IF(M338="","",IFERROR(AVERAGEIFS(DATOS!$K$2:$K$20000,DATOS!$A$2:$A$20000,M338,DATOS!$G$2:$G$20000,CONFIG_METADATA!$B$4,DATOS!$I$2:$I$20000,"&lt;&gt;Lenguaje Musical",DATOS!$I$2:$I$20000,"&lt;&gt;Coro",DATOS!$I$2:$I$20000,"&lt;&gt;Conjunto"),""))</f>
        <v/>
      </c>
      <c r="T338" t="str">
        <f>IF(S338="","",IFERROR(AVERAGEIFS(DATOS!$K$2:$K$20000,DATOS!$A$2:$A$20000,S338,DATOS!$G$2:$G$20000,CONFIG_METADATA!$B$4,DATOS!$I$2:$I$20000,"Lenguaje Musical"),""))</f>
        <v/>
      </c>
      <c r="U338" t="str">
        <f>IF(S338="","",IFERROR(AVERAGEIFS(DATOS!$K$2:$K$20000,DATOS!$A$2:$A$20000,S338,DATOS!$G$2:$G$20000,CONFIG_METADATA!$B$4,DATOS!$I$2:$I$20000,"Coro"),""))</f>
        <v/>
      </c>
      <c r="V338" t="str">
        <f>IF(S338="","",IFERROR(AVERAGEIFS(DATOS!$K$2:$K$20000,DATOS!$A$2:$A$20000,S338,DATOS!$G$2:$G$20000,CONFIG_METADATA!$B$4,DATOS!$I$2:$I$20000,"Conjunto"),""))</f>
        <v/>
      </c>
      <c r="W338" t="str" cm="1">
        <f t="array" ref="W338">IF(S338="","",IFERROR(AVERAGE(IF((DATOS!$A$2:$A$20000=S338)*(DATOS!$G$2:$G$20000=CONFIG_METADATA!$B$4)*(DATOS!$I$2:$I$20000&lt;&gt;"Lenguaje Musical")*(DATOS!$I$2:$I$20000&lt;&gt;"Coro")*(DATOS!$I$2:$I$20000&lt;&gt;"Conjunto"),DATOS!$K$2:$K$20000)),""))</f>
        <v/>
      </c>
    </row>
    <row r="339" spans="2:23" x14ac:dyDescent="0.2">
      <c r="B339" t="str">
        <f>IF(A339="","",IFERROR(AVERAGEIFS(DATOS!$K$2:$K$20000,DATOS!$A$2:$A$20000,A339,DATOS!$G$2:$G$20000,CONFIG_METADATA!$B$4,DATOS!$I$2:$I$20000,"Lenguaje Musical"),""))</f>
        <v/>
      </c>
      <c r="C339" t="str">
        <f>IF(A339="","",IFERROR(AVERAGEIFS(DATOS!$K$2:$K$20000,DATOS!$A$2:$A$20000,A339,DATOS!$G$2:$G$20000,CONFIG_METADATA!$B$4,DATOS!$I$2:$I$20000,"Coro"),""))</f>
        <v/>
      </c>
      <c r="D339" t="str">
        <f>IF(A339="","",IFERROR(AVERAGEIFS(DATOS!$K$2:$K$20000,DATOS!$A$2:$A$20000,A339,DATOS!$G$2:$G$20000,CONFIG_METADATA!$B$4,DATOS!$I$2:$I$20000,"Conjunto"),""))</f>
        <v/>
      </c>
      <c r="E339" t="str">
        <f>IF(A339="","",IFERROR(AVERAGEIFS(DATOS!$K$2:$K$20000,DATOS!$A$2:$A$20000,A339,DATOS!$G$2:$G$20000,CONFIG_METADATA!$B$4,DATOS!$I$2:$I$20000,"&lt;&gt;Lenguaje Musical",DATOS!$I$2:$I$20000,"&lt;&gt;Coro",DATOS!$I$2:$I$20000,"&lt;&gt;Conjunto"),""))</f>
        <v/>
      </c>
      <c r="H339" t="str">
        <f>IF(G339="","",IFERROR(AVERAGEIFS(DATOS!$K$2:$K$20000,DATOS!$A$2:$A$20000,G339,DATOS!$G$2:$G$20000,CONFIG_METADATA!$B$4,DATOS!$I$2:$I$20000,"Lenguaje Musical"),""))</f>
        <v/>
      </c>
      <c r="I339" t="str">
        <f>IF(G339="","",IFERROR(AVERAGEIFS(DATOS!$K$2:$K$20000,DATOS!$A$2:$A$20000,G339,DATOS!$G$2:$G$20000,CONFIG_METADATA!$B$4,DATOS!$I$2:$I$20000,"Coro"),""))</f>
        <v/>
      </c>
      <c r="J339" t="str">
        <f>IF(G339="","",IFERROR(AVERAGEIFS(DATOS!$K$2:$K$20000,DATOS!$A$2:$A$20000,G339,DATOS!$G$2:$G$20000,CONFIG_METADATA!$B$4,DATOS!$I$2:$I$20000,"Conjunto"),""))</f>
        <v/>
      </c>
      <c r="K339" t="str" cm="1">
        <f t="array" ref="K339">IF(G339="","",IFERROR(AVERAGE(IF((DATOS!$A$2:$A$20000=G339)*(DATOS!$G$2:$G$20000=CONFIG_METADATA!$B$4)*(DATOS!$I$2:$I$20000&lt;&gt;"Lenguaje Musical")*(DATOS!$I$2:$I$20000&lt;&gt;"Coro")*(DATOS!$I$2:$I$20000&lt;&gt;"Conjunto"),DATOS!$K$2:$K$20000)),""))</f>
        <v/>
      </c>
      <c r="N339" t="str">
        <f>IF(M339="","",IFERROR(AVERAGEIFS(DATOS!$K$2:$K$20000,DATOS!$A$2:$A$20000,M339,DATOS!$G$2:$G$20000,CONFIG_METADATA!$B$4,DATOS!$I$2:$I$20000,"Lenguaje Musical"),""))</f>
        <v/>
      </c>
      <c r="O339" t="str">
        <f>IF(M339="","",IFERROR(AVERAGEIFS(DATOS!$K$2:$K$20000,DATOS!$A$2:$A$20000,M339,DATOS!$G$2:$G$20000,CONFIG_METADATA!$B$4,DATOS!$I$2:$I$20000,"Coro"),""))</f>
        <v/>
      </c>
      <c r="P339" t="str">
        <f>IF(M339="","",IFERROR(AVERAGEIFS(DATOS!$K$2:$K$20000,DATOS!$A$2:$A$20000,M339,DATOS!$G$2:$G$20000,CONFIG_METADATA!$B$4,DATOS!$I$2:$I$20000,"Conjunto"),""))</f>
        <v/>
      </c>
      <c r="Q339" t="str">
        <f>IF(M339="","",IFERROR(AVERAGEIFS(DATOS!$K$2:$K$20000,DATOS!$A$2:$A$20000,M339,DATOS!$G$2:$G$20000,CONFIG_METADATA!$B$4,DATOS!$I$2:$I$20000,"&lt;&gt;Lenguaje Musical",DATOS!$I$2:$I$20000,"&lt;&gt;Coro",DATOS!$I$2:$I$20000,"&lt;&gt;Conjunto"),""))</f>
        <v/>
      </c>
      <c r="T339" t="str">
        <f>IF(S339="","",IFERROR(AVERAGEIFS(DATOS!$K$2:$K$20000,DATOS!$A$2:$A$20000,S339,DATOS!$G$2:$G$20000,CONFIG_METADATA!$B$4,DATOS!$I$2:$I$20000,"Lenguaje Musical"),""))</f>
        <v/>
      </c>
      <c r="U339" t="str">
        <f>IF(S339="","",IFERROR(AVERAGEIFS(DATOS!$K$2:$K$20000,DATOS!$A$2:$A$20000,S339,DATOS!$G$2:$G$20000,CONFIG_METADATA!$B$4,DATOS!$I$2:$I$20000,"Coro"),""))</f>
        <v/>
      </c>
      <c r="V339" t="str">
        <f>IF(S339="","",IFERROR(AVERAGEIFS(DATOS!$K$2:$K$20000,DATOS!$A$2:$A$20000,S339,DATOS!$G$2:$G$20000,CONFIG_METADATA!$B$4,DATOS!$I$2:$I$20000,"Conjunto"),""))</f>
        <v/>
      </c>
      <c r="W339" t="str" cm="1">
        <f t="array" ref="W339">IF(S339="","",IFERROR(AVERAGE(IF((DATOS!$A$2:$A$20000=S339)*(DATOS!$G$2:$G$20000=CONFIG_METADATA!$B$4)*(DATOS!$I$2:$I$20000&lt;&gt;"Lenguaje Musical")*(DATOS!$I$2:$I$20000&lt;&gt;"Coro")*(DATOS!$I$2:$I$20000&lt;&gt;"Conjunto"),DATOS!$K$2:$K$20000)),""))</f>
        <v/>
      </c>
    </row>
    <row r="340" spans="2:23" x14ac:dyDescent="0.2">
      <c r="B340" t="str">
        <f>IF(A340="","",IFERROR(AVERAGEIFS(DATOS!$K$2:$K$20000,DATOS!$A$2:$A$20000,A340,DATOS!$G$2:$G$20000,CONFIG_METADATA!$B$4,DATOS!$I$2:$I$20000,"Lenguaje Musical"),""))</f>
        <v/>
      </c>
      <c r="C340" t="str">
        <f>IF(A340="","",IFERROR(AVERAGEIFS(DATOS!$K$2:$K$20000,DATOS!$A$2:$A$20000,A340,DATOS!$G$2:$G$20000,CONFIG_METADATA!$B$4,DATOS!$I$2:$I$20000,"Coro"),""))</f>
        <v/>
      </c>
      <c r="D340" t="str">
        <f>IF(A340="","",IFERROR(AVERAGEIFS(DATOS!$K$2:$K$20000,DATOS!$A$2:$A$20000,A340,DATOS!$G$2:$G$20000,CONFIG_METADATA!$B$4,DATOS!$I$2:$I$20000,"Conjunto"),""))</f>
        <v/>
      </c>
      <c r="E340" t="str">
        <f>IF(A340="","",IFERROR(AVERAGEIFS(DATOS!$K$2:$K$20000,DATOS!$A$2:$A$20000,A340,DATOS!$G$2:$G$20000,CONFIG_METADATA!$B$4,DATOS!$I$2:$I$20000,"&lt;&gt;Lenguaje Musical",DATOS!$I$2:$I$20000,"&lt;&gt;Coro",DATOS!$I$2:$I$20000,"&lt;&gt;Conjunto"),""))</f>
        <v/>
      </c>
      <c r="H340" t="str">
        <f>IF(G340="","",IFERROR(AVERAGEIFS(DATOS!$K$2:$K$20000,DATOS!$A$2:$A$20000,G340,DATOS!$G$2:$G$20000,CONFIG_METADATA!$B$4,DATOS!$I$2:$I$20000,"Lenguaje Musical"),""))</f>
        <v/>
      </c>
      <c r="I340" t="str">
        <f>IF(G340="","",IFERROR(AVERAGEIFS(DATOS!$K$2:$K$20000,DATOS!$A$2:$A$20000,G340,DATOS!$G$2:$G$20000,CONFIG_METADATA!$B$4,DATOS!$I$2:$I$20000,"Coro"),""))</f>
        <v/>
      </c>
      <c r="J340" t="str">
        <f>IF(G340="","",IFERROR(AVERAGEIFS(DATOS!$K$2:$K$20000,DATOS!$A$2:$A$20000,G340,DATOS!$G$2:$G$20000,CONFIG_METADATA!$B$4,DATOS!$I$2:$I$20000,"Conjunto"),""))</f>
        <v/>
      </c>
      <c r="K340" t="str" cm="1">
        <f t="array" ref="K340">IF(G340="","",IFERROR(AVERAGE(IF((DATOS!$A$2:$A$20000=G340)*(DATOS!$G$2:$G$20000=CONFIG_METADATA!$B$4)*(DATOS!$I$2:$I$20000&lt;&gt;"Lenguaje Musical")*(DATOS!$I$2:$I$20000&lt;&gt;"Coro")*(DATOS!$I$2:$I$20000&lt;&gt;"Conjunto"),DATOS!$K$2:$K$20000)),""))</f>
        <v/>
      </c>
      <c r="N340" t="str">
        <f>IF(M340="","",IFERROR(AVERAGEIFS(DATOS!$K$2:$K$20000,DATOS!$A$2:$A$20000,M340,DATOS!$G$2:$G$20000,CONFIG_METADATA!$B$4,DATOS!$I$2:$I$20000,"Lenguaje Musical"),""))</f>
        <v/>
      </c>
      <c r="O340" t="str">
        <f>IF(M340="","",IFERROR(AVERAGEIFS(DATOS!$K$2:$K$20000,DATOS!$A$2:$A$20000,M340,DATOS!$G$2:$G$20000,CONFIG_METADATA!$B$4,DATOS!$I$2:$I$20000,"Coro"),""))</f>
        <v/>
      </c>
      <c r="P340" t="str">
        <f>IF(M340="","",IFERROR(AVERAGEIFS(DATOS!$K$2:$K$20000,DATOS!$A$2:$A$20000,M340,DATOS!$G$2:$G$20000,CONFIG_METADATA!$B$4,DATOS!$I$2:$I$20000,"Conjunto"),""))</f>
        <v/>
      </c>
      <c r="Q340" t="str">
        <f>IF(M340="","",IFERROR(AVERAGEIFS(DATOS!$K$2:$K$20000,DATOS!$A$2:$A$20000,M340,DATOS!$G$2:$G$20000,CONFIG_METADATA!$B$4,DATOS!$I$2:$I$20000,"&lt;&gt;Lenguaje Musical",DATOS!$I$2:$I$20000,"&lt;&gt;Coro",DATOS!$I$2:$I$20000,"&lt;&gt;Conjunto"),""))</f>
        <v/>
      </c>
      <c r="T340" t="str">
        <f>IF(S340="","",IFERROR(AVERAGEIFS(DATOS!$K$2:$K$20000,DATOS!$A$2:$A$20000,S340,DATOS!$G$2:$G$20000,CONFIG_METADATA!$B$4,DATOS!$I$2:$I$20000,"Lenguaje Musical"),""))</f>
        <v/>
      </c>
      <c r="U340" t="str">
        <f>IF(S340="","",IFERROR(AVERAGEIFS(DATOS!$K$2:$K$20000,DATOS!$A$2:$A$20000,S340,DATOS!$G$2:$G$20000,CONFIG_METADATA!$B$4,DATOS!$I$2:$I$20000,"Coro"),""))</f>
        <v/>
      </c>
      <c r="V340" t="str">
        <f>IF(S340="","",IFERROR(AVERAGEIFS(DATOS!$K$2:$K$20000,DATOS!$A$2:$A$20000,S340,DATOS!$G$2:$G$20000,CONFIG_METADATA!$B$4,DATOS!$I$2:$I$20000,"Conjunto"),""))</f>
        <v/>
      </c>
      <c r="W340" t="str" cm="1">
        <f t="array" ref="W340">IF(S340="","",IFERROR(AVERAGE(IF((DATOS!$A$2:$A$20000=S340)*(DATOS!$G$2:$G$20000=CONFIG_METADATA!$B$4)*(DATOS!$I$2:$I$20000&lt;&gt;"Lenguaje Musical")*(DATOS!$I$2:$I$20000&lt;&gt;"Coro")*(DATOS!$I$2:$I$20000&lt;&gt;"Conjunto"),DATOS!$K$2:$K$20000)),""))</f>
        <v/>
      </c>
    </row>
    <row r="341" spans="2:23" x14ac:dyDescent="0.2">
      <c r="B341" t="str">
        <f>IF(A341="","",IFERROR(AVERAGEIFS(DATOS!$K$2:$K$20000,DATOS!$A$2:$A$20000,A341,DATOS!$G$2:$G$20000,CONFIG_METADATA!$B$4,DATOS!$I$2:$I$20000,"Lenguaje Musical"),""))</f>
        <v/>
      </c>
      <c r="C341" t="str">
        <f>IF(A341="","",IFERROR(AVERAGEIFS(DATOS!$K$2:$K$20000,DATOS!$A$2:$A$20000,A341,DATOS!$G$2:$G$20000,CONFIG_METADATA!$B$4,DATOS!$I$2:$I$20000,"Coro"),""))</f>
        <v/>
      </c>
      <c r="D341" t="str">
        <f>IF(A341="","",IFERROR(AVERAGEIFS(DATOS!$K$2:$K$20000,DATOS!$A$2:$A$20000,A341,DATOS!$G$2:$G$20000,CONFIG_METADATA!$B$4,DATOS!$I$2:$I$20000,"Conjunto"),""))</f>
        <v/>
      </c>
      <c r="E341" t="str">
        <f>IF(A341="","",IFERROR(AVERAGEIFS(DATOS!$K$2:$K$20000,DATOS!$A$2:$A$20000,A341,DATOS!$G$2:$G$20000,CONFIG_METADATA!$B$4,DATOS!$I$2:$I$20000,"&lt;&gt;Lenguaje Musical",DATOS!$I$2:$I$20000,"&lt;&gt;Coro",DATOS!$I$2:$I$20000,"&lt;&gt;Conjunto"),""))</f>
        <v/>
      </c>
      <c r="H341" t="str">
        <f>IF(G341="","",IFERROR(AVERAGEIFS(DATOS!$K$2:$K$20000,DATOS!$A$2:$A$20000,G341,DATOS!$G$2:$G$20000,CONFIG_METADATA!$B$4,DATOS!$I$2:$I$20000,"Lenguaje Musical"),""))</f>
        <v/>
      </c>
      <c r="I341" t="str">
        <f>IF(G341="","",IFERROR(AVERAGEIFS(DATOS!$K$2:$K$20000,DATOS!$A$2:$A$20000,G341,DATOS!$G$2:$G$20000,CONFIG_METADATA!$B$4,DATOS!$I$2:$I$20000,"Coro"),""))</f>
        <v/>
      </c>
      <c r="J341" t="str">
        <f>IF(G341="","",IFERROR(AVERAGEIFS(DATOS!$K$2:$K$20000,DATOS!$A$2:$A$20000,G341,DATOS!$G$2:$G$20000,CONFIG_METADATA!$B$4,DATOS!$I$2:$I$20000,"Conjunto"),""))</f>
        <v/>
      </c>
      <c r="K341" t="str" cm="1">
        <f t="array" ref="K341">IF(G341="","",IFERROR(AVERAGE(IF((DATOS!$A$2:$A$20000=G341)*(DATOS!$G$2:$G$20000=CONFIG_METADATA!$B$4)*(DATOS!$I$2:$I$20000&lt;&gt;"Lenguaje Musical")*(DATOS!$I$2:$I$20000&lt;&gt;"Coro")*(DATOS!$I$2:$I$20000&lt;&gt;"Conjunto"),DATOS!$K$2:$K$20000)),""))</f>
        <v/>
      </c>
      <c r="N341" t="str">
        <f>IF(M341="","",IFERROR(AVERAGEIFS(DATOS!$K$2:$K$20000,DATOS!$A$2:$A$20000,M341,DATOS!$G$2:$G$20000,CONFIG_METADATA!$B$4,DATOS!$I$2:$I$20000,"Lenguaje Musical"),""))</f>
        <v/>
      </c>
      <c r="O341" t="str">
        <f>IF(M341="","",IFERROR(AVERAGEIFS(DATOS!$K$2:$K$20000,DATOS!$A$2:$A$20000,M341,DATOS!$G$2:$G$20000,CONFIG_METADATA!$B$4,DATOS!$I$2:$I$20000,"Coro"),""))</f>
        <v/>
      </c>
      <c r="P341" t="str">
        <f>IF(M341="","",IFERROR(AVERAGEIFS(DATOS!$K$2:$K$20000,DATOS!$A$2:$A$20000,M341,DATOS!$G$2:$G$20000,CONFIG_METADATA!$B$4,DATOS!$I$2:$I$20000,"Conjunto"),""))</f>
        <v/>
      </c>
      <c r="Q341" t="str">
        <f>IF(M341="","",IFERROR(AVERAGEIFS(DATOS!$K$2:$K$20000,DATOS!$A$2:$A$20000,M341,DATOS!$G$2:$G$20000,CONFIG_METADATA!$B$4,DATOS!$I$2:$I$20000,"&lt;&gt;Lenguaje Musical",DATOS!$I$2:$I$20000,"&lt;&gt;Coro",DATOS!$I$2:$I$20000,"&lt;&gt;Conjunto"),""))</f>
        <v/>
      </c>
      <c r="T341" t="str">
        <f>IF(S341="","",IFERROR(AVERAGEIFS(DATOS!$K$2:$K$20000,DATOS!$A$2:$A$20000,S341,DATOS!$G$2:$G$20000,CONFIG_METADATA!$B$4,DATOS!$I$2:$I$20000,"Lenguaje Musical"),""))</f>
        <v/>
      </c>
      <c r="U341" t="str">
        <f>IF(S341="","",IFERROR(AVERAGEIFS(DATOS!$K$2:$K$20000,DATOS!$A$2:$A$20000,S341,DATOS!$G$2:$G$20000,CONFIG_METADATA!$B$4,DATOS!$I$2:$I$20000,"Coro"),""))</f>
        <v/>
      </c>
      <c r="V341" t="str">
        <f>IF(S341="","",IFERROR(AVERAGEIFS(DATOS!$K$2:$K$20000,DATOS!$A$2:$A$20000,S341,DATOS!$G$2:$G$20000,CONFIG_METADATA!$B$4,DATOS!$I$2:$I$20000,"Conjunto"),""))</f>
        <v/>
      </c>
      <c r="W341" t="str" cm="1">
        <f t="array" ref="W341">IF(S341="","",IFERROR(AVERAGE(IF((DATOS!$A$2:$A$20000=S341)*(DATOS!$G$2:$G$20000=CONFIG_METADATA!$B$4)*(DATOS!$I$2:$I$20000&lt;&gt;"Lenguaje Musical")*(DATOS!$I$2:$I$20000&lt;&gt;"Coro")*(DATOS!$I$2:$I$20000&lt;&gt;"Conjunto"),DATOS!$K$2:$K$20000)),""))</f>
        <v/>
      </c>
    </row>
    <row r="342" spans="2:23" x14ac:dyDescent="0.2">
      <c r="B342" t="str">
        <f>IF(A342="","",IFERROR(AVERAGEIFS(DATOS!$K$2:$K$20000,DATOS!$A$2:$A$20000,A342,DATOS!$G$2:$G$20000,CONFIG_METADATA!$B$4,DATOS!$I$2:$I$20000,"Lenguaje Musical"),""))</f>
        <v/>
      </c>
      <c r="C342" t="str">
        <f>IF(A342="","",IFERROR(AVERAGEIFS(DATOS!$K$2:$K$20000,DATOS!$A$2:$A$20000,A342,DATOS!$G$2:$G$20000,CONFIG_METADATA!$B$4,DATOS!$I$2:$I$20000,"Coro"),""))</f>
        <v/>
      </c>
      <c r="D342" t="str">
        <f>IF(A342="","",IFERROR(AVERAGEIFS(DATOS!$K$2:$K$20000,DATOS!$A$2:$A$20000,A342,DATOS!$G$2:$G$20000,CONFIG_METADATA!$B$4,DATOS!$I$2:$I$20000,"Conjunto"),""))</f>
        <v/>
      </c>
      <c r="E342" t="str">
        <f>IF(A342="","",IFERROR(AVERAGEIFS(DATOS!$K$2:$K$20000,DATOS!$A$2:$A$20000,A342,DATOS!$G$2:$G$20000,CONFIG_METADATA!$B$4,DATOS!$I$2:$I$20000,"&lt;&gt;Lenguaje Musical",DATOS!$I$2:$I$20000,"&lt;&gt;Coro",DATOS!$I$2:$I$20000,"&lt;&gt;Conjunto"),""))</f>
        <v/>
      </c>
      <c r="H342" t="str">
        <f>IF(G342="","",IFERROR(AVERAGEIFS(DATOS!$K$2:$K$20000,DATOS!$A$2:$A$20000,G342,DATOS!$G$2:$G$20000,CONFIG_METADATA!$B$4,DATOS!$I$2:$I$20000,"Lenguaje Musical"),""))</f>
        <v/>
      </c>
      <c r="I342" t="str">
        <f>IF(G342="","",IFERROR(AVERAGEIFS(DATOS!$K$2:$K$20000,DATOS!$A$2:$A$20000,G342,DATOS!$G$2:$G$20000,CONFIG_METADATA!$B$4,DATOS!$I$2:$I$20000,"Coro"),""))</f>
        <v/>
      </c>
      <c r="J342" t="str">
        <f>IF(G342="","",IFERROR(AVERAGEIFS(DATOS!$K$2:$K$20000,DATOS!$A$2:$A$20000,G342,DATOS!$G$2:$G$20000,CONFIG_METADATA!$B$4,DATOS!$I$2:$I$20000,"Conjunto"),""))</f>
        <v/>
      </c>
      <c r="K342" t="str" cm="1">
        <f t="array" ref="K342">IF(G342="","",IFERROR(AVERAGE(IF((DATOS!$A$2:$A$20000=G342)*(DATOS!$G$2:$G$20000=CONFIG_METADATA!$B$4)*(DATOS!$I$2:$I$20000&lt;&gt;"Lenguaje Musical")*(DATOS!$I$2:$I$20000&lt;&gt;"Coro")*(DATOS!$I$2:$I$20000&lt;&gt;"Conjunto"),DATOS!$K$2:$K$20000)),""))</f>
        <v/>
      </c>
      <c r="N342" t="str">
        <f>IF(M342="","",IFERROR(AVERAGEIFS(DATOS!$K$2:$K$20000,DATOS!$A$2:$A$20000,M342,DATOS!$G$2:$G$20000,CONFIG_METADATA!$B$4,DATOS!$I$2:$I$20000,"Lenguaje Musical"),""))</f>
        <v/>
      </c>
      <c r="O342" t="str">
        <f>IF(M342="","",IFERROR(AVERAGEIFS(DATOS!$K$2:$K$20000,DATOS!$A$2:$A$20000,M342,DATOS!$G$2:$G$20000,CONFIG_METADATA!$B$4,DATOS!$I$2:$I$20000,"Coro"),""))</f>
        <v/>
      </c>
      <c r="P342" t="str">
        <f>IF(M342="","",IFERROR(AVERAGEIFS(DATOS!$K$2:$K$20000,DATOS!$A$2:$A$20000,M342,DATOS!$G$2:$G$20000,CONFIG_METADATA!$B$4,DATOS!$I$2:$I$20000,"Conjunto"),""))</f>
        <v/>
      </c>
      <c r="Q342" t="str">
        <f>IF(M342="","",IFERROR(AVERAGEIFS(DATOS!$K$2:$K$20000,DATOS!$A$2:$A$20000,M342,DATOS!$G$2:$G$20000,CONFIG_METADATA!$B$4,DATOS!$I$2:$I$20000,"&lt;&gt;Lenguaje Musical",DATOS!$I$2:$I$20000,"&lt;&gt;Coro",DATOS!$I$2:$I$20000,"&lt;&gt;Conjunto"),""))</f>
        <v/>
      </c>
      <c r="T342" t="str">
        <f>IF(S342="","",IFERROR(AVERAGEIFS(DATOS!$K$2:$K$20000,DATOS!$A$2:$A$20000,S342,DATOS!$G$2:$G$20000,CONFIG_METADATA!$B$4,DATOS!$I$2:$I$20000,"Lenguaje Musical"),""))</f>
        <v/>
      </c>
      <c r="U342" t="str">
        <f>IF(S342="","",IFERROR(AVERAGEIFS(DATOS!$K$2:$K$20000,DATOS!$A$2:$A$20000,S342,DATOS!$G$2:$G$20000,CONFIG_METADATA!$B$4,DATOS!$I$2:$I$20000,"Coro"),""))</f>
        <v/>
      </c>
      <c r="V342" t="str">
        <f>IF(S342="","",IFERROR(AVERAGEIFS(DATOS!$K$2:$K$20000,DATOS!$A$2:$A$20000,S342,DATOS!$G$2:$G$20000,CONFIG_METADATA!$B$4,DATOS!$I$2:$I$20000,"Conjunto"),""))</f>
        <v/>
      </c>
      <c r="W342" t="str" cm="1">
        <f t="array" ref="W342">IF(S342="","",IFERROR(AVERAGE(IF((DATOS!$A$2:$A$20000=S342)*(DATOS!$G$2:$G$20000=CONFIG_METADATA!$B$4)*(DATOS!$I$2:$I$20000&lt;&gt;"Lenguaje Musical")*(DATOS!$I$2:$I$20000&lt;&gt;"Coro")*(DATOS!$I$2:$I$20000&lt;&gt;"Conjunto"),DATOS!$K$2:$K$20000)),""))</f>
        <v/>
      </c>
    </row>
    <row r="343" spans="2:23" x14ac:dyDescent="0.2">
      <c r="B343" t="str">
        <f>IF(A343="","",IFERROR(AVERAGEIFS(DATOS!$K$2:$K$20000,DATOS!$A$2:$A$20000,A343,DATOS!$G$2:$G$20000,CONFIG_METADATA!$B$4,DATOS!$I$2:$I$20000,"Lenguaje Musical"),""))</f>
        <v/>
      </c>
      <c r="C343" t="str">
        <f>IF(A343="","",IFERROR(AVERAGEIFS(DATOS!$K$2:$K$20000,DATOS!$A$2:$A$20000,A343,DATOS!$G$2:$G$20000,CONFIG_METADATA!$B$4,DATOS!$I$2:$I$20000,"Coro"),""))</f>
        <v/>
      </c>
      <c r="D343" t="str">
        <f>IF(A343="","",IFERROR(AVERAGEIFS(DATOS!$K$2:$K$20000,DATOS!$A$2:$A$20000,A343,DATOS!$G$2:$G$20000,CONFIG_METADATA!$B$4,DATOS!$I$2:$I$20000,"Conjunto"),""))</f>
        <v/>
      </c>
      <c r="E343" t="str">
        <f>IF(A343="","",IFERROR(AVERAGEIFS(DATOS!$K$2:$K$20000,DATOS!$A$2:$A$20000,A343,DATOS!$G$2:$G$20000,CONFIG_METADATA!$B$4,DATOS!$I$2:$I$20000,"&lt;&gt;Lenguaje Musical",DATOS!$I$2:$I$20000,"&lt;&gt;Coro",DATOS!$I$2:$I$20000,"&lt;&gt;Conjunto"),""))</f>
        <v/>
      </c>
      <c r="H343" t="str">
        <f>IF(G343="","",IFERROR(AVERAGEIFS(DATOS!$K$2:$K$20000,DATOS!$A$2:$A$20000,G343,DATOS!$G$2:$G$20000,CONFIG_METADATA!$B$4,DATOS!$I$2:$I$20000,"Lenguaje Musical"),""))</f>
        <v/>
      </c>
      <c r="I343" t="str">
        <f>IF(G343="","",IFERROR(AVERAGEIFS(DATOS!$K$2:$K$20000,DATOS!$A$2:$A$20000,G343,DATOS!$G$2:$G$20000,CONFIG_METADATA!$B$4,DATOS!$I$2:$I$20000,"Coro"),""))</f>
        <v/>
      </c>
      <c r="J343" t="str">
        <f>IF(G343="","",IFERROR(AVERAGEIFS(DATOS!$K$2:$K$20000,DATOS!$A$2:$A$20000,G343,DATOS!$G$2:$G$20000,CONFIG_METADATA!$B$4,DATOS!$I$2:$I$20000,"Conjunto"),""))</f>
        <v/>
      </c>
      <c r="K343" t="str" cm="1">
        <f t="array" ref="K343">IF(G343="","",IFERROR(AVERAGE(IF((DATOS!$A$2:$A$20000=G343)*(DATOS!$G$2:$G$20000=CONFIG_METADATA!$B$4)*(DATOS!$I$2:$I$20000&lt;&gt;"Lenguaje Musical")*(DATOS!$I$2:$I$20000&lt;&gt;"Coro")*(DATOS!$I$2:$I$20000&lt;&gt;"Conjunto"),DATOS!$K$2:$K$20000)),""))</f>
        <v/>
      </c>
      <c r="N343" t="str">
        <f>IF(M343="","",IFERROR(AVERAGEIFS(DATOS!$K$2:$K$20000,DATOS!$A$2:$A$20000,M343,DATOS!$G$2:$G$20000,CONFIG_METADATA!$B$4,DATOS!$I$2:$I$20000,"Lenguaje Musical"),""))</f>
        <v/>
      </c>
      <c r="O343" t="str">
        <f>IF(M343="","",IFERROR(AVERAGEIFS(DATOS!$K$2:$K$20000,DATOS!$A$2:$A$20000,M343,DATOS!$G$2:$G$20000,CONFIG_METADATA!$B$4,DATOS!$I$2:$I$20000,"Coro"),""))</f>
        <v/>
      </c>
      <c r="P343" t="str">
        <f>IF(M343="","",IFERROR(AVERAGEIFS(DATOS!$K$2:$K$20000,DATOS!$A$2:$A$20000,M343,DATOS!$G$2:$G$20000,CONFIG_METADATA!$B$4,DATOS!$I$2:$I$20000,"Conjunto"),""))</f>
        <v/>
      </c>
      <c r="Q343" t="str">
        <f>IF(M343="","",IFERROR(AVERAGEIFS(DATOS!$K$2:$K$20000,DATOS!$A$2:$A$20000,M343,DATOS!$G$2:$G$20000,CONFIG_METADATA!$B$4,DATOS!$I$2:$I$20000,"&lt;&gt;Lenguaje Musical",DATOS!$I$2:$I$20000,"&lt;&gt;Coro",DATOS!$I$2:$I$20000,"&lt;&gt;Conjunto"),""))</f>
        <v/>
      </c>
      <c r="T343" t="str">
        <f>IF(S343="","",IFERROR(AVERAGEIFS(DATOS!$K$2:$K$20000,DATOS!$A$2:$A$20000,S343,DATOS!$G$2:$G$20000,CONFIG_METADATA!$B$4,DATOS!$I$2:$I$20000,"Lenguaje Musical"),""))</f>
        <v/>
      </c>
      <c r="U343" t="str">
        <f>IF(S343="","",IFERROR(AVERAGEIFS(DATOS!$K$2:$K$20000,DATOS!$A$2:$A$20000,S343,DATOS!$G$2:$G$20000,CONFIG_METADATA!$B$4,DATOS!$I$2:$I$20000,"Coro"),""))</f>
        <v/>
      </c>
      <c r="V343" t="str">
        <f>IF(S343="","",IFERROR(AVERAGEIFS(DATOS!$K$2:$K$20000,DATOS!$A$2:$A$20000,S343,DATOS!$G$2:$G$20000,CONFIG_METADATA!$B$4,DATOS!$I$2:$I$20000,"Conjunto"),""))</f>
        <v/>
      </c>
      <c r="W343" t="str" cm="1">
        <f t="array" ref="W343">IF(S343="","",IFERROR(AVERAGE(IF((DATOS!$A$2:$A$20000=S343)*(DATOS!$G$2:$G$20000=CONFIG_METADATA!$B$4)*(DATOS!$I$2:$I$20000&lt;&gt;"Lenguaje Musical")*(DATOS!$I$2:$I$20000&lt;&gt;"Coro")*(DATOS!$I$2:$I$20000&lt;&gt;"Conjunto"),DATOS!$K$2:$K$20000)),""))</f>
        <v/>
      </c>
    </row>
    <row r="344" spans="2:23" x14ac:dyDescent="0.2">
      <c r="B344" t="str">
        <f>IF(A344="","",IFERROR(AVERAGEIFS(DATOS!$K$2:$K$20000,DATOS!$A$2:$A$20000,A344,DATOS!$G$2:$G$20000,CONFIG_METADATA!$B$4,DATOS!$I$2:$I$20000,"Lenguaje Musical"),""))</f>
        <v/>
      </c>
      <c r="C344" t="str">
        <f>IF(A344="","",IFERROR(AVERAGEIFS(DATOS!$K$2:$K$20000,DATOS!$A$2:$A$20000,A344,DATOS!$G$2:$G$20000,CONFIG_METADATA!$B$4,DATOS!$I$2:$I$20000,"Coro"),""))</f>
        <v/>
      </c>
      <c r="D344" t="str">
        <f>IF(A344="","",IFERROR(AVERAGEIFS(DATOS!$K$2:$K$20000,DATOS!$A$2:$A$20000,A344,DATOS!$G$2:$G$20000,CONFIG_METADATA!$B$4,DATOS!$I$2:$I$20000,"Conjunto"),""))</f>
        <v/>
      </c>
      <c r="E344" t="str">
        <f>IF(A344="","",IFERROR(AVERAGEIFS(DATOS!$K$2:$K$20000,DATOS!$A$2:$A$20000,A344,DATOS!$G$2:$G$20000,CONFIG_METADATA!$B$4,DATOS!$I$2:$I$20000,"&lt;&gt;Lenguaje Musical",DATOS!$I$2:$I$20000,"&lt;&gt;Coro",DATOS!$I$2:$I$20000,"&lt;&gt;Conjunto"),""))</f>
        <v/>
      </c>
      <c r="H344" t="str">
        <f>IF(G344="","",IFERROR(AVERAGEIFS(DATOS!$K$2:$K$20000,DATOS!$A$2:$A$20000,G344,DATOS!$G$2:$G$20000,CONFIG_METADATA!$B$4,DATOS!$I$2:$I$20000,"Lenguaje Musical"),""))</f>
        <v/>
      </c>
      <c r="I344" t="str">
        <f>IF(G344="","",IFERROR(AVERAGEIFS(DATOS!$K$2:$K$20000,DATOS!$A$2:$A$20000,G344,DATOS!$G$2:$G$20000,CONFIG_METADATA!$B$4,DATOS!$I$2:$I$20000,"Coro"),""))</f>
        <v/>
      </c>
      <c r="J344" t="str">
        <f>IF(G344="","",IFERROR(AVERAGEIFS(DATOS!$K$2:$K$20000,DATOS!$A$2:$A$20000,G344,DATOS!$G$2:$G$20000,CONFIG_METADATA!$B$4,DATOS!$I$2:$I$20000,"Conjunto"),""))</f>
        <v/>
      </c>
      <c r="K344" t="str" cm="1">
        <f t="array" ref="K344">IF(G344="","",IFERROR(AVERAGE(IF((DATOS!$A$2:$A$20000=G344)*(DATOS!$G$2:$G$20000=CONFIG_METADATA!$B$4)*(DATOS!$I$2:$I$20000&lt;&gt;"Lenguaje Musical")*(DATOS!$I$2:$I$20000&lt;&gt;"Coro")*(DATOS!$I$2:$I$20000&lt;&gt;"Conjunto"),DATOS!$K$2:$K$20000)),""))</f>
        <v/>
      </c>
      <c r="N344" t="str">
        <f>IF(M344="","",IFERROR(AVERAGEIFS(DATOS!$K$2:$K$20000,DATOS!$A$2:$A$20000,M344,DATOS!$G$2:$G$20000,CONFIG_METADATA!$B$4,DATOS!$I$2:$I$20000,"Lenguaje Musical"),""))</f>
        <v/>
      </c>
      <c r="O344" t="str">
        <f>IF(M344="","",IFERROR(AVERAGEIFS(DATOS!$K$2:$K$20000,DATOS!$A$2:$A$20000,M344,DATOS!$G$2:$G$20000,CONFIG_METADATA!$B$4,DATOS!$I$2:$I$20000,"Coro"),""))</f>
        <v/>
      </c>
      <c r="P344" t="str">
        <f>IF(M344="","",IFERROR(AVERAGEIFS(DATOS!$K$2:$K$20000,DATOS!$A$2:$A$20000,M344,DATOS!$G$2:$G$20000,CONFIG_METADATA!$B$4,DATOS!$I$2:$I$20000,"Conjunto"),""))</f>
        <v/>
      </c>
      <c r="Q344" t="str">
        <f>IF(M344="","",IFERROR(AVERAGEIFS(DATOS!$K$2:$K$20000,DATOS!$A$2:$A$20000,M344,DATOS!$G$2:$G$20000,CONFIG_METADATA!$B$4,DATOS!$I$2:$I$20000,"&lt;&gt;Lenguaje Musical",DATOS!$I$2:$I$20000,"&lt;&gt;Coro",DATOS!$I$2:$I$20000,"&lt;&gt;Conjunto"),""))</f>
        <v/>
      </c>
      <c r="T344" t="str">
        <f>IF(S344="","",IFERROR(AVERAGEIFS(DATOS!$K$2:$K$20000,DATOS!$A$2:$A$20000,S344,DATOS!$G$2:$G$20000,CONFIG_METADATA!$B$4,DATOS!$I$2:$I$20000,"Lenguaje Musical"),""))</f>
        <v/>
      </c>
      <c r="U344" t="str">
        <f>IF(S344="","",IFERROR(AVERAGEIFS(DATOS!$K$2:$K$20000,DATOS!$A$2:$A$20000,S344,DATOS!$G$2:$G$20000,CONFIG_METADATA!$B$4,DATOS!$I$2:$I$20000,"Coro"),""))</f>
        <v/>
      </c>
      <c r="V344" t="str">
        <f>IF(S344="","",IFERROR(AVERAGEIFS(DATOS!$K$2:$K$20000,DATOS!$A$2:$A$20000,S344,DATOS!$G$2:$G$20000,CONFIG_METADATA!$B$4,DATOS!$I$2:$I$20000,"Conjunto"),""))</f>
        <v/>
      </c>
      <c r="W344" t="str" cm="1">
        <f t="array" ref="W344">IF(S344="","",IFERROR(AVERAGE(IF((DATOS!$A$2:$A$20000=S344)*(DATOS!$G$2:$G$20000=CONFIG_METADATA!$B$4)*(DATOS!$I$2:$I$20000&lt;&gt;"Lenguaje Musical")*(DATOS!$I$2:$I$20000&lt;&gt;"Coro")*(DATOS!$I$2:$I$20000&lt;&gt;"Conjunto"),DATOS!$K$2:$K$20000)),""))</f>
        <v/>
      </c>
    </row>
    <row r="345" spans="2:23" x14ac:dyDescent="0.2">
      <c r="B345" t="str">
        <f>IF(A345="","",IFERROR(AVERAGEIFS(DATOS!$K$2:$K$20000,DATOS!$A$2:$A$20000,A345,DATOS!$G$2:$G$20000,CONFIG_METADATA!$B$4,DATOS!$I$2:$I$20000,"Lenguaje Musical"),""))</f>
        <v/>
      </c>
      <c r="C345" t="str">
        <f>IF(A345="","",IFERROR(AVERAGEIFS(DATOS!$K$2:$K$20000,DATOS!$A$2:$A$20000,A345,DATOS!$G$2:$G$20000,CONFIG_METADATA!$B$4,DATOS!$I$2:$I$20000,"Coro"),""))</f>
        <v/>
      </c>
      <c r="D345" t="str">
        <f>IF(A345="","",IFERROR(AVERAGEIFS(DATOS!$K$2:$K$20000,DATOS!$A$2:$A$20000,A345,DATOS!$G$2:$G$20000,CONFIG_METADATA!$B$4,DATOS!$I$2:$I$20000,"Conjunto"),""))</f>
        <v/>
      </c>
      <c r="E345" t="str">
        <f>IF(A345="","",IFERROR(AVERAGEIFS(DATOS!$K$2:$K$20000,DATOS!$A$2:$A$20000,A345,DATOS!$G$2:$G$20000,CONFIG_METADATA!$B$4,DATOS!$I$2:$I$20000,"&lt;&gt;Lenguaje Musical",DATOS!$I$2:$I$20000,"&lt;&gt;Coro",DATOS!$I$2:$I$20000,"&lt;&gt;Conjunto"),""))</f>
        <v/>
      </c>
      <c r="H345" t="str">
        <f>IF(G345="","",IFERROR(AVERAGEIFS(DATOS!$K$2:$K$20000,DATOS!$A$2:$A$20000,G345,DATOS!$G$2:$G$20000,CONFIG_METADATA!$B$4,DATOS!$I$2:$I$20000,"Lenguaje Musical"),""))</f>
        <v/>
      </c>
      <c r="I345" t="str">
        <f>IF(G345="","",IFERROR(AVERAGEIFS(DATOS!$K$2:$K$20000,DATOS!$A$2:$A$20000,G345,DATOS!$G$2:$G$20000,CONFIG_METADATA!$B$4,DATOS!$I$2:$I$20000,"Coro"),""))</f>
        <v/>
      </c>
      <c r="J345" t="str">
        <f>IF(G345="","",IFERROR(AVERAGEIFS(DATOS!$K$2:$K$20000,DATOS!$A$2:$A$20000,G345,DATOS!$G$2:$G$20000,CONFIG_METADATA!$B$4,DATOS!$I$2:$I$20000,"Conjunto"),""))</f>
        <v/>
      </c>
      <c r="K345" t="str" cm="1">
        <f t="array" ref="K345">IF(G345="","",IFERROR(AVERAGE(IF((DATOS!$A$2:$A$20000=G345)*(DATOS!$G$2:$G$20000=CONFIG_METADATA!$B$4)*(DATOS!$I$2:$I$20000&lt;&gt;"Lenguaje Musical")*(DATOS!$I$2:$I$20000&lt;&gt;"Coro")*(DATOS!$I$2:$I$20000&lt;&gt;"Conjunto"),DATOS!$K$2:$K$20000)),""))</f>
        <v/>
      </c>
      <c r="N345" t="str">
        <f>IF(M345="","",IFERROR(AVERAGEIFS(DATOS!$K$2:$K$20000,DATOS!$A$2:$A$20000,M345,DATOS!$G$2:$G$20000,CONFIG_METADATA!$B$4,DATOS!$I$2:$I$20000,"Lenguaje Musical"),""))</f>
        <v/>
      </c>
      <c r="O345" t="str">
        <f>IF(M345="","",IFERROR(AVERAGEIFS(DATOS!$K$2:$K$20000,DATOS!$A$2:$A$20000,M345,DATOS!$G$2:$G$20000,CONFIG_METADATA!$B$4,DATOS!$I$2:$I$20000,"Coro"),""))</f>
        <v/>
      </c>
      <c r="P345" t="str">
        <f>IF(M345="","",IFERROR(AVERAGEIFS(DATOS!$K$2:$K$20000,DATOS!$A$2:$A$20000,M345,DATOS!$G$2:$G$20000,CONFIG_METADATA!$B$4,DATOS!$I$2:$I$20000,"Conjunto"),""))</f>
        <v/>
      </c>
      <c r="Q345" t="str">
        <f>IF(M345="","",IFERROR(AVERAGEIFS(DATOS!$K$2:$K$20000,DATOS!$A$2:$A$20000,M345,DATOS!$G$2:$G$20000,CONFIG_METADATA!$B$4,DATOS!$I$2:$I$20000,"&lt;&gt;Lenguaje Musical",DATOS!$I$2:$I$20000,"&lt;&gt;Coro",DATOS!$I$2:$I$20000,"&lt;&gt;Conjunto"),""))</f>
        <v/>
      </c>
      <c r="T345" t="str">
        <f>IF(S345="","",IFERROR(AVERAGEIFS(DATOS!$K$2:$K$20000,DATOS!$A$2:$A$20000,S345,DATOS!$G$2:$G$20000,CONFIG_METADATA!$B$4,DATOS!$I$2:$I$20000,"Lenguaje Musical"),""))</f>
        <v/>
      </c>
      <c r="U345" t="str">
        <f>IF(S345="","",IFERROR(AVERAGEIFS(DATOS!$K$2:$K$20000,DATOS!$A$2:$A$20000,S345,DATOS!$G$2:$G$20000,CONFIG_METADATA!$B$4,DATOS!$I$2:$I$20000,"Coro"),""))</f>
        <v/>
      </c>
      <c r="V345" t="str">
        <f>IF(S345="","",IFERROR(AVERAGEIFS(DATOS!$K$2:$K$20000,DATOS!$A$2:$A$20000,S345,DATOS!$G$2:$G$20000,CONFIG_METADATA!$B$4,DATOS!$I$2:$I$20000,"Conjunto"),""))</f>
        <v/>
      </c>
      <c r="W345" t="str" cm="1">
        <f t="array" ref="W345">IF(S345="","",IFERROR(AVERAGE(IF((DATOS!$A$2:$A$20000=S345)*(DATOS!$G$2:$G$20000=CONFIG_METADATA!$B$4)*(DATOS!$I$2:$I$20000&lt;&gt;"Lenguaje Musical")*(DATOS!$I$2:$I$20000&lt;&gt;"Coro")*(DATOS!$I$2:$I$20000&lt;&gt;"Conjunto"),DATOS!$K$2:$K$20000)),""))</f>
        <v/>
      </c>
    </row>
    <row r="346" spans="2:23" x14ac:dyDescent="0.2">
      <c r="B346" t="str">
        <f>IF(A346="","",IFERROR(AVERAGEIFS(DATOS!$K$2:$K$20000,DATOS!$A$2:$A$20000,A346,DATOS!$G$2:$G$20000,CONFIG_METADATA!$B$4,DATOS!$I$2:$I$20000,"Lenguaje Musical"),""))</f>
        <v/>
      </c>
      <c r="C346" t="str">
        <f>IF(A346="","",IFERROR(AVERAGEIFS(DATOS!$K$2:$K$20000,DATOS!$A$2:$A$20000,A346,DATOS!$G$2:$G$20000,CONFIG_METADATA!$B$4,DATOS!$I$2:$I$20000,"Coro"),""))</f>
        <v/>
      </c>
      <c r="D346" t="str">
        <f>IF(A346="","",IFERROR(AVERAGEIFS(DATOS!$K$2:$K$20000,DATOS!$A$2:$A$20000,A346,DATOS!$G$2:$G$20000,CONFIG_METADATA!$B$4,DATOS!$I$2:$I$20000,"Conjunto"),""))</f>
        <v/>
      </c>
      <c r="E346" t="str">
        <f>IF(A346="","",IFERROR(AVERAGEIFS(DATOS!$K$2:$K$20000,DATOS!$A$2:$A$20000,A346,DATOS!$G$2:$G$20000,CONFIG_METADATA!$B$4,DATOS!$I$2:$I$20000,"&lt;&gt;Lenguaje Musical",DATOS!$I$2:$I$20000,"&lt;&gt;Coro",DATOS!$I$2:$I$20000,"&lt;&gt;Conjunto"),""))</f>
        <v/>
      </c>
      <c r="H346" t="str">
        <f>IF(G346="","",IFERROR(AVERAGEIFS(DATOS!$K$2:$K$20000,DATOS!$A$2:$A$20000,G346,DATOS!$G$2:$G$20000,CONFIG_METADATA!$B$4,DATOS!$I$2:$I$20000,"Lenguaje Musical"),""))</f>
        <v/>
      </c>
      <c r="I346" t="str">
        <f>IF(G346="","",IFERROR(AVERAGEIFS(DATOS!$K$2:$K$20000,DATOS!$A$2:$A$20000,G346,DATOS!$G$2:$G$20000,CONFIG_METADATA!$B$4,DATOS!$I$2:$I$20000,"Coro"),""))</f>
        <v/>
      </c>
      <c r="J346" t="str">
        <f>IF(G346="","",IFERROR(AVERAGEIFS(DATOS!$K$2:$K$20000,DATOS!$A$2:$A$20000,G346,DATOS!$G$2:$G$20000,CONFIG_METADATA!$B$4,DATOS!$I$2:$I$20000,"Conjunto"),""))</f>
        <v/>
      </c>
      <c r="K346" t="str" cm="1">
        <f t="array" ref="K346">IF(G346="","",IFERROR(AVERAGE(IF((DATOS!$A$2:$A$20000=G346)*(DATOS!$G$2:$G$20000=CONFIG_METADATA!$B$4)*(DATOS!$I$2:$I$20000&lt;&gt;"Lenguaje Musical")*(DATOS!$I$2:$I$20000&lt;&gt;"Coro")*(DATOS!$I$2:$I$20000&lt;&gt;"Conjunto"),DATOS!$K$2:$K$20000)),""))</f>
        <v/>
      </c>
      <c r="N346" t="str">
        <f>IF(M346="","",IFERROR(AVERAGEIFS(DATOS!$K$2:$K$20000,DATOS!$A$2:$A$20000,M346,DATOS!$G$2:$G$20000,CONFIG_METADATA!$B$4,DATOS!$I$2:$I$20000,"Lenguaje Musical"),""))</f>
        <v/>
      </c>
      <c r="O346" t="str">
        <f>IF(M346="","",IFERROR(AVERAGEIFS(DATOS!$K$2:$K$20000,DATOS!$A$2:$A$20000,M346,DATOS!$G$2:$G$20000,CONFIG_METADATA!$B$4,DATOS!$I$2:$I$20000,"Coro"),""))</f>
        <v/>
      </c>
      <c r="P346" t="str">
        <f>IF(M346="","",IFERROR(AVERAGEIFS(DATOS!$K$2:$K$20000,DATOS!$A$2:$A$20000,M346,DATOS!$G$2:$G$20000,CONFIG_METADATA!$B$4,DATOS!$I$2:$I$20000,"Conjunto"),""))</f>
        <v/>
      </c>
      <c r="Q346" t="str">
        <f>IF(M346="","",IFERROR(AVERAGEIFS(DATOS!$K$2:$K$20000,DATOS!$A$2:$A$20000,M346,DATOS!$G$2:$G$20000,CONFIG_METADATA!$B$4,DATOS!$I$2:$I$20000,"&lt;&gt;Lenguaje Musical",DATOS!$I$2:$I$20000,"&lt;&gt;Coro",DATOS!$I$2:$I$20000,"&lt;&gt;Conjunto"),""))</f>
        <v/>
      </c>
      <c r="T346" t="str">
        <f>IF(S346="","",IFERROR(AVERAGEIFS(DATOS!$K$2:$K$20000,DATOS!$A$2:$A$20000,S346,DATOS!$G$2:$G$20000,CONFIG_METADATA!$B$4,DATOS!$I$2:$I$20000,"Lenguaje Musical"),""))</f>
        <v/>
      </c>
      <c r="U346" t="str">
        <f>IF(S346="","",IFERROR(AVERAGEIFS(DATOS!$K$2:$K$20000,DATOS!$A$2:$A$20000,S346,DATOS!$G$2:$G$20000,CONFIG_METADATA!$B$4,DATOS!$I$2:$I$20000,"Coro"),""))</f>
        <v/>
      </c>
      <c r="V346" t="str">
        <f>IF(S346="","",IFERROR(AVERAGEIFS(DATOS!$K$2:$K$20000,DATOS!$A$2:$A$20000,S346,DATOS!$G$2:$G$20000,CONFIG_METADATA!$B$4,DATOS!$I$2:$I$20000,"Conjunto"),""))</f>
        <v/>
      </c>
      <c r="W346" t="str" cm="1">
        <f t="array" ref="W346">IF(S346="","",IFERROR(AVERAGE(IF((DATOS!$A$2:$A$20000=S346)*(DATOS!$G$2:$G$20000=CONFIG_METADATA!$B$4)*(DATOS!$I$2:$I$20000&lt;&gt;"Lenguaje Musical")*(DATOS!$I$2:$I$20000&lt;&gt;"Coro")*(DATOS!$I$2:$I$20000&lt;&gt;"Conjunto"),DATOS!$K$2:$K$20000)),""))</f>
        <v/>
      </c>
    </row>
    <row r="347" spans="2:23" x14ac:dyDescent="0.2">
      <c r="B347" t="str">
        <f>IF(A347="","",IFERROR(AVERAGEIFS(DATOS!$K$2:$K$20000,DATOS!$A$2:$A$20000,A347,DATOS!$G$2:$G$20000,CONFIG_METADATA!$B$4,DATOS!$I$2:$I$20000,"Lenguaje Musical"),""))</f>
        <v/>
      </c>
      <c r="C347" t="str">
        <f>IF(A347="","",IFERROR(AVERAGEIFS(DATOS!$K$2:$K$20000,DATOS!$A$2:$A$20000,A347,DATOS!$G$2:$G$20000,CONFIG_METADATA!$B$4,DATOS!$I$2:$I$20000,"Coro"),""))</f>
        <v/>
      </c>
      <c r="D347" t="str">
        <f>IF(A347="","",IFERROR(AVERAGEIFS(DATOS!$K$2:$K$20000,DATOS!$A$2:$A$20000,A347,DATOS!$G$2:$G$20000,CONFIG_METADATA!$B$4,DATOS!$I$2:$I$20000,"Conjunto"),""))</f>
        <v/>
      </c>
      <c r="E347" t="str">
        <f>IF(A347="","",IFERROR(AVERAGEIFS(DATOS!$K$2:$K$20000,DATOS!$A$2:$A$20000,A347,DATOS!$G$2:$G$20000,CONFIG_METADATA!$B$4,DATOS!$I$2:$I$20000,"&lt;&gt;Lenguaje Musical",DATOS!$I$2:$I$20000,"&lt;&gt;Coro",DATOS!$I$2:$I$20000,"&lt;&gt;Conjunto"),""))</f>
        <v/>
      </c>
      <c r="H347" t="str">
        <f>IF(G347="","",IFERROR(AVERAGEIFS(DATOS!$K$2:$K$20000,DATOS!$A$2:$A$20000,G347,DATOS!$G$2:$G$20000,CONFIG_METADATA!$B$4,DATOS!$I$2:$I$20000,"Lenguaje Musical"),""))</f>
        <v/>
      </c>
      <c r="I347" t="str">
        <f>IF(G347="","",IFERROR(AVERAGEIFS(DATOS!$K$2:$K$20000,DATOS!$A$2:$A$20000,G347,DATOS!$G$2:$G$20000,CONFIG_METADATA!$B$4,DATOS!$I$2:$I$20000,"Coro"),""))</f>
        <v/>
      </c>
      <c r="J347" t="str">
        <f>IF(G347="","",IFERROR(AVERAGEIFS(DATOS!$K$2:$K$20000,DATOS!$A$2:$A$20000,G347,DATOS!$G$2:$G$20000,CONFIG_METADATA!$B$4,DATOS!$I$2:$I$20000,"Conjunto"),""))</f>
        <v/>
      </c>
      <c r="K347" t="str" cm="1">
        <f t="array" ref="K347">IF(G347="","",IFERROR(AVERAGE(IF((DATOS!$A$2:$A$20000=G347)*(DATOS!$G$2:$G$20000=CONFIG_METADATA!$B$4)*(DATOS!$I$2:$I$20000&lt;&gt;"Lenguaje Musical")*(DATOS!$I$2:$I$20000&lt;&gt;"Coro")*(DATOS!$I$2:$I$20000&lt;&gt;"Conjunto"),DATOS!$K$2:$K$20000)),""))</f>
        <v/>
      </c>
      <c r="N347" t="str">
        <f>IF(M347="","",IFERROR(AVERAGEIFS(DATOS!$K$2:$K$20000,DATOS!$A$2:$A$20000,M347,DATOS!$G$2:$G$20000,CONFIG_METADATA!$B$4,DATOS!$I$2:$I$20000,"Lenguaje Musical"),""))</f>
        <v/>
      </c>
      <c r="O347" t="str">
        <f>IF(M347="","",IFERROR(AVERAGEIFS(DATOS!$K$2:$K$20000,DATOS!$A$2:$A$20000,M347,DATOS!$G$2:$G$20000,CONFIG_METADATA!$B$4,DATOS!$I$2:$I$20000,"Coro"),""))</f>
        <v/>
      </c>
      <c r="P347" t="str">
        <f>IF(M347="","",IFERROR(AVERAGEIFS(DATOS!$K$2:$K$20000,DATOS!$A$2:$A$20000,M347,DATOS!$G$2:$G$20000,CONFIG_METADATA!$B$4,DATOS!$I$2:$I$20000,"Conjunto"),""))</f>
        <v/>
      </c>
      <c r="Q347" t="str">
        <f>IF(M347="","",IFERROR(AVERAGEIFS(DATOS!$K$2:$K$20000,DATOS!$A$2:$A$20000,M347,DATOS!$G$2:$G$20000,CONFIG_METADATA!$B$4,DATOS!$I$2:$I$20000,"&lt;&gt;Lenguaje Musical",DATOS!$I$2:$I$20000,"&lt;&gt;Coro",DATOS!$I$2:$I$20000,"&lt;&gt;Conjunto"),""))</f>
        <v/>
      </c>
      <c r="T347" t="str">
        <f>IF(S347="","",IFERROR(AVERAGEIFS(DATOS!$K$2:$K$20000,DATOS!$A$2:$A$20000,S347,DATOS!$G$2:$G$20000,CONFIG_METADATA!$B$4,DATOS!$I$2:$I$20000,"Lenguaje Musical"),""))</f>
        <v/>
      </c>
      <c r="U347" t="str">
        <f>IF(S347="","",IFERROR(AVERAGEIFS(DATOS!$K$2:$K$20000,DATOS!$A$2:$A$20000,S347,DATOS!$G$2:$G$20000,CONFIG_METADATA!$B$4,DATOS!$I$2:$I$20000,"Coro"),""))</f>
        <v/>
      </c>
      <c r="V347" t="str">
        <f>IF(S347="","",IFERROR(AVERAGEIFS(DATOS!$K$2:$K$20000,DATOS!$A$2:$A$20000,S347,DATOS!$G$2:$G$20000,CONFIG_METADATA!$B$4,DATOS!$I$2:$I$20000,"Conjunto"),""))</f>
        <v/>
      </c>
      <c r="W347" t="str" cm="1">
        <f t="array" ref="W347">IF(S347="","",IFERROR(AVERAGE(IF((DATOS!$A$2:$A$20000=S347)*(DATOS!$G$2:$G$20000=CONFIG_METADATA!$B$4)*(DATOS!$I$2:$I$20000&lt;&gt;"Lenguaje Musical")*(DATOS!$I$2:$I$20000&lt;&gt;"Coro")*(DATOS!$I$2:$I$20000&lt;&gt;"Conjunto"),DATOS!$K$2:$K$20000)),""))</f>
        <v/>
      </c>
    </row>
    <row r="348" spans="2:23" x14ac:dyDescent="0.2">
      <c r="B348" t="str">
        <f>IF(A348="","",IFERROR(AVERAGEIFS(DATOS!$K$2:$K$20000,DATOS!$A$2:$A$20000,A348,DATOS!$G$2:$G$20000,CONFIG_METADATA!$B$4,DATOS!$I$2:$I$20000,"Lenguaje Musical"),""))</f>
        <v/>
      </c>
      <c r="C348" t="str">
        <f>IF(A348="","",IFERROR(AVERAGEIFS(DATOS!$K$2:$K$20000,DATOS!$A$2:$A$20000,A348,DATOS!$G$2:$G$20000,CONFIG_METADATA!$B$4,DATOS!$I$2:$I$20000,"Coro"),""))</f>
        <v/>
      </c>
      <c r="D348" t="str">
        <f>IF(A348="","",IFERROR(AVERAGEIFS(DATOS!$K$2:$K$20000,DATOS!$A$2:$A$20000,A348,DATOS!$G$2:$G$20000,CONFIG_METADATA!$B$4,DATOS!$I$2:$I$20000,"Conjunto"),""))</f>
        <v/>
      </c>
      <c r="E348" t="str">
        <f>IF(A348="","",IFERROR(AVERAGEIFS(DATOS!$K$2:$K$20000,DATOS!$A$2:$A$20000,A348,DATOS!$G$2:$G$20000,CONFIG_METADATA!$B$4,DATOS!$I$2:$I$20000,"&lt;&gt;Lenguaje Musical",DATOS!$I$2:$I$20000,"&lt;&gt;Coro",DATOS!$I$2:$I$20000,"&lt;&gt;Conjunto"),""))</f>
        <v/>
      </c>
      <c r="H348" t="str">
        <f>IF(G348="","",IFERROR(AVERAGEIFS(DATOS!$K$2:$K$20000,DATOS!$A$2:$A$20000,G348,DATOS!$G$2:$G$20000,CONFIG_METADATA!$B$4,DATOS!$I$2:$I$20000,"Lenguaje Musical"),""))</f>
        <v/>
      </c>
      <c r="I348" t="str">
        <f>IF(G348="","",IFERROR(AVERAGEIFS(DATOS!$K$2:$K$20000,DATOS!$A$2:$A$20000,G348,DATOS!$G$2:$G$20000,CONFIG_METADATA!$B$4,DATOS!$I$2:$I$20000,"Coro"),""))</f>
        <v/>
      </c>
      <c r="J348" t="str">
        <f>IF(G348="","",IFERROR(AVERAGEIFS(DATOS!$K$2:$K$20000,DATOS!$A$2:$A$20000,G348,DATOS!$G$2:$G$20000,CONFIG_METADATA!$B$4,DATOS!$I$2:$I$20000,"Conjunto"),""))</f>
        <v/>
      </c>
      <c r="K348" t="str" cm="1">
        <f t="array" ref="K348">IF(G348="","",IFERROR(AVERAGE(IF((DATOS!$A$2:$A$20000=G348)*(DATOS!$G$2:$G$20000=CONFIG_METADATA!$B$4)*(DATOS!$I$2:$I$20000&lt;&gt;"Lenguaje Musical")*(DATOS!$I$2:$I$20000&lt;&gt;"Coro")*(DATOS!$I$2:$I$20000&lt;&gt;"Conjunto"),DATOS!$K$2:$K$20000)),""))</f>
        <v/>
      </c>
      <c r="N348" t="str">
        <f>IF(M348="","",IFERROR(AVERAGEIFS(DATOS!$K$2:$K$20000,DATOS!$A$2:$A$20000,M348,DATOS!$G$2:$G$20000,CONFIG_METADATA!$B$4,DATOS!$I$2:$I$20000,"Lenguaje Musical"),""))</f>
        <v/>
      </c>
      <c r="O348" t="str">
        <f>IF(M348="","",IFERROR(AVERAGEIFS(DATOS!$K$2:$K$20000,DATOS!$A$2:$A$20000,M348,DATOS!$G$2:$G$20000,CONFIG_METADATA!$B$4,DATOS!$I$2:$I$20000,"Coro"),""))</f>
        <v/>
      </c>
      <c r="P348" t="str">
        <f>IF(M348="","",IFERROR(AVERAGEIFS(DATOS!$K$2:$K$20000,DATOS!$A$2:$A$20000,M348,DATOS!$G$2:$G$20000,CONFIG_METADATA!$B$4,DATOS!$I$2:$I$20000,"Conjunto"),""))</f>
        <v/>
      </c>
      <c r="Q348" t="str">
        <f>IF(M348="","",IFERROR(AVERAGEIFS(DATOS!$K$2:$K$20000,DATOS!$A$2:$A$20000,M348,DATOS!$G$2:$G$20000,CONFIG_METADATA!$B$4,DATOS!$I$2:$I$20000,"&lt;&gt;Lenguaje Musical",DATOS!$I$2:$I$20000,"&lt;&gt;Coro",DATOS!$I$2:$I$20000,"&lt;&gt;Conjunto"),""))</f>
        <v/>
      </c>
      <c r="T348" t="str">
        <f>IF(S348="","",IFERROR(AVERAGEIFS(DATOS!$K$2:$K$20000,DATOS!$A$2:$A$20000,S348,DATOS!$G$2:$G$20000,CONFIG_METADATA!$B$4,DATOS!$I$2:$I$20000,"Lenguaje Musical"),""))</f>
        <v/>
      </c>
      <c r="U348" t="str">
        <f>IF(S348="","",IFERROR(AVERAGEIFS(DATOS!$K$2:$K$20000,DATOS!$A$2:$A$20000,S348,DATOS!$G$2:$G$20000,CONFIG_METADATA!$B$4,DATOS!$I$2:$I$20000,"Coro"),""))</f>
        <v/>
      </c>
      <c r="V348" t="str">
        <f>IF(S348="","",IFERROR(AVERAGEIFS(DATOS!$K$2:$K$20000,DATOS!$A$2:$A$20000,S348,DATOS!$G$2:$G$20000,CONFIG_METADATA!$B$4,DATOS!$I$2:$I$20000,"Conjunto"),""))</f>
        <v/>
      </c>
      <c r="W348" t="str" cm="1">
        <f t="array" ref="W348">IF(S348="","",IFERROR(AVERAGE(IF((DATOS!$A$2:$A$20000=S348)*(DATOS!$G$2:$G$20000=CONFIG_METADATA!$B$4)*(DATOS!$I$2:$I$20000&lt;&gt;"Lenguaje Musical")*(DATOS!$I$2:$I$20000&lt;&gt;"Coro")*(DATOS!$I$2:$I$20000&lt;&gt;"Conjunto"),DATOS!$K$2:$K$20000)),""))</f>
        <v/>
      </c>
    </row>
    <row r="349" spans="2:23" x14ac:dyDescent="0.2">
      <c r="B349" t="str">
        <f>IF(A349="","",IFERROR(AVERAGEIFS(DATOS!$K$2:$K$20000,DATOS!$A$2:$A$20000,A349,DATOS!$G$2:$G$20000,CONFIG_METADATA!$B$4,DATOS!$I$2:$I$20000,"Lenguaje Musical"),""))</f>
        <v/>
      </c>
      <c r="C349" t="str">
        <f>IF(A349="","",IFERROR(AVERAGEIFS(DATOS!$K$2:$K$20000,DATOS!$A$2:$A$20000,A349,DATOS!$G$2:$G$20000,CONFIG_METADATA!$B$4,DATOS!$I$2:$I$20000,"Coro"),""))</f>
        <v/>
      </c>
      <c r="D349" t="str">
        <f>IF(A349="","",IFERROR(AVERAGEIFS(DATOS!$K$2:$K$20000,DATOS!$A$2:$A$20000,A349,DATOS!$G$2:$G$20000,CONFIG_METADATA!$B$4,DATOS!$I$2:$I$20000,"Conjunto"),""))</f>
        <v/>
      </c>
      <c r="E349" t="str">
        <f>IF(A349="","",IFERROR(AVERAGEIFS(DATOS!$K$2:$K$20000,DATOS!$A$2:$A$20000,A349,DATOS!$G$2:$G$20000,CONFIG_METADATA!$B$4,DATOS!$I$2:$I$20000,"&lt;&gt;Lenguaje Musical",DATOS!$I$2:$I$20000,"&lt;&gt;Coro",DATOS!$I$2:$I$20000,"&lt;&gt;Conjunto"),""))</f>
        <v/>
      </c>
      <c r="H349" t="str">
        <f>IF(G349="","",IFERROR(AVERAGEIFS(DATOS!$K$2:$K$20000,DATOS!$A$2:$A$20000,G349,DATOS!$G$2:$G$20000,CONFIG_METADATA!$B$4,DATOS!$I$2:$I$20000,"Lenguaje Musical"),""))</f>
        <v/>
      </c>
      <c r="I349" t="str">
        <f>IF(G349="","",IFERROR(AVERAGEIFS(DATOS!$K$2:$K$20000,DATOS!$A$2:$A$20000,G349,DATOS!$G$2:$G$20000,CONFIG_METADATA!$B$4,DATOS!$I$2:$I$20000,"Coro"),""))</f>
        <v/>
      </c>
      <c r="J349" t="str">
        <f>IF(G349="","",IFERROR(AVERAGEIFS(DATOS!$K$2:$K$20000,DATOS!$A$2:$A$20000,G349,DATOS!$G$2:$G$20000,CONFIG_METADATA!$B$4,DATOS!$I$2:$I$20000,"Conjunto"),""))</f>
        <v/>
      </c>
      <c r="K349" t="str" cm="1">
        <f t="array" ref="K349">IF(G349="","",IFERROR(AVERAGE(IF((DATOS!$A$2:$A$20000=G349)*(DATOS!$G$2:$G$20000=CONFIG_METADATA!$B$4)*(DATOS!$I$2:$I$20000&lt;&gt;"Lenguaje Musical")*(DATOS!$I$2:$I$20000&lt;&gt;"Coro")*(DATOS!$I$2:$I$20000&lt;&gt;"Conjunto"),DATOS!$K$2:$K$20000)),""))</f>
        <v/>
      </c>
      <c r="N349" t="str">
        <f>IF(M349="","",IFERROR(AVERAGEIFS(DATOS!$K$2:$K$20000,DATOS!$A$2:$A$20000,M349,DATOS!$G$2:$G$20000,CONFIG_METADATA!$B$4,DATOS!$I$2:$I$20000,"Lenguaje Musical"),""))</f>
        <v/>
      </c>
      <c r="O349" t="str">
        <f>IF(M349="","",IFERROR(AVERAGEIFS(DATOS!$K$2:$K$20000,DATOS!$A$2:$A$20000,M349,DATOS!$G$2:$G$20000,CONFIG_METADATA!$B$4,DATOS!$I$2:$I$20000,"Coro"),""))</f>
        <v/>
      </c>
      <c r="P349" t="str">
        <f>IF(M349="","",IFERROR(AVERAGEIFS(DATOS!$K$2:$K$20000,DATOS!$A$2:$A$20000,M349,DATOS!$G$2:$G$20000,CONFIG_METADATA!$B$4,DATOS!$I$2:$I$20000,"Conjunto"),""))</f>
        <v/>
      </c>
      <c r="Q349" t="str">
        <f>IF(M349="","",IFERROR(AVERAGEIFS(DATOS!$K$2:$K$20000,DATOS!$A$2:$A$20000,M349,DATOS!$G$2:$G$20000,CONFIG_METADATA!$B$4,DATOS!$I$2:$I$20000,"&lt;&gt;Lenguaje Musical",DATOS!$I$2:$I$20000,"&lt;&gt;Coro",DATOS!$I$2:$I$20000,"&lt;&gt;Conjunto"),""))</f>
        <v/>
      </c>
      <c r="T349" t="str">
        <f>IF(S349="","",IFERROR(AVERAGEIFS(DATOS!$K$2:$K$20000,DATOS!$A$2:$A$20000,S349,DATOS!$G$2:$G$20000,CONFIG_METADATA!$B$4,DATOS!$I$2:$I$20000,"Lenguaje Musical"),""))</f>
        <v/>
      </c>
      <c r="U349" t="str">
        <f>IF(S349="","",IFERROR(AVERAGEIFS(DATOS!$K$2:$K$20000,DATOS!$A$2:$A$20000,S349,DATOS!$G$2:$G$20000,CONFIG_METADATA!$B$4,DATOS!$I$2:$I$20000,"Coro"),""))</f>
        <v/>
      </c>
      <c r="V349" t="str">
        <f>IF(S349="","",IFERROR(AVERAGEIFS(DATOS!$K$2:$K$20000,DATOS!$A$2:$A$20000,S349,DATOS!$G$2:$G$20000,CONFIG_METADATA!$B$4,DATOS!$I$2:$I$20000,"Conjunto"),""))</f>
        <v/>
      </c>
      <c r="W349" t="str" cm="1">
        <f t="array" ref="W349">IF(S349="","",IFERROR(AVERAGE(IF((DATOS!$A$2:$A$20000=S349)*(DATOS!$G$2:$G$20000=CONFIG_METADATA!$B$4)*(DATOS!$I$2:$I$20000&lt;&gt;"Lenguaje Musical")*(DATOS!$I$2:$I$20000&lt;&gt;"Coro")*(DATOS!$I$2:$I$20000&lt;&gt;"Conjunto"),DATOS!$K$2:$K$20000)),""))</f>
        <v/>
      </c>
    </row>
    <row r="350" spans="2:23" x14ac:dyDescent="0.2">
      <c r="B350" t="str">
        <f>IF(A350="","",IFERROR(AVERAGEIFS(DATOS!$K$2:$K$20000,DATOS!$A$2:$A$20000,A350,DATOS!$G$2:$G$20000,CONFIG_METADATA!$B$4,DATOS!$I$2:$I$20000,"Lenguaje Musical"),""))</f>
        <v/>
      </c>
      <c r="C350" t="str">
        <f>IF(A350="","",IFERROR(AVERAGEIFS(DATOS!$K$2:$K$20000,DATOS!$A$2:$A$20000,A350,DATOS!$G$2:$G$20000,CONFIG_METADATA!$B$4,DATOS!$I$2:$I$20000,"Coro"),""))</f>
        <v/>
      </c>
      <c r="D350" t="str">
        <f>IF(A350="","",IFERROR(AVERAGEIFS(DATOS!$K$2:$K$20000,DATOS!$A$2:$A$20000,A350,DATOS!$G$2:$G$20000,CONFIG_METADATA!$B$4,DATOS!$I$2:$I$20000,"Conjunto"),""))</f>
        <v/>
      </c>
      <c r="E350" t="str">
        <f>IF(A350="","",IFERROR(AVERAGEIFS(DATOS!$K$2:$K$20000,DATOS!$A$2:$A$20000,A350,DATOS!$G$2:$G$20000,CONFIG_METADATA!$B$4,DATOS!$I$2:$I$20000,"&lt;&gt;Lenguaje Musical",DATOS!$I$2:$I$20000,"&lt;&gt;Coro",DATOS!$I$2:$I$20000,"&lt;&gt;Conjunto"),""))</f>
        <v/>
      </c>
      <c r="H350" t="str">
        <f>IF(G350="","",IFERROR(AVERAGEIFS(DATOS!$K$2:$K$20000,DATOS!$A$2:$A$20000,G350,DATOS!$G$2:$G$20000,CONFIG_METADATA!$B$4,DATOS!$I$2:$I$20000,"Lenguaje Musical"),""))</f>
        <v/>
      </c>
      <c r="I350" t="str">
        <f>IF(G350="","",IFERROR(AVERAGEIFS(DATOS!$K$2:$K$20000,DATOS!$A$2:$A$20000,G350,DATOS!$G$2:$G$20000,CONFIG_METADATA!$B$4,DATOS!$I$2:$I$20000,"Coro"),""))</f>
        <v/>
      </c>
      <c r="J350" t="str">
        <f>IF(G350="","",IFERROR(AVERAGEIFS(DATOS!$K$2:$K$20000,DATOS!$A$2:$A$20000,G350,DATOS!$G$2:$G$20000,CONFIG_METADATA!$B$4,DATOS!$I$2:$I$20000,"Conjunto"),""))</f>
        <v/>
      </c>
      <c r="K350" t="str" cm="1">
        <f t="array" ref="K350">IF(G350="","",IFERROR(AVERAGE(IF((DATOS!$A$2:$A$20000=G350)*(DATOS!$G$2:$G$20000=CONFIG_METADATA!$B$4)*(DATOS!$I$2:$I$20000&lt;&gt;"Lenguaje Musical")*(DATOS!$I$2:$I$20000&lt;&gt;"Coro")*(DATOS!$I$2:$I$20000&lt;&gt;"Conjunto"),DATOS!$K$2:$K$20000)),""))</f>
        <v/>
      </c>
      <c r="N350" t="str">
        <f>IF(M350="","",IFERROR(AVERAGEIFS(DATOS!$K$2:$K$20000,DATOS!$A$2:$A$20000,M350,DATOS!$G$2:$G$20000,CONFIG_METADATA!$B$4,DATOS!$I$2:$I$20000,"Lenguaje Musical"),""))</f>
        <v/>
      </c>
      <c r="O350" t="str">
        <f>IF(M350="","",IFERROR(AVERAGEIFS(DATOS!$K$2:$K$20000,DATOS!$A$2:$A$20000,M350,DATOS!$G$2:$G$20000,CONFIG_METADATA!$B$4,DATOS!$I$2:$I$20000,"Coro"),""))</f>
        <v/>
      </c>
      <c r="P350" t="str">
        <f>IF(M350="","",IFERROR(AVERAGEIFS(DATOS!$K$2:$K$20000,DATOS!$A$2:$A$20000,M350,DATOS!$G$2:$G$20000,CONFIG_METADATA!$B$4,DATOS!$I$2:$I$20000,"Conjunto"),""))</f>
        <v/>
      </c>
      <c r="Q350" t="str">
        <f>IF(M350="","",IFERROR(AVERAGEIFS(DATOS!$K$2:$K$20000,DATOS!$A$2:$A$20000,M350,DATOS!$G$2:$G$20000,CONFIG_METADATA!$B$4,DATOS!$I$2:$I$20000,"&lt;&gt;Lenguaje Musical",DATOS!$I$2:$I$20000,"&lt;&gt;Coro",DATOS!$I$2:$I$20000,"&lt;&gt;Conjunto"),""))</f>
        <v/>
      </c>
      <c r="T350" t="str">
        <f>IF(S350="","",IFERROR(AVERAGEIFS(DATOS!$K$2:$K$20000,DATOS!$A$2:$A$20000,S350,DATOS!$G$2:$G$20000,CONFIG_METADATA!$B$4,DATOS!$I$2:$I$20000,"Lenguaje Musical"),""))</f>
        <v/>
      </c>
      <c r="U350" t="str">
        <f>IF(S350="","",IFERROR(AVERAGEIFS(DATOS!$K$2:$K$20000,DATOS!$A$2:$A$20000,S350,DATOS!$G$2:$G$20000,CONFIG_METADATA!$B$4,DATOS!$I$2:$I$20000,"Coro"),""))</f>
        <v/>
      </c>
      <c r="V350" t="str">
        <f>IF(S350="","",IFERROR(AVERAGEIFS(DATOS!$K$2:$K$20000,DATOS!$A$2:$A$20000,S350,DATOS!$G$2:$G$20000,CONFIG_METADATA!$B$4,DATOS!$I$2:$I$20000,"Conjunto"),""))</f>
        <v/>
      </c>
      <c r="W350" t="str" cm="1">
        <f t="array" ref="W350">IF(S350="","",IFERROR(AVERAGE(IF((DATOS!$A$2:$A$20000=S350)*(DATOS!$G$2:$G$20000=CONFIG_METADATA!$B$4)*(DATOS!$I$2:$I$20000&lt;&gt;"Lenguaje Musical")*(DATOS!$I$2:$I$20000&lt;&gt;"Coro")*(DATOS!$I$2:$I$20000&lt;&gt;"Conjunto"),DATOS!$K$2:$K$20000)),""))</f>
        <v/>
      </c>
    </row>
    <row r="351" spans="2:23" x14ac:dyDescent="0.2">
      <c r="B351" t="str">
        <f>IF(A351="","",IFERROR(AVERAGEIFS(DATOS!$K$2:$K$20000,DATOS!$A$2:$A$20000,A351,DATOS!$G$2:$G$20000,CONFIG_METADATA!$B$4,DATOS!$I$2:$I$20000,"Lenguaje Musical"),""))</f>
        <v/>
      </c>
      <c r="C351" t="str">
        <f>IF(A351="","",IFERROR(AVERAGEIFS(DATOS!$K$2:$K$20000,DATOS!$A$2:$A$20000,A351,DATOS!$G$2:$G$20000,CONFIG_METADATA!$B$4,DATOS!$I$2:$I$20000,"Coro"),""))</f>
        <v/>
      </c>
      <c r="D351" t="str">
        <f>IF(A351="","",IFERROR(AVERAGEIFS(DATOS!$K$2:$K$20000,DATOS!$A$2:$A$20000,A351,DATOS!$G$2:$G$20000,CONFIG_METADATA!$B$4,DATOS!$I$2:$I$20000,"Conjunto"),""))</f>
        <v/>
      </c>
      <c r="E351" t="str">
        <f>IF(A351="","",IFERROR(AVERAGEIFS(DATOS!$K$2:$K$20000,DATOS!$A$2:$A$20000,A351,DATOS!$G$2:$G$20000,CONFIG_METADATA!$B$4,DATOS!$I$2:$I$20000,"&lt;&gt;Lenguaje Musical",DATOS!$I$2:$I$20000,"&lt;&gt;Coro",DATOS!$I$2:$I$20000,"&lt;&gt;Conjunto"),""))</f>
        <v/>
      </c>
      <c r="H351" t="str">
        <f>IF(G351="","",IFERROR(AVERAGEIFS(DATOS!$K$2:$K$20000,DATOS!$A$2:$A$20000,G351,DATOS!$G$2:$G$20000,CONFIG_METADATA!$B$4,DATOS!$I$2:$I$20000,"Lenguaje Musical"),""))</f>
        <v/>
      </c>
      <c r="I351" t="str">
        <f>IF(G351="","",IFERROR(AVERAGEIFS(DATOS!$K$2:$K$20000,DATOS!$A$2:$A$20000,G351,DATOS!$G$2:$G$20000,CONFIG_METADATA!$B$4,DATOS!$I$2:$I$20000,"Coro"),""))</f>
        <v/>
      </c>
      <c r="J351" t="str">
        <f>IF(G351="","",IFERROR(AVERAGEIFS(DATOS!$K$2:$K$20000,DATOS!$A$2:$A$20000,G351,DATOS!$G$2:$G$20000,CONFIG_METADATA!$B$4,DATOS!$I$2:$I$20000,"Conjunto"),""))</f>
        <v/>
      </c>
      <c r="K351" t="str" cm="1">
        <f t="array" ref="K351">IF(G351="","",IFERROR(AVERAGE(IF((DATOS!$A$2:$A$20000=G351)*(DATOS!$G$2:$G$20000=CONFIG_METADATA!$B$4)*(DATOS!$I$2:$I$20000&lt;&gt;"Lenguaje Musical")*(DATOS!$I$2:$I$20000&lt;&gt;"Coro")*(DATOS!$I$2:$I$20000&lt;&gt;"Conjunto"),DATOS!$K$2:$K$20000)),""))</f>
        <v/>
      </c>
      <c r="N351" t="str">
        <f>IF(M351="","",IFERROR(AVERAGEIFS(DATOS!$K$2:$K$20000,DATOS!$A$2:$A$20000,M351,DATOS!$G$2:$G$20000,CONFIG_METADATA!$B$4,DATOS!$I$2:$I$20000,"Lenguaje Musical"),""))</f>
        <v/>
      </c>
      <c r="O351" t="str">
        <f>IF(M351="","",IFERROR(AVERAGEIFS(DATOS!$K$2:$K$20000,DATOS!$A$2:$A$20000,M351,DATOS!$G$2:$G$20000,CONFIG_METADATA!$B$4,DATOS!$I$2:$I$20000,"Coro"),""))</f>
        <v/>
      </c>
      <c r="P351" t="str">
        <f>IF(M351="","",IFERROR(AVERAGEIFS(DATOS!$K$2:$K$20000,DATOS!$A$2:$A$20000,M351,DATOS!$G$2:$G$20000,CONFIG_METADATA!$B$4,DATOS!$I$2:$I$20000,"Conjunto"),""))</f>
        <v/>
      </c>
      <c r="Q351" t="str">
        <f>IF(M351="","",IFERROR(AVERAGEIFS(DATOS!$K$2:$K$20000,DATOS!$A$2:$A$20000,M351,DATOS!$G$2:$G$20000,CONFIG_METADATA!$B$4,DATOS!$I$2:$I$20000,"&lt;&gt;Lenguaje Musical",DATOS!$I$2:$I$20000,"&lt;&gt;Coro",DATOS!$I$2:$I$20000,"&lt;&gt;Conjunto"),""))</f>
        <v/>
      </c>
      <c r="T351" t="str">
        <f>IF(S351="","",IFERROR(AVERAGEIFS(DATOS!$K$2:$K$20000,DATOS!$A$2:$A$20000,S351,DATOS!$G$2:$G$20000,CONFIG_METADATA!$B$4,DATOS!$I$2:$I$20000,"Lenguaje Musical"),""))</f>
        <v/>
      </c>
      <c r="U351" t="str">
        <f>IF(S351="","",IFERROR(AVERAGEIFS(DATOS!$K$2:$K$20000,DATOS!$A$2:$A$20000,S351,DATOS!$G$2:$G$20000,CONFIG_METADATA!$B$4,DATOS!$I$2:$I$20000,"Coro"),""))</f>
        <v/>
      </c>
      <c r="V351" t="str">
        <f>IF(S351="","",IFERROR(AVERAGEIFS(DATOS!$K$2:$K$20000,DATOS!$A$2:$A$20000,S351,DATOS!$G$2:$G$20000,CONFIG_METADATA!$B$4,DATOS!$I$2:$I$20000,"Conjunto"),""))</f>
        <v/>
      </c>
      <c r="W351" t="str" cm="1">
        <f t="array" ref="W351">IF(S351="","",IFERROR(AVERAGE(IF((DATOS!$A$2:$A$20000=S351)*(DATOS!$G$2:$G$20000=CONFIG_METADATA!$B$4)*(DATOS!$I$2:$I$20000&lt;&gt;"Lenguaje Musical")*(DATOS!$I$2:$I$20000&lt;&gt;"Coro")*(DATOS!$I$2:$I$20000&lt;&gt;"Conjunto"),DATOS!$K$2:$K$20000)),""))</f>
        <v/>
      </c>
    </row>
    <row r="352" spans="2:23" x14ac:dyDescent="0.2">
      <c r="B352" t="str">
        <f>IF(A352="","",IFERROR(AVERAGEIFS(DATOS!$K$2:$K$20000,DATOS!$A$2:$A$20000,A352,DATOS!$G$2:$G$20000,CONFIG_METADATA!$B$4,DATOS!$I$2:$I$20000,"Lenguaje Musical"),""))</f>
        <v/>
      </c>
      <c r="C352" t="str">
        <f>IF(A352="","",IFERROR(AVERAGEIFS(DATOS!$K$2:$K$20000,DATOS!$A$2:$A$20000,A352,DATOS!$G$2:$G$20000,CONFIG_METADATA!$B$4,DATOS!$I$2:$I$20000,"Coro"),""))</f>
        <v/>
      </c>
      <c r="D352" t="str">
        <f>IF(A352="","",IFERROR(AVERAGEIFS(DATOS!$K$2:$K$20000,DATOS!$A$2:$A$20000,A352,DATOS!$G$2:$G$20000,CONFIG_METADATA!$B$4,DATOS!$I$2:$I$20000,"Conjunto"),""))</f>
        <v/>
      </c>
      <c r="E352" t="str">
        <f>IF(A352="","",IFERROR(AVERAGEIFS(DATOS!$K$2:$K$20000,DATOS!$A$2:$A$20000,A352,DATOS!$G$2:$G$20000,CONFIG_METADATA!$B$4,DATOS!$I$2:$I$20000,"&lt;&gt;Lenguaje Musical",DATOS!$I$2:$I$20000,"&lt;&gt;Coro",DATOS!$I$2:$I$20000,"&lt;&gt;Conjunto"),""))</f>
        <v/>
      </c>
      <c r="H352" t="str">
        <f>IF(G352="","",IFERROR(AVERAGEIFS(DATOS!$K$2:$K$20000,DATOS!$A$2:$A$20000,G352,DATOS!$G$2:$G$20000,CONFIG_METADATA!$B$4,DATOS!$I$2:$I$20000,"Lenguaje Musical"),""))</f>
        <v/>
      </c>
      <c r="I352" t="str">
        <f>IF(G352="","",IFERROR(AVERAGEIFS(DATOS!$K$2:$K$20000,DATOS!$A$2:$A$20000,G352,DATOS!$G$2:$G$20000,CONFIG_METADATA!$B$4,DATOS!$I$2:$I$20000,"Coro"),""))</f>
        <v/>
      </c>
      <c r="J352" t="str">
        <f>IF(G352="","",IFERROR(AVERAGEIFS(DATOS!$K$2:$K$20000,DATOS!$A$2:$A$20000,G352,DATOS!$G$2:$G$20000,CONFIG_METADATA!$B$4,DATOS!$I$2:$I$20000,"Conjunto"),""))</f>
        <v/>
      </c>
      <c r="K352" t="str" cm="1">
        <f t="array" ref="K352">IF(G352="","",IFERROR(AVERAGE(IF((DATOS!$A$2:$A$20000=G352)*(DATOS!$G$2:$G$20000=CONFIG_METADATA!$B$4)*(DATOS!$I$2:$I$20000&lt;&gt;"Lenguaje Musical")*(DATOS!$I$2:$I$20000&lt;&gt;"Coro")*(DATOS!$I$2:$I$20000&lt;&gt;"Conjunto"),DATOS!$K$2:$K$20000)),""))</f>
        <v/>
      </c>
      <c r="N352" t="str">
        <f>IF(M352="","",IFERROR(AVERAGEIFS(DATOS!$K$2:$K$20000,DATOS!$A$2:$A$20000,M352,DATOS!$G$2:$G$20000,CONFIG_METADATA!$B$4,DATOS!$I$2:$I$20000,"Lenguaje Musical"),""))</f>
        <v/>
      </c>
      <c r="O352" t="str">
        <f>IF(M352="","",IFERROR(AVERAGEIFS(DATOS!$K$2:$K$20000,DATOS!$A$2:$A$20000,M352,DATOS!$G$2:$G$20000,CONFIG_METADATA!$B$4,DATOS!$I$2:$I$20000,"Coro"),""))</f>
        <v/>
      </c>
      <c r="P352" t="str">
        <f>IF(M352="","",IFERROR(AVERAGEIFS(DATOS!$K$2:$K$20000,DATOS!$A$2:$A$20000,M352,DATOS!$G$2:$G$20000,CONFIG_METADATA!$B$4,DATOS!$I$2:$I$20000,"Conjunto"),""))</f>
        <v/>
      </c>
      <c r="Q352" t="str">
        <f>IF(M352="","",IFERROR(AVERAGEIFS(DATOS!$K$2:$K$20000,DATOS!$A$2:$A$20000,M352,DATOS!$G$2:$G$20000,CONFIG_METADATA!$B$4,DATOS!$I$2:$I$20000,"&lt;&gt;Lenguaje Musical",DATOS!$I$2:$I$20000,"&lt;&gt;Coro",DATOS!$I$2:$I$20000,"&lt;&gt;Conjunto"),""))</f>
        <v/>
      </c>
      <c r="T352" t="str">
        <f>IF(S352="","",IFERROR(AVERAGEIFS(DATOS!$K$2:$K$20000,DATOS!$A$2:$A$20000,S352,DATOS!$G$2:$G$20000,CONFIG_METADATA!$B$4,DATOS!$I$2:$I$20000,"Lenguaje Musical"),""))</f>
        <v/>
      </c>
      <c r="U352" t="str">
        <f>IF(S352="","",IFERROR(AVERAGEIFS(DATOS!$K$2:$K$20000,DATOS!$A$2:$A$20000,S352,DATOS!$G$2:$G$20000,CONFIG_METADATA!$B$4,DATOS!$I$2:$I$20000,"Coro"),""))</f>
        <v/>
      </c>
      <c r="V352" t="str">
        <f>IF(S352="","",IFERROR(AVERAGEIFS(DATOS!$K$2:$K$20000,DATOS!$A$2:$A$20000,S352,DATOS!$G$2:$G$20000,CONFIG_METADATA!$B$4,DATOS!$I$2:$I$20000,"Conjunto"),""))</f>
        <v/>
      </c>
      <c r="W352" t="str" cm="1">
        <f t="array" ref="W352">IF(S352="","",IFERROR(AVERAGE(IF((DATOS!$A$2:$A$20000=S352)*(DATOS!$G$2:$G$20000=CONFIG_METADATA!$B$4)*(DATOS!$I$2:$I$20000&lt;&gt;"Lenguaje Musical")*(DATOS!$I$2:$I$20000&lt;&gt;"Coro")*(DATOS!$I$2:$I$20000&lt;&gt;"Conjunto"),DATOS!$K$2:$K$20000)),""))</f>
        <v/>
      </c>
    </row>
    <row r="353" spans="2:23" x14ac:dyDescent="0.2">
      <c r="B353" t="str">
        <f>IF(A353="","",IFERROR(AVERAGEIFS(DATOS!$K$2:$K$20000,DATOS!$A$2:$A$20000,A353,DATOS!$G$2:$G$20000,CONFIG_METADATA!$B$4,DATOS!$I$2:$I$20000,"Lenguaje Musical"),""))</f>
        <v/>
      </c>
      <c r="C353" t="str">
        <f>IF(A353="","",IFERROR(AVERAGEIFS(DATOS!$K$2:$K$20000,DATOS!$A$2:$A$20000,A353,DATOS!$G$2:$G$20000,CONFIG_METADATA!$B$4,DATOS!$I$2:$I$20000,"Coro"),""))</f>
        <v/>
      </c>
      <c r="D353" t="str">
        <f>IF(A353="","",IFERROR(AVERAGEIFS(DATOS!$K$2:$K$20000,DATOS!$A$2:$A$20000,A353,DATOS!$G$2:$G$20000,CONFIG_METADATA!$B$4,DATOS!$I$2:$I$20000,"Conjunto"),""))</f>
        <v/>
      </c>
      <c r="E353" t="str">
        <f>IF(A353="","",IFERROR(AVERAGEIFS(DATOS!$K$2:$K$20000,DATOS!$A$2:$A$20000,A353,DATOS!$G$2:$G$20000,CONFIG_METADATA!$B$4,DATOS!$I$2:$I$20000,"&lt;&gt;Lenguaje Musical",DATOS!$I$2:$I$20000,"&lt;&gt;Coro",DATOS!$I$2:$I$20000,"&lt;&gt;Conjunto"),""))</f>
        <v/>
      </c>
      <c r="H353" t="str">
        <f>IF(G353="","",IFERROR(AVERAGEIFS(DATOS!$K$2:$K$20000,DATOS!$A$2:$A$20000,G353,DATOS!$G$2:$G$20000,CONFIG_METADATA!$B$4,DATOS!$I$2:$I$20000,"Lenguaje Musical"),""))</f>
        <v/>
      </c>
      <c r="I353" t="str">
        <f>IF(G353="","",IFERROR(AVERAGEIFS(DATOS!$K$2:$K$20000,DATOS!$A$2:$A$20000,G353,DATOS!$G$2:$G$20000,CONFIG_METADATA!$B$4,DATOS!$I$2:$I$20000,"Coro"),""))</f>
        <v/>
      </c>
      <c r="J353" t="str">
        <f>IF(G353="","",IFERROR(AVERAGEIFS(DATOS!$K$2:$K$20000,DATOS!$A$2:$A$20000,G353,DATOS!$G$2:$G$20000,CONFIG_METADATA!$B$4,DATOS!$I$2:$I$20000,"Conjunto"),""))</f>
        <v/>
      </c>
      <c r="K353" t="str" cm="1">
        <f t="array" ref="K353">IF(G353="","",IFERROR(AVERAGE(IF((DATOS!$A$2:$A$20000=G353)*(DATOS!$G$2:$G$20000=CONFIG_METADATA!$B$4)*(DATOS!$I$2:$I$20000&lt;&gt;"Lenguaje Musical")*(DATOS!$I$2:$I$20000&lt;&gt;"Coro")*(DATOS!$I$2:$I$20000&lt;&gt;"Conjunto"),DATOS!$K$2:$K$20000)),""))</f>
        <v/>
      </c>
      <c r="N353" t="str">
        <f>IF(M353="","",IFERROR(AVERAGEIFS(DATOS!$K$2:$K$20000,DATOS!$A$2:$A$20000,M353,DATOS!$G$2:$G$20000,CONFIG_METADATA!$B$4,DATOS!$I$2:$I$20000,"Lenguaje Musical"),""))</f>
        <v/>
      </c>
      <c r="O353" t="str">
        <f>IF(M353="","",IFERROR(AVERAGEIFS(DATOS!$K$2:$K$20000,DATOS!$A$2:$A$20000,M353,DATOS!$G$2:$G$20000,CONFIG_METADATA!$B$4,DATOS!$I$2:$I$20000,"Coro"),""))</f>
        <v/>
      </c>
      <c r="P353" t="str">
        <f>IF(M353="","",IFERROR(AVERAGEIFS(DATOS!$K$2:$K$20000,DATOS!$A$2:$A$20000,M353,DATOS!$G$2:$G$20000,CONFIG_METADATA!$B$4,DATOS!$I$2:$I$20000,"Conjunto"),""))</f>
        <v/>
      </c>
      <c r="Q353" t="str">
        <f>IF(M353="","",IFERROR(AVERAGEIFS(DATOS!$K$2:$K$20000,DATOS!$A$2:$A$20000,M353,DATOS!$G$2:$G$20000,CONFIG_METADATA!$B$4,DATOS!$I$2:$I$20000,"&lt;&gt;Lenguaje Musical",DATOS!$I$2:$I$20000,"&lt;&gt;Coro",DATOS!$I$2:$I$20000,"&lt;&gt;Conjunto"),""))</f>
        <v/>
      </c>
      <c r="T353" t="str">
        <f>IF(S353="","",IFERROR(AVERAGEIFS(DATOS!$K$2:$K$20000,DATOS!$A$2:$A$20000,S353,DATOS!$G$2:$G$20000,CONFIG_METADATA!$B$4,DATOS!$I$2:$I$20000,"Lenguaje Musical"),""))</f>
        <v/>
      </c>
      <c r="U353" t="str">
        <f>IF(S353="","",IFERROR(AVERAGEIFS(DATOS!$K$2:$K$20000,DATOS!$A$2:$A$20000,S353,DATOS!$G$2:$G$20000,CONFIG_METADATA!$B$4,DATOS!$I$2:$I$20000,"Coro"),""))</f>
        <v/>
      </c>
      <c r="V353" t="str">
        <f>IF(S353="","",IFERROR(AVERAGEIFS(DATOS!$K$2:$K$20000,DATOS!$A$2:$A$20000,S353,DATOS!$G$2:$G$20000,CONFIG_METADATA!$B$4,DATOS!$I$2:$I$20000,"Conjunto"),""))</f>
        <v/>
      </c>
      <c r="W353" t="str" cm="1">
        <f t="array" ref="W353">IF(S353="","",IFERROR(AVERAGE(IF((DATOS!$A$2:$A$20000=S353)*(DATOS!$G$2:$G$20000=CONFIG_METADATA!$B$4)*(DATOS!$I$2:$I$20000&lt;&gt;"Lenguaje Musical")*(DATOS!$I$2:$I$20000&lt;&gt;"Coro")*(DATOS!$I$2:$I$20000&lt;&gt;"Conjunto"),DATOS!$K$2:$K$20000)),""))</f>
        <v/>
      </c>
    </row>
    <row r="354" spans="2:23" x14ac:dyDescent="0.2">
      <c r="B354" t="str">
        <f>IF(A354="","",IFERROR(AVERAGEIFS(DATOS!$K$2:$K$20000,DATOS!$A$2:$A$20000,A354,DATOS!$G$2:$G$20000,CONFIG_METADATA!$B$4,DATOS!$I$2:$I$20000,"Lenguaje Musical"),""))</f>
        <v/>
      </c>
      <c r="C354" t="str">
        <f>IF(A354="","",IFERROR(AVERAGEIFS(DATOS!$K$2:$K$20000,DATOS!$A$2:$A$20000,A354,DATOS!$G$2:$G$20000,CONFIG_METADATA!$B$4,DATOS!$I$2:$I$20000,"Coro"),""))</f>
        <v/>
      </c>
      <c r="D354" t="str">
        <f>IF(A354="","",IFERROR(AVERAGEIFS(DATOS!$K$2:$K$20000,DATOS!$A$2:$A$20000,A354,DATOS!$G$2:$G$20000,CONFIG_METADATA!$B$4,DATOS!$I$2:$I$20000,"Conjunto"),""))</f>
        <v/>
      </c>
      <c r="E354" t="str">
        <f>IF(A354="","",IFERROR(AVERAGEIFS(DATOS!$K$2:$K$20000,DATOS!$A$2:$A$20000,A354,DATOS!$G$2:$G$20000,CONFIG_METADATA!$B$4,DATOS!$I$2:$I$20000,"&lt;&gt;Lenguaje Musical",DATOS!$I$2:$I$20000,"&lt;&gt;Coro",DATOS!$I$2:$I$20000,"&lt;&gt;Conjunto"),""))</f>
        <v/>
      </c>
      <c r="H354" t="str">
        <f>IF(G354="","",IFERROR(AVERAGEIFS(DATOS!$K$2:$K$20000,DATOS!$A$2:$A$20000,G354,DATOS!$G$2:$G$20000,CONFIG_METADATA!$B$4,DATOS!$I$2:$I$20000,"Lenguaje Musical"),""))</f>
        <v/>
      </c>
      <c r="I354" t="str">
        <f>IF(G354="","",IFERROR(AVERAGEIFS(DATOS!$K$2:$K$20000,DATOS!$A$2:$A$20000,G354,DATOS!$G$2:$G$20000,CONFIG_METADATA!$B$4,DATOS!$I$2:$I$20000,"Coro"),""))</f>
        <v/>
      </c>
      <c r="J354" t="str">
        <f>IF(G354="","",IFERROR(AVERAGEIFS(DATOS!$K$2:$K$20000,DATOS!$A$2:$A$20000,G354,DATOS!$G$2:$G$20000,CONFIG_METADATA!$B$4,DATOS!$I$2:$I$20000,"Conjunto"),""))</f>
        <v/>
      </c>
      <c r="K354" t="str" cm="1">
        <f t="array" ref="K354">IF(G354="","",IFERROR(AVERAGE(IF((DATOS!$A$2:$A$20000=G354)*(DATOS!$G$2:$G$20000=CONFIG_METADATA!$B$4)*(DATOS!$I$2:$I$20000&lt;&gt;"Lenguaje Musical")*(DATOS!$I$2:$I$20000&lt;&gt;"Coro")*(DATOS!$I$2:$I$20000&lt;&gt;"Conjunto"),DATOS!$K$2:$K$20000)),""))</f>
        <v/>
      </c>
      <c r="N354" t="str">
        <f>IF(M354="","",IFERROR(AVERAGEIFS(DATOS!$K$2:$K$20000,DATOS!$A$2:$A$20000,M354,DATOS!$G$2:$G$20000,CONFIG_METADATA!$B$4,DATOS!$I$2:$I$20000,"Lenguaje Musical"),""))</f>
        <v/>
      </c>
      <c r="O354" t="str">
        <f>IF(M354="","",IFERROR(AVERAGEIFS(DATOS!$K$2:$K$20000,DATOS!$A$2:$A$20000,M354,DATOS!$G$2:$G$20000,CONFIG_METADATA!$B$4,DATOS!$I$2:$I$20000,"Coro"),""))</f>
        <v/>
      </c>
      <c r="P354" t="str">
        <f>IF(M354="","",IFERROR(AVERAGEIFS(DATOS!$K$2:$K$20000,DATOS!$A$2:$A$20000,M354,DATOS!$G$2:$G$20000,CONFIG_METADATA!$B$4,DATOS!$I$2:$I$20000,"Conjunto"),""))</f>
        <v/>
      </c>
      <c r="Q354" t="str">
        <f>IF(M354="","",IFERROR(AVERAGEIFS(DATOS!$K$2:$K$20000,DATOS!$A$2:$A$20000,M354,DATOS!$G$2:$G$20000,CONFIG_METADATA!$B$4,DATOS!$I$2:$I$20000,"&lt;&gt;Lenguaje Musical",DATOS!$I$2:$I$20000,"&lt;&gt;Coro",DATOS!$I$2:$I$20000,"&lt;&gt;Conjunto"),""))</f>
        <v/>
      </c>
      <c r="T354" t="str">
        <f>IF(S354="","",IFERROR(AVERAGEIFS(DATOS!$K$2:$K$20000,DATOS!$A$2:$A$20000,S354,DATOS!$G$2:$G$20000,CONFIG_METADATA!$B$4,DATOS!$I$2:$I$20000,"Lenguaje Musical"),""))</f>
        <v/>
      </c>
      <c r="U354" t="str">
        <f>IF(S354="","",IFERROR(AVERAGEIFS(DATOS!$K$2:$K$20000,DATOS!$A$2:$A$20000,S354,DATOS!$G$2:$G$20000,CONFIG_METADATA!$B$4,DATOS!$I$2:$I$20000,"Coro"),""))</f>
        <v/>
      </c>
      <c r="V354" t="str">
        <f>IF(S354="","",IFERROR(AVERAGEIFS(DATOS!$K$2:$K$20000,DATOS!$A$2:$A$20000,S354,DATOS!$G$2:$G$20000,CONFIG_METADATA!$B$4,DATOS!$I$2:$I$20000,"Conjunto"),""))</f>
        <v/>
      </c>
      <c r="W354" t="str" cm="1">
        <f t="array" ref="W354">IF(S354="","",IFERROR(AVERAGE(IF((DATOS!$A$2:$A$20000=S354)*(DATOS!$G$2:$G$20000=CONFIG_METADATA!$B$4)*(DATOS!$I$2:$I$20000&lt;&gt;"Lenguaje Musical")*(DATOS!$I$2:$I$20000&lt;&gt;"Coro")*(DATOS!$I$2:$I$20000&lt;&gt;"Conjunto"),DATOS!$K$2:$K$20000)),""))</f>
        <v/>
      </c>
    </row>
    <row r="355" spans="2:23" x14ac:dyDescent="0.2">
      <c r="B355" t="str">
        <f>IF(A355="","",IFERROR(AVERAGEIFS(DATOS!$K$2:$K$20000,DATOS!$A$2:$A$20000,A355,DATOS!$G$2:$G$20000,CONFIG_METADATA!$B$4,DATOS!$I$2:$I$20000,"Lenguaje Musical"),""))</f>
        <v/>
      </c>
      <c r="C355" t="str">
        <f>IF(A355="","",IFERROR(AVERAGEIFS(DATOS!$K$2:$K$20000,DATOS!$A$2:$A$20000,A355,DATOS!$G$2:$G$20000,CONFIG_METADATA!$B$4,DATOS!$I$2:$I$20000,"Coro"),""))</f>
        <v/>
      </c>
      <c r="D355" t="str">
        <f>IF(A355="","",IFERROR(AVERAGEIFS(DATOS!$K$2:$K$20000,DATOS!$A$2:$A$20000,A355,DATOS!$G$2:$G$20000,CONFIG_METADATA!$B$4,DATOS!$I$2:$I$20000,"Conjunto"),""))</f>
        <v/>
      </c>
      <c r="E355" t="str">
        <f>IF(A355="","",IFERROR(AVERAGEIFS(DATOS!$K$2:$K$20000,DATOS!$A$2:$A$20000,A355,DATOS!$G$2:$G$20000,CONFIG_METADATA!$B$4,DATOS!$I$2:$I$20000,"&lt;&gt;Lenguaje Musical",DATOS!$I$2:$I$20000,"&lt;&gt;Coro",DATOS!$I$2:$I$20000,"&lt;&gt;Conjunto"),""))</f>
        <v/>
      </c>
      <c r="H355" t="str">
        <f>IF(G355="","",IFERROR(AVERAGEIFS(DATOS!$K$2:$K$20000,DATOS!$A$2:$A$20000,G355,DATOS!$G$2:$G$20000,CONFIG_METADATA!$B$4,DATOS!$I$2:$I$20000,"Lenguaje Musical"),""))</f>
        <v/>
      </c>
      <c r="I355" t="str">
        <f>IF(G355="","",IFERROR(AVERAGEIFS(DATOS!$K$2:$K$20000,DATOS!$A$2:$A$20000,G355,DATOS!$G$2:$G$20000,CONFIG_METADATA!$B$4,DATOS!$I$2:$I$20000,"Coro"),""))</f>
        <v/>
      </c>
      <c r="J355" t="str">
        <f>IF(G355="","",IFERROR(AVERAGEIFS(DATOS!$K$2:$K$20000,DATOS!$A$2:$A$20000,G355,DATOS!$G$2:$G$20000,CONFIG_METADATA!$B$4,DATOS!$I$2:$I$20000,"Conjunto"),""))</f>
        <v/>
      </c>
      <c r="K355" t="str" cm="1">
        <f t="array" ref="K355">IF(G355="","",IFERROR(AVERAGE(IF((DATOS!$A$2:$A$20000=G355)*(DATOS!$G$2:$G$20000=CONFIG_METADATA!$B$4)*(DATOS!$I$2:$I$20000&lt;&gt;"Lenguaje Musical")*(DATOS!$I$2:$I$20000&lt;&gt;"Coro")*(DATOS!$I$2:$I$20000&lt;&gt;"Conjunto"),DATOS!$K$2:$K$20000)),""))</f>
        <v/>
      </c>
      <c r="N355" t="str">
        <f>IF(M355="","",IFERROR(AVERAGEIFS(DATOS!$K$2:$K$20000,DATOS!$A$2:$A$20000,M355,DATOS!$G$2:$G$20000,CONFIG_METADATA!$B$4,DATOS!$I$2:$I$20000,"Lenguaje Musical"),""))</f>
        <v/>
      </c>
      <c r="O355" t="str">
        <f>IF(M355="","",IFERROR(AVERAGEIFS(DATOS!$K$2:$K$20000,DATOS!$A$2:$A$20000,M355,DATOS!$G$2:$G$20000,CONFIG_METADATA!$B$4,DATOS!$I$2:$I$20000,"Coro"),""))</f>
        <v/>
      </c>
      <c r="P355" t="str">
        <f>IF(M355="","",IFERROR(AVERAGEIFS(DATOS!$K$2:$K$20000,DATOS!$A$2:$A$20000,M355,DATOS!$G$2:$G$20000,CONFIG_METADATA!$B$4,DATOS!$I$2:$I$20000,"Conjunto"),""))</f>
        <v/>
      </c>
      <c r="Q355" t="str">
        <f>IF(M355="","",IFERROR(AVERAGEIFS(DATOS!$K$2:$K$20000,DATOS!$A$2:$A$20000,M355,DATOS!$G$2:$G$20000,CONFIG_METADATA!$B$4,DATOS!$I$2:$I$20000,"&lt;&gt;Lenguaje Musical",DATOS!$I$2:$I$20000,"&lt;&gt;Coro",DATOS!$I$2:$I$20000,"&lt;&gt;Conjunto"),""))</f>
        <v/>
      </c>
      <c r="T355" t="str">
        <f>IF(S355="","",IFERROR(AVERAGEIFS(DATOS!$K$2:$K$20000,DATOS!$A$2:$A$20000,S355,DATOS!$G$2:$G$20000,CONFIG_METADATA!$B$4,DATOS!$I$2:$I$20000,"Lenguaje Musical"),""))</f>
        <v/>
      </c>
      <c r="U355" t="str">
        <f>IF(S355="","",IFERROR(AVERAGEIFS(DATOS!$K$2:$K$20000,DATOS!$A$2:$A$20000,S355,DATOS!$G$2:$G$20000,CONFIG_METADATA!$B$4,DATOS!$I$2:$I$20000,"Coro"),""))</f>
        <v/>
      </c>
      <c r="V355" t="str">
        <f>IF(S355="","",IFERROR(AVERAGEIFS(DATOS!$K$2:$K$20000,DATOS!$A$2:$A$20000,S355,DATOS!$G$2:$G$20000,CONFIG_METADATA!$B$4,DATOS!$I$2:$I$20000,"Conjunto"),""))</f>
        <v/>
      </c>
      <c r="W355" t="str" cm="1">
        <f t="array" ref="W355">IF(S355="","",IFERROR(AVERAGE(IF((DATOS!$A$2:$A$20000=S355)*(DATOS!$G$2:$G$20000=CONFIG_METADATA!$B$4)*(DATOS!$I$2:$I$20000&lt;&gt;"Lenguaje Musical")*(DATOS!$I$2:$I$20000&lt;&gt;"Coro")*(DATOS!$I$2:$I$20000&lt;&gt;"Conjunto"),DATOS!$K$2:$K$20000)),""))</f>
        <v/>
      </c>
    </row>
    <row r="356" spans="2:23" x14ac:dyDescent="0.2">
      <c r="B356" t="str">
        <f>IF(A356="","",IFERROR(AVERAGEIFS(DATOS!$K$2:$K$20000,DATOS!$A$2:$A$20000,A356,DATOS!$G$2:$G$20000,CONFIG_METADATA!$B$4,DATOS!$I$2:$I$20000,"Lenguaje Musical"),""))</f>
        <v/>
      </c>
      <c r="C356" t="str">
        <f>IF(A356="","",IFERROR(AVERAGEIFS(DATOS!$K$2:$K$20000,DATOS!$A$2:$A$20000,A356,DATOS!$G$2:$G$20000,CONFIG_METADATA!$B$4,DATOS!$I$2:$I$20000,"Coro"),""))</f>
        <v/>
      </c>
      <c r="D356" t="str">
        <f>IF(A356="","",IFERROR(AVERAGEIFS(DATOS!$K$2:$K$20000,DATOS!$A$2:$A$20000,A356,DATOS!$G$2:$G$20000,CONFIG_METADATA!$B$4,DATOS!$I$2:$I$20000,"Conjunto"),""))</f>
        <v/>
      </c>
      <c r="E356" t="str">
        <f>IF(A356="","",IFERROR(AVERAGEIFS(DATOS!$K$2:$K$20000,DATOS!$A$2:$A$20000,A356,DATOS!$G$2:$G$20000,CONFIG_METADATA!$B$4,DATOS!$I$2:$I$20000,"&lt;&gt;Lenguaje Musical",DATOS!$I$2:$I$20000,"&lt;&gt;Coro",DATOS!$I$2:$I$20000,"&lt;&gt;Conjunto"),""))</f>
        <v/>
      </c>
      <c r="H356" t="str">
        <f>IF(G356="","",IFERROR(AVERAGEIFS(DATOS!$K$2:$K$20000,DATOS!$A$2:$A$20000,G356,DATOS!$G$2:$G$20000,CONFIG_METADATA!$B$4,DATOS!$I$2:$I$20000,"Lenguaje Musical"),""))</f>
        <v/>
      </c>
      <c r="I356" t="str">
        <f>IF(G356="","",IFERROR(AVERAGEIFS(DATOS!$K$2:$K$20000,DATOS!$A$2:$A$20000,G356,DATOS!$G$2:$G$20000,CONFIG_METADATA!$B$4,DATOS!$I$2:$I$20000,"Coro"),""))</f>
        <v/>
      </c>
      <c r="J356" t="str">
        <f>IF(G356="","",IFERROR(AVERAGEIFS(DATOS!$K$2:$K$20000,DATOS!$A$2:$A$20000,G356,DATOS!$G$2:$G$20000,CONFIG_METADATA!$B$4,DATOS!$I$2:$I$20000,"Conjunto"),""))</f>
        <v/>
      </c>
      <c r="K356" t="str" cm="1">
        <f t="array" ref="K356">IF(G356="","",IFERROR(AVERAGE(IF((DATOS!$A$2:$A$20000=G356)*(DATOS!$G$2:$G$20000=CONFIG_METADATA!$B$4)*(DATOS!$I$2:$I$20000&lt;&gt;"Lenguaje Musical")*(DATOS!$I$2:$I$20000&lt;&gt;"Coro")*(DATOS!$I$2:$I$20000&lt;&gt;"Conjunto"),DATOS!$K$2:$K$20000)),""))</f>
        <v/>
      </c>
      <c r="N356" t="str">
        <f>IF(M356="","",IFERROR(AVERAGEIFS(DATOS!$K$2:$K$20000,DATOS!$A$2:$A$20000,M356,DATOS!$G$2:$G$20000,CONFIG_METADATA!$B$4,DATOS!$I$2:$I$20000,"Lenguaje Musical"),""))</f>
        <v/>
      </c>
      <c r="O356" t="str">
        <f>IF(M356="","",IFERROR(AVERAGEIFS(DATOS!$K$2:$K$20000,DATOS!$A$2:$A$20000,M356,DATOS!$G$2:$G$20000,CONFIG_METADATA!$B$4,DATOS!$I$2:$I$20000,"Coro"),""))</f>
        <v/>
      </c>
      <c r="P356" t="str">
        <f>IF(M356="","",IFERROR(AVERAGEIFS(DATOS!$K$2:$K$20000,DATOS!$A$2:$A$20000,M356,DATOS!$G$2:$G$20000,CONFIG_METADATA!$B$4,DATOS!$I$2:$I$20000,"Conjunto"),""))</f>
        <v/>
      </c>
      <c r="Q356" t="str">
        <f>IF(M356="","",IFERROR(AVERAGEIFS(DATOS!$K$2:$K$20000,DATOS!$A$2:$A$20000,M356,DATOS!$G$2:$G$20000,CONFIG_METADATA!$B$4,DATOS!$I$2:$I$20000,"&lt;&gt;Lenguaje Musical",DATOS!$I$2:$I$20000,"&lt;&gt;Coro",DATOS!$I$2:$I$20000,"&lt;&gt;Conjunto"),""))</f>
        <v/>
      </c>
      <c r="T356" t="str">
        <f>IF(S356="","",IFERROR(AVERAGEIFS(DATOS!$K$2:$K$20000,DATOS!$A$2:$A$20000,S356,DATOS!$G$2:$G$20000,CONFIG_METADATA!$B$4,DATOS!$I$2:$I$20000,"Lenguaje Musical"),""))</f>
        <v/>
      </c>
      <c r="U356" t="str">
        <f>IF(S356="","",IFERROR(AVERAGEIFS(DATOS!$K$2:$K$20000,DATOS!$A$2:$A$20000,S356,DATOS!$G$2:$G$20000,CONFIG_METADATA!$B$4,DATOS!$I$2:$I$20000,"Coro"),""))</f>
        <v/>
      </c>
      <c r="V356" t="str">
        <f>IF(S356="","",IFERROR(AVERAGEIFS(DATOS!$K$2:$K$20000,DATOS!$A$2:$A$20000,S356,DATOS!$G$2:$G$20000,CONFIG_METADATA!$B$4,DATOS!$I$2:$I$20000,"Conjunto"),""))</f>
        <v/>
      </c>
      <c r="W356" t="str" cm="1">
        <f t="array" ref="W356">IF(S356="","",IFERROR(AVERAGE(IF((DATOS!$A$2:$A$20000=S356)*(DATOS!$G$2:$G$20000=CONFIG_METADATA!$B$4)*(DATOS!$I$2:$I$20000&lt;&gt;"Lenguaje Musical")*(DATOS!$I$2:$I$20000&lt;&gt;"Coro")*(DATOS!$I$2:$I$20000&lt;&gt;"Conjunto"),DATOS!$K$2:$K$20000)),""))</f>
        <v/>
      </c>
    </row>
    <row r="357" spans="2:23" x14ac:dyDescent="0.2">
      <c r="B357" t="str">
        <f>IF(A357="","",IFERROR(AVERAGEIFS(DATOS!$K$2:$K$20000,DATOS!$A$2:$A$20000,A357,DATOS!$G$2:$G$20000,CONFIG_METADATA!$B$4,DATOS!$I$2:$I$20000,"Lenguaje Musical"),""))</f>
        <v/>
      </c>
      <c r="C357" t="str">
        <f>IF(A357="","",IFERROR(AVERAGEIFS(DATOS!$K$2:$K$20000,DATOS!$A$2:$A$20000,A357,DATOS!$G$2:$G$20000,CONFIG_METADATA!$B$4,DATOS!$I$2:$I$20000,"Coro"),""))</f>
        <v/>
      </c>
      <c r="D357" t="str">
        <f>IF(A357="","",IFERROR(AVERAGEIFS(DATOS!$K$2:$K$20000,DATOS!$A$2:$A$20000,A357,DATOS!$G$2:$G$20000,CONFIG_METADATA!$B$4,DATOS!$I$2:$I$20000,"Conjunto"),""))</f>
        <v/>
      </c>
      <c r="E357" t="str">
        <f>IF(A357="","",IFERROR(AVERAGEIFS(DATOS!$K$2:$K$20000,DATOS!$A$2:$A$20000,A357,DATOS!$G$2:$G$20000,CONFIG_METADATA!$B$4,DATOS!$I$2:$I$20000,"&lt;&gt;Lenguaje Musical",DATOS!$I$2:$I$20000,"&lt;&gt;Coro",DATOS!$I$2:$I$20000,"&lt;&gt;Conjunto"),""))</f>
        <v/>
      </c>
      <c r="H357" t="str">
        <f>IF(G357="","",IFERROR(AVERAGEIFS(DATOS!$K$2:$K$20000,DATOS!$A$2:$A$20000,G357,DATOS!$G$2:$G$20000,CONFIG_METADATA!$B$4,DATOS!$I$2:$I$20000,"Lenguaje Musical"),""))</f>
        <v/>
      </c>
      <c r="I357" t="str">
        <f>IF(G357="","",IFERROR(AVERAGEIFS(DATOS!$K$2:$K$20000,DATOS!$A$2:$A$20000,G357,DATOS!$G$2:$G$20000,CONFIG_METADATA!$B$4,DATOS!$I$2:$I$20000,"Coro"),""))</f>
        <v/>
      </c>
      <c r="J357" t="str">
        <f>IF(G357="","",IFERROR(AVERAGEIFS(DATOS!$K$2:$K$20000,DATOS!$A$2:$A$20000,G357,DATOS!$G$2:$G$20000,CONFIG_METADATA!$B$4,DATOS!$I$2:$I$20000,"Conjunto"),""))</f>
        <v/>
      </c>
      <c r="K357" t="str" cm="1">
        <f t="array" ref="K357">IF(G357="","",IFERROR(AVERAGE(IF((DATOS!$A$2:$A$20000=G357)*(DATOS!$G$2:$G$20000=CONFIG_METADATA!$B$4)*(DATOS!$I$2:$I$20000&lt;&gt;"Lenguaje Musical")*(DATOS!$I$2:$I$20000&lt;&gt;"Coro")*(DATOS!$I$2:$I$20000&lt;&gt;"Conjunto"),DATOS!$K$2:$K$20000)),""))</f>
        <v/>
      </c>
      <c r="N357" t="str">
        <f>IF(M357="","",IFERROR(AVERAGEIFS(DATOS!$K$2:$K$20000,DATOS!$A$2:$A$20000,M357,DATOS!$G$2:$G$20000,CONFIG_METADATA!$B$4,DATOS!$I$2:$I$20000,"Lenguaje Musical"),""))</f>
        <v/>
      </c>
      <c r="O357" t="str">
        <f>IF(M357="","",IFERROR(AVERAGEIFS(DATOS!$K$2:$K$20000,DATOS!$A$2:$A$20000,M357,DATOS!$G$2:$G$20000,CONFIG_METADATA!$B$4,DATOS!$I$2:$I$20000,"Coro"),""))</f>
        <v/>
      </c>
      <c r="P357" t="str">
        <f>IF(M357="","",IFERROR(AVERAGEIFS(DATOS!$K$2:$K$20000,DATOS!$A$2:$A$20000,M357,DATOS!$G$2:$G$20000,CONFIG_METADATA!$B$4,DATOS!$I$2:$I$20000,"Conjunto"),""))</f>
        <v/>
      </c>
      <c r="Q357" t="str">
        <f>IF(M357="","",IFERROR(AVERAGEIFS(DATOS!$K$2:$K$20000,DATOS!$A$2:$A$20000,M357,DATOS!$G$2:$G$20000,CONFIG_METADATA!$B$4,DATOS!$I$2:$I$20000,"&lt;&gt;Lenguaje Musical",DATOS!$I$2:$I$20000,"&lt;&gt;Coro",DATOS!$I$2:$I$20000,"&lt;&gt;Conjunto"),""))</f>
        <v/>
      </c>
      <c r="T357" t="str">
        <f>IF(S357="","",IFERROR(AVERAGEIFS(DATOS!$K$2:$K$20000,DATOS!$A$2:$A$20000,S357,DATOS!$G$2:$G$20000,CONFIG_METADATA!$B$4,DATOS!$I$2:$I$20000,"Lenguaje Musical"),""))</f>
        <v/>
      </c>
      <c r="U357" t="str">
        <f>IF(S357="","",IFERROR(AVERAGEIFS(DATOS!$K$2:$K$20000,DATOS!$A$2:$A$20000,S357,DATOS!$G$2:$G$20000,CONFIG_METADATA!$B$4,DATOS!$I$2:$I$20000,"Coro"),""))</f>
        <v/>
      </c>
      <c r="V357" t="str">
        <f>IF(S357="","",IFERROR(AVERAGEIFS(DATOS!$K$2:$K$20000,DATOS!$A$2:$A$20000,S357,DATOS!$G$2:$G$20000,CONFIG_METADATA!$B$4,DATOS!$I$2:$I$20000,"Conjunto"),""))</f>
        <v/>
      </c>
      <c r="W357" t="str" cm="1">
        <f t="array" ref="W357">IF(S357="","",IFERROR(AVERAGE(IF((DATOS!$A$2:$A$20000=S357)*(DATOS!$G$2:$G$20000=CONFIG_METADATA!$B$4)*(DATOS!$I$2:$I$20000&lt;&gt;"Lenguaje Musical")*(DATOS!$I$2:$I$20000&lt;&gt;"Coro")*(DATOS!$I$2:$I$20000&lt;&gt;"Conjunto"),DATOS!$K$2:$K$20000)),""))</f>
        <v/>
      </c>
    </row>
    <row r="358" spans="2:23" x14ac:dyDescent="0.2">
      <c r="B358" t="str">
        <f>IF(A358="","",IFERROR(AVERAGEIFS(DATOS!$K$2:$K$20000,DATOS!$A$2:$A$20000,A358,DATOS!$G$2:$G$20000,CONFIG_METADATA!$B$4,DATOS!$I$2:$I$20000,"Lenguaje Musical"),""))</f>
        <v/>
      </c>
      <c r="C358" t="str">
        <f>IF(A358="","",IFERROR(AVERAGEIFS(DATOS!$K$2:$K$20000,DATOS!$A$2:$A$20000,A358,DATOS!$G$2:$G$20000,CONFIG_METADATA!$B$4,DATOS!$I$2:$I$20000,"Coro"),""))</f>
        <v/>
      </c>
      <c r="D358" t="str">
        <f>IF(A358="","",IFERROR(AVERAGEIFS(DATOS!$K$2:$K$20000,DATOS!$A$2:$A$20000,A358,DATOS!$G$2:$G$20000,CONFIG_METADATA!$B$4,DATOS!$I$2:$I$20000,"Conjunto"),""))</f>
        <v/>
      </c>
      <c r="E358" t="str">
        <f>IF(A358="","",IFERROR(AVERAGEIFS(DATOS!$K$2:$K$20000,DATOS!$A$2:$A$20000,A358,DATOS!$G$2:$G$20000,CONFIG_METADATA!$B$4,DATOS!$I$2:$I$20000,"&lt;&gt;Lenguaje Musical",DATOS!$I$2:$I$20000,"&lt;&gt;Coro",DATOS!$I$2:$I$20000,"&lt;&gt;Conjunto"),""))</f>
        <v/>
      </c>
      <c r="H358" t="str">
        <f>IF(G358="","",IFERROR(AVERAGEIFS(DATOS!$K$2:$K$20000,DATOS!$A$2:$A$20000,G358,DATOS!$G$2:$G$20000,CONFIG_METADATA!$B$4,DATOS!$I$2:$I$20000,"Lenguaje Musical"),""))</f>
        <v/>
      </c>
      <c r="I358" t="str">
        <f>IF(G358="","",IFERROR(AVERAGEIFS(DATOS!$K$2:$K$20000,DATOS!$A$2:$A$20000,G358,DATOS!$G$2:$G$20000,CONFIG_METADATA!$B$4,DATOS!$I$2:$I$20000,"Coro"),""))</f>
        <v/>
      </c>
      <c r="J358" t="str">
        <f>IF(G358="","",IFERROR(AVERAGEIFS(DATOS!$K$2:$K$20000,DATOS!$A$2:$A$20000,G358,DATOS!$G$2:$G$20000,CONFIG_METADATA!$B$4,DATOS!$I$2:$I$20000,"Conjunto"),""))</f>
        <v/>
      </c>
      <c r="K358" t="str" cm="1">
        <f t="array" ref="K358">IF(G358="","",IFERROR(AVERAGE(IF((DATOS!$A$2:$A$20000=G358)*(DATOS!$G$2:$G$20000=CONFIG_METADATA!$B$4)*(DATOS!$I$2:$I$20000&lt;&gt;"Lenguaje Musical")*(DATOS!$I$2:$I$20000&lt;&gt;"Coro")*(DATOS!$I$2:$I$20000&lt;&gt;"Conjunto"),DATOS!$K$2:$K$20000)),""))</f>
        <v/>
      </c>
      <c r="N358" t="str">
        <f>IF(M358="","",IFERROR(AVERAGEIFS(DATOS!$K$2:$K$20000,DATOS!$A$2:$A$20000,M358,DATOS!$G$2:$G$20000,CONFIG_METADATA!$B$4,DATOS!$I$2:$I$20000,"Lenguaje Musical"),""))</f>
        <v/>
      </c>
      <c r="O358" t="str">
        <f>IF(M358="","",IFERROR(AVERAGEIFS(DATOS!$K$2:$K$20000,DATOS!$A$2:$A$20000,M358,DATOS!$G$2:$G$20000,CONFIG_METADATA!$B$4,DATOS!$I$2:$I$20000,"Coro"),""))</f>
        <v/>
      </c>
      <c r="P358" t="str">
        <f>IF(M358="","",IFERROR(AVERAGEIFS(DATOS!$K$2:$K$20000,DATOS!$A$2:$A$20000,M358,DATOS!$G$2:$G$20000,CONFIG_METADATA!$B$4,DATOS!$I$2:$I$20000,"Conjunto"),""))</f>
        <v/>
      </c>
      <c r="Q358" t="str">
        <f>IF(M358="","",IFERROR(AVERAGEIFS(DATOS!$K$2:$K$20000,DATOS!$A$2:$A$20000,M358,DATOS!$G$2:$G$20000,CONFIG_METADATA!$B$4,DATOS!$I$2:$I$20000,"&lt;&gt;Lenguaje Musical",DATOS!$I$2:$I$20000,"&lt;&gt;Coro",DATOS!$I$2:$I$20000,"&lt;&gt;Conjunto"),""))</f>
        <v/>
      </c>
      <c r="T358" t="str">
        <f>IF(S358="","",IFERROR(AVERAGEIFS(DATOS!$K$2:$K$20000,DATOS!$A$2:$A$20000,S358,DATOS!$G$2:$G$20000,CONFIG_METADATA!$B$4,DATOS!$I$2:$I$20000,"Lenguaje Musical"),""))</f>
        <v/>
      </c>
      <c r="U358" t="str">
        <f>IF(S358="","",IFERROR(AVERAGEIFS(DATOS!$K$2:$K$20000,DATOS!$A$2:$A$20000,S358,DATOS!$G$2:$G$20000,CONFIG_METADATA!$B$4,DATOS!$I$2:$I$20000,"Coro"),""))</f>
        <v/>
      </c>
      <c r="V358" t="str">
        <f>IF(S358="","",IFERROR(AVERAGEIFS(DATOS!$K$2:$K$20000,DATOS!$A$2:$A$20000,S358,DATOS!$G$2:$G$20000,CONFIG_METADATA!$B$4,DATOS!$I$2:$I$20000,"Conjunto"),""))</f>
        <v/>
      </c>
      <c r="W358" t="str" cm="1">
        <f t="array" ref="W358">IF(S358="","",IFERROR(AVERAGE(IF((DATOS!$A$2:$A$20000=S358)*(DATOS!$G$2:$G$20000=CONFIG_METADATA!$B$4)*(DATOS!$I$2:$I$20000&lt;&gt;"Lenguaje Musical")*(DATOS!$I$2:$I$20000&lt;&gt;"Coro")*(DATOS!$I$2:$I$20000&lt;&gt;"Conjunto"),DATOS!$K$2:$K$20000)),""))</f>
        <v/>
      </c>
    </row>
    <row r="359" spans="2:23" x14ac:dyDescent="0.2">
      <c r="B359" t="str">
        <f>IF(A359="","",IFERROR(AVERAGEIFS(DATOS!$K$2:$K$20000,DATOS!$A$2:$A$20000,A359,DATOS!$G$2:$G$20000,CONFIG_METADATA!$B$4,DATOS!$I$2:$I$20000,"Lenguaje Musical"),""))</f>
        <v/>
      </c>
      <c r="C359" t="str">
        <f>IF(A359="","",IFERROR(AVERAGEIFS(DATOS!$K$2:$K$20000,DATOS!$A$2:$A$20000,A359,DATOS!$G$2:$G$20000,CONFIG_METADATA!$B$4,DATOS!$I$2:$I$20000,"Coro"),""))</f>
        <v/>
      </c>
      <c r="D359" t="str">
        <f>IF(A359="","",IFERROR(AVERAGEIFS(DATOS!$K$2:$K$20000,DATOS!$A$2:$A$20000,A359,DATOS!$G$2:$G$20000,CONFIG_METADATA!$B$4,DATOS!$I$2:$I$20000,"Conjunto"),""))</f>
        <v/>
      </c>
      <c r="E359" t="str">
        <f>IF(A359="","",IFERROR(AVERAGEIFS(DATOS!$K$2:$K$20000,DATOS!$A$2:$A$20000,A359,DATOS!$G$2:$G$20000,CONFIG_METADATA!$B$4,DATOS!$I$2:$I$20000,"&lt;&gt;Lenguaje Musical",DATOS!$I$2:$I$20000,"&lt;&gt;Coro",DATOS!$I$2:$I$20000,"&lt;&gt;Conjunto"),""))</f>
        <v/>
      </c>
      <c r="H359" t="str">
        <f>IF(G359="","",IFERROR(AVERAGEIFS(DATOS!$K$2:$K$20000,DATOS!$A$2:$A$20000,G359,DATOS!$G$2:$G$20000,CONFIG_METADATA!$B$4,DATOS!$I$2:$I$20000,"Lenguaje Musical"),""))</f>
        <v/>
      </c>
      <c r="I359" t="str">
        <f>IF(G359="","",IFERROR(AVERAGEIFS(DATOS!$K$2:$K$20000,DATOS!$A$2:$A$20000,G359,DATOS!$G$2:$G$20000,CONFIG_METADATA!$B$4,DATOS!$I$2:$I$20000,"Coro"),""))</f>
        <v/>
      </c>
      <c r="J359" t="str">
        <f>IF(G359="","",IFERROR(AVERAGEIFS(DATOS!$K$2:$K$20000,DATOS!$A$2:$A$20000,G359,DATOS!$G$2:$G$20000,CONFIG_METADATA!$B$4,DATOS!$I$2:$I$20000,"Conjunto"),""))</f>
        <v/>
      </c>
      <c r="K359" t="str" cm="1">
        <f t="array" ref="K359">IF(G359="","",IFERROR(AVERAGE(IF((DATOS!$A$2:$A$20000=G359)*(DATOS!$G$2:$G$20000=CONFIG_METADATA!$B$4)*(DATOS!$I$2:$I$20000&lt;&gt;"Lenguaje Musical")*(DATOS!$I$2:$I$20000&lt;&gt;"Coro")*(DATOS!$I$2:$I$20000&lt;&gt;"Conjunto"),DATOS!$K$2:$K$20000)),""))</f>
        <v/>
      </c>
      <c r="N359" t="str">
        <f>IF(M359="","",IFERROR(AVERAGEIFS(DATOS!$K$2:$K$20000,DATOS!$A$2:$A$20000,M359,DATOS!$G$2:$G$20000,CONFIG_METADATA!$B$4,DATOS!$I$2:$I$20000,"Lenguaje Musical"),""))</f>
        <v/>
      </c>
      <c r="O359" t="str">
        <f>IF(M359="","",IFERROR(AVERAGEIFS(DATOS!$K$2:$K$20000,DATOS!$A$2:$A$20000,M359,DATOS!$G$2:$G$20000,CONFIG_METADATA!$B$4,DATOS!$I$2:$I$20000,"Coro"),""))</f>
        <v/>
      </c>
      <c r="P359" t="str">
        <f>IF(M359="","",IFERROR(AVERAGEIFS(DATOS!$K$2:$K$20000,DATOS!$A$2:$A$20000,M359,DATOS!$G$2:$G$20000,CONFIG_METADATA!$B$4,DATOS!$I$2:$I$20000,"Conjunto"),""))</f>
        <v/>
      </c>
      <c r="Q359" t="str">
        <f>IF(M359="","",IFERROR(AVERAGEIFS(DATOS!$K$2:$K$20000,DATOS!$A$2:$A$20000,M359,DATOS!$G$2:$G$20000,CONFIG_METADATA!$B$4,DATOS!$I$2:$I$20000,"&lt;&gt;Lenguaje Musical",DATOS!$I$2:$I$20000,"&lt;&gt;Coro",DATOS!$I$2:$I$20000,"&lt;&gt;Conjunto"),""))</f>
        <v/>
      </c>
      <c r="T359" t="str">
        <f>IF(S359="","",IFERROR(AVERAGEIFS(DATOS!$K$2:$K$20000,DATOS!$A$2:$A$20000,S359,DATOS!$G$2:$G$20000,CONFIG_METADATA!$B$4,DATOS!$I$2:$I$20000,"Lenguaje Musical"),""))</f>
        <v/>
      </c>
      <c r="U359" t="str">
        <f>IF(S359="","",IFERROR(AVERAGEIFS(DATOS!$K$2:$K$20000,DATOS!$A$2:$A$20000,S359,DATOS!$G$2:$G$20000,CONFIG_METADATA!$B$4,DATOS!$I$2:$I$20000,"Coro"),""))</f>
        <v/>
      </c>
      <c r="V359" t="str">
        <f>IF(S359="","",IFERROR(AVERAGEIFS(DATOS!$K$2:$K$20000,DATOS!$A$2:$A$20000,S359,DATOS!$G$2:$G$20000,CONFIG_METADATA!$B$4,DATOS!$I$2:$I$20000,"Conjunto"),""))</f>
        <v/>
      </c>
      <c r="W359" t="str" cm="1">
        <f t="array" ref="W359">IF(S359="","",IFERROR(AVERAGE(IF((DATOS!$A$2:$A$20000=S359)*(DATOS!$G$2:$G$20000=CONFIG_METADATA!$B$4)*(DATOS!$I$2:$I$20000&lt;&gt;"Lenguaje Musical")*(DATOS!$I$2:$I$20000&lt;&gt;"Coro")*(DATOS!$I$2:$I$20000&lt;&gt;"Conjunto"),DATOS!$K$2:$K$20000)),""))</f>
        <v/>
      </c>
    </row>
    <row r="360" spans="2:23" x14ac:dyDescent="0.2">
      <c r="B360" t="str">
        <f>IF(A360="","",IFERROR(AVERAGEIFS(DATOS!$K$2:$K$20000,DATOS!$A$2:$A$20000,A360,DATOS!$G$2:$G$20000,CONFIG_METADATA!$B$4,DATOS!$I$2:$I$20000,"Lenguaje Musical"),""))</f>
        <v/>
      </c>
      <c r="C360" t="str">
        <f>IF(A360="","",IFERROR(AVERAGEIFS(DATOS!$K$2:$K$20000,DATOS!$A$2:$A$20000,A360,DATOS!$G$2:$G$20000,CONFIG_METADATA!$B$4,DATOS!$I$2:$I$20000,"Coro"),""))</f>
        <v/>
      </c>
      <c r="D360" t="str">
        <f>IF(A360="","",IFERROR(AVERAGEIFS(DATOS!$K$2:$K$20000,DATOS!$A$2:$A$20000,A360,DATOS!$G$2:$G$20000,CONFIG_METADATA!$B$4,DATOS!$I$2:$I$20000,"Conjunto"),""))</f>
        <v/>
      </c>
      <c r="E360" t="str">
        <f>IF(A360="","",IFERROR(AVERAGEIFS(DATOS!$K$2:$K$20000,DATOS!$A$2:$A$20000,A360,DATOS!$G$2:$G$20000,CONFIG_METADATA!$B$4,DATOS!$I$2:$I$20000,"&lt;&gt;Lenguaje Musical",DATOS!$I$2:$I$20000,"&lt;&gt;Coro",DATOS!$I$2:$I$20000,"&lt;&gt;Conjunto"),""))</f>
        <v/>
      </c>
      <c r="H360" t="str">
        <f>IF(G360="","",IFERROR(AVERAGEIFS(DATOS!$K$2:$K$20000,DATOS!$A$2:$A$20000,G360,DATOS!$G$2:$G$20000,CONFIG_METADATA!$B$4,DATOS!$I$2:$I$20000,"Lenguaje Musical"),""))</f>
        <v/>
      </c>
      <c r="I360" t="str">
        <f>IF(G360="","",IFERROR(AVERAGEIFS(DATOS!$K$2:$K$20000,DATOS!$A$2:$A$20000,G360,DATOS!$G$2:$G$20000,CONFIG_METADATA!$B$4,DATOS!$I$2:$I$20000,"Coro"),""))</f>
        <v/>
      </c>
      <c r="J360" t="str">
        <f>IF(G360="","",IFERROR(AVERAGEIFS(DATOS!$K$2:$K$20000,DATOS!$A$2:$A$20000,G360,DATOS!$G$2:$G$20000,CONFIG_METADATA!$B$4,DATOS!$I$2:$I$20000,"Conjunto"),""))</f>
        <v/>
      </c>
      <c r="K360" t="str" cm="1">
        <f t="array" ref="K360">IF(G360="","",IFERROR(AVERAGE(IF((DATOS!$A$2:$A$20000=G360)*(DATOS!$G$2:$G$20000=CONFIG_METADATA!$B$4)*(DATOS!$I$2:$I$20000&lt;&gt;"Lenguaje Musical")*(DATOS!$I$2:$I$20000&lt;&gt;"Coro")*(DATOS!$I$2:$I$20000&lt;&gt;"Conjunto"),DATOS!$K$2:$K$20000)),""))</f>
        <v/>
      </c>
      <c r="N360" t="str">
        <f>IF(M360="","",IFERROR(AVERAGEIFS(DATOS!$K$2:$K$20000,DATOS!$A$2:$A$20000,M360,DATOS!$G$2:$G$20000,CONFIG_METADATA!$B$4,DATOS!$I$2:$I$20000,"Lenguaje Musical"),""))</f>
        <v/>
      </c>
      <c r="O360" t="str">
        <f>IF(M360="","",IFERROR(AVERAGEIFS(DATOS!$K$2:$K$20000,DATOS!$A$2:$A$20000,M360,DATOS!$G$2:$G$20000,CONFIG_METADATA!$B$4,DATOS!$I$2:$I$20000,"Coro"),""))</f>
        <v/>
      </c>
      <c r="P360" t="str">
        <f>IF(M360="","",IFERROR(AVERAGEIFS(DATOS!$K$2:$K$20000,DATOS!$A$2:$A$20000,M360,DATOS!$G$2:$G$20000,CONFIG_METADATA!$B$4,DATOS!$I$2:$I$20000,"Conjunto"),""))</f>
        <v/>
      </c>
      <c r="Q360" t="str">
        <f>IF(M360="","",IFERROR(AVERAGEIFS(DATOS!$K$2:$K$20000,DATOS!$A$2:$A$20000,M360,DATOS!$G$2:$G$20000,CONFIG_METADATA!$B$4,DATOS!$I$2:$I$20000,"&lt;&gt;Lenguaje Musical",DATOS!$I$2:$I$20000,"&lt;&gt;Coro",DATOS!$I$2:$I$20000,"&lt;&gt;Conjunto"),""))</f>
        <v/>
      </c>
      <c r="T360" t="str">
        <f>IF(S360="","",IFERROR(AVERAGEIFS(DATOS!$K$2:$K$20000,DATOS!$A$2:$A$20000,S360,DATOS!$G$2:$G$20000,CONFIG_METADATA!$B$4,DATOS!$I$2:$I$20000,"Lenguaje Musical"),""))</f>
        <v/>
      </c>
      <c r="U360" t="str">
        <f>IF(S360="","",IFERROR(AVERAGEIFS(DATOS!$K$2:$K$20000,DATOS!$A$2:$A$20000,S360,DATOS!$G$2:$G$20000,CONFIG_METADATA!$B$4,DATOS!$I$2:$I$20000,"Coro"),""))</f>
        <v/>
      </c>
      <c r="V360" t="str">
        <f>IF(S360="","",IFERROR(AVERAGEIFS(DATOS!$K$2:$K$20000,DATOS!$A$2:$A$20000,S360,DATOS!$G$2:$G$20000,CONFIG_METADATA!$B$4,DATOS!$I$2:$I$20000,"Conjunto"),""))</f>
        <v/>
      </c>
      <c r="W360" t="str" cm="1">
        <f t="array" ref="W360">IF(S360="","",IFERROR(AVERAGE(IF((DATOS!$A$2:$A$20000=S360)*(DATOS!$G$2:$G$20000=CONFIG_METADATA!$B$4)*(DATOS!$I$2:$I$20000&lt;&gt;"Lenguaje Musical")*(DATOS!$I$2:$I$20000&lt;&gt;"Coro")*(DATOS!$I$2:$I$20000&lt;&gt;"Conjunto"),DATOS!$K$2:$K$20000)),""))</f>
        <v/>
      </c>
    </row>
    <row r="361" spans="2:23" x14ac:dyDescent="0.2">
      <c r="B361" t="str">
        <f>IF(A361="","",IFERROR(AVERAGEIFS(DATOS!$K$2:$K$20000,DATOS!$A$2:$A$20000,A361,DATOS!$G$2:$G$20000,CONFIG_METADATA!$B$4,DATOS!$I$2:$I$20000,"Lenguaje Musical"),""))</f>
        <v/>
      </c>
      <c r="C361" t="str">
        <f>IF(A361="","",IFERROR(AVERAGEIFS(DATOS!$K$2:$K$20000,DATOS!$A$2:$A$20000,A361,DATOS!$G$2:$G$20000,CONFIG_METADATA!$B$4,DATOS!$I$2:$I$20000,"Coro"),""))</f>
        <v/>
      </c>
      <c r="D361" t="str">
        <f>IF(A361="","",IFERROR(AVERAGEIFS(DATOS!$K$2:$K$20000,DATOS!$A$2:$A$20000,A361,DATOS!$G$2:$G$20000,CONFIG_METADATA!$B$4,DATOS!$I$2:$I$20000,"Conjunto"),""))</f>
        <v/>
      </c>
      <c r="E361" t="str">
        <f>IF(A361="","",IFERROR(AVERAGEIFS(DATOS!$K$2:$K$20000,DATOS!$A$2:$A$20000,A361,DATOS!$G$2:$G$20000,CONFIG_METADATA!$B$4,DATOS!$I$2:$I$20000,"&lt;&gt;Lenguaje Musical",DATOS!$I$2:$I$20000,"&lt;&gt;Coro",DATOS!$I$2:$I$20000,"&lt;&gt;Conjunto"),""))</f>
        <v/>
      </c>
      <c r="H361" t="str">
        <f>IF(G361="","",IFERROR(AVERAGEIFS(DATOS!$K$2:$K$20000,DATOS!$A$2:$A$20000,G361,DATOS!$G$2:$G$20000,CONFIG_METADATA!$B$4,DATOS!$I$2:$I$20000,"Lenguaje Musical"),""))</f>
        <v/>
      </c>
      <c r="I361" t="str">
        <f>IF(G361="","",IFERROR(AVERAGEIFS(DATOS!$K$2:$K$20000,DATOS!$A$2:$A$20000,G361,DATOS!$G$2:$G$20000,CONFIG_METADATA!$B$4,DATOS!$I$2:$I$20000,"Coro"),""))</f>
        <v/>
      </c>
      <c r="J361" t="str">
        <f>IF(G361="","",IFERROR(AVERAGEIFS(DATOS!$K$2:$K$20000,DATOS!$A$2:$A$20000,G361,DATOS!$G$2:$G$20000,CONFIG_METADATA!$B$4,DATOS!$I$2:$I$20000,"Conjunto"),""))</f>
        <v/>
      </c>
      <c r="K361" t="str" cm="1">
        <f t="array" ref="K361">IF(G361="","",IFERROR(AVERAGE(IF((DATOS!$A$2:$A$20000=G361)*(DATOS!$G$2:$G$20000=CONFIG_METADATA!$B$4)*(DATOS!$I$2:$I$20000&lt;&gt;"Lenguaje Musical")*(DATOS!$I$2:$I$20000&lt;&gt;"Coro")*(DATOS!$I$2:$I$20000&lt;&gt;"Conjunto"),DATOS!$K$2:$K$20000)),""))</f>
        <v/>
      </c>
      <c r="N361" t="str">
        <f>IF(M361="","",IFERROR(AVERAGEIFS(DATOS!$K$2:$K$20000,DATOS!$A$2:$A$20000,M361,DATOS!$G$2:$G$20000,CONFIG_METADATA!$B$4,DATOS!$I$2:$I$20000,"Lenguaje Musical"),""))</f>
        <v/>
      </c>
      <c r="O361" t="str">
        <f>IF(M361="","",IFERROR(AVERAGEIFS(DATOS!$K$2:$K$20000,DATOS!$A$2:$A$20000,M361,DATOS!$G$2:$G$20000,CONFIG_METADATA!$B$4,DATOS!$I$2:$I$20000,"Coro"),""))</f>
        <v/>
      </c>
      <c r="P361" t="str">
        <f>IF(M361="","",IFERROR(AVERAGEIFS(DATOS!$K$2:$K$20000,DATOS!$A$2:$A$20000,M361,DATOS!$G$2:$G$20000,CONFIG_METADATA!$B$4,DATOS!$I$2:$I$20000,"Conjunto"),""))</f>
        <v/>
      </c>
      <c r="Q361" t="str">
        <f>IF(M361="","",IFERROR(AVERAGEIFS(DATOS!$K$2:$K$20000,DATOS!$A$2:$A$20000,M361,DATOS!$G$2:$G$20000,CONFIG_METADATA!$B$4,DATOS!$I$2:$I$20000,"&lt;&gt;Lenguaje Musical",DATOS!$I$2:$I$20000,"&lt;&gt;Coro",DATOS!$I$2:$I$20000,"&lt;&gt;Conjunto"),""))</f>
        <v/>
      </c>
      <c r="T361" t="str">
        <f>IF(S361="","",IFERROR(AVERAGEIFS(DATOS!$K$2:$K$20000,DATOS!$A$2:$A$20000,S361,DATOS!$G$2:$G$20000,CONFIG_METADATA!$B$4,DATOS!$I$2:$I$20000,"Lenguaje Musical"),""))</f>
        <v/>
      </c>
      <c r="U361" t="str">
        <f>IF(S361="","",IFERROR(AVERAGEIFS(DATOS!$K$2:$K$20000,DATOS!$A$2:$A$20000,S361,DATOS!$G$2:$G$20000,CONFIG_METADATA!$B$4,DATOS!$I$2:$I$20000,"Coro"),""))</f>
        <v/>
      </c>
      <c r="V361" t="str">
        <f>IF(S361="","",IFERROR(AVERAGEIFS(DATOS!$K$2:$K$20000,DATOS!$A$2:$A$20000,S361,DATOS!$G$2:$G$20000,CONFIG_METADATA!$B$4,DATOS!$I$2:$I$20000,"Conjunto"),""))</f>
        <v/>
      </c>
      <c r="W361" t="str" cm="1">
        <f t="array" ref="W361">IF(S361="","",IFERROR(AVERAGE(IF((DATOS!$A$2:$A$20000=S361)*(DATOS!$G$2:$G$20000=CONFIG_METADATA!$B$4)*(DATOS!$I$2:$I$20000&lt;&gt;"Lenguaje Musical")*(DATOS!$I$2:$I$20000&lt;&gt;"Coro")*(DATOS!$I$2:$I$20000&lt;&gt;"Conjunto"),DATOS!$K$2:$K$20000)),""))</f>
        <v/>
      </c>
    </row>
    <row r="362" spans="2:23" x14ac:dyDescent="0.2">
      <c r="B362" t="str">
        <f>IF(A362="","",IFERROR(AVERAGEIFS(DATOS!$K$2:$K$20000,DATOS!$A$2:$A$20000,A362,DATOS!$G$2:$G$20000,CONFIG_METADATA!$B$4,DATOS!$I$2:$I$20000,"Lenguaje Musical"),""))</f>
        <v/>
      </c>
      <c r="C362" t="str">
        <f>IF(A362="","",IFERROR(AVERAGEIFS(DATOS!$K$2:$K$20000,DATOS!$A$2:$A$20000,A362,DATOS!$G$2:$G$20000,CONFIG_METADATA!$B$4,DATOS!$I$2:$I$20000,"Coro"),""))</f>
        <v/>
      </c>
      <c r="D362" t="str">
        <f>IF(A362="","",IFERROR(AVERAGEIFS(DATOS!$K$2:$K$20000,DATOS!$A$2:$A$20000,A362,DATOS!$G$2:$G$20000,CONFIG_METADATA!$B$4,DATOS!$I$2:$I$20000,"Conjunto"),""))</f>
        <v/>
      </c>
      <c r="E362" t="str">
        <f>IF(A362="","",IFERROR(AVERAGEIFS(DATOS!$K$2:$K$20000,DATOS!$A$2:$A$20000,A362,DATOS!$G$2:$G$20000,CONFIG_METADATA!$B$4,DATOS!$I$2:$I$20000,"&lt;&gt;Lenguaje Musical",DATOS!$I$2:$I$20000,"&lt;&gt;Coro",DATOS!$I$2:$I$20000,"&lt;&gt;Conjunto"),""))</f>
        <v/>
      </c>
      <c r="H362" t="str">
        <f>IF(G362="","",IFERROR(AVERAGEIFS(DATOS!$K$2:$K$20000,DATOS!$A$2:$A$20000,G362,DATOS!$G$2:$G$20000,CONFIG_METADATA!$B$4,DATOS!$I$2:$I$20000,"Lenguaje Musical"),""))</f>
        <v/>
      </c>
      <c r="I362" t="str">
        <f>IF(G362="","",IFERROR(AVERAGEIFS(DATOS!$K$2:$K$20000,DATOS!$A$2:$A$20000,G362,DATOS!$G$2:$G$20000,CONFIG_METADATA!$B$4,DATOS!$I$2:$I$20000,"Coro"),""))</f>
        <v/>
      </c>
      <c r="J362" t="str">
        <f>IF(G362="","",IFERROR(AVERAGEIFS(DATOS!$K$2:$K$20000,DATOS!$A$2:$A$20000,G362,DATOS!$G$2:$G$20000,CONFIG_METADATA!$B$4,DATOS!$I$2:$I$20000,"Conjunto"),""))</f>
        <v/>
      </c>
      <c r="K362" t="str" cm="1">
        <f t="array" ref="K362">IF(G362="","",IFERROR(AVERAGE(IF((DATOS!$A$2:$A$20000=G362)*(DATOS!$G$2:$G$20000=CONFIG_METADATA!$B$4)*(DATOS!$I$2:$I$20000&lt;&gt;"Lenguaje Musical")*(DATOS!$I$2:$I$20000&lt;&gt;"Coro")*(DATOS!$I$2:$I$20000&lt;&gt;"Conjunto"),DATOS!$K$2:$K$20000)),""))</f>
        <v/>
      </c>
      <c r="N362" t="str">
        <f>IF(M362="","",IFERROR(AVERAGEIFS(DATOS!$K$2:$K$20000,DATOS!$A$2:$A$20000,M362,DATOS!$G$2:$G$20000,CONFIG_METADATA!$B$4,DATOS!$I$2:$I$20000,"Lenguaje Musical"),""))</f>
        <v/>
      </c>
      <c r="O362" t="str">
        <f>IF(M362="","",IFERROR(AVERAGEIFS(DATOS!$K$2:$K$20000,DATOS!$A$2:$A$20000,M362,DATOS!$G$2:$G$20000,CONFIG_METADATA!$B$4,DATOS!$I$2:$I$20000,"Coro"),""))</f>
        <v/>
      </c>
      <c r="P362" t="str">
        <f>IF(M362="","",IFERROR(AVERAGEIFS(DATOS!$K$2:$K$20000,DATOS!$A$2:$A$20000,M362,DATOS!$G$2:$G$20000,CONFIG_METADATA!$B$4,DATOS!$I$2:$I$20000,"Conjunto"),""))</f>
        <v/>
      </c>
      <c r="Q362" t="str">
        <f>IF(M362="","",IFERROR(AVERAGEIFS(DATOS!$K$2:$K$20000,DATOS!$A$2:$A$20000,M362,DATOS!$G$2:$G$20000,CONFIG_METADATA!$B$4,DATOS!$I$2:$I$20000,"&lt;&gt;Lenguaje Musical",DATOS!$I$2:$I$20000,"&lt;&gt;Coro",DATOS!$I$2:$I$20000,"&lt;&gt;Conjunto"),""))</f>
        <v/>
      </c>
      <c r="T362" t="str">
        <f>IF(S362="","",IFERROR(AVERAGEIFS(DATOS!$K$2:$K$20000,DATOS!$A$2:$A$20000,S362,DATOS!$G$2:$G$20000,CONFIG_METADATA!$B$4,DATOS!$I$2:$I$20000,"Lenguaje Musical"),""))</f>
        <v/>
      </c>
      <c r="U362" t="str">
        <f>IF(S362="","",IFERROR(AVERAGEIFS(DATOS!$K$2:$K$20000,DATOS!$A$2:$A$20000,S362,DATOS!$G$2:$G$20000,CONFIG_METADATA!$B$4,DATOS!$I$2:$I$20000,"Coro"),""))</f>
        <v/>
      </c>
      <c r="V362" t="str">
        <f>IF(S362="","",IFERROR(AVERAGEIFS(DATOS!$K$2:$K$20000,DATOS!$A$2:$A$20000,S362,DATOS!$G$2:$G$20000,CONFIG_METADATA!$B$4,DATOS!$I$2:$I$20000,"Conjunto"),""))</f>
        <v/>
      </c>
      <c r="W362" t="str" cm="1">
        <f t="array" ref="W362">IF(S362="","",IFERROR(AVERAGE(IF((DATOS!$A$2:$A$20000=S362)*(DATOS!$G$2:$G$20000=CONFIG_METADATA!$B$4)*(DATOS!$I$2:$I$20000&lt;&gt;"Lenguaje Musical")*(DATOS!$I$2:$I$20000&lt;&gt;"Coro")*(DATOS!$I$2:$I$20000&lt;&gt;"Conjunto"),DATOS!$K$2:$K$20000)),""))</f>
        <v/>
      </c>
    </row>
    <row r="363" spans="2:23" x14ac:dyDescent="0.2">
      <c r="B363" t="str">
        <f>IF(A363="","",IFERROR(AVERAGEIFS(DATOS!$K$2:$K$20000,DATOS!$A$2:$A$20000,A363,DATOS!$G$2:$G$20000,CONFIG_METADATA!$B$4,DATOS!$I$2:$I$20000,"Lenguaje Musical"),""))</f>
        <v/>
      </c>
      <c r="C363" t="str">
        <f>IF(A363="","",IFERROR(AVERAGEIFS(DATOS!$K$2:$K$20000,DATOS!$A$2:$A$20000,A363,DATOS!$G$2:$G$20000,CONFIG_METADATA!$B$4,DATOS!$I$2:$I$20000,"Coro"),""))</f>
        <v/>
      </c>
      <c r="D363" t="str">
        <f>IF(A363="","",IFERROR(AVERAGEIFS(DATOS!$K$2:$K$20000,DATOS!$A$2:$A$20000,A363,DATOS!$G$2:$G$20000,CONFIG_METADATA!$B$4,DATOS!$I$2:$I$20000,"Conjunto"),""))</f>
        <v/>
      </c>
      <c r="E363" t="str">
        <f>IF(A363="","",IFERROR(AVERAGEIFS(DATOS!$K$2:$K$20000,DATOS!$A$2:$A$20000,A363,DATOS!$G$2:$G$20000,CONFIG_METADATA!$B$4,DATOS!$I$2:$I$20000,"&lt;&gt;Lenguaje Musical",DATOS!$I$2:$I$20000,"&lt;&gt;Coro",DATOS!$I$2:$I$20000,"&lt;&gt;Conjunto"),""))</f>
        <v/>
      </c>
      <c r="H363" t="str">
        <f>IF(G363="","",IFERROR(AVERAGEIFS(DATOS!$K$2:$K$20000,DATOS!$A$2:$A$20000,G363,DATOS!$G$2:$G$20000,CONFIG_METADATA!$B$4,DATOS!$I$2:$I$20000,"Lenguaje Musical"),""))</f>
        <v/>
      </c>
      <c r="I363" t="str">
        <f>IF(G363="","",IFERROR(AVERAGEIFS(DATOS!$K$2:$K$20000,DATOS!$A$2:$A$20000,G363,DATOS!$G$2:$G$20000,CONFIG_METADATA!$B$4,DATOS!$I$2:$I$20000,"Coro"),""))</f>
        <v/>
      </c>
      <c r="J363" t="str">
        <f>IF(G363="","",IFERROR(AVERAGEIFS(DATOS!$K$2:$K$20000,DATOS!$A$2:$A$20000,G363,DATOS!$G$2:$G$20000,CONFIG_METADATA!$B$4,DATOS!$I$2:$I$20000,"Conjunto"),""))</f>
        <v/>
      </c>
      <c r="K363" t="str" cm="1">
        <f t="array" ref="K363">IF(G363="","",IFERROR(AVERAGE(IF((DATOS!$A$2:$A$20000=G363)*(DATOS!$G$2:$G$20000=CONFIG_METADATA!$B$4)*(DATOS!$I$2:$I$20000&lt;&gt;"Lenguaje Musical")*(DATOS!$I$2:$I$20000&lt;&gt;"Coro")*(DATOS!$I$2:$I$20000&lt;&gt;"Conjunto"),DATOS!$K$2:$K$20000)),""))</f>
        <v/>
      </c>
      <c r="N363" t="str">
        <f>IF(M363="","",IFERROR(AVERAGEIFS(DATOS!$K$2:$K$20000,DATOS!$A$2:$A$20000,M363,DATOS!$G$2:$G$20000,CONFIG_METADATA!$B$4,DATOS!$I$2:$I$20000,"Lenguaje Musical"),""))</f>
        <v/>
      </c>
      <c r="O363" t="str">
        <f>IF(M363="","",IFERROR(AVERAGEIFS(DATOS!$K$2:$K$20000,DATOS!$A$2:$A$20000,M363,DATOS!$G$2:$G$20000,CONFIG_METADATA!$B$4,DATOS!$I$2:$I$20000,"Coro"),""))</f>
        <v/>
      </c>
      <c r="P363" t="str">
        <f>IF(M363="","",IFERROR(AVERAGEIFS(DATOS!$K$2:$K$20000,DATOS!$A$2:$A$20000,M363,DATOS!$G$2:$G$20000,CONFIG_METADATA!$B$4,DATOS!$I$2:$I$20000,"Conjunto"),""))</f>
        <v/>
      </c>
      <c r="Q363" t="str">
        <f>IF(M363="","",IFERROR(AVERAGEIFS(DATOS!$K$2:$K$20000,DATOS!$A$2:$A$20000,M363,DATOS!$G$2:$G$20000,CONFIG_METADATA!$B$4,DATOS!$I$2:$I$20000,"&lt;&gt;Lenguaje Musical",DATOS!$I$2:$I$20000,"&lt;&gt;Coro",DATOS!$I$2:$I$20000,"&lt;&gt;Conjunto"),""))</f>
        <v/>
      </c>
      <c r="T363" t="str">
        <f>IF(S363="","",IFERROR(AVERAGEIFS(DATOS!$K$2:$K$20000,DATOS!$A$2:$A$20000,S363,DATOS!$G$2:$G$20000,CONFIG_METADATA!$B$4,DATOS!$I$2:$I$20000,"Lenguaje Musical"),""))</f>
        <v/>
      </c>
      <c r="U363" t="str">
        <f>IF(S363="","",IFERROR(AVERAGEIFS(DATOS!$K$2:$K$20000,DATOS!$A$2:$A$20000,S363,DATOS!$G$2:$G$20000,CONFIG_METADATA!$B$4,DATOS!$I$2:$I$20000,"Coro"),""))</f>
        <v/>
      </c>
      <c r="V363" t="str">
        <f>IF(S363="","",IFERROR(AVERAGEIFS(DATOS!$K$2:$K$20000,DATOS!$A$2:$A$20000,S363,DATOS!$G$2:$G$20000,CONFIG_METADATA!$B$4,DATOS!$I$2:$I$20000,"Conjunto"),""))</f>
        <v/>
      </c>
      <c r="W363" t="str" cm="1">
        <f t="array" ref="W363">IF(S363="","",IFERROR(AVERAGE(IF((DATOS!$A$2:$A$20000=S363)*(DATOS!$G$2:$G$20000=CONFIG_METADATA!$B$4)*(DATOS!$I$2:$I$20000&lt;&gt;"Lenguaje Musical")*(DATOS!$I$2:$I$20000&lt;&gt;"Coro")*(DATOS!$I$2:$I$20000&lt;&gt;"Conjunto"),DATOS!$K$2:$K$20000)),""))</f>
        <v/>
      </c>
    </row>
    <row r="364" spans="2:23" x14ac:dyDescent="0.2">
      <c r="B364" t="str">
        <f>IF(A364="","",IFERROR(AVERAGEIFS(DATOS!$K$2:$K$20000,DATOS!$A$2:$A$20000,A364,DATOS!$G$2:$G$20000,CONFIG_METADATA!$B$4,DATOS!$I$2:$I$20000,"Lenguaje Musical"),""))</f>
        <v/>
      </c>
      <c r="C364" t="str">
        <f>IF(A364="","",IFERROR(AVERAGEIFS(DATOS!$K$2:$K$20000,DATOS!$A$2:$A$20000,A364,DATOS!$G$2:$G$20000,CONFIG_METADATA!$B$4,DATOS!$I$2:$I$20000,"Coro"),""))</f>
        <v/>
      </c>
      <c r="D364" t="str">
        <f>IF(A364="","",IFERROR(AVERAGEIFS(DATOS!$K$2:$K$20000,DATOS!$A$2:$A$20000,A364,DATOS!$G$2:$G$20000,CONFIG_METADATA!$B$4,DATOS!$I$2:$I$20000,"Conjunto"),""))</f>
        <v/>
      </c>
      <c r="E364" t="str">
        <f>IF(A364="","",IFERROR(AVERAGEIFS(DATOS!$K$2:$K$20000,DATOS!$A$2:$A$20000,A364,DATOS!$G$2:$G$20000,CONFIG_METADATA!$B$4,DATOS!$I$2:$I$20000,"&lt;&gt;Lenguaje Musical",DATOS!$I$2:$I$20000,"&lt;&gt;Coro",DATOS!$I$2:$I$20000,"&lt;&gt;Conjunto"),""))</f>
        <v/>
      </c>
      <c r="H364" t="str">
        <f>IF(G364="","",IFERROR(AVERAGEIFS(DATOS!$K$2:$K$20000,DATOS!$A$2:$A$20000,G364,DATOS!$G$2:$G$20000,CONFIG_METADATA!$B$4,DATOS!$I$2:$I$20000,"Lenguaje Musical"),""))</f>
        <v/>
      </c>
      <c r="I364" t="str">
        <f>IF(G364="","",IFERROR(AVERAGEIFS(DATOS!$K$2:$K$20000,DATOS!$A$2:$A$20000,G364,DATOS!$G$2:$G$20000,CONFIG_METADATA!$B$4,DATOS!$I$2:$I$20000,"Coro"),""))</f>
        <v/>
      </c>
      <c r="J364" t="str">
        <f>IF(G364="","",IFERROR(AVERAGEIFS(DATOS!$K$2:$K$20000,DATOS!$A$2:$A$20000,G364,DATOS!$G$2:$G$20000,CONFIG_METADATA!$B$4,DATOS!$I$2:$I$20000,"Conjunto"),""))</f>
        <v/>
      </c>
      <c r="K364" t="str" cm="1">
        <f t="array" ref="K364">IF(G364="","",IFERROR(AVERAGE(IF((DATOS!$A$2:$A$20000=G364)*(DATOS!$G$2:$G$20000=CONFIG_METADATA!$B$4)*(DATOS!$I$2:$I$20000&lt;&gt;"Lenguaje Musical")*(DATOS!$I$2:$I$20000&lt;&gt;"Coro")*(DATOS!$I$2:$I$20000&lt;&gt;"Conjunto"),DATOS!$K$2:$K$20000)),""))</f>
        <v/>
      </c>
      <c r="N364" t="str">
        <f>IF(M364="","",IFERROR(AVERAGEIFS(DATOS!$K$2:$K$20000,DATOS!$A$2:$A$20000,M364,DATOS!$G$2:$G$20000,CONFIG_METADATA!$B$4,DATOS!$I$2:$I$20000,"Lenguaje Musical"),""))</f>
        <v/>
      </c>
      <c r="O364" t="str">
        <f>IF(M364="","",IFERROR(AVERAGEIFS(DATOS!$K$2:$K$20000,DATOS!$A$2:$A$20000,M364,DATOS!$G$2:$G$20000,CONFIG_METADATA!$B$4,DATOS!$I$2:$I$20000,"Coro"),""))</f>
        <v/>
      </c>
      <c r="P364" t="str">
        <f>IF(M364="","",IFERROR(AVERAGEIFS(DATOS!$K$2:$K$20000,DATOS!$A$2:$A$20000,M364,DATOS!$G$2:$G$20000,CONFIG_METADATA!$B$4,DATOS!$I$2:$I$20000,"Conjunto"),""))</f>
        <v/>
      </c>
      <c r="Q364" t="str">
        <f>IF(M364="","",IFERROR(AVERAGEIFS(DATOS!$K$2:$K$20000,DATOS!$A$2:$A$20000,M364,DATOS!$G$2:$G$20000,CONFIG_METADATA!$B$4,DATOS!$I$2:$I$20000,"&lt;&gt;Lenguaje Musical",DATOS!$I$2:$I$20000,"&lt;&gt;Coro",DATOS!$I$2:$I$20000,"&lt;&gt;Conjunto"),""))</f>
        <v/>
      </c>
      <c r="T364" t="str">
        <f>IF(S364="","",IFERROR(AVERAGEIFS(DATOS!$K$2:$K$20000,DATOS!$A$2:$A$20000,S364,DATOS!$G$2:$G$20000,CONFIG_METADATA!$B$4,DATOS!$I$2:$I$20000,"Lenguaje Musical"),""))</f>
        <v/>
      </c>
      <c r="U364" t="str">
        <f>IF(S364="","",IFERROR(AVERAGEIFS(DATOS!$K$2:$K$20000,DATOS!$A$2:$A$20000,S364,DATOS!$G$2:$G$20000,CONFIG_METADATA!$B$4,DATOS!$I$2:$I$20000,"Coro"),""))</f>
        <v/>
      </c>
      <c r="V364" t="str">
        <f>IF(S364="","",IFERROR(AVERAGEIFS(DATOS!$K$2:$K$20000,DATOS!$A$2:$A$20000,S364,DATOS!$G$2:$G$20000,CONFIG_METADATA!$B$4,DATOS!$I$2:$I$20000,"Conjunto"),""))</f>
        <v/>
      </c>
      <c r="W364" t="str" cm="1">
        <f t="array" ref="W364">IF(S364="","",IFERROR(AVERAGE(IF((DATOS!$A$2:$A$20000=S364)*(DATOS!$G$2:$G$20000=CONFIG_METADATA!$B$4)*(DATOS!$I$2:$I$20000&lt;&gt;"Lenguaje Musical")*(DATOS!$I$2:$I$20000&lt;&gt;"Coro")*(DATOS!$I$2:$I$20000&lt;&gt;"Conjunto"),DATOS!$K$2:$K$20000)),""))</f>
        <v/>
      </c>
    </row>
    <row r="365" spans="2:23" x14ac:dyDescent="0.2">
      <c r="B365" t="str">
        <f>IF(A365="","",IFERROR(AVERAGEIFS(DATOS!$K$2:$K$20000,DATOS!$A$2:$A$20000,A365,DATOS!$G$2:$G$20000,CONFIG_METADATA!$B$4,DATOS!$I$2:$I$20000,"Lenguaje Musical"),""))</f>
        <v/>
      </c>
      <c r="C365" t="str">
        <f>IF(A365="","",IFERROR(AVERAGEIFS(DATOS!$K$2:$K$20000,DATOS!$A$2:$A$20000,A365,DATOS!$G$2:$G$20000,CONFIG_METADATA!$B$4,DATOS!$I$2:$I$20000,"Coro"),""))</f>
        <v/>
      </c>
      <c r="D365" t="str">
        <f>IF(A365="","",IFERROR(AVERAGEIFS(DATOS!$K$2:$K$20000,DATOS!$A$2:$A$20000,A365,DATOS!$G$2:$G$20000,CONFIG_METADATA!$B$4,DATOS!$I$2:$I$20000,"Conjunto"),""))</f>
        <v/>
      </c>
      <c r="E365" t="str">
        <f>IF(A365="","",IFERROR(AVERAGEIFS(DATOS!$K$2:$K$20000,DATOS!$A$2:$A$20000,A365,DATOS!$G$2:$G$20000,CONFIG_METADATA!$B$4,DATOS!$I$2:$I$20000,"&lt;&gt;Lenguaje Musical",DATOS!$I$2:$I$20000,"&lt;&gt;Coro",DATOS!$I$2:$I$20000,"&lt;&gt;Conjunto"),""))</f>
        <v/>
      </c>
      <c r="H365" t="str">
        <f>IF(G365="","",IFERROR(AVERAGEIFS(DATOS!$K$2:$K$20000,DATOS!$A$2:$A$20000,G365,DATOS!$G$2:$G$20000,CONFIG_METADATA!$B$4,DATOS!$I$2:$I$20000,"Lenguaje Musical"),""))</f>
        <v/>
      </c>
      <c r="I365" t="str">
        <f>IF(G365="","",IFERROR(AVERAGEIFS(DATOS!$K$2:$K$20000,DATOS!$A$2:$A$20000,G365,DATOS!$G$2:$G$20000,CONFIG_METADATA!$B$4,DATOS!$I$2:$I$20000,"Coro"),""))</f>
        <v/>
      </c>
      <c r="J365" t="str">
        <f>IF(G365="","",IFERROR(AVERAGEIFS(DATOS!$K$2:$K$20000,DATOS!$A$2:$A$20000,G365,DATOS!$G$2:$G$20000,CONFIG_METADATA!$B$4,DATOS!$I$2:$I$20000,"Conjunto"),""))</f>
        <v/>
      </c>
      <c r="K365" t="str" cm="1">
        <f t="array" ref="K365">IF(G365="","",IFERROR(AVERAGE(IF((DATOS!$A$2:$A$20000=G365)*(DATOS!$G$2:$G$20000=CONFIG_METADATA!$B$4)*(DATOS!$I$2:$I$20000&lt;&gt;"Lenguaje Musical")*(DATOS!$I$2:$I$20000&lt;&gt;"Coro")*(DATOS!$I$2:$I$20000&lt;&gt;"Conjunto"),DATOS!$K$2:$K$20000)),""))</f>
        <v/>
      </c>
      <c r="N365" t="str">
        <f>IF(M365="","",IFERROR(AVERAGEIFS(DATOS!$K$2:$K$20000,DATOS!$A$2:$A$20000,M365,DATOS!$G$2:$G$20000,CONFIG_METADATA!$B$4,DATOS!$I$2:$I$20000,"Lenguaje Musical"),""))</f>
        <v/>
      </c>
      <c r="O365" t="str">
        <f>IF(M365="","",IFERROR(AVERAGEIFS(DATOS!$K$2:$K$20000,DATOS!$A$2:$A$20000,M365,DATOS!$G$2:$G$20000,CONFIG_METADATA!$B$4,DATOS!$I$2:$I$20000,"Coro"),""))</f>
        <v/>
      </c>
      <c r="P365" t="str">
        <f>IF(M365="","",IFERROR(AVERAGEIFS(DATOS!$K$2:$K$20000,DATOS!$A$2:$A$20000,M365,DATOS!$G$2:$G$20000,CONFIG_METADATA!$B$4,DATOS!$I$2:$I$20000,"Conjunto"),""))</f>
        <v/>
      </c>
      <c r="Q365" t="str">
        <f>IF(M365="","",IFERROR(AVERAGEIFS(DATOS!$K$2:$K$20000,DATOS!$A$2:$A$20000,M365,DATOS!$G$2:$G$20000,CONFIG_METADATA!$B$4,DATOS!$I$2:$I$20000,"&lt;&gt;Lenguaje Musical",DATOS!$I$2:$I$20000,"&lt;&gt;Coro",DATOS!$I$2:$I$20000,"&lt;&gt;Conjunto"),""))</f>
        <v/>
      </c>
      <c r="T365" t="str">
        <f>IF(S365="","",IFERROR(AVERAGEIFS(DATOS!$K$2:$K$20000,DATOS!$A$2:$A$20000,S365,DATOS!$G$2:$G$20000,CONFIG_METADATA!$B$4,DATOS!$I$2:$I$20000,"Lenguaje Musical"),""))</f>
        <v/>
      </c>
      <c r="U365" t="str">
        <f>IF(S365="","",IFERROR(AVERAGEIFS(DATOS!$K$2:$K$20000,DATOS!$A$2:$A$20000,S365,DATOS!$G$2:$G$20000,CONFIG_METADATA!$B$4,DATOS!$I$2:$I$20000,"Coro"),""))</f>
        <v/>
      </c>
      <c r="V365" t="str">
        <f>IF(S365="","",IFERROR(AVERAGEIFS(DATOS!$K$2:$K$20000,DATOS!$A$2:$A$20000,S365,DATOS!$G$2:$G$20000,CONFIG_METADATA!$B$4,DATOS!$I$2:$I$20000,"Conjunto"),""))</f>
        <v/>
      </c>
      <c r="W365" t="str" cm="1">
        <f t="array" ref="W365">IF(S365="","",IFERROR(AVERAGE(IF((DATOS!$A$2:$A$20000=S365)*(DATOS!$G$2:$G$20000=CONFIG_METADATA!$B$4)*(DATOS!$I$2:$I$20000&lt;&gt;"Lenguaje Musical")*(DATOS!$I$2:$I$20000&lt;&gt;"Coro")*(DATOS!$I$2:$I$20000&lt;&gt;"Conjunto"),DATOS!$K$2:$K$20000)),""))</f>
        <v/>
      </c>
    </row>
    <row r="366" spans="2:23" x14ac:dyDescent="0.2">
      <c r="B366" t="str">
        <f>IF(A366="","",IFERROR(AVERAGEIFS(DATOS!$K$2:$K$20000,DATOS!$A$2:$A$20000,A366,DATOS!$G$2:$G$20000,CONFIG_METADATA!$B$4,DATOS!$I$2:$I$20000,"Lenguaje Musical"),""))</f>
        <v/>
      </c>
      <c r="C366" t="str">
        <f>IF(A366="","",IFERROR(AVERAGEIFS(DATOS!$K$2:$K$20000,DATOS!$A$2:$A$20000,A366,DATOS!$G$2:$G$20000,CONFIG_METADATA!$B$4,DATOS!$I$2:$I$20000,"Coro"),""))</f>
        <v/>
      </c>
      <c r="D366" t="str">
        <f>IF(A366="","",IFERROR(AVERAGEIFS(DATOS!$K$2:$K$20000,DATOS!$A$2:$A$20000,A366,DATOS!$G$2:$G$20000,CONFIG_METADATA!$B$4,DATOS!$I$2:$I$20000,"Conjunto"),""))</f>
        <v/>
      </c>
      <c r="E366" t="str">
        <f>IF(A366="","",IFERROR(AVERAGEIFS(DATOS!$K$2:$K$20000,DATOS!$A$2:$A$20000,A366,DATOS!$G$2:$G$20000,CONFIG_METADATA!$B$4,DATOS!$I$2:$I$20000,"&lt;&gt;Lenguaje Musical",DATOS!$I$2:$I$20000,"&lt;&gt;Coro",DATOS!$I$2:$I$20000,"&lt;&gt;Conjunto"),""))</f>
        <v/>
      </c>
      <c r="H366" t="str">
        <f>IF(G366="","",IFERROR(AVERAGEIFS(DATOS!$K$2:$K$20000,DATOS!$A$2:$A$20000,G366,DATOS!$G$2:$G$20000,CONFIG_METADATA!$B$4,DATOS!$I$2:$I$20000,"Lenguaje Musical"),""))</f>
        <v/>
      </c>
      <c r="I366" t="str">
        <f>IF(G366="","",IFERROR(AVERAGEIFS(DATOS!$K$2:$K$20000,DATOS!$A$2:$A$20000,G366,DATOS!$G$2:$G$20000,CONFIG_METADATA!$B$4,DATOS!$I$2:$I$20000,"Coro"),""))</f>
        <v/>
      </c>
      <c r="J366" t="str">
        <f>IF(G366="","",IFERROR(AVERAGEIFS(DATOS!$K$2:$K$20000,DATOS!$A$2:$A$20000,G366,DATOS!$G$2:$G$20000,CONFIG_METADATA!$B$4,DATOS!$I$2:$I$20000,"Conjunto"),""))</f>
        <v/>
      </c>
      <c r="K366" t="str" cm="1">
        <f t="array" ref="K366">IF(G366="","",IFERROR(AVERAGE(IF((DATOS!$A$2:$A$20000=G366)*(DATOS!$G$2:$G$20000=CONFIG_METADATA!$B$4)*(DATOS!$I$2:$I$20000&lt;&gt;"Lenguaje Musical")*(DATOS!$I$2:$I$20000&lt;&gt;"Coro")*(DATOS!$I$2:$I$20000&lt;&gt;"Conjunto"),DATOS!$K$2:$K$20000)),""))</f>
        <v/>
      </c>
      <c r="N366" t="str">
        <f>IF(M366="","",IFERROR(AVERAGEIFS(DATOS!$K$2:$K$20000,DATOS!$A$2:$A$20000,M366,DATOS!$G$2:$G$20000,CONFIG_METADATA!$B$4,DATOS!$I$2:$I$20000,"Lenguaje Musical"),""))</f>
        <v/>
      </c>
      <c r="O366" t="str">
        <f>IF(M366="","",IFERROR(AVERAGEIFS(DATOS!$K$2:$K$20000,DATOS!$A$2:$A$20000,M366,DATOS!$G$2:$G$20000,CONFIG_METADATA!$B$4,DATOS!$I$2:$I$20000,"Coro"),""))</f>
        <v/>
      </c>
      <c r="P366" t="str">
        <f>IF(M366="","",IFERROR(AVERAGEIFS(DATOS!$K$2:$K$20000,DATOS!$A$2:$A$20000,M366,DATOS!$G$2:$G$20000,CONFIG_METADATA!$B$4,DATOS!$I$2:$I$20000,"Conjunto"),""))</f>
        <v/>
      </c>
      <c r="Q366" t="str">
        <f>IF(M366="","",IFERROR(AVERAGEIFS(DATOS!$K$2:$K$20000,DATOS!$A$2:$A$20000,M366,DATOS!$G$2:$G$20000,CONFIG_METADATA!$B$4,DATOS!$I$2:$I$20000,"&lt;&gt;Lenguaje Musical",DATOS!$I$2:$I$20000,"&lt;&gt;Coro",DATOS!$I$2:$I$20000,"&lt;&gt;Conjunto"),""))</f>
        <v/>
      </c>
      <c r="T366" t="str">
        <f>IF(S366="","",IFERROR(AVERAGEIFS(DATOS!$K$2:$K$20000,DATOS!$A$2:$A$20000,S366,DATOS!$G$2:$G$20000,CONFIG_METADATA!$B$4,DATOS!$I$2:$I$20000,"Lenguaje Musical"),""))</f>
        <v/>
      </c>
      <c r="U366" t="str">
        <f>IF(S366="","",IFERROR(AVERAGEIFS(DATOS!$K$2:$K$20000,DATOS!$A$2:$A$20000,S366,DATOS!$G$2:$G$20000,CONFIG_METADATA!$B$4,DATOS!$I$2:$I$20000,"Coro"),""))</f>
        <v/>
      </c>
      <c r="V366" t="str">
        <f>IF(S366="","",IFERROR(AVERAGEIFS(DATOS!$K$2:$K$20000,DATOS!$A$2:$A$20000,S366,DATOS!$G$2:$G$20000,CONFIG_METADATA!$B$4,DATOS!$I$2:$I$20000,"Conjunto"),""))</f>
        <v/>
      </c>
      <c r="W366" t="str" cm="1">
        <f t="array" ref="W366">IF(S366="","",IFERROR(AVERAGE(IF((DATOS!$A$2:$A$20000=S366)*(DATOS!$G$2:$G$20000=CONFIG_METADATA!$B$4)*(DATOS!$I$2:$I$20000&lt;&gt;"Lenguaje Musical")*(DATOS!$I$2:$I$20000&lt;&gt;"Coro")*(DATOS!$I$2:$I$20000&lt;&gt;"Conjunto"),DATOS!$K$2:$K$20000)),""))</f>
        <v/>
      </c>
    </row>
    <row r="367" spans="2:23" x14ac:dyDescent="0.2">
      <c r="B367" t="str">
        <f>IF(A367="","",IFERROR(AVERAGEIFS(DATOS!$K$2:$K$20000,DATOS!$A$2:$A$20000,A367,DATOS!$G$2:$G$20000,CONFIG_METADATA!$B$4,DATOS!$I$2:$I$20000,"Lenguaje Musical"),""))</f>
        <v/>
      </c>
      <c r="C367" t="str">
        <f>IF(A367="","",IFERROR(AVERAGEIFS(DATOS!$K$2:$K$20000,DATOS!$A$2:$A$20000,A367,DATOS!$G$2:$G$20000,CONFIG_METADATA!$B$4,DATOS!$I$2:$I$20000,"Coro"),""))</f>
        <v/>
      </c>
      <c r="D367" t="str">
        <f>IF(A367="","",IFERROR(AVERAGEIFS(DATOS!$K$2:$K$20000,DATOS!$A$2:$A$20000,A367,DATOS!$G$2:$G$20000,CONFIG_METADATA!$B$4,DATOS!$I$2:$I$20000,"Conjunto"),""))</f>
        <v/>
      </c>
      <c r="E367" t="str">
        <f>IF(A367="","",IFERROR(AVERAGEIFS(DATOS!$K$2:$K$20000,DATOS!$A$2:$A$20000,A367,DATOS!$G$2:$G$20000,CONFIG_METADATA!$B$4,DATOS!$I$2:$I$20000,"&lt;&gt;Lenguaje Musical",DATOS!$I$2:$I$20000,"&lt;&gt;Coro",DATOS!$I$2:$I$20000,"&lt;&gt;Conjunto"),""))</f>
        <v/>
      </c>
      <c r="H367" t="str">
        <f>IF(G367="","",IFERROR(AVERAGEIFS(DATOS!$K$2:$K$20000,DATOS!$A$2:$A$20000,G367,DATOS!$G$2:$G$20000,CONFIG_METADATA!$B$4,DATOS!$I$2:$I$20000,"Lenguaje Musical"),""))</f>
        <v/>
      </c>
      <c r="I367" t="str">
        <f>IF(G367="","",IFERROR(AVERAGEIFS(DATOS!$K$2:$K$20000,DATOS!$A$2:$A$20000,G367,DATOS!$G$2:$G$20000,CONFIG_METADATA!$B$4,DATOS!$I$2:$I$20000,"Coro"),""))</f>
        <v/>
      </c>
      <c r="J367" t="str">
        <f>IF(G367="","",IFERROR(AVERAGEIFS(DATOS!$K$2:$K$20000,DATOS!$A$2:$A$20000,G367,DATOS!$G$2:$G$20000,CONFIG_METADATA!$B$4,DATOS!$I$2:$I$20000,"Conjunto"),""))</f>
        <v/>
      </c>
      <c r="K367" t="str" cm="1">
        <f t="array" ref="K367">IF(G367="","",IFERROR(AVERAGE(IF((DATOS!$A$2:$A$20000=G367)*(DATOS!$G$2:$G$20000=CONFIG_METADATA!$B$4)*(DATOS!$I$2:$I$20000&lt;&gt;"Lenguaje Musical")*(DATOS!$I$2:$I$20000&lt;&gt;"Coro")*(DATOS!$I$2:$I$20000&lt;&gt;"Conjunto"),DATOS!$K$2:$K$20000)),""))</f>
        <v/>
      </c>
      <c r="N367" t="str">
        <f>IF(M367="","",IFERROR(AVERAGEIFS(DATOS!$K$2:$K$20000,DATOS!$A$2:$A$20000,M367,DATOS!$G$2:$G$20000,CONFIG_METADATA!$B$4,DATOS!$I$2:$I$20000,"Lenguaje Musical"),""))</f>
        <v/>
      </c>
      <c r="O367" t="str">
        <f>IF(M367="","",IFERROR(AVERAGEIFS(DATOS!$K$2:$K$20000,DATOS!$A$2:$A$20000,M367,DATOS!$G$2:$G$20000,CONFIG_METADATA!$B$4,DATOS!$I$2:$I$20000,"Coro"),""))</f>
        <v/>
      </c>
      <c r="P367" t="str">
        <f>IF(M367="","",IFERROR(AVERAGEIFS(DATOS!$K$2:$K$20000,DATOS!$A$2:$A$20000,M367,DATOS!$G$2:$G$20000,CONFIG_METADATA!$B$4,DATOS!$I$2:$I$20000,"Conjunto"),""))</f>
        <v/>
      </c>
      <c r="Q367" t="str">
        <f>IF(M367="","",IFERROR(AVERAGEIFS(DATOS!$K$2:$K$20000,DATOS!$A$2:$A$20000,M367,DATOS!$G$2:$G$20000,CONFIG_METADATA!$B$4,DATOS!$I$2:$I$20000,"&lt;&gt;Lenguaje Musical",DATOS!$I$2:$I$20000,"&lt;&gt;Coro",DATOS!$I$2:$I$20000,"&lt;&gt;Conjunto"),""))</f>
        <v/>
      </c>
      <c r="T367" t="str">
        <f>IF(S367="","",IFERROR(AVERAGEIFS(DATOS!$K$2:$K$20000,DATOS!$A$2:$A$20000,S367,DATOS!$G$2:$G$20000,CONFIG_METADATA!$B$4,DATOS!$I$2:$I$20000,"Lenguaje Musical"),""))</f>
        <v/>
      </c>
      <c r="U367" t="str">
        <f>IF(S367="","",IFERROR(AVERAGEIFS(DATOS!$K$2:$K$20000,DATOS!$A$2:$A$20000,S367,DATOS!$G$2:$G$20000,CONFIG_METADATA!$B$4,DATOS!$I$2:$I$20000,"Coro"),""))</f>
        <v/>
      </c>
      <c r="V367" t="str">
        <f>IF(S367="","",IFERROR(AVERAGEIFS(DATOS!$K$2:$K$20000,DATOS!$A$2:$A$20000,S367,DATOS!$G$2:$G$20000,CONFIG_METADATA!$B$4,DATOS!$I$2:$I$20000,"Conjunto"),""))</f>
        <v/>
      </c>
      <c r="W367" t="str" cm="1">
        <f t="array" ref="W367">IF(S367="","",IFERROR(AVERAGE(IF((DATOS!$A$2:$A$20000=S367)*(DATOS!$G$2:$G$20000=CONFIG_METADATA!$B$4)*(DATOS!$I$2:$I$20000&lt;&gt;"Lenguaje Musical")*(DATOS!$I$2:$I$20000&lt;&gt;"Coro")*(DATOS!$I$2:$I$20000&lt;&gt;"Conjunto"),DATOS!$K$2:$K$20000)),""))</f>
        <v/>
      </c>
    </row>
    <row r="368" spans="2:23" x14ac:dyDescent="0.2">
      <c r="B368" t="str">
        <f>IF(A368="","",IFERROR(AVERAGEIFS(DATOS!$K$2:$K$20000,DATOS!$A$2:$A$20000,A368,DATOS!$G$2:$G$20000,CONFIG_METADATA!$B$4,DATOS!$I$2:$I$20000,"Lenguaje Musical"),""))</f>
        <v/>
      </c>
      <c r="C368" t="str">
        <f>IF(A368="","",IFERROR(AVERAGEIFS(DATOS!$K$2:$K$20000,DATOS!$A$2:$A$20000,A368,DATOS!$G$2:$G$20000,CONFIG_METADATA!$B$4,DATOS!$I$2:$I$20000,"Coro"),""))</f>
        <v/>
      </c>
      <c r="D368" t="str">
        <f>IF(A368="","",IFERROR(AVERAGEIFS(DATOS!$K$2:$K$20000,DATOS!$A$2:$A$20000,A368,DATOS!$G$2:$G$20000,CONFIG_METADATA!$B$4,DATOS!$I$2:$I$20000,"Conjunto"),""))</f>
        <v/>
      </c>
      <c r="E368" t="str">
        <f>IF(A368="","",IFERROR(AVERAGEIFS(DATOS!$K$2:$K$20000,DATOS!$A$2:$A$20000,A368,DATOS!$G$2:$G$20000,CONFIG_METADATA!$B$4,DATOS!$I$2:$I$20000,"&lt;&gt;Lenguaje Musical",DATOS!$I$2:$I$20000,"&lt;&gt;Coro",DATOS!$I$2:$I$20000,"&lt;&gt;Conjunto"),""))</f>
        <v/>
      </c>
      <c r="H368" t="str">
        <f>IF(G368="","",IFERROR(AVERAGEIFS(DATOS!$K$2:$K$20000,DATOS!$A$2:$A$20000,G368,DATOS!$G$2:$G$20000,CONFIG_METADATA!$B$4,DATOS!$I$2:$I$20000,"Lenguaje Musical"),""))</f>
        <v/>
      </c>
      <c r="I368" t="str">
        <f>IF(G368="","",IFERROR(AVERAGEIFS(DATOS!$K$2:$K$20000,DATOS!$A$2:$A$20000,G368,DATOS!$G$2:$G$20000,CONFIG_METADATA!$B$4,DATOS!$I$2:$I$20000,"Coro"),""))</f>
        <v/>
      </c>
      <c r="J368" t="str">
        <f>IF(G368="","",IFERROR(AVERAGEIFS(DATOS!$K$2:$K$20000,DATOS!$A$2:$A$20000,G368,DATOS!$G$2:$G$20000,CONFIG_METADATA!$B$4,DATOS!$I$2:$I$20000,"Conjunto"),""))</f>
        <v/>
      </c>
      <c r="K368" t="str" cm="1">
        <f t="array" ref="K368">IF(G368="","",IFERROR(AVERAGE(IF((DATOS!$A$2:$A$20000=G368)*(DATOS!$G$2:$G$20000=CONFIG_METADATA!$B$4)*(DATOS!$I$2:$I$20000&lt;&gt;"Lenguaje Musical")*(DATOS!$I$2:$I$20000&lt;&gt;"Coro")*(DATOS!$I$2:$I$20000&lt;&gt;"Conjunto"),DATOS!$K$2:$K$20000)),""))</f>
        <v/>
      </c>
      <c r="N368" t="str">
        <f>IF(M368="","",IFERROR(AVERAGEIFS(DATOS!$K$2:$K$20000,DATOS!$A$2:$A$20000,M368,DATOS!$G$2:$G$20000,CONFIG_METADATA!$B$4,DATOS!$I$2:$I$20000,"Lenguaje Musical"),""))</f>
        <v/>
      </c>
      <c r="O368" t="str">
        <f>IF(M368="","",IFERROR(AVERAGEIFS(DATOS!$K$2:$K$20000,DATOS!$A$2:$A$20000,M368,DATOS!$G$2:$G$20000,CONFIG_METADATA!$B$4,DATOS!$I$2:$I$20000,"Coro"),""))</f>
        <v/>
      </c>
      <c r="P368" t="str">
        <f>IF(M368="","",IFERROR(AVERAGEIFS(DATOS!$K$2:$K$20000,DATOS!$A$2:$A$20000,M368,DATOS!$G$2:$G$20000,CONFIG_METADATA!$B$4,DATOS!$I$2:$I$20000,"Conjunto"),""))</f>
        <v/>
      </c>
      <c r="Q368" t="str">
        <f>IF(M368="","",IFERROR(AVERAGEIFS(DATOS!$K$2:$K$20000,DATOS!$A$2:$A$20000,M368,DATOS!$G$2:$G$20000,CONFIG_METADATA!$B$4,DATOS!$I$2:$I$20000,"&lt;&gt;Lenguaje Musical",DATOS!$I$2:$I$20000,"&lt;&gt;Coro",DATOS!$I$2:$I$20000,"&lt;&gt;Conjunto"),""))</f>
        <v/>
      </c>
      <c r="T368" t="str">
        <f>IF(S368="","",IFERROR(AVERAGEIFS(DATOS!$K$2:$K$20000,DATOS!$A$2:$A$20000,S368,DATOS!$G$2:$G$20000,CONFIG_METADATA!$B$4,DATOS!$I$2:$I$20000,"Lenguaje Musical"),""))</f>
        <v/>
      </c>
      <c r="U368" t="str">
        <f>IF(S368="","",IFERROR(AVERAGEIFS(DATOS!$K$2:$K$20000,DATOS!$A$2:$A$20000,S368,DATOS!$G$2:$G$20000,CONFIG_METADATA!$B$4,DATOS!$I$2:$I$20000,"Coro"),""))</f>
        <v/>
      </c>
      <c r="V368" t="str">
        <f>IF(S368="","",IFERROR(AVERAGEIFS(DATOS!$K$2:$K$20000,DATOS!$A$2:$A$20000,S368,DATOS!$G$2:$G$20000,CONFIG_METADATA!$B$4,DATOS!$I$2:$I$20000,"Conjunto"),""))</f>
        <v/>
      </c>
      <c r="W368" t="str" cm="1">
        <f t="array" ref="W368">IF(S368="","",IFERROR(AVERAGE(IF((DATOS!$A$2:$A$20000=S368)*(DATOS!$G$2:$G$20000=CONFIG_METADATA!$B$4)*(DATOS!$I$2:$I$20000&lt;&gt;"Lenguaje Musical")*(DATOS!$I$2:$I$20000&lt;&gt;"Coro")*(DATOS!$I$2:$I$20000&lt;&gt;"Conjunto"),DATOS!$K$2:$K$20000)),""))</f>
        <v/>
      </c>
    </row>
    <row r="369" spans="2:23" x14ac:dyDescent="0.2">
      <c r="B369" t="str">
        <f>IF(A369="","",IFERROR(AVERAGEIFS(DATOS!$K$2:$K$20000,DATOS!$A$2:$A$20000,A369,DATOS!$G$2:$G$20000,CONFIG_METADATA!$B$4,DATOS!$I$2:$I$20000,"Lenguaje Musical"),""))</f>
        <v/>
      </c>
      <c r="C369" t="str">
        <f>IF(A369="","",IFERROR(AVERAGEIFS(DATOS!$K$2:$K$20000,DATOS!$A$2:$A$20000,A369,DATOS!$G$2:$G$20000,CONFIG_METADATA!$B$4,DATOS!$I$2:$I$20000,"Coro"),""))</f>
        <v/>
      </c>
      <c r="D369" t="str">
        <f>IF(A369="","",IFERROR(AVERAGEIFS(DATOS!$K$2:$K$20000,DATOS!$A$2:$A$20000,A369,DATOS!$G$2:$G$20000,CONFIG_METADATA!$B$4,DATOS!$I$2:$I$20000,"Conjunto"),""))</f>
        <v/>
      </c>
      <c r="E369" t="str">
        <f>IF(A369="","",IFERROR(AVERAGEIFS(DATOS!$K$2:$K$20000,DATOS!$A$2:$A$20000,A369,DATOS!$G$2:$G$20000,CONFIG_METADATA!$B$4,DATOS!$I$2:$I$20000,"&lt;&gt;Lenguaje Musical",DATOS!$I$2:$I$20000,"&lt;&gt;Coro",DATOS!$I$2:$I$20000,"&lt;&gt;Conjunto"),""))</f>
        <v/>
      </c>
      <c r="H369" t="str">
        <f>IF(G369="","",IFERROR(AVERAGEIFS(DATOS!$K$2:$K$20000,DATOS!$A$2:$A$20000,G369,DATOS!$G$2:$G$20000,CONFIG_METADATA!$B$4,DATOS!$I$2:$I$20000,"Lenguaje Musical"),""))</f>
        <v/>
      </c>
      <c r="I369" t="str">
        <f>IF(G369="","",IFERROR(AVERAGEIFS(DATOS!$K$2:$K$20000,DATOS!$A$2:$A$20000,G369,DATOS!$G$2:$G$20000,CONFIG_METADATA!$B$4,DATOS!$I$2:$I$20000,"Coro"),""))</f>
        <v/>
      </c>
      <c r="J369" t="str">
        <f>IF(G369="","",IFERROR(AVERAGEIFS(DATOS!$K$2:$K$20000,DATOS!$A$2:$A$20000,G369,DATOS!$G$2:$G$20000,CONFIG_METADATA!$B$4,DATOS!$I$2:$I$20000,"Conjunto"),""))</f>
        <v/>
      </c>
      <c r="K369" t="str" cm="1">
        <f t="array" ref="K369">IF(G369="","",IFERROR(AVERAGE(IF((DATOS!$A$2:$A$20000=G369)*(DATOS!$G$2:$G$20000=CONFIG_METADATA!$B$4)*(DATOS!$I$2:$I$20000&lt;&gt;"Lenguaje Musical")*(DATOS!$I$2:$I$20000&lt;&gt;"Coro")*(DATOS!$I$2:$I$20000&lt;&gt;"Conjunto"),DATOS!$K$2:$K$20000)),""))</f>
        <v/>
      </c>
      <c r="N369" t="str">
        <f>IF(M369="","",IFERROR(AVERAGEIFS(DATOS!$K$2:$K$20000,DATOS!$A$2:$A$20000,M369,DATOS!$G$2:$G$20000,CONFIG_METADATA!$B$4,DATOS!$I$2:$I$20000,"Lenguaje Musical"),""))</f>
        <v/>
      </c>
      <c r="O369" t="str">
        <f>IF(M369="","",IFERROR(AVERAGEIFS(DATOS!$K$2:$K$20000,DATOS!$A$2:$A$20000,M369,DATOS!$G$2:$G$20000,CONFIG_METADATA!$B$4,DATOS!$I$2:$I$20000,"Coro"),""))</f>
        <v/>
      </c>
      <c r="P369" t="str">
        <f>IF(M369="","",IFERROR(AVERAGEIFS(DATOS!$K$2:$K$20000,DATOS!$A$2:$A$20000,M369,DATOS!$G$2:$G$20000,CONFIG_METADATA!$B$4,DATOS!$I$2:$I$20000,"Conjunto"),""))</f>
        <v/>
      </c>
      <c r="Q369" t="str">
        <f>IF(M369="","",IFERROR(AVERAGEIFS(DATOS!$K$2:$K$20000,DATOS!$A$2:$A$20000,M369,DATOS!$G$2:$G$20000,CONFIG_METADATA!$B$4,DATOS!$I$2:$I$20000,"&lt;&gt;Lenguaje Musical",DATOS!$I$2:$I$20000,"&lt;&gt;Coro",DATOS!$I$2:$I$20000,"&lt;&gt;Conjunto"),""))</f>
        <v/>
      </c>
      <c r="T369" t="str">
        <f>IF(S369="","",IFERROR(AVERAGEIFS(DATOS!$K$2:$K$20000,DATOS!$A$2:$A$20000,S369,DATOS!$G$2:$G$20000,CONFIG_METADATA!$B$4,DATOS!$I$2:$I$20000,"Lenguaje Musical"),""))</f>
        <v/>
      </c>
      <c r="U369" t="str">
        <f>IF(S369="","",IFERROR(AVERAGEIFS(DATOS!$K$2:$K$20000,DATOS!$A$2:$A$20000,S369,DATOS!$G$2:$G$20000,CONFIG_METADATA!$B$4,DATOS!$I$2:$I$20000,"Coro"),""))</f>
        <v/>
      </c>
      <c r="V369" t="str">
        <f>IF(S369="","",IFERROR(AVERAGEIFS(DATOS!$K$2:$K$20000,DATOS!$A$2:$A$20000,S369,DATOS!$G$2:$G$20000,CONFIG_METADATA!$B$4,DATOS!$I$2:$I$20000,"Conjunto"),""))</f>
        <v/>
      </c>
      <c r="W369" t="str" cm="1">
        <f t="array" ref="W369">IF(S369="","",IFERROR(AVERAGE(IF((DATOS!$A$2:$A$20000=S369)*(DATOS!$G$2:$G$20000=CONFIG_METADATA!$B$4)*(DATOS!$I$2:$I$20000&lt;&gt;"Lenguaje Musical")*(DATOS!$I$2:$I$20000&lt;&gt;"Coro")*(DATOS!$I$2:$I$20000&lt;&gt;"Conjunto"),DATOS!$K$2:$K$20000)),""))</f>
        <v/>
      </c>
    </row>
    <row r="370" spans="2:23" x14ac:dyDescent="0.2">
      <c r="B370" t="str">
        <f>IF(A370="","",IFERROR(AVERAGEIFS(DATOS!$K$2:$K$20000,DATOS!$A$2:$A$20000,A370,DATOS!$G$2:$G$20000,CONFIG_METADATA!$B$4,DATOS!$I$2:$I$20000,"Lenguaje Musical"),""))</f>
        <v/>
      </c>
      <c r="C370" t="str">
        <f>IF(A370="","",IFERROR(AVERAGEIFS(DATOS!$K$2:$K$20000,DATOS!$A$2:$A$20000,A370,DATOS!$G$2:$G$20000,CONFIG_METADATA!$B$4,DATOS!$I$2:$I$20000,"Coro"),""))</f>
        <v/>
      </c>
      <c r="D370" t="str">
        <f>IF(A370="","",IFERROR(AVERAGEIFS(DATOS!$K$2:$K$20000,DATOS!$A$2:$A$20000,A370,DATOS!$G$2:$G$20000,CONFIG_METADATA!$B$4,DATOS!$I$2:$I$20000,"Conjunto"),""))</f>
        <v/>
      </c>
      <c r="E370" t="str">
        <f>IF(A370="","",IFERROR(AVERAGEIFS(DATOS!$K$2:$K$20000,DATOS!$A$2:$A$20000,A370,DATOS!$G$2:$G$20000,CONFIG_METADATA!$B$4,DATOS!$I$2:$I$20000,"&lt;&gt;Lenguaje Musical",DATOS!$I$2:$I$20000,"&lt;&gt;Coro",DATOS!$I$2:$I$20000,"&lt;&gt;Conjunto"),""))</f>
        <v/>
      </c>
      <c r="H370" t="str">
        <f>IF(G370="","",IFERROR(AVERAGEIFS(DATOS!$K$2:$K$20000,DATOS!$A$2:$A$20000,G370,DATOS!$G$2:$G$20000,CONFIG_METADATA!$B$4,DATOS!$I$2:$I$20000,"Lenguaje Musical"),""))</f>
        <v/>
      </c>
      <c r="I370" t="str">
        <f>IF(G370="","",IFERROR(AVERAGEIFS(DATOS!$K$2:$K$20000,DATOS!$A$2:$A$20000,G370,DATOS!$G$2:$G$20000,CONFIG_METADATA!$B$4,DATOS!$I$2:$I$20000,"Coro"),""))</f>
        <v/>
      </c>
      <c r="J370" t="str">
        <f>IF(G370="","",IFERROR(AVERAGEIFS(DATOS!$K$2:$K$20000,DATOS!$A$2:$A$20000,G370,DATOS!$G$2:$G$20000,CONFIG_METADATA!$B$4,DATOS!$I$2:$I$20000,"Conjunto"),""))</f>
        <v/>
      </c>
      <c r="K370" t="str" cm="1">
        <f t="array" ref="K370">IF(G370="","",IFERROR(AVERAGE(IF((DATOS!$A$2:$A$20000=G370)*(DATOS!$G$2:$G$20000=CONFIG_METADATA!$B$4)*(DATOS!$I$2:$I$20000&lt;&gt;"Lenguaje Musical")*(DATOS!$I$2:$I$20000&lt;&gt;"Coro")*(DATOS!$I$2:$I$20000&lt;&gt;"Conjunto"),DATOS!$K$2:$K$20000)),""))</f>
        <v/>
      </c>
      <c r="N370" t="str">
        <f>IF(M370="","",IFERROR(AVERAGEIFS(DATOS!$K$2:$K$20000,DATOS!$A$2:$A$20000,M370,DATOS!$G$2:$G$20000,CONFIG_METADATA!$B$4,DATOS!$I$2:$I$20000,"Lenguaje Musical"),""))</f>
        <v/>
      </c>
      <c r="O370" t="str">
        <f>IF(M370="","",IFERROR(AVERAGEIFS(DATOS!$K$2:$K$20000,DATOS!$A$2:$A$20000,M370,DATOS!$G$2:$G$20000,CONFIG_METADATA!$B$4,DATOS!$I$2:$I$20000,"Coro"),""))</f>
        <v/>
      </c>
      <c r="P370" t="str">
        <f>IF(M370="","",IFERROR(AVERAGEIFS(DATOS!$K$2:$K$20000,DATOS!$A$2:$A$20000,M370,DATOS!$G$2:$G$20000,CONFIG_METADATA!$B$4,DATOS!$I$2:$I$20000,"Conjunto"),""))</f>
        <v/>
      </c>
      <c r="Q370" t="str">
        <f>IF(M370="","",IFERROR(AVERAGEIFS(DATOS!$K$2:$K$20000,DATOS!$A$2:$A$20000,M370,DATOS!$G$2:$G$20000,CONFIG_METADATA!$B$4,DATOS!$I$2:$I$20000,"&lt;&gt;Lenguaje Musical",DATOS!$I$2:$I$20000,"&lt;&gt;Coro",DATOS!$I$2:$I$20000,"&lt;&gt;Conjunto"),""))</f>
        <v/>
      </c>
      <c r="T370" t="str">
        <f>IF(S370="","",IFERROR(AVERAGEIFS(DATOS!$K$2:$K$20000,DATOS!$A$2:$A$20000,S370,DATOS!$G$2:$G$20000,CONFIG_METADATA!$B$4,DATOS!$I$2:$I$20000,"Lenguaje Musical"),""))</f>
        <v/>
      </c>
      <c r="U370" t="str">
        <f>IF(S370="","",IFERROR(AVERAGEIFS(DATOS!$K$2:$K$20000,DATOS!$A$2:$A$20000,S370,DATOS!$G$2:$G$20000,CONFIG_METADATA!$B$4,DATOS!$I$2:$I$20000,"Coro"),""))</f>
        <v/>
      </c>
      <c r="V370" t="str">
        <f>IF(S370="","",IFERROR(AVERAGEIFS(DATOS!$K$2:$K$20000,DATOS!$A$2:$A$20000,S370,DATOS!$G$2:$G$20000,CONFIG_METADATA!$B$4,DATOS!$I$2:$I$20000,"Conjunto"),""))</f>
        <v/>
      </c>
      <c r="W370" t="str" cm="1">
        <f t="array" ref="W370">IF(S370="","",IFERROR(AVERAGE(IF((DATOS!$A$2:$A$20000=S370)*(DATOS!$G$2:$G$20000=CONFIG_METADATA!$B$4)*(DATOS!$I$2:$I$20000&lt;&gt;"Lenguaje Musical")*(DATOS!$I$2:$I$20000&lt;&gt;"Coro")*(DATOS!$I$2:$I$20000&lt;&gt;"Conjunto"),DATOS!$K$2:$K$20000)),""))</f>
        <v/>
      </c>
    </row>
    <row r="371" spans="2:23" x14ac:dyDescent="0.2">
      <c r="B371" t="str">
        <f>IF(A371="","",IFERROR(AVERAGEIFS(DATOS!$K$2:$K$20000,DATOS!$A$2:$A$20000,A371,DATOS!$G$2:$G$20000,CONFIG_METADATA!$B$4,DATOS!$I$2:$I$20000,"Lenguaje Musical"),""))</f>
        <v/>
      </c>
      <c r="C371" t="str">
        <f>IF(A371="","",IFERROR(AVERAGEIFS(DATOS!$K$2:$K$20000,DATOS!$A$2:$A$20000,A371,DATOS!$G$2:$G$20000,CONFIG_METADATA!$B$4,DATOS!$I$2:$I$20000,"Coro"),""))</f>
        <v/>
      </c>
      <c r="D371" t="str">
        <f>IF(A371="","",IFERROR(AVERAGEIFS(DATOS!$K$2:$K$20000,DATOS!$A$2:$A$20000,A371,DATOS!$G$2:$G$20000,CONFIG_METADATA!$B$4,DATOS!$I$2:$I$20000,"Conjunto"),""))</f>
        <v/>
      </c>
      <c r="E371" t="str">
        <f>IF(A371="","",IFERROR(AVERAGEIFS(DATOS!$K$2:$K$20000,DATOS!$A$2:$A$20000,A371,DATOS!$G$2:$G$20000,CONFIG_METADATA!$B$4,DATOS!$I$2:$I$20000,"&lt;&gt;Lenguaje Musical",DATOS!$I$2:$I$20000,"&lt;&gt;Coro",DATOS!$I$2:$I$20000,"&lt;&gt;Conjunto"),""))</f>
        <v/>
      </c>
      <c r="H371" t="str">
        <f>IF(G371="","",IFERROR(AVERAGEIFS(DATOS!$K$2:$K$20000,DATOS!$A$2:$A$20000,G371,DATOS!$G$2:$G$20000,CONFIG_METADATA!$B$4,DATOS!$I$2:$I$20000,"Lenguaje Musical"),""))</f>
        <v/>
      </c>
      <c r="I371" t="str">
        <f>IF(G371="","",IFERROR(AVERAGEIFS(DATOS!$K$2:$K$20000,DATOS!$A$2:$A$20000,G371,DATOS!$G$2:$G$20000,CONFIG_METADATA!$B$4,DATOS!$I$2:$I$20000,"Coro"),""))</f>
        <v/>
      </c>
      <c r="J371" t="str">
        <f>IF(G371="","",IFERROR(AVERAGEIFS(DATOS!$K$2:$K$20000,DATOS!$A$2:$A$20000,G371,DATOS!$G$2:$G$20000,CONFIG_METADATA!$B$4,DATOS!$I$2:$I$20000,"Conjunto"),""))</f>
        <v/>
      </c>
      <c r="K371" t="str" cm="1">
        <f t="array" ref="K371">IF(G371="","",IFERROR(AVERAGE(IF((DATOS!$A$2:$A$20000=G371)*(DATOS!$G$2:$G$20000=CONFIG_METADATA!$B$4)*(DATOS!$I$2:$I$20000&lt;&gt;"Lenguaje Musical")*(DATOS!$I$2:$I$20000&lt;&gt;"Coro")*(DATOS!$I$2:$I$20000&lt;&gt;"Conjunto"),DATOS!$K$2:$K$20000)),""))</f>
        <v/>
      </c>
      <c r="N371" t="str">
        <f>IF(M371="","",IFERROR(AVERAGEIFS(DATOS!$K$2:$K$20000,DATOS!$A$2:$A$20000,M371,DATOS!$G$2:$G$20000,CONFIG_METADATA!$B$4,DATOS!$I$2:$I$20000,"Lenguaje Musical"),""))</f>
        <v/>
      </c>
      <c r="O371" t="str">
        <f>IF(M371="","",IFERROR(AVERAGEIFS(DATOS!$K$2:$K$20000,DATOS!$A$2:$A$20000,M371,DATOS!$G$2:$G$20000,CONFIG_METADATA!$B$4,DATOS!$I$2:$I$20000,"Coro"),""))</f>
        <v/>
      </c>
      <c r="P371" t="str">
        <f>IF(M371="","",IFERROR(AVERAGEIFS(DATOS!$K$2:$K$20000,DATOS!$A$2:$A$20000,M371,DATOS!$G$2:$G$20000,CONFIG_METADATA!$B$4,DATOS!$I$2:$I$20000,"Conjunto"),""))</f>
        <v/>
      </c>
      <c r="Q371" t="str">
        <f>IF(M371="","",IFERROR(AVERAGEIFS(DATOS!$K$2:$K$20000,DATOS!$A$2:$A$20000,M371,DATOS!$G$2:$G$20000,CONFIG_METADATA!$B$4,DATOS!$I$2:$I$20000,"&lt;&gt;Lenguaje Musical",DATOS!$I$2:$I$20000,"&lt;&gt;Coro",DATOS!$I$2:$I$20000,"&lt;&gt;Conjunto"),""))</f>
        <v/>
      </c>
      <c r="T371" t="str">
        <f>IF(S371="","",IFERROR(AVERAGEIFS(DATOS!$K$2:$K$20000,DATOS!$A$2:$A$20000,S371,DATOS!$G$2:$G$20000,CONFIG_METADATA!$B$4,DATOS!$I$2:$I$20000,"Lenguaje Musical"),""))</f>
        <v/>
      </c>
      <c r="U371" t="str">
        <f>IF(S371="","",IFERROR(AVERAGEIFS(DATOS!$K$2:$K$20000,DATOS!$A$2:$A$20000,S371,DATOS!$G$2:$G$20000,CONFIG_METADATA!$B$4,DATOS!$I$2:$I$20000,"Coro"),""))</f>
        <v/>
      </c>
      <c r="V371" t="str">
        <f>IF(S371="","",IFERROR(AVERAGEIFS(DATOS!$K$2:$K$20000,DATOS!$A$2:$A$20000,S371,DATOS!$G$2:$G$20000,CONFIG_METADATA!$B$4,DATOS!$I$2:$I$20000,"Conjunto"),""))</f>
        <v/>
      </c>
      <c r="W371" t="str" cm="1">
        <f t="array" ref="W371">IF(S371="","",IFERROR(AVERAGE(IF((DATOS!$A$2:$A$20000=S371)*(DATOS!$G$2:$G$20000=CONFIG_METADATA!$B$4)*(DATOS!$I$2:$I$20000&lt;&gt;"Lenguaje Musical")*(DATOS!$I$2:$I$20000&lt;&gt;"Coro")*(DATOS!$I$2:$I$20000&lt;&gt;"Conjunto"),DATOS!$K$2:$K$20000)),""))</f>
        <v/>
      </c>
    </row>
    <row r="372" spans="2:23" x14ac:dyDescent="0.2">
      <c r="B372" t="str">
        <f>IF(A372="","",IFERROR(AVERAGEIFS(DATOS!$K$2:$K$20000,DATOS!$A$2:$A$20000,A372,DATOS!$G$2:$G$20000,CONFIG_METADATA!$B$4,DATOS!$I$2:$I$20000,"Lenguaje Musical"),""))</f>
        <v/>
      </c>
      <c r="C372" t="str">
        <f>IF(A372="","",IFERROR(AVERAGEIFS(DATOS!$K$2:$K$20000,DATOS!$A$2:$A$20000,A372,DATOS!$G$2:$G$20000,CONFIG_METADATA!$B$4,DATOS!$I$2:$I$20000,"Coro"),""))</f>
        <v/>
      </c>
      <c r="D372" t="str">
        <f>IF(A372="","",IFERROR(AVERAGEIFS(DATOS!$K$2:$K$20000,DATOS!$A$2:$A$20000,A372,DATOS!$G$2:$G$20000,CONFIG_METADATA!$B$4,DATOS!$I$2:$I$20000,"Conjunto"),""))</f>
        <v/>
      </c>
      <c r="E372" t="str">
        <f>IF(A372="","",IFERROR(AVERAGEIFS(DATOS!$K$2:$K$20000,DATOS!$A$2:$A$20000,A372,DATOS!$G$2:$G$20000,CONFIG_METADATA!$B$4,DATOS!$I$2:$I$20000,"&lt;&gt;Lenguaje Musical",DATOS!$I$2:$I$20000,"&lt;&gt;Coro",DATOS!$I$2:$I$20000,"&lt;&gt;Conjunto"),""))</f>
        <v/>
      </c>
      <c r="H372" t="str">
        <f>IF(G372="","",IFERROR(AVERAGEIFS(DATOS!$K$2:$K$20000,DATOS!$A$2:$A$20000,G372,DATOS!$G$2:$G$20000,CONFIG_METADATA!$B$4,DATOS!$I$2:$I$20000,"Lenguaje Musical"),""))</f>
        <v/>
      </c>
      <c r="I372" t="str">
        <f>IF(G372="","",IFERROR(AVERAGEIFS(DATOS!$K$2:$K$20000,DATOS!$A$2:$A$20000,G372,DATOS!$G$2:$G$20000,CONFIG_METADATA!$B$4,DATOS!$I$2:$I$20000,"Coro"),""))</f>
        <v/>
      </c>
      <c r="J372" t="str">
        <f>IF(G372="","",IFERROR(AVERAGEIFS(DATOS!$K$2:$K$20000,DATOS!$A$2:$A$20000,G372,DATOS!$G$2:$G$20000,CONFIG_METADATA!$B$4,DATOS!$I$2:$I$20000,"Conjunto"),""))</f>
        <v/>
      </c>
      <c r="K372" t="str" cm="1">
        <f t="array" ref="K372">IF(G372="","",IFERROR(AVERAGE(IF((DATOS!$A$2:$A$20000=G372)*(DATOS!$G$2:$G$20000=CONFIG_METADATA!$B$4)*(DATOS!$I$2:$I$20000&lt;&gt;"Lenguaje Musical")*(DATOS!$I$2:$I$20000&lt;&gt;"Coro")*(DATOS!$I$2:$I$20000&lt;&gt;"Conjunto"),DATOS!$K$2:$K$20000)),""))</f>
        <v/>
      </c>
      <c r="N372" t="str">
        <f>IF(M372="","",IFERROR(AVERAGEIFS(DATOS!$K$2:$K$20000,DATOS!$A$2:$A$20000,M372,DATOS!$G$2:$G$20000,CONFIG_METADATA!$B$4,DATOS!$I$2:$I$20000,"Lenguaje Musical"),""))</f>
        <v/>
      </c>
      <c r="O372" t="str">
        <f>IF(M372="","",IFERROR(AVERAGEIFS(DATOS!$K$2:$K$20000,DATOS!$A$2:$A$20000,M372,DATOS!$G$2:$G$20000,CONFIG_METADATA!$B$4,DATOS!$I$2:$I$20000,"Coro"),""))</f>
        <v/>
      </c>
      <c r="P372" t="str">
        <f>IF(M372="","",IFERROR(AVERAGEIFS(DATOS!$K$2:$K$20000,DATOS!$A$2:$A$20000,M372,DATOS!$G$2:$G$20000,CONFIG_METADATA!$B$4,DATOS!$I$2:$I$20000,"Conjunto"),""))</f>
        <v/>
      </c>
      <c r="Q372" t="str">
        <f>IF(M372="","",IFERROR(AVERAGEIFS(DATOS!$K$2:$K$20000,DATOS!$A$2:$A$20000,M372,DATOS!$G$2:$G$20000,CONFIG_METADATA!$B$4,DATOS!$I$2:$I$20000,"&lt;&gt;Lenguaje Musical",DATOS!$I$2:$I$20000,"&lt;&gt;Coro",DATOS!$I$2:$I$20000,"&lt;&gt;Conjunto"),""))</f>
        <v/>
      </c>
      <c r="T372" t="str">
        <f>IF(S372="","",IFERROR(AVERAGEIFS(DATOS!$K$2:$K$20000,DATOS!$A$2:$A$20000,S372,DATOS!$G$2:$G$20000,CONFIG_METADATA!$B$4,DATOS!$I$2:$I$20000,"Lenguaje Musical"),""))</f>
        <v/>
      </c>
      <c r="U372" t="str">
        <f>IF(S372="","",IFERROR(AVERAGEIFS(DATOS!$K$2:$K$20000,DATOS!$A$2:$A$20000,S372,DATOS!$G$2:$G$20000,CONFIG_METADATA!$B$4,DATOS!$I$2:$I$20000,"Coro"),""))</f>
        <v/>
      </c>
      <c r="V372" t="str">
        <f>IF(S372="","",IFERROR(AVERAGEIFS(DATOS!$K$2:$K$20000,DATOS!$A$2:$A$20000,S372,DATOS!$G$2:$G$20000,CONFIG_METADATA!$B$4,DATOS!$I$2:$I$20000,"Conjunto"),""))</f>
        <v/>
      </c>
      <c r="W372" t="str" cm="1">
        <f t="array" ref="W372">IF(S372="","",IFERROR(AVERAGE(IF((DATOS!$A$2:$A$20000=S372)*(DATOS!$G$2:$G$20000=CONFIG_METADATA!$B$4)*(DATOS!$I$2:$I$20000&lt;&gt;"Lenguaje Musical")*(DATOS!$I$2:$I$20000&lt;&gt;"Coro")*(DATOS!$I$2:$I$20000&lt;&gt;"Conjunto"),DATOS!$K$2:$K$20000)),""))</f>
        <v/>
      </c>
    </row>
    <row r="373" spans="2:23" x14ac:dyDescent="0.2">
      <c r="B373" t="str">
        <f>IF(A373="","",IFERROR(AVERAGEIFS(DATOS!$K$2:$K$20000,DATOS!$A$2:$A$20000,A373,DATOS!$G$2:$G$20000,CONFIG_METADATA!$B$4,DATOS!$I$2:$I$20000,"Lenguaje Musical"),""))</f>
        <v/>
      </c>
      <c r="C373" t="str">
        <f>IF(A373="","",IFERROR(AVERAGEIFS(DATOS!$K$2:$K$20000,DATOS!$A$2:$A$20000,A373,DATOS!$G$2:$G$20000,CONFIG_METADATA!$B$4,DATOS!$I$2:$I$20000,"Coro"),""))</f>
        <v/>
      </c>
      <c r="D373" t="str">
        <f>IF(A373="","",IFERROR(AVERAGEIFS(DATOS!$K$2:$K$20000,DATOS!$A$2:$A$20000,A373,DATOS!$G$2:$G$20000,CONFIG_METADATA!$B$4,DATOS!$I$2:$I$20000,"Conjunto"),""))</f>
        <v/>
      </c>
      <c r="E373" t="str">
        <f>IF(A373="","",IFERROR(AVERAGEIFS(DATOS!$K$2:$K$20000,DATOS!$A$2:$A$20000,A373,DATOS!$G$2:$G$20000,CONFIG_METADATA!$B$4,DATOS!$I$2:$I$20000,"&lt;&gt;Lenguaje Musical",DATOS!$I$2:$I$20000,"&lt;&gt;Coro",DATOS!$I$2:$I$20000,"&lt;&gt;Conjunto"),""))</f>
        <v/>
      </c>
      <c r="H373" t="str">
        <f>IF(G373="","",IFERROR(AVERAGEIFS(DATOS!$K$2:$K$20000,DATOS!$A$2:$A$20000,G373,DATOS!$G$2:$G$20000,CONFIG_METADATA!$B$4,DATOS!$I$2:$I$20000,"Lenguaje Musical"),""))</f>
        <v/>
      </c>
      <c r="I373" t="str">
        <f>IF(G373="","",IFERROR(AVERAGEIFS(DATOS!$K$2:$K$20000,DATOS!$A$2:$A$20000,G373,DATOS!$G$2:$G$20000,CONFIG_METADATA!$B$4,DATOS!$I$2:$I$20000,"Coro"),""))</f>
        <v/>
      </c>
      <c r="J373" t="str">
        <f>IF(G373="","",IFERROR(AVERAGEIFS(DATOS!$K$2:$K$20000,DATOS!$A$2:$A$20000,G373,DATOS!$G$2:$G$20000,CONFIG_METADATA!$B$4,DATOS!$I$2:$I$20000,"Conjunto"),""))</f>
        <v/>
      </c>
      <c r="K373" t="str" cm="1">
        <f t="array" ref="K373">IF(G373="","",IFERROR(AVERAGE(IF((DATOS!$A$2:$A$20000=G373)*(DATOS!$G$2:$G$20000=CONFIG_METADATA!$B$4)*(DATOS!$I$2:$I$20000&lt;&gt;"Lenguaje Musical")*(DATOS!$I$2:$I$20000&lt;&gt;"Coro")*(DATOS!$I$2:$I$20000&lt;&gt;"Conjunto"),DATOS!$K$2:$K$20000)),""))</f>
        <v/>
      </c>
      <c r="N373" t="str">
        <f>IF(M373="","",IFERROR(AVERAGEIFS(DATOS!$K$2:$K$20000,DATOS!$A$2:$A$20000,M373,DATOS!$G$2:$G$20000,CONFIG_METADATA!$B$4,DATOS!$I$2:$I$20000,"Lenguaje Musical"),""))</f>
        <v/>
      </c>
      <c r="O373" t="str">
        <f>IF(M373="","",IFERROR(AVERAGEIFS(DATOS!$K$2:$K$20000,DATOS!$A$2:$A$20000,M373,DATOS!$G$2:$G$20000,CONFIG_METADATA!$B$4,DATOS!$I$2:$I$20000,"Coro"),""))</f>
        <v/>
      </c>
      <c r="P373" t="str">
        <f>IF(M373="","",IFERROR(AVERAGEIFS(DATOS!$K$2:$K$20000,DATOS!$A$2:$A$20000,M373,DATOS!$G$2:$G$20000,CONFIG_METADATA!$B$4,DATOS!$I$2:$I$20000,"Conjunto"),""))</f>
        <v/>
      </c>
      <c r="Q373" t="str">
        <f>IF(M373="","",IFERROR(AVERAGEIFS(DATOS!$K$2:$K$20000,DATOS!$A$2:$A$20000,M373,DATOS!$G$2:$G$20000,CONFIG_METADATA!$B$4,DATOS!$I$2:$I$20000,"&lt;&gt;Lenguaje Musical",DATOS!$I$2:$I$20000,"&lt;&gt;Coro",DATOS!$I$2:$I$20000,"&lt;&gt;Conjunto"),""))</f>
        <v/>
      </c>
      <c r="T373" t="str">
        <f>IF(S373="","",IFERROR(AVERAGEIFS(DATOS!$K$2:$K$20000,DATOS!$A$2:$A$20000,S373,DATOS!$G$2:$G$20000,CONFIG_METADATA!$B$4,DATOS!$I$2:$I$20000,"Lenguaje Musical"),""))</f>
        <v/>
      </c>
      <c r="U373" t="str">
        <f>IF(S373="","",IFERROR(AVERAGEIFS(DATOS!$K$2:$K$20000,DATOS!$A$2:$A$20000,S373,DATOS!$G$2:$G$20000,CONFIG_METADATA!$B$4,DATOS!$I$2:$I$20000,"Coro"),""))</f>
        <v/>
      </c>
      <c r="V373" t="str">
        <f>IF(S373="","",IFERROR(AVERAGEIFS(DATOS!$K$2:$K$20000,DATOS!$A$2:$A$20000,S373,DATOS!$G$2:$G$20000,CONFIG_METADATA!$B$4,DATOS!$I$2:$I$20000,"Conjunto"),""))</f>
        <v/>
      </c>
      <c r="W373" t="str" cm="1">
        <f t="array" ref="W373">IF(S373="","",IFERROR(AVERAGE(IF((DATOS!$A$2:$A$20000=S373)*(DATOS!$G$2:$G$20000=CONFIG_METADATA!$B$4)*(DATOS!$I$2:$I$20000&lt;&gt;"Lenguaje Musical")*(DATOS!$I$2:$I$20000&lt;&gt;"Coro")*(DATOS!$I$2:$I$20000&lt;&gt;"Conjunto"),DATOS!$K$2:$K$20000)),""))</f>
        <v/>
      </c>
    </row>
    <row r="374" spans="2:23" x14ac:dyDescent="0.2">
      <c r="B374" t="str">
        <f>IF(A374="","",IFERROR(AVERAGEIFS(DATOS!$K$2:$K$20000,DATOS!$A$2:$A$20000,A374,DATOS!$G$2:$G$20000,CONFIG_METADATA!$B$4,DATOS!$I$2:$I$20000,"Lenguaje Musical"),""))</f>
        <v/>
      </c>
      <c r="C374" t="str">
        <f>IF(A374="","",IFERROR(AVERAGEIFS(DATOS!$K$2:$K$20000,DATOS!$A$2:$A$20000,A374,DATOS!$G$2:$G$20000,CONFIG_METADATA!$B$4,DATOS!$I$2:$I$20000,"Coro"),""))</f>
        <v/>
      </c>
      <c r="D374" t="str">
        <f>IF(A374="","",IFERROR(AVERAGEIFS(DATOS!$K$2:$K$20000,DATOS!$A$2:$A$20000,A374,DATOS!$G$2:$G$20000,CONFIG_METADATA!$B$4,DATOS!$I$2:$I$20000,"Conjunto"),""))</f>
        <v/>
      </c>
      <c r="E374" t="str">
        <f>IF(A374="","",IFERROR(AVERAGEIFS(DATOS!$K$2:$K$20000,DATOS!$A$2:$A$20000,A374,DATOS!$G$2:$G$20000,CONFIG_METADATA!$B$4,DATOS!$I$2:$I$20000,"&lt;&gt;Lenguaje Musical",DATOS!$I$2:$I$20000,"&lt;&gt;Coro",DATOS!$I$2:$I$20000,"&lt;&gt;Conjunto"),""))</f>
        <v/>
      </c>
      <c r="H374" t="str">
        <f>IF(G374="","",IFERROR(AVERAGEIFS(DATOS!$K$2:$K$20000,DATOS!$A$2:$A$20000,G374,DATOS!$G$2:$G$20000,CONFIG_METADATA!$B$4,DATOS!$I$2:$I$20000,"Lenguaje Musical"),""))</f>
        <v/>
      </c>
      <c r="I374" t="str">
        <f>IF(G374="","",IFERROR(AVERAGEIFS(DATOS!$K$2:$K$20000,DATOS!$A$2:$A$20000,G374,DATOS!$G$2:$G$20000,CONFIG_METADATA!$B$4,DATOS!$I$2:$I$20000,"Coro"),""))</f>
        <v/>
      </c>
      <c r="J374" t="str">
        <f>IF(G374="","",IFERROR(AVERAGEIFS(DATOS!$K$2:$K$20000,DATOS!$A$2:$A$20000,G374,DATOS!$G$2:$G$20000,CONFIG_METADATA!$B$4,DATOS!$I$2:$I$20000,"Conjunto"),""))</f>
        <v/>
      </c>
      <c r="K374" t="str" cm="1">
        <f t="array" ref="K374">IF(G374="","",IFERROR(AVERAGE(IF((DATOS!$A$2:$A$20000=G374)*(DATOS!$G$2:$G$20000=CONFIG_METADATA!$B$4)*(DATOS!$I$2:$I$20000&lt;&gt;"Lenguaje Musical")*(DATOS!$I$2:$I$20000&lt;&gt;"Coro")*(DATOS!$I$2:$I$20000&lt;&gt;"Conjunto"),DATOS!$K$2:$K$20000)),""))</f>
        <v/>
      </c>
      <c r="N374" t="str">
        <f>IF(M374="","",IFERROR(AVERAGEIFS(DATOS!$K$2:$K$20000,DATOS!$A$2:$A$20000,M374,DATOS!$G$2:$G$20000,CONFIG_METADATA!$B$4,DATOS!$I$2:$I$20000,"Lenguaje Musical"),""))</f>
        <v/>
      </c>
      <c r="O374" t="str">
        <f>IF(M374="","",IFERROR(AVERAGEIFS(DATOS!$K$2:$K$20000,DATOS!$A$2:$A$20000,M374,DATOS!$G$2:$G$20000,CONFIG_METADATA!$B$4,DATOS!$I$2:$I$20000,"Coro"),""))</f>
        <v/>
      </c>
      <c r="P374" t="str">
        <f>IF(M374="","",IFERROR(AVERAGEIFS(DATOS!$K$2:$K$20000,DATOS!$A$2:$A$20000,M374,DATOS!$G$2:$G$20000,CONFIG_METADATA!$B$4,DATOS!$I$2:$I$20000,"Conjunto"),""))</f>
        <v/>
      </c>
      <c r="Q374" t="str">
        <f>IF(M374="","",IFERROR(AVERAGEIFS(DATOS!$K$2:$K$20000,DATOS!$A$2:$A$20000,M374,DATOS!$G$2:$G$20000,CONFIG_METADATA!$B$4,DATOS!$I$2:$I$20000,"&lt;&gt;Lenguaje Musical",DATOS!$I$2:$I$20000,"&lt;&gt;Coro",DATOS!$I$2:$I$20000,"&lt;&gt;Conjunto"),""))</f>
        <v/>
      </c>
      <c r="T374" t="str">
        <f>IF(S374="","",IFERROR(AVERAGEIFS(DATOS!$K$2:$K$20000,DATOS!$A$2:$A$20000,S374,DATOS!$G$2:$G$20000,CONFIG_METADATA!$B$4,DATOS!$I$2:$I$20000,"Lenguaje Musical"),""))</f>
        <v/>
      </c>
      <c r="U374" t="str">
        <f>IF(S374="","",IFERROR(AVERAGEIFS(DATOS!$K$2:$K$20000,DATOS!$A$2:$A$20000,S374,DATOS!$G$2:$G$20000,CONFIG_METADATA!$B$4,DATOS!$I$2:$I$20000,"Coro"),""))</f>
        <v/>
      </c>
      <c r="V374" t="str">
        <f>IF(S374="","",IFERROR(AVERAGEIFS(DATOS!$K$2:$K$20000,DATOS!$A$2:$A$20000,S374,DATOS!$G$2:$G$20000,CONFIG_METADATA!$B$4,DATOS!$I$2:$I$20000,"Conjunto"),""))</f>
        <v/>
      </c>
      <c r="W374" t="str" cm="1">
        <f t="array" ref="W374">IF(S374="","",IFERROR(AVERAGE(IF((DATOS!$A$2:$A$20000=S374)*(DATOS!$G$2:$G$20000=CONFIG_METADATA!$B$4)*(DATOS!$I$2:$I$20000&lt;&gt;"Lenguaje Musical")*(DATOS!$I$2:$I$20000&lt;&gt;"Coro")*(DATOS!$I$2:$I$20000&lt;&gt;"Conjunto"),DATOS!$K$2:$K$20000)),""))</f>
        <v/>
      </c>
    </row>
    <row r="375" spans="2:23" x14ac:dyDescent="0.2">
      <c r="B375" t="str">
        <f>IF(A375="","",IFERROR(AVERAGEIFS(DATOS!$K$2:$K$20000,DATOS!$A$2:$A$20000,A375,DATOS!$G$2:$G$20000,CONFIG_METADATA!$B$4,DATOS!$I$2:$I$20000,"Lenguaje Musical"),""))</f>
        <v/>
      </c>
      <c r="C375" t="str">
        <f>IF(A375="","",IFERROR(AVERAGEIFS(DATOS!$K$2:$K$20000,DATOS!$A$2:$A$20000,A375,DATOS!$G$2:$G$20000,CONFIG_METADATA!$B$4,DATOS!$I$2:$I$20000,"Coro"),""))</f>
        <v/>
      </c>
      <c r="D375" t="str">
        <f>IF(A375="","",IFERROR(AVERAGEIFS(DATOS!$K$2:$K$20000,DATOS!$A$2:$A$20000,A375,DATOS!$G$2:$G$20000,CONFIG_METADATA!$B$4,DATOS!$I$2:$I$20000,"Conjunto"),""))</f>
        <v/>
      </c>
      <c r="E375" t="str">
        <f>IF(A375="","",IFERROR(AVERAGEIFS(DATOS!$K$2:$K$20000,DATOS!$A$2:$A$20000,A375,DATOS!$G$2:$G$20000,CONFIG_METADATA!$B$4,DATOS!$I$2:$I$20000,"&lt;&gt;Lenguaje Musical",DATOS!$I$2:$I$20000,"&lt;&gt;Coro",DATOS!$I$2:$I$20000,"&lt;&gt;Conjunto"),""))</f>
        <v/>
      </c>
      <c r="H375" t="str">
        <f>IF(G375="","",IFERROR(AVERAGEIFS(DATOS!$K$2:$K$20000,DATOS!$A$2:$A$20000,G375,DATOS!$G$2:$G$20000,CONFIG_METADATA!$B$4,DATOS!$I$2:$I$20000,"Lenguaje Musical"),""))</f>
        <v/>
      </c>
      <c r="I375" t="str">
        <f>IF(G375="","",IFERROR(AVERAGEIFS(DATOS!$K$2:$K$20000,DATOS!$A$2:$A$20000,G375,DATOS!$G$2:$G$20000,CONFIG_METADATA!$B$4,DATOS!$I$2:$I$20000,"Coro"),""))</f>
        <v/>
      </c>
      <c r="J375" t="str">
        <f>IF(G375="","",IFERROR(AVERAGEIFS(DATOS!$K$2:$K$20000,DATOS!$A$2:$A$20000,G375,DATOS!$G$2:$G$20000,CONFIG_METADATA!$B$4,DATOS!$I$2:$I$20000,"Conjunto"),""))</f>
        <v/>
      </c>
      <c r="K375" t="str" cm="1">
        <f t="array" ref="K375">IF(G375="","",IFERROR(AVERAGE(IF((DATOS!$A$2:$A$20000=G375)*(DATOS!$G$2:$G$20000=CONFIG_METADATA!$B$4)*(DATOS!$I$2:$I$20000&lt;&gt;"Lenguaje Musical")*(DATOS!$I$2:$I$20000&lt;&gt;"Coro")*(DATOS!$I$2:$I$20000&lt;&gt;"Conjunto"),DATOS!$K$2:$K$20000)),""))</f>
        <v/>
      </c>
      <c r="N375" t="str">
        <f>IF(M375="","",IFERROR(AVERAGEIFS(DATOS!$K$2:$K$20000,DATOS!$A$2:$A$20000,M375,DATOS!$G$2:$G$20000,CONFIG_METADATA!$B$4,DATOS!$I$2:$I$20000,"Lenguaje Musical"),""))</f>
        <v/>
      </c>
      <c r="O375" t="str">
        <f>IF(M375="","",IFERROR(AVERAGEIFS(DATOS!$K$2:$K$20000,DATOS!$A$2:$A$20000,M375,DATOS!$G$2:$G$20000,CONFIG_METADATA!$B$4,DATOS!$I$2:$I$20000,"Coro"),""))</f>
        <v/>
      </c>
      <c r="P375" t="str">
        <f>IF(M375="","",IFERROR(AVERAGEIFS(DATOS!$K$2:$K$20000,DATOS!$A$2:$A$20000,M375,DATOS!$G$2:$G$20000,CONFIG_METADATA!$B$4,DATOS!$I$2:$I$20000,"Conjunto"),""))</f>
        <v/>
      </c>
      <c r="Q375" t="str">
        <f>IF(M375="","",IFERROR(AVERAGEIFS(DATOS!$K$2:$K$20000,DATOS!$A$2:$A$20000,M375,DATOS!$G$2:$G$20000,CONFIG_METADATA!$B$4,DATOS!$I$2:$I$20000,"&lt;&gt;Lenguaje Musical",DATOS!$I$2:$I$20000,"&lt;&gt;Coro",DATOS!$I$2:$I$20000,"&lt;&gt;Conjunto"),""))</f>
        <v/>
      </c>
      <c r="T375" t="str">
        <f>IF(S375="","",IFERROR(AVERAGEIFS(DATOS!$K$2:$K$20000,DATOS!$A$2:$A$20000,S375,DATOS!$G$2:$G$20000,CONFIG_METADATA!$B$4,DATOS!$I$2:$I$20000,"Lenguaje Musical"),""))</f>
        <v/>
      </c>
      <c r="U375" t="str">
        <f>IF(S375="","",IFERROR(AVERAGEIFS(DATOS!$K$2:$K$20000,DATOS!$A$2:$A$20000,S375,DATOS!$G$2:$G$20000,CONFIG_METADATA!$B$4,DATOS!$I$2:$I$20000,"Coro"),""))</f>
        <v/>
      </c>
      <c r="V375" t="str">
        <f>IF(S375="","",IFERROR(AVERAGEIFS(DATOS!$K$2:$K$20000,DATOS!$A$2:$A$20000,S375,DATOS!$G$2:$G$20000,CONFIG_METADATA!$B$4,DATOS!$I$2:$I$20000,"Conjunto"),""))</f>
        <v/>
      </c>
      <c r="W375" t="str" cm="1">
        <f t="array" ref="W375">IF(S375="","",IFERROR(AVERAGE(IF((DATOS!$A$2:$A$20000=S375)*(DATOS!$G$2:$G$20000=CONFIG_METADATA!$B$4)*(DATOS!$I$2:$I$20000&lt;&gt;"Lenguaje Musical")*(DATOS!$I$2:$I$20000&lt;&gt;"Coro")*(DATOS!$I$2:$I$20000&lt;&gt;"Conjunto"),DATOS!$K$2:$K$20000)),""))</f>
        <v/>
      </c>
    </row>
    <row r="376" spans="2:23" x14ac:dyDescent="0.2">
      <c r="B376" t="str">
        <f>IF(A376="","",IFERROR(AVERAGEIFS(DATOS!$K$2:$K$20000,DATOS!$A$2:$A$20000,A376,DATOS!$G$2:$G$20000,CONFIG_METADATA!$B$4,DATOS!$I$2:$I$20000,"Lenguaje Musical"),""))</f>
        <v/>
      </c>
      <c r="C376" t="str">
        <f>IF(A376="","",IFERROR(AVERAGEIFS(DATOS!$K$2:$K$20000,DATOS!$A$2:$A$20000,A376,DATOS!$G$2:$G$20000,CONFIG_METADATA!$B$4,DATOS!$I$2:$I$20000,"Coro"),""))</f>
        <v/>
      </c>
      <c r="D376" t="str">
        <f>IF(A376="","",IFERROR(AVERAGEIFS(DATOS!$K$2:$K$20000,DATOS!$A$2:$A$20000,A376,DATOS!$G$2:$G$20000,CONFIG_METADATA!$B$4,DATOS!$I$2:$I$20000,"Conjunto"),""))</f>
        <v/>
      </c>
      <c r="E376" t="str">
        <f>IF(A376="","",IFERROR(AVERAGEIFS(DATOS!$K$2:$K$20000,DATOS!$A$2:$A$20000,A376,DATOS!$G$2:$G$20000,CONFIG_METADATA!$B$4,DATOS!$I$2:$I$20000,"&lt;&gt;Lenguaje Musical",DATOS!$I$2:$I$20000,"&lt;&gt;Coro",DATOS!$I$2:$I$20000,"&lt;&gt;Conjunto"),""))</f>
        <v/>
      </c>
      <c r="H376" t="str">
        <f>IF(G376="","",IFERROR(AVERAGEIFS(DATOS!$K$2:$K$20000,DATOS!$A$2:$A$20000,G376,DATOS!$G$2:$G$20000,CONFIG_METADATA!$B$4,DATOS!$I$2:$I$20000,"Lenguaje Musical"),""))</f>
        <v/>
      </c>
      <c r="I376" t="str">
        <f>IF(G376="","",IFERROR(AVERAGEIFS(DATOS!$K$2:$K$20000,DATOS!$A$2:$A$20000,G376,DATOS!$G$2:$G$20000,CONFIG_METADATA!$B$4,DATOS!$I$2:$I$20000,"Coro"),""))</f>
        <v/>
      </c>
      <c r="J376" t="str">
        <f>IF(G376="","",IFERROR(AVERAGEIFS(DATOS!$K$2:$K$20000,DATOS!$A$2:$A$20000,G376,DATOS!$G$2:$G$20000,CONFIG_METADATA!$B$4,DATOS!$I$2:$I$20000,"Conjunto"),""))</f>
        <v/>
      </c>
      <c r="K376" t="str" cm="1">
        <f t="array" ref="K376">IF(G376="","",IFERROR(AVERAGE(IF((DATOS!$A$2:$A$20000=G376)*(DATOS!$G$2:$G$20000=CONFIG_METADATA!$B$4)*(DATOS!$I$2:$I$20000&lt;&gt;"Lenguaje Musical")*(DATOS!$I$2:$I$20000&lt;&gt;"Coro")*(DATOS!$I$2:$I$20000&lt;&gt;"Conjunto"),DATOS!$K$2:$K$20000)),""))</f>
        <v/>
      </c>
      <c r="N376" t="str">
        <f>IF(M376="","",IFERROR(AVERAGEIFS(DATOS!$K$2:$K$20000,DATOS!$A$2:$A$20000,M376,DATOS!$G$2:$G$20000,CONFIG_METADATA!$B$4,DATOS!$I$2:$I$20000,"Lenguaje Musical"),""))</f>
        <v/>
      </c>
      <c r="O376" t="str">
        <f>IF(M376="","",IFERROR(AVERAGEIFS(DATOS!$K$2:$K$20000,DATOS!$A$2:$A$20000,M376,DATOS!$G$2:$G$20000,CONFIG_METADATA!$B$4,DATOS!$I$2:$I$20000,"Coro"),""))</f>
        <v/>
      </c>
      <c r="P376" t="str">
        <f>IF(M376="","",IFERROR(AVERAGEIFS(DATOS!$K$2:$K$20000,DATOS!$A$2:$A$20000,M376,DATOS!$G$2:$G$20000,CONFIG_METADATA!$B$4,DATOS!$I$2:$I$20000,"Conjunto"),""))</f>
        <v/>
      </c>
      <c r="Q376" t="str">
        <f>IF(M376="","",IFERROR(AVERAGEIFS(DATOS!$K$2:$K$20000,DATOS!$A$2:$A$20000,M376,DATOS!$G$2:$G$20000,CONFIG_METADATA!$B$4,DATOS!$I$2:$I$20000,"&lt;&gt;Lenguaje Musical",DATOS!$I$2:$I$20000,"&lt;&gt;Coro",DATOS!$I$2:$I$20000,"&lt;&gt;Conjunto"),""))</f>
        <v/>
      </c>
      <c r="T376" t="str">
        <f>IF(S376="","",IFERROR(AVERAGEIFS(DATOS!$K$2:$K$20000,DATOS!$A$2:$A$20000,S376,DATOS!$G$2:$G$20000,CONFIG_METADATA!$B$4,DATOS!$I$2:$I$20000,"Lenguaje Musical"),""))</f>
        <v/>
      </c>
      <c r="U376" t="str">
        <f>IF(S376="","",IFERROR(AVERAGEIFS(DATOS!$K$2:$K$20000,DATOS!$A$2:$A$20000,S376,DATOS!$G$2:$G$20000,CONFIG_METADATA!$B$4,DATOS!$I$2:$I$20000,"Coro"),""))</f>
        <v/>
      </c>
      <c r="V376" t="str">
        <f>IF(S376="","",IFERROR(AVERAGEIFS(DATOS!$K$2:$K$20000,DATOS!$A$2:$A$20000,S376,DATOS!$G$2:$G$20000,CONFIG_METADATA!$B$4,DATOS!$I$2:$I$20000,"Conjunto"),""))</f>
        <v/>
      </c>
      <c r="W376" t="str" cm="1">
        <f t="array" ref="W376">IF(S376="","",IFERROR(AVERAGE(IF((DATOS!$A$2:$A$20000=S376)*(DATOS!$G$2:$G$20000=CONFIG_METADATA!$B$4)*(DATOS!$I$2:$I$20000&lt;&gt;"Lenguaje Musical")*(DATOS!$I$2:$I$20000&lt;&gt;"Coro")*(DATOS!$I$2:$I$20000&lt;&gt;"Conjunto"),DATOS!$K$2:$K$20000)),""))</f>
        <v/>
      </c>
    </row>
    <row r="377" spans="2:23" x14ac:dyDescent="0.2">
      <c r="B377" t="str">
        <f>IF(A377="","",IFERROR(AVERAGEIFS(DATOS!$K$2:$K$20000,DATOS!$A$2:$A$20000,A377,DATOS!$G$2:$G$20000,CONFIG_METADATA!$B$4,DATOS!$I$2:$I$20000,"Lenguaje Musical"),""))</f>
        <v/>
      </c>
      <c r="C377" t="str">
        <f>IF(A377="","",IFERROR(AVERAGEIFS(DATOS!$K$2:$K$20000,DATOS!$A$2:$A$20000,A377,DATOS!$G$2:$G$20000,CONFIG_METADATA!$B$4,DATOS!$I$2:$I$20000,"Coro"),""))</f>
        <v/>
      </c>
      <c r="D377" t="str">
        <f>IF(A377="","",IFERROR(AVERAGEIFS(DATOS!$K$2:$K$20000,DATOS!$A$2:$A$20000,A377,DATOS!$G$2:$G$20000,CONFIG_METADATA!$B$4,DATOS!$I$2:$I$20000,"Conjunto"),""))</f>
        <v/>
      </c>
      <c r="E377" t="str">
        <f>IF(A377="","",IFERROR(AVERAGEIFS(DATOS!$K$2:$K$20000,DATOS!$A$2:$A$20000,A377,DATOS!$G$2:$G$20000,CONFIG_METADATA!$B$4,DATOS!$I$2:$I$20000,"&lt;&gt;Lenguaje Musical",DATOS!$I$2:$I$20000,"&lt;&gt;Coro",DATOS!$I$2:$I$20000,"&lt;&gt;Conjunto"),""))</f>
        <v/>
      </c>
      <c r="H377" t="str">
        <f>IF(G377="","",IFERROR(AVERAGEIFS(DATOS!$K$2:$K$20000,DATOS!$A$2:$A$20000,G377,DATOS!$G$2:$G$20000,CONFIG_METADATA!$B$4,DATOS!$I$2:$I$20000,"Lenguaje Musical"),""))</f>
        <v/>
      </c>
      <c r="I377" t="str">
        <f>IF(G377="","",IFERROR(AVERAGEIFS(DATOS!$K$2:$K$20000,DATOS!$A$2:$A$20000,G377,DATOS!$G$2:$G$20000,CONFIG_METADATA!$B$4,DATOS!$I$2:$I$20000,"Coro"),""))</f>
        <v/>
      </c>
      <c r="J377" t="str">
        <f>IF(G377="","",IFERROR(AVERAGEIFS(DATOS!$K$2:$K$20000,DATOS!$A$2:$A$20000,G377,DATOS!$G$2:$G$20000,CONFIG_METADATA!$B$4,DATOS!$I$2:$I$20000,"Conjunto"),""))</f>
        <v/>
      </c>
      <c r="K377" t="str" cm="1">
        <f t="array" ref="K377">IF(G377="","",IFERROR(AVERAGE(IF((DATOS!$A$2:$A$20000=G377)*(DATOS!$G$2:$G$20000=CONFIG_METADATA!$B$4)*(DATOS!$I$2:$I$20000&lt;&gt;"Lenguaje Musical")*(DATOS!$I$2:$I$20000&lt;&gt;"Coro")*(DATOS!$I$2:$I$20000&lt;&gt;"Conjunto"),DATOS!$K$2:$K$20000)),""))</f>
        <v/>
      </c>
      <c r="N377" t="str">
        <f>IF(M377="","",IFERROR(AVERAGEIFS(DATOS!$K$2:$K$20000,DATOS!$A$2:$A$20000,M377,DATOS!$G$2:$G$20000,CONFIG_METADATA!$B$4,DATOS!$I$2:$I$20000,"Lenguaje Musical"),""))</f>
        <v/>
      </c>
      <c r="O377" t="str">
        <f>IF(M377="","",IFERROR(AVERAGEIFS(DATOS!$K$2:$K$20000,DATOS!$A$2:$A$20000,M377,DATOS!$G$2:$G$20000,CONFIG_METADATA!$B$4,DATOS!$I$2:$I$20000,"Coro"),""))</f>
        <v/>
      </c>
      <c r="P377" t="str">
        <f>IF(M377="","",IFERROR(AVERAGEIFS(DATOS!$K$2:$K$20000,DATOS!$A$2:$A$20000,M377,DATOS!$G$2:$G$20000,CONFIG_METADATA!$B$4,DATOS!$I$2:$I$20000,"Conjunto"),""))</f>
        <v/>
      </c>
      <c r="Q377" t="str">
        <f>IF(M377="","",IFERROR(AVERAGEIFS(DATOS!$K$2:$K$20000,DATOS!$A$2:$A$20000,M377,DATOS!$G$2:$G$20000,CONFIG_METADATA!$B$4,DATOS!$I$2:$I$20000,"&lt;&gt;Lenguaje Musical",DATOS!$I$2:$I$20000,"&lt;&gt;Coro",DATOS!$I$2:$I$20000,"&lt;&gt;Conjunto"),""))</f>
        <v/>
      </c>
      <c r="T377" t="str">
        <f>IF(S377="","",IFERROR(AVERAGEIFS(DATOS!$K$2:$K$20000,DATOS!$A$2:$A$20000,S377,DATOS!$G$2:$G$20000,CONFIG_METADATA!$B$4,DATOS!$I$2:$I$20000,"Lenguaje Musical"),""))</f>
        <v/>
      </c>
      <c r="U377" t="str">
        <f>IF(S377="","",IFERROR(AVERAGEIFS(DATOS!$K$2:$K$20000,DATOS!$A$2:$A$20000,S377,DATOS!$G$2:$G$20000,CONFIG_METADATA!$B$4,DATOS!$I$2:$I$20000,"Coro"),""))</f>
        <v/>
      </c>
      <c r="V377" t="str">
        <f>IF(S377="","",IFERROR(AVERAGEIFS(DATOS!$K$2:$K$20000,DATOS!$A$2:$A$20000,S377,DATOS!$G$2:$G$20000,CONFIG_METADATA!$B$4,DATOS!$I$2:$I$20000,"Conjunto"),""))</f>
        <v/>
      </c>
      <c r="W377" t="str" cm="1">
        <f t="array" ref="W377">IF(S377="","",IFERROR(AVERAGE(IF((DATOS!$A$2:$A$20000=S377)*(DATOS!$G$2:$G$20000=CONFIG_METADATA!$B$4)*(DATOS!$I$2:$I$20000&lt;&gt;"Lenguaje Musical")*(DATOS!$I$2:$I$20000&lt;&gt;"Coro")*(DATOS!$I$2:$I$20000&lt;&gt;"Conjunto"),DATOS!$K$2:$K$20000)),""))</f>
        <v/>
      </c>
    </row>
    <row r="378" spans="2:23" x14ac:dyDescent="0.2">
      <c r="B378" t="str">
        <f>IF(A378="","",IFERROR(AVERAGEIFS(DATOS!$K$2:$K$20000,DATOS!$A$2:$A$20000,A378,DATOS!$G$2:$G$20000,CONFIG_METADATA!$B$4,DATOS!$I$2:$I$20000,"Lenguaje Musical"),""))</f>
        <v/>
      </c>
      <c r="C378" t="str">
        <f>IF(A378="","",IFERROR(AVERAGEIFS(DATOS!$K$2:$K$20000,DATOS!$A$2:$A$20000,A378,DATOS!$G$2:$G$20000,CONFIG_METADATA!$B$4,DATOS!$I$2:$I$20000,"Coro"),""))</f>
        <v/>
      </c>
      <c r="D378" t="str">
        <f>IF(A378="","",IFERROR(AVERAGEIFS(DATOS!$K$2:$K$20000,DATOS!$A$2:$A$20000,A378,DATOS!$G$2:$G$20000,CONFIG_METADATA!$B$4,DATOS!$I$2:$I$20000,"Conjunto"),""))</f>
        <v/>
      </c>
      <c r="E378" t="str">
        <f>IF(A378="","",IFERROR(AVERAGEIFS(DATOS!$K$2:$K$20000,DATOS!$A$2:$A$20000,A378,DATOS!$G$2:$G$20000,CONFIG_METADATA!$B$4,DATOS!$I$2:$I$20000,"&lt;&gt;Lenguaje Musical",DATOS!$I$2:$I$20000,"&lt;&gt;Coro",DATOS!$I$2:$I$20000,"&lt;&gt;Conjunto"),""))</f>
        <v/>
      </c>
      <c r="H378" t="str">
        <f>IF(G378="","",IFERROR(AVERAGEIFS(DATOS!$K$2:$K$20000,DATOS!$A$2:$A$20000,G378,DATOS!$G$2:$G$20000,CONFIG_METADATA!$B$4,DATOS!$I$2:$I$20000,"Lenguaje Musical"),""))</f>
        <v/>
      </c>
      <c r="I378" t="str">
        <f>IF(G378="","",IFERROR(AVERAGEIFS(DATOS!$K$2:$K$20000,DATOS!$A$2:$A$20000,G378,DATOS!$G$2:$G$20000,CONFIG_METADATA!$B$4,DATOS!$I$2:$I$20000,"Coro"),""))</f>
        <v/>
      </c>
      <c r="J378" t="str">
        <f>IF(G378="","",IFERROR(AVERAGEIFS(DATOS!$K$2:$K$20000,DATOS!$A$2:$A$20000,G378,DATOS!$G$2:$G$20000,CONFIG_METADATA!$B$4,DATOS!$I$2:$I$20000,"Conjunto"),""))</f>
        <v/>
      </c>
      <c r="K378" t="str" cm="1">
        <f t="array" ref="K378">IF(G378="","",IFERROR(AVERAGE(IF((DATOS!$A$2:$A$20000=G378)*(DATOS!$G$2:$G$20000=CONFIG_METADATA!$B$4)*(DATOS!$I$2:$I$20000&lt;&gt;"Lenguaje Musical")*(DATOS!$I$2:$I$20000&lt;&gt;"Coro")*(DATOS!$I$2:$I$20000&lt;&gt;"Conjunto"),DATOS!$K$2:$K$20000)),""))</f>
        <v/>
      </c>
      <c r="N378" t="str">
        <f>IF(M378="","",IFERROR(AVERAGEIFS(DATOS!$K$2:$K$20000,DATOS!$A$2:$A$20000,M378,DATOS!$G$2:$G$20000,CONFIG_METADATA!$B$4,DATOS!$I$2:$I$20000,"Lenguaje Musical"),""))</f>
        <v/>
      </c>
      <c r="O378" t="str">
        <f>IF(M378="","",IFERROR(AVERAGEIFS(DATOS!$K$2:$K$20000,DATOS!$A$2:$A$20000,M378,DATOS!$G$2:$G$20000,CONFIG_METADATA!$B$4,DATOS!$I$2:$I$20000,"Coro"),""))</f>
        <v/>
      </c>
      <c r="P378" t="str">
        <f>IF(M378="","",IFERROR(AVERAGEIFS(DATOS!$K$2:$K$20000,DATOS!$A$2:$A$20000,M378,DATOS!$G$2:$G$20000,CONFIG_METADATA!$B$4,DATOS!$I$2:$I$20000,"Conjunto"),""))</f>
        <v/>
      </c>
      <c r="Q378" t="str">
        <f>IF(M378="","",IFERROR(AVERAGEIFS(DATOS!$K$2:$K$20000,DATOS!$A$2:$A$20000,M378,DATOS!$G$2:$G$20000,CONFIG_METADATA!$B$4,DATOS!$I$2:$I$20000,"&lt;&gt;Lenguaje Musical",DATOS!$I$2:$I$20000,"&lt;&gt;Coro",DATOS!$I$2:$I$20000,"&lt;&gt;Conjunto"),""))</f>
        <v/>
      </c>
      <c r="T378" t="str">
        <f>IF(S378="","",IFERROR(AVERAGEIFS(DATOS!$K$2:$K$20000,DATOS!$A$2:$A$20000,S378,DATOS!$G$2:$G$20000,CONFIG_METADATA!$B$4,DATOS!$I$2:$I$20000,"Lenguaje Musical"),""))</f>
        <v/>
      </c>
      <c r="U378" t="str">
        <f>IF(S378="","",IFERROR(AVERAGEIFS(DATOS!$K$2:$K$20000,DATOS!$A$2:$A$20000,S378,DATOS!$G$2:$G$20000,CONFIG_METADATA!$B$4,DATOS!$I$2:$I$20000,"Coro"),""))</f>
        <v/>
      </c>
      <c r="V378" t="str">
        <f>IF(S378="","",IFERROR(AVERAGEIFS(DATOS!$K$2:$K$20000,DATOS!$A$2:$A$20000,S378,DATOS!$G$2:$G$20000,CONFIG_METADATA!$B$4,DATOS!$I$2:$I$20000,"Conjunto"),""))</f>
        <v/>
      </c>
      <c r="W378" t="str" cm="1">
        <f t="array" ref="W378">IF(S378="","",IFERROR(AVERAGE(IF((DATOS!$A$2:$A$20000=S378)*(DATOS!$G$2:$G$20000=CONFIG_METADATA!$B$4)*(DATOS!$I$2:$I$20000&lt;&gt;"Lenguaje Musical")*(DATOS!$I$2:$I$20000&lt;&gt;"Coro")*(DATOS!$I$2:$I$20000&lt;&gt;"Conjunto"),DATOS!$K$2:$K$20000)),""))</f>
        <v/>
      </c>
    </row>
    <row r="379" spans="2:23" x14ac:dyDescent="0.2">
      <c r="B379" t="str">
        <f>IF(A379="","",IFERROR(AVERAGEIFS(DATOS!$K$2:$K$20000,DATOS!$A$2:$A$20000,A379,DATOS!$G$2:$G$20000,CONFIG_METADATA!$B$4,DATOS!$I$2:$I$20000,"Lenguaje Musical"),""))</f>
        <v/>
      </c>
      <c r="C379" t="str">
        <f>IF(A379="","",IFERROR(AVERAGEIFS(DATOS!$K$2:$K$20000,DATOS!$A$2:$A$20000,A379,DATOS!$G$2:$G$20000,CONFIG_METADATA!$B$4,DATOS!$I$2:$I$20000,"Coro"),""))</f>
        <v/>
      </c>
      <c r="D379" t="str">
        <f>IF(A379="","",IFERROR(AVERAGEIFS(DATOS!$K$2:$K$20000,DATOS!$A$2:$A$20000,A379,DATOS!$G$2:$G$20000,CONFIG_METADATA!$B$4,DATOS!$I$2:$I$20000,"Conjunto"),""))</f>
        <v/>
      </c>
      <c r="E379" t="str">
        <f>IF(A379="","",IFERROR(AVERAGEIFS(DATOS!$K$2:$K$20000,DATOS!$A$2:$A$20000,A379,DATOS!$G$2:$G$20000,CONFIG_METADATA!$B$4,DATOS!$I$2:$I$20000,"&lt;&gt;Lenguaje Musical",DATOS!$I$2:$I$20000,"&lt;&gt;Coro",DATOS!$I$2:$I$20000,"&lt;&gt;Conjunto"),""))</f>
        <v/>
      </c>
      <c r="H379" t="str">
        <f>IF(G379="","",IFERROR(AVERAGEIFS(DATOS!$K$2:$K$20000,DATOS!$A$2:$A$20000,G379,DATOS!$G$2:$G$20000,CONFIG_METADATA!$B$4,DATOS!$I$2:$I$20000,"Lenguaje Musical"),""))</f>
        <v/>
      </c>
      <c r="I379" t="str">
        <f>IF(G379="","",IFERROR(AVERAGEIFS(DATOS!$K$2:$K$20000,DATOS!$A$2:$A$20000,G379,DATOS!$G$2:$G$20000,CONFIG_METADATA!$B$4,DATOS!$I$2:$I$20000,"Coro"),""))</f>
        <v/>
      </c>
      <c r="J379" t="str">
        <f>IF(G379="","",IFERROR(AVERAGEIFS(DATOS!$K$2:$K$20000,DATOS!$A$2:$A$20000,G379,DATOS!$G$2:$G$20000,CONFIG_METADATA!$B$4,DATOS!$I$2:$I$20000,"Conjunto"),""))</f>
        <v/>
      </c>
      <c r="K379" t="str" cm="1">
        <f t="array" ref="K379">IF(G379="","",IFERROR(AVERAGE(IF((DATOS!$A$2:$A$20000=G379)*(DATOS!$G$2:$G$20000=CONFIG_METADATA!$B$4)*(DATOS!$I$2:$I$20000&lt;&gt;"Lenguaje Musical")*(DATOS!$I$2:$I$20000&lt;&gt;"Coro")*(DATOS!$I$2:$I$20000&lt;&gt;"Conjunto"),DATOS!$K$2:$K$20000)),""))</f>
        <v/>
      </c>
      <c r="N379" t="str">
        <f>IF(M379="","",IFERROR(AVERAGEIFS(DATOS!$K$2:$K$20000,DATOS!$A$2:$A$20000,M379,DATOS!$G$2:$G$20000,CONFIG_METADATA!$B$4,DATOS!$I$2:$I$20000,"Lenguaje Musical"),""))</f>
        <v/>
      </c>
      <c r="O379" t="str">
        <f>IF(M379="","",IFERROR(AVERAGEIFS(DATOS!$K$2:$K$20000,DATOS!$A$2:$A$20000,M379,DATOS!$G$2:$G$20000,CONFIG_METADATA!$B$4,DATOS!$I$2:$I$20000,"Coro"),""))</f>
        <v/>
      </c>
      <c r="P379" t="str">
        <f>IF(M379="","",IFERROR(AVERAGEIFS(DATOS!$K$2:$K$20000,DATOS!$A$2:$A$20000,M379,DATOS!$G$2:$G$20000,CONFIG_METADATA!$B$4,DATOS!$I$2:$I$20000,"Conjunto"),""))</f>
        <v/>
      </c>
      <c r="Q379" t="str">
        <f>IF(M379="","",IFERROR(AVERAGEIFS(DATOS!$K$2:$K$20000,DATOS!$A$2:$A$20000,M379,DATOS!$G$2:$G$20000,CONFIG_METADATA!$B$4,DATOS!$I$2:$I$20000,"&lt;&gt;Lenguaje Musical",DATOS!$I$2:$I$20000,"&lt;&gt;Coro",DATOS!$I$2:$I$20000,"&lt;&gt;Conjunto"),""))</f>
        <v/>
      </c>
      <c r="T379" t="str">
        <f>IF(S379="","",IFERROR(AVERAGEIFS(DATOS!$K$2:$K$20000,DATOS!$A$2:$A$20000,S379,DATOS!$G$2:$G$20000,CONFIG_METADATA!$B$4,DATOS!$I$2:$I$20000,"Lenguaje Musical"),""))</f>
        <v/>
      </c>
      <c r="U379" t="str">
        <f>IF(S379="","",IFERROR(AVERAGEIFS(DATOS!$K$2:$K$20000,DATOS!$A$2:$A$20000,S379,DATOS!$G$2:$G$20000,CONFIG_METADATA!$B$4,DATOS!$I$2:$I$20000,"Coro"),""))</f>
        <v/>
      </c>
      <c r="V379" t="str">
        <f>IF(S379="","",IFERROR(AVERAGEIFS(DATOS!$K$2:$K$20000,DATOS!$A$2:$A$20000,S379,DATOS!$G$2:$G$20000,CONFIG_METADATA!$B$4,DATOS!$I$2:$I$20000,"Conjunto"),""))</f>
        <v/>
      </c>
      <c r="W379" t="str" cm="1">
        <f t="array" ref="W379">IF(S379="","",IFERROR(AVERAGE(IF((DATOS!$A$2:$A$20000=S379)*(DATOS!$G$2:$G$20000=CONFIG_METADATA!$B$4)*(DATOS!$I$2:$I$20000&lt;&gt;"Lenguaje Musical")*(DATOS!$I$2:$I$20000&lt;&gt;"Coro")*(DATOS!$I$2:$I$20000&lt;&gt;"Conjunto"),DATOS!$K$2:$K$20000)),""))</f>
        <v/>
      </c>
    </row>
    <row r="380" spans="2:23" x14ac:dyDescent="0.2">
      <c r="B380" t="str">
        <f>IF(A380="","",IFERROR(AVERAGEIFS(DATOS!$K$2:$K$20000,DATOS!$A$2:$A$20000,A380,DATOS!$G$2:$G$20000,CONFIG_METADATA!$B$4,DATOS!$I$2:$I$20000,"Lenguaje Musical"),""))</f>
        <v/>
      </c>
      <c r="C380" t="str">
        <f>IF(A380="","",IFERROR(AVERAGEIFS(DATOS!$K$2:$K$20000,DATOS!$A$2:$A$20000,A380,DATOS!$G$2:$G$20000,CONFIG_METADATA!$B$4,DATOS!$I$2:$I$20000,"Coro"),""))</f>
        <v/>
      </c>
      <c r="D380" t="str">
        <f>IF(A380="","",IFERROR(AVERAGEIFS(DATOS!$K$2:$K$20000,DATOS!$A$2:$A$20000,A380,DATOS!$G$2:$G$20000,CONFIG_METADATA!$B$4,DATOS!$I$2:$I$20000,"Conjunto"),""))</f>
        <v/>
      </c>
      <c r="E380" t="str">
        <f>IF(A380="","",IFERROR(AVERAGEIFS(DATOS!$K$2:$K$20000,DATOS!$A$2:$A$20000,A380,DATOS!$G$2:$G$20000,CONFIG_METADATA!$B$4,DATOS!$I$2:$I$20000,"&lt;&gt;Lenguaje Musical",DATOS!$I$2:$I$20000,"&lt;&gt;Coro",DATOS!$I$2:$I$20000,"&lt;&gt;Conjunto"),""))</f>
        <v/>
      </c>
      <c r="H380" t="str">
        <f>IF(G380="","",IFERROR(AVERAGEIFS(DATOS!$K$2:$K$20000,DATOS!$A$2:$A$20000,G380,DATOS!$G$2:$G$20000,CONFIG_METADATA!$B$4,DATOS!$I$2:$I$20000,"Lenguaje Musical"),""))</f>
        <v/>
      </c>
      <c r="I380" t="str">
        <f>IF(G380="","",IFERROR(AVERAGEIFS(DATOS!$K$2:$K$20000,DATOS!$A$2:$A$20000,G380,DATOS!$G$2:$G$20000,CONFIG_METADATA!$B$4,DATOS!$I$2:$I$20000,"Coro"),""))</f>
        <v/>
      </c>
      <c r="J380" t="str">
        <f>IF(G380="","",IFERROR(AVERAGEIFS(DATOS!$K$2:$K$20000,DATOS!$A$2:$A$20000,G380,DATOS!$G$2:$G$20000,CONFIG_METADATA!$B$4,DATOS!$I$2:$I$20000,"Conjunto"),""))</f>
        <v/>
      </c>
      <c r="K380" t="str" cm="1">
        <f t="array" ref="K380">IF(G380="","",IFERROR(AVERAGE(IF((DATOS!$A$2:$A$20000=G380)*(DATOS!$G$2:$G$20000=CONFIG_METADATA!$B$4)*(DATOS!$I$2:$I$20000&lt;&gt;"Lenguaje Musical")*(DATOS!$I$2:$I$20000&lt;&gt;"Coro")*(DATOS!$I$2:$I$20000&lt;&gt;"Conjunto"),DATOS!$K$2:$K$20000)),""))</f>
        <v/>
      </c>
      <c r="N380" t="str">
        <f>IF(M380="","",IFERROR(AVERAGEIFS(DATOS!$K$2:$K$20000,DATOS!$A$2:$A$20000,M380,DATOS!$G$2:$G$20000,CONFIG_METADATA!$B$4,DATOS!$I$2:$I$20000,"Lenguaje Musical"),""))</f>
        <v/>
      </c>
      <c r="O380" t="str">
        <f>IF(M380="","",IFERROR(AVERAGEIFS(DATOS!$K$2:$K$20000,DATOS!$A$2:$A$20000,M380,DATOS!$G$2:$G$20000,CONFIG_METADATA!$B$4,DATOS!$I$2:$I$20000,"Coro"),""))</f>
        <v/>
      </c>
      <c r="P380" t="str">
        <f>IF(M380="","",IFERROR(AVERAGEIFS(DATOS!$K$2:$K$20000,DATOS!$A$2:$A$20000,M380,DATOS!$G$2:$G$20000,CONFIG_METADATA!$B$4,DATOS!$I$2:$I$20000,"Conjunto"),""))</f>
        <v/>
      </c>
      <c r="Q380" t="str">
        <f>IF(M380="","",IFERROR(AVERAGEIFS(DATOS!$K$2:$K$20000,DATOS!$A$2:$A$20000,M380,DATOS!$G$2:$G$20000,CONFIG_METADATA!$B$4,DATOS!$I$2:$I$20000,"&lt;&gt;Lenguaje Musical",DATOS!$I$2:$I$20000,"&lt;&gt;Coro",DATOS!$I$2:$I$20000,"&lt;&gt;Conjunto"),""))</f>
        <v/>
      </c>
      <c r="T380" t="str">
        <f>IF(S380="","",IFERROR(AVERAGEIFS(DATOS!$K$2:$K$20000,DATOS!$A$2:$A$20000,S380,DATOS!$G$2:$G$20000,CONFIG_METADATA!$B$4,DATOS!$I$2:$I$20000,"Lenguaje Musical"),""))</f>
        <v/>
      </c>
      <c r="U380" t="str">
        <f>IF(S380="","",IFERROR(AVERAGEIFS(DATOS!$K$2:$K$20000,DATOS!$A$2:$A$20000,S380,DATOS!$G$2:$G$20000,CONFIG_METADATA!$B$4,DATOS!$I$2:$I$20000,"Coro"),""))</f>
        <v/>
      </c>
      <c r="V380" t="str">
        <f>IF(S380="","",IFERROR(AVERAGEIFS(DATOS!$K$2:$K$20000,DATOS!$A$2:$A$20000,S380,DATOS!$G$2:$G$20000,CONFIG_METADATA!$B$4,DATOS!$I$2:$I$20000,"Conjunto"),""))</f>
        <v/>
      </c>
      <c r="W380" t="str" cm="1">
        <f t="array" ref="W380">IF(S380="","",IFERROR(AVERAGE(IF((DATOS!$A$2:$A$20000=S380)*(DATOS!$G$2:$G$20000=CONFIG_METADATA!$B$4)*(DATOS!$I$2:$I$20000&lt;&gt;"Lenguaje Musical")*(DATOS!$I$2:$I$20000&lt;&gt;"Coro")*(DATOS!$I$2:$I$20000&lt;&gt;"Conjunto"),DATOS!$K$2:$K$20000)),""))</f>
        <v/>
      </c>
    </row>
    <row r="381" spans="2:23" x14ac:dyDescent="0.2">
      <c r="B381" t="str">
        <f>IF(A381="","",IFERROR(AVERAGEIFS(DATOS!$K$2:$K$20000,DATOS!$A$2:$A$20000,A381,DATOS!$G$2:$G$20000,CONFIG_METADATA!$B$4,DATOS!$I$2:$I$20000,"Lenguaje Musical"),""))</f>
        <v/>
      </c>
      <c r="C381" t="str">
        <f>IF(A381="","",IFERROR(AVERAGEIFS(DATOS!$K$2:$K$20000,DATOS!$A$2:$A$20000,A381,DATOS!$G$2:$G$20000,CONFIG_METADATA!$B$4,DATOS!$I$2:$I$20000,"Coro"),""))</f>
        <v/>
      </c>
      <c r="D381" t="str">
        <f>IF(A381="","",IFERROR(AVERAGEIFS(DATOS!$K$2:$K$20000,DATOS!$A$2:$A$20000,A381,DATOS!$G$2:$G$20000,CONFIG_METADATA!$B$4,DATOS!$I$2:$I$20000,"Conjunto"),""))</f>
        <v/>
      </c>
      <c r="E381" t="str">
        <f>IF(A381="","",IFERROR(AVERAGEIFS(DATOS!$K$2:$K$20000,DATOS!$A$2:$A$20000,A381,DATOS!$G$2:$G$20000,CONFIG_METADATA!$B$4,DATOS!$I$2:$I$20000,"&lt;&gt;Lenguaje Musical",DATOS!$I$2:$I$20000,"&lt;&gt;Coro",DATOS!$I$2:$I$20000,"&lt;&gt;Conjunto"),""))</f>
        <v/>
      </c>
      <c r="H381" t="str">
        <f>IF(G381="","",IFERROR(AVERAGEIFS(DATOS!$K$2:$K$20000,DATOS!$A$2:$A$20000,G381,DATOS!$G$2:$G$20000,CONFIG_METADATA!$B$4,DATOS!$I$2:$I$20000,"Lenguaje Musical"),""))</f>
        <v/>
      </c>
      <c r="I381" t="str">
        <f>IF(G381="","",IFERROR(AVERAGEIFS(DATOS!$K$2:$K$20000,DATOS!$A$2:$A$20000,G381,DATOS!$G$2:$G$20000,CONFIG_METADATA!$B$4,DATOS!$I$2:$I$20000,"Coro"),""))</f>
        <v/>
      </c>
      <c r="J381" t="str">
        <f>IF(G381="","",IFERROR(AVERAGEIFS(DATOS!$K$2:$K$20000,DATOS!$A$2:$A$20000,G381,DATOS!$G$2:$G$20000,CONFIG_METADATA!$B$4,DATOS!$I$2:$I$20000,"Conjunto"),""))</f>
        <v/>
      </c>
      <c r="K381" t="str" cm="1">
        <f t="array" ref="K381">IF(G381="","",IFERROR(AVERAGE(IF((DATOS!$A$2:$A$20000=G381)*(DATOS!$G$2:$G$20000=CONFIG_METADATA!$B$4)*(DATOS!$I$2:$I$20000&lt;&gt;"Lenguaje Musical")*(DATOS!$I$2:$I$20000&lt;&gt;"Coro")*(DATOS!$I$2:$I$20000&lt;&gt;"Conjunto"),DATOS!$K$2:$K$20000)),""))</f>
        <v/>
      </c>
      <c r="N381" t="str">
        <f>IF(M381="","",IFERROR(AVERAGEIFS(DATOS!$K$2:$K$20000,DATOS!$A$2:$A$20000,M381,DATOS!$G$2:$G$20000,CONFIG_METADATA!$B$4,DATOS!$I$2:$I$20000,"Lenguaje Musical"),""))</f>
        <v/>
      </c>
      <c r="O381" t="str">
        <f>IF(M381="","",IFERROR(AVERAGEIFS(DATOS!$K$2:$K$20000,DATOS!$A$2:$A$20000,M381,DATOS!$G$2:$G$20000,CONFIG_METADATA!$B$4,DATOS!$I$2:$I$20000,"Coro"),""))</f>
        <v/>
      </c>
      <c r="P381" t="str">
        <f>IF(M381="","",IFERROR(AVERAGEIFS(DATOS!$K$2:$K$20000,DATOS!$A$2:$A$20000,M381,DATOS!$G$2:$G$20000,CONFIG_METADATA!$B$4,DATOS!$I$2:$I$20000,"Conjunto"),""))</f>
        <v/>
      </c>
      <c r="Q381" t="str">
        <f>IF(M381="","",IFERROR(AVERAGEIFS(DATOS!$K$2:$K$20000,DATOS!$A$2:$A$20000,M381,DATOS!$G$2:$G$20000,CONFIG_METADATA!$B$4,DATOS!$I$2:$I$20000,"&lt;&gt;Lenguaje Musical",DATOS!$I$2:$I$20000,"&lt;&gt;Coro",DATOS!$I$2:$I$20000,"&lt;&gt;Conjunto"),""))</f>
        <v/>
      </c>
      <c r="T381" t="str">
        <f>IF(S381="","",IFERROR(AVERAGEIFS(DATOS!$K$2:$K$20000,DATOS!$A$2:$A$20000,S381,DATOS!$G$2:$G$20000,CONFIG_METADATA!$B$4,DATOS!$I$2:$I$20000,"Lenguaje Musical"),""))</f>
        <v/>
      </c>
      <c r="U381" t="str">
        <f>IF(S381="","",IFERROR(AVERAGEIFS(DATOS!$K$2:$K$20000,DATOS!$A$2:$A$20000,S381,DATOS!$G$2:$G$20000,CONFIG_METADATA!$B$4,DATOS!$I$2:$I$20000,"Coro"),""))</f>
        <v/>
      </c>
      <c r="V381" t="str">
        <f>IF(S381="","",IFERROR(AVERAGEIFS(DATOS!$K$2:$K$20000,DATOS!$A$2:$A$20000,S381,DATOS!$G$2:$G$20000,CONFIG_METADATA!$B$4,DATOS!$I$2:$I$20000,"Conjunto"),""))</f>
        <v/>
      </c>
      <c r="W381" t="str" cm="1">
        <f t="array" ref="W381">IF(S381="","",IFERROR(AVERAGE(IF((DATOS!$A$2:$A$20000=S381)*(DATOS!$G$2:$G$20000=CONFIG_METADATA!$B$4)*(DATOS!$I$2:$I$20000&lt;&gt;"Lenguaje Musical")*(DATOS!$I$2:$I$20000&lt;&gt;"Coro")*(DATOS!$I$2:$I$20000&lt;&gt;"Conjunto"),DATOS!$K$2:$K$20000)),""))</f>
        <v/>
      </c>
    </row>
    <row r="382" spans="2:23" x14ac:dyDescent="0.2">
      <c r="B382" t="str">
        <f>IF(A382="","",IFERROR(AVERAGEIFS(DATOS!$K$2:$K$20000,DATOS!$A$2:$A$20000,A382,DATOS!$G$2:$G$20000,CONFIG_METADATA!$B$4,DATOS!$I$2:$I$20000,"Lenguaje Musical"),""))</f>
        <v/>
      </c>
      <c r="C382" t="str">
        <f>IF(A382="","",IFERROR(AVERAGEIFS(DATOS!$K$2:$K$20000,DATOS!$A$2:$A$20000,A382,DATOS!$G$2:$G$20000,CONFIG_METADATA!$B$4,DATOS!$I$2:$I$20000,"Coro"),""))</f>
        <v/>
      </c>
      <c r="D382" t="str">
        <f>IF(A382="","",IFERROR(AVERAGEIFS(DATOS!$K$2:$K$20000,DATOS!$A$2:$A$20000,A382,DATOS!$G$2:$G$20000,CONFIG_METADATA!$B$4,DATOS!$I$2:$I$20000,"Conjunto"),""))</f>
        <v/>
      </c>
      <c r="E382" t="str">
        <f>IF(A382="","",IFERROR(AVERAGEIFS(DATOS!$K$2:$K$20000,DATOS!$A$2:$A$20000,A382,DATOS!$G$2:$G$20000,CONFIG_METADATA!$B$4,DATOS!$I$2:$I$20000,"&lt;&gt;Lenguaje Musical",DATOS!$I$2:$I$20000,"&lt;&gt;Coro",DATOS!$I$2:$I$20000,"&lt;&gt;Conjunto"),""))</f>
        <v/>
      </c>
      <c r="H382" t="str">
        <f>IF(G382="","",IFERROR(AVERAGEIFS(DATOS!$K$2:$K$20000,DATOS!$A$2:$A$20000,G382,DATOS!$G$2:$G$20000,CONFIG_METADATA!$B$4,DATOS!$I$2:$I$20000,"Lenguaje Musical"),""))</f>
        <v/>
      </c>
      <c r="I382" t="str">
        <f>IF(G382="","",IFERROR(AVERAGEIFS(DATOS!$K$2:$K$20000,DATOS!$A$2:$A$20000,G382,DATOS!$G$2:$G$20000,CONFIG_METADATA!$B$4,DATOS!$I$2:$I$20000,"Coro"),""))</f>
        <v/>
      </c>
      <c r="J382" t="str">
        <f>IF(G382="","",IFERROR(AVERAGEIFS(DATOS!$K$2:$K$20000,DATOS!$A$2:$A$20000,G382,DATOS!$G$2:$G$20000,CONFIG_METADATA!$B$4,DATOS!$I$2:$I$20000,"Conjunto"),""))</f>
        <v/>
      </c>
      <c r="K382" t="str" cm="1">
        <f t="array" ref="K382">IF(G382="","",IFERROR(AVERAGE(IF((DATOS!$A$2:$A$20000=G382)*(DATOS!$G$2:$G$20000=CONFIG_METADATA!$B$4)*(DATOS!$I$2:$I$20000&lt;&gt;"Lenguaje Musical")*(DATOS!$I$2:$I$20000&lt;&gt;"Coro")*(DATOS!$I$2:$I$20000&lt;&gt;"Conjunto"),DATOS!$K$2:$K$20000)),""))</f>
        <v/>
      </c>
      <c r="N382" t="str">
        <f>IF(M382="","",IFERROR(AVERAGEIFS(DATOS!$K$2:$K$20000,DATOS!$A$2:$A$20000,M382,DATOS!$G$2:$G$20000,CONFIG_METADATA!$B$4,DATOS!$I$2:$I$20000,"Lenguaje Musical"),""))</f>
        <v/>
      </c>
      <c r="O382" t="str">
        <f>IF(M382="","",IFERROR(AVERAGEIFS(DATOS!$K$2:$K$20000,DATOS!$A$2:$A$20000,M382,DATOS!$G$2:$G$20000,CONFIG_METADATA!$B$4,DATOS!$I$2:$I$20000,"Coro"),""))</f>
        <v/>
      </c>
      <c r="P382" t="str">
        <f>IF(M382="","",IFERROR(AVERAGEIFS(DATOS!$K$2:$K$20000,DATOS!$A$2:$A$20000,M382,DATOS!$G$2:$G$20000,CONFIG_METADATA!$B$4,DATOS!$I$2:$I$20000,"Conjunto"),""))</f>
        <v/>
      </c>
      <c r="Q382" t="str">
        <f>IF(M382="","",IFERROR(AVERAGEIFS(DATOS!$K$2:$K$20000,DATOS!$A$2:$A$20000,M382,DATOS!$G$2:$G$20000,CONFIG_METADATA!$B$4,DATOS!$I$2:$I$20000,"&lt;&gt;Lenguaje Musical",DATOS!$I$2:$I$20000,"&lt;&gt;Coro",DATOS!$I$2:$I$20000,"&lt;&gt;Conjunto"),""))</f>
        <v/>
      </c>
      <c r="T382" t="str">
        <f>IF(S382="","",IFERROR(AVERAGEIFS(DATOS!$K$2:$K$20000,DATOS!$A$2:$A$20000,S382,DATOS!$G$2:$G$20000,CONFIG_METADATA!$B$4,DATOS!$I$2:$I$20000,"Lenguaje Musical"),""))</f>
        <v/>
      </c>
      <c r="U382" t="str">
        <f>IF(S382="","",IFERROR(AVERAGEIFS(DATOS!$K$2:$K$20000,DATOS!$A$2:$A$20000,S382,DATOS!$G$2:$G$20000,CONFIG_METADATA!$B$4,DATOS!$I$2:$I$20000,"Coro"),""))</f>
        <v/>
      </c>
      <c r="V382" t="str">
        <f>IF(S382="","",IFERROR(AVERAGEIFS(DATOS!$K$2:$K$20000,DATOS!$A$2:$A$20000,S382,DATOS!$G$2:$G$20000,CONFIG_METADATA!$B$4,DATOS!$I$2:$I$20000,"Conjunto"),""))</f>
        <v/>
      </c>
      <c r="W382" t="str" cm="1">
        <f t="array" ref="W382">IF(S382="","",IFERROR(AVERAGE(IF((DATOS!$A$2:$A$20000=S382)*(DATOS!$G$2:$G$20000=CONFIG_METADATA!$B$4)*(DATOS!$I$2:$I$20000&lt;&gt;"Lenguaje Musical")*(DATOS!$I$2:$I$20000&lt;&gt;"Coro")*(DATOS!$I$2:$I$20000&lt;&gt;"Conjunto"),DATOS!$K$2:$K$20000)),""))</f>
        <v/>
      </c>
    </row>
    <row r="383" spans="2:23" x14ac:dyDescent="0.2">
      <c r="B383" t="str">
        <f>IF(A383="","",IFERROR(AVERAGEIFS(DATOS!$K$2:$K$20000,DATOS!$A$2:$A$20000,A383,DATOS!$G$2:$G$20000,CONFIG_METADATA!$B$4,DATOS!$I$2:$I$20000,"Lenguaje Musical"),""))</f>
        <v/>
      </c>
      <c r="C383" t="str">
        <f>IF(A383="","",IFERROR(AVERAGEIFS(DATOS!$K$2:$K$20000,DATOS!$A$2:$A$20000,A383,DATOS!$G$2:$G$20000,CONFIG_METADATA!$B$4,DATOS!$I$2:$I$20000,"Coro"),""))</f>
        <v/>
      </c>
      <c r="D383" t="str">
        <f>IF(A383="","",IFERROR(AVERAGEIFS(DATOS!$K$2:$K$20000,DATOS!$A$2:$A$20000,A383,DATOS!$G$2:$G$20000,CONFIG_METADATA!$B$4,DATOS!$I$2:$I$20000,"Conjunto"),""))</f>
        <v/>
      </c>
      <c r="E383" t="str">
        <f>IF(A383="","",IFERROR(AVERAGEIFS(DATOS!$K$2:$K$20000,DATOS!$A$2:$A$20000,A383,DATOS!$G$2:$G$20000,CONFIG_METADATA!$B$4,DATOS!$I$2:$I$20000,"&lt;&gt;Lenguaje Musical",DATOS!$I$2:$I$20000,"&lt;&gt;Coro",DATOS!$I$2:$I$20000,"&lt;&gt;Conjunto"),""))</f>
        <v/>
      </c>
      <c r="H383" t="str">
        <f>IF(G383="","",IFERROR(AVERAGEIFS(DATOS!$K$2:$K$20000,DATOS!$A$2:$A$20000,G383,DATOS!$G$2:$G$20000,CONFIG_METADATA!$B$4,DATOS!$I$2:$I$20000,"Lenguaje Musical"),""))</f>
        <v/>
      </c>
      <c r="I383" t="str">
        <f>IF(G383="","",IFERROR(AVERAGEIFS(DATOS!$K$2:$K$20000,DATOS!$A$2:$A$20000,G383,DATOS!$G$2:$G$20000,CONFIG_METADATA!$B$4,DATOS!$I$2:$I$20000,"Coro"),""))</f>
        <v/>
      </c>
      <c r="J383" t="str">
        <f>IF(G383="","",IFERROR(AVERAGEIFS(DATOS!$K$2:$K$20000,DATOS!$A$2:$A$20000,G383,DATOS!$G$2:$G$20000,CONFIG_METADATA!$B$4,DATOS!$I$2:$I$20000,"Conjunto"),""))</f>
        <v/>
      </c>
      <c r="K383" t="str" cm="1">
        <f t="array" ref="K383">IF(G383="","",IFERROR(AVERAGE(IF((DATOS!$A$2:$A$20000=G383)*(DATOS!$G$2:$G$20000=CONFIG_METADATA!$B$4)*(DATOS!$I$2:$I$20000&lt;&gt;"Lenguaje Musical")*(DATOS!$I$2:$I$20000&lt;&gt;"Coro")*(DATOS!$I$2:$I$20000&lt;&gt;"Conjunto"),DATOS!$K$2:$K$20000)),""))</f>
        <v/>
      </c>
      <c r="N383" t="str">
        <f>IF(M383="","",IFERROR(AVERAGEIFS(DATOS!$K$2:$K$20000,DATOS!$A$2:$A$20000,M383,DATOS!$G$2:$G$20000,CONFIG_METADATA!$B$4,DATOS!$I$2:$I$20000,"Lenguaje Musical"),""))</f>
        <v/>
      </c>
      <c r="O383" t="str">
        <f>IF(M383="","",IFERROR(AVERAGEIFS(DATOS!$K$2:$K$20000,DATOS!$A$2:$A$20000,M383,DATOS!$G$2:$G$20000,CONFIG_METADATA!$B$4,DATOS!$I$2:$I$20000,"Coro"),""))</f>
        <v/>
      </c>
      <c r="P383" t="str">
        <f>IF(M383="","",IFERROR(AVERAGEIFS(DATOS!$K$2:$K$20000,DATOS!$A$2:$A$20000,M383,DATOS!$G$2:$G$20000,CONFIG_METADATA!$B$4,DATOS!$I$2:$I$20000,"Conjunto"),""))</f>
        <v/>
      </c>
      <c r="Q383" t="str">
        <f>IF(M383="","",IFERROR(AVERAGEIFS(DATOS!$K$2:$K$20000,DATOS!$A$2:$A$20000,M383,DATOS!$G$2:$G$20000,CONFIG_METADATA!$B$4,DATOS!$I$2:$I$20000,"&lt;&gt;Lenguaje Musical",DATOS!$I$2:$I$20000,"&lt;&gt;Coro",DATOS!$I$2:$I$20000,"&lt;&gt;Conjunto"),""))</f>
        <v/>
      </c>
      <c r="T383" t="str">
        <f>IF(S383="","",IFERROR(AVERAGEIFS(DATOS!$K$2:$K$20000,DATOS!$A$2:$A$20000,S383,DATOS!$G$2:$G$20000,CONFIG_METADATA!$B$4,DATOS!$I$2:$I$20000,"Lenguaje Musical"),""))</f>
        <v/>
      </c>
      <c r="U383" t="str">
        <f>IF(S383="","",IFERROR(AVERAGEIFS(DATOS!$K$2:$K$20000,DATOS!$A$2:$A$20000,S383,DATOS!$G$2:$G$20000,CONFIG_METADATA!$B$4,DATOS!$I$2:$I$20000,"Coro"),""))</f>
        <v/>
      </c>
      <c r="V383" t="str">
        <f>IF(S383="","",IFERROR(AVERAGEIFS(DATOS!$K$2:$K$20000,DATOS!$A$2:$A$20000,S383,DATOS!$G$2:$G$20000,CONFIG_METADATA!$B$4,DATOS!$I$2:$I$20000,"Conjunto"),""))</f>
        <v/>
      </c>
      <c r="W383" t="str" cm="1">
        <f t="array" ref="W383">IF(S383="","",IFERROR(AVERAGE(IF((DATOS!$A$2:$A$20000=S383)*(DATOS!$G$2:$G$20000=CONFIG_METADATA!$B$4)*(DATOS!$I$2:$I$20000&lt;&gt;"Lenguaje Musical")*(DATOS!$I$2:$I$20000&lt;&gt;"Coro")*(DATOS!$I$2:$I$20000&lt;&gt;"Conjunto"),DATOS!$K$2:$K$20000)),""))</f>
        <v/>
      </c>
    </row>
    <row r="384" spans="2:23" x14ac:dyDescent="0.2">
      <c r="B384" t="str">
        <f>IF(A384="","",IFERROR(AVERAGEIFS(DATOS!$K$2:$K$20000,DATOS!$A$2:$A$20000,A384,DATOS!$G$2:$G$20000,CONFIG_METADATA!$B$4,DATOS!$I$2:$I$20000,"Lenguaje Musical"),""))</f>
        <v/>
      </c>
      <c r="C384" t="str">
        <f>IF(A384="","",IFERROR(AVERAGEIFS(DATOS!$K$2:$K$20000,DATOS!$A$2:$A$20000,A384,DATOS!$G$2:$G$20000,CONFIG_METADATA!$B$4,DATOS!$I$2:$I$20000,"Coro"),""))</f>
        <v/>
      </c>
      <c r="D384" t="str">
        <f>IF(A384="","",IFERROR(AVERAGEIFS(DATOS!$K$2:$K$20000,DATOS!$A$2:$A$20000,A384,DATOS!$G$2:$G$20000,CONFIG_METADATA!$B$4,DATOS!$I$2:$I$20000,"Conjunto"),""))</f>
        <v/>
      </c>
      <c r="E384" t="str">
        <f>IF(A384="","",IFERROR(AVERAGEIFS(DATOS!$K$2:$K$20000,DATOS!$A$2:$A$20000,A384,DATOS!$G$2:$G$20000,CONFIG_METADATA!$B$4,DATOS!$I$2:$I$20000,"&lt;&gt;Lenguaje Musical",DATOS!$I$2:$I$20000,"&lt;&gt;Coro",DATOS!$I$2:$I$20000,"&lt;&gt;Conjunto"),""))</f>
        <v/>
      </c>
      <c r="H384" t="str">
        <f>IF(G384="","",IFERROR(AVERAGEIFS(DATOS!$K$2:$K$20000,DATOS!$A$2:$A$20000,G384,DATOS!$G$2:$G$20000,CONFIG_METADATA!$B$4,DATOS!$I$2:$I$20000,"Lenguaje Musical"),""))</f>
        <v/>
      </c>
      <c r="I384" t="str">
        <f>IF(G384="","",IFERROR(AVERAGEIFS(DATOS!$K$2:$K$20000,DATOS!$A$2:$A$20000,G384,DATOS!$G$2:$G$20000,CONFIG_METADATA!$B$4,DATOS!$I$2:$I$20000,"Coro"),""))</f>
        <v/>
      </c>
      <c r="J384" t="str">
        <f>IF(G384="","",IFERROR(AVERAGEIFS(DATOS!$K$2:$K$20000,DATOS!$A$2:$A$20000,G384,DATOS!$G$2:$G$20000,CONFIG_METADATA!$B$4,DATOS!$I$2:$I$20000,"Conjunto"),""))</f>
        <v/>
      </c>
      <c r="K384" t="str" cm="1">
        <f t="array" ref="K384">IF(G384="","",IFERROR(AVERAGE(IF((DATOS!$A$2:$A$20000=G384)*(DATOS!$G$2:$G$20000=CONFIG_METADATA!$B$4)*(DATOS!$I$2:$I$20000&lt;&gt;"Lenguaje Musical")*(DATOS!$I$2:$I$20000&lt;&gt;"Coro")*(DATOS!$I$2:$I$20000&lt;&gt;"Conjunto"),DATOS!$K$2:$K$20000)),""))</f>
        <v/>
      </c>
      <c r="N384" t="str">
        <f>IF(M384="","",IFERROR(AVERAGEIFS(DATOS!$K$2:$K$20000,DATOS!$A$2:$A$20000,M384,DATOS!$G$2:$G$20000,CONFIG_METADATA!$B$4,DATOS!$I$2:$I$20000,"Lenguaje Musical"),""))</f>
        <v/>
      </c>
      <c r="O384" t="str">
        <f>IF(M384="","",IFERROR(AVERAGEIFS(DATOS!$K$2:$K$20000,DATOS!$A$2:$A$20000,M384,DATOS!$G$2:$G$20000,CONFIG_METADATA!$B$4,DATOS!$I$2:$I$20000,"Coro"),""))</f>
        <v/>
      </c>
      <c r="P384" t="str">
        <f>IF(M384="","",IFERROR(AVERAGEIFS(DATOS!$K$2:$K$20000,DATOS!$A$2:$A$20000,M384,DATOS!$G$2:$G$20000,CONFIG_METADATA!$B$4,DATOS!$I$2:$I$20000,"Conjunto"),""))</f>
        <v/>
      </c>
      <c r="Q384" t="str">
        <f>IF(M384="","",IFERROR(AVERAGEIFS(DATOS!$K$2:$K$20000,DATOS!$A$2:$A$20000,M384,DATOS!$G$2:$G$20000,CONFIG_METADATA!$B$4,DATOS!$I$2:$I$20000,"&lt;&gt;Lenguaje Musical",DATOS!$I$2:$I$20000,"&lt;&gt;Coro",DATOS!$I$2:$I$20000,"&lt;&gt;Conjunto"),""))</f>
        <v/>
      </c>
      <c r="T384" t="str">
        <f>IF(S384="","",IFERROR(AVERAGEIFS(DATOS!$K$2:$K$20000,DATOS!$A$2:$A$20000,S384,DATOS!$G$2:$G$20000,CONFIG_METADATA!$B$4,DATOS!$I$2:$I$20000,"Lenguaje Musical"),""))</f>
        <v/>
      </c>
      <c r="U384" t="str">
        <f>IF(S384="","",IFERROR(AVERAGEIFS(DATOS!$K$2:$K$20000,DATOS!$A$2:$A$20000,S384,DATOS!$G$2:$G$20000,CONFIG_METADATA!$B$4,DATOS!$I$2:$I$20000,"Coro"),""))</f>
        <v/>
      </c>
      <c r="V384" t="str">
        <f>IF(S384="","",IFERROR(AVERAGEIFS(DATOS!$K$2:$K$20000,DATOS!$A$2:$A$20000,S384,DATOS!$G$2:$G$20000,CONFIG_METADATA!$B$4,DATOS!$I$2:$I$20000,"Conjunto"),""))</f>
        <v/>
      </c>
      <c r="W384" t="str" cm="1">
        <f t="array" ref="W384">IF(S384="","",IFERROR(AVERAGE(IF((DATOS!$A$2:$A$20000=S384)*(DATOS!$G$2:$G$20000=CONFIG_METADATA!$B$4)*(DATOS!$I$2:$I$20000&lt;&gt;"Lenguaje Musical")*(DATOS!$I$2:$I$20000&lt;&gt;"Coro")*(DATOS!$I$2:$I$20000&lt;&gt;"Conjunto"),DATOS!$K$2:$K$20000)),""))</f>
        <v/>
      </c>
    </row>
    <row r="385" spans="2:23" x14ac:dyDescent="0.2">
      <c r="B385" t="str">
        <f>IF(A385="","",IFERROR(AVERAGEIFS(DATOS!$K$2:$K$20000,DATOS!$A$2:$A$20000,A385,DATOS!$G$2:$G$20000,CONFIG_METADATA!$B$4,DATOS!$I$2:$I$20000,"Lenguaje Musical"),""))</f>
        <v/>
      </c>
      <c r="C385" t="str">
        <f>IF(A385="","",IFERROR(AVERAGEIFS(DATOS!$K$2:$K$20000,DATOS!$A$2:$A$20000,A385,DATOS!$G$2:$G$20000,CONFIG_METADATA!$B$4,DATOS!$I$2:$I$20000,"Coro"),""))</f>
        <v/>
      </c>
      <c r="D385" t="str">
        <f>IF(A385="","",IFERROR(AVERAGEIFS(DATOS!$K$2:$K$20000,DATOS!$A$2:$A$20000,A385,DATOS!$G$2:$G$20000,CONFIG_METADATA!$B$4,DATOS!$I$2:$I$20000,"Conjunto"),""))</f>
        <v/>
      </c>
      <c r="E385" t="str">
        <f>IF(A385="","",IFERROR(AVERAGEIFS(DATOS!$K$2:$K$20000,DATOS!$A$2:$A$20000,A385,DATOS!$G$2:$G$20000,CONFIG_METADATA!$B$4,DATOS!$I$2:$I$20000,"&lt;&gt;Lenguaje Musical",DATOS!$I$2:$I$20000,"&lt;&gt;Coro",DATOS!$I$2:$I$20000,"&lt;&gt;Conjunto"),""))</f>
        <v/>
      </c>
      <c r="H385" t="str">
        <f>IF(G385="","",IFERROR(AVERAGEIFS(DATOS!$K$2:$K$20000,DATOS!$A$2:$A$20000,G385,DATOS!$G$2:$G$20000,CONFIG_METADATA!$B$4,DATOS!$I$2:$I$20000,"Lenguaje Musical"),""))</f>
        <v/>
      </c>
      <c r="I385" t="str">
        <f>IF(G385="","",IFERROR(AVERAGEIFS(DATOS!$K$2:$K$20000,DATOS!$A$2:$A$20000,G385,DATOS!$G$2:$G$20000,CONFIG_METADATA!$B$4,DATOS!$I$2:$I$20000,"Coro"),""))</f>
        <v/>
      </c>
      <c r="J385" t="str">
        <f>IF(G385="","",IFERROR(AVERAGEIFS(DATOS!$K$2:$K$20000,DATOS!$A$2:$A$20000,G385,DATOS!$G$2:$G$20000,CONFIG_METADATA!$B$4,DATOS!$I$2:$I$20000,"Conjunto"),""))</f>
        <v/>
      </c>
      <c r="K385" t="str" cm="1">
        <f t="array" ref="K385">IF(G385="","",IFERROR(AVERAGE(IF((DATOS!$A$2:$A$20000=G385)*(DATOS!$G$2:$G$20000=CONFIG_METADATA!$B$4)*(DATOS!$I$2:$I$20000&lt;&gt;"Lenguaje Musical")*(DATOS!$I$2:$I$20000&lt;&gt;"Coro")*(DATOS!$I$2:$I$20000&lt;&gt;"Conjunto"),DATOS!$K$2:$K$20000)),""))</f>
        <v/>
      </c>
      <c r="N385" t="str">
        <f>IF(M385="","",IFERROR(AVERAGEIFS(DATOS!$K$2:$K$20000,DATOS!$A$2:$A$20000,M385,DATOS!$G$2:$G$20000,CONFIG_METADATA!$B$4,DATOS!$I$2:$I$20000,"Lenguaje Musical"),""))</f>
        <v/>
      </c>
      <c r="O385" t="str">
        <f>IF(M385="","",IFERROR(AVERAGEIFS(DATOS!$K$2:$K$20000,DATOS!$A$2:$A$20000,M385,DATOS!$G$2:$G$20000,CONFIG_METADATA!$B$4,DATOS!$I$2:$I$20000,"Coro"),""))</f>
        <v/>
      </c>
      <c r="P385" t="str">
        <f>IF(M385="","",IFERROR(AVERAGEIFS(DATOS!$K$2:$K$20000,DATOS!$A$2:$A$20000,M385,DATOS!$G$2:$G$20000,CONFIG_METADATA!$B$4,DATOS!$I$2:$I$20000,"Conjunto"),""))</f>
        <v/>
      </c>
      <c r="Q385" t="str">
        <f>IF(M385="","",IFERROR(AVERAGEIFS(DATOS!$K$2:$K$20000,DATOS!$A$2:$A$20000,M385,DATOS!$G$2:$G$20000,CONFIG_METADATA!$B$4,DATOS!$I$2:$I$20000,"&lt;&gt;Lenguaje Musical",DATOS!$I$2:$I$20000,"&lt;&gt;Coro",DATOS!$I$2:$I$20000,"&lt;&gt;Conjunto"),""))</f>
        <v/>
      </c>
      <c r="T385" t="str">
        <f>IF(S385="","",IFERROR(AVERAGEIFS(DATOS!$K$2:$K$20000,DATOS!$A$2:$A$20000,S385,DATOS!$G$2:$G$20000,CONFIG_METADATA!$B$4,DATOS!$I$2:$I$20000,"Lenguaje Musical"),""))</f>
        <v/>
      </c>
      <c r="U385" t="str">
        <f>IF(S385="","",IFERROR(AVERAGEIFS(DATOS!$K$2:$K$20000,DATOS!$A$2:$A$20000,S385,DATOS!$G$2:$G$20000,CONFIG_METADATA!$B$4,DATOS!$I$2:$I$20000,"Coro"),""))</f>
        <v/>
      </c>
      <c r="V385" t="str">
        <f>IF(S385="","",IFERROR(AVERAGEIFS(DATOS!$K$2:$K$20000,DATOS!$A$2:$A$20000,S385,DATOS!$G$2:$G$20000,CONFIG_METADATA!$B$4,DATOS!$I$2:$I$20000,"Conjunto"),""))</f>
        <v/>
      </c>
      <c r="W385" t="str" cm="1">
        <f t="array" ref="W385">IF(S385="","",IFERROR(AVERAGE(IF((DATOS!$A$2:$A$20000=S385)*(DATOS!$G$2:$G$20000=CONFIG_METADATA!$B$4)*(DATOS!$I$2:$I$20000&lt;&gt;"Lenguaje Musical")*(DATOS!$I$2:$I$20000&lt;&gt;"Coro")*(DATOS!$I$2:$I$20000&lt;&gt;"Conjunto"),DATOS!$K$2:$K$20000)),""))</f>
        <v/>
      </c>
    </row>
    <row r="386" spans="2:23" x14ac:dyDescent="0.2">
      <c r="B386" t="str">
        <f>IF(A386="","",IFERROR(AVERAGEIFS(DATOS!$K$2:$K$20000,DATOS!$A$2:$A$20000,A386,DATOS!$G$2:$G$20000,CONFIG_METADATA!$B$4,DATOS!$I$2:$I$20000,"Lenguaje Musical"),""))</f>
        <v/>
      </c>
      <c r="C386" t="str">
        <f>IF(A386="","",IFERROR(AVERAGEIFS(DATOS!$K$2:$K$20000,DATOS!$A$2:$A$20000,A386,DATOS!$G$2:$G$20000,CONFIG_METADATA!$B$4,DATOS!$I$2:$I$20000,"Coro"),""))</f>
        <v/>
      </c>
      <c r="D386" t="str">
        <f>IF(A386="","",IFERROR(AVERAGEIFS(DATOS!$K$2:$K$20000,DATOS!$A$2:$A$20000,A386,DATOS!$G$2:$G$20000,CONFIG_METADATA!$B$4,DATOS!$I$2:$I$20000,"Conjunto"),""))</f>
        <v/>
      </c>
      <c r="E386" t="str">
        <f>IF(A386="","",IFERROR(AVERAGEIFS(DATOS!$K$2:$K$20000,DATOS!$A$2:$A$20000,A386,DATOS!$G$2:$G$20000,CONFIG_METADATA!$B$4,DATOS!$I$2:$I$20000,"&lt;&gt;Lenguaje Musical",DATOS!$I$2:$I$20000,"&lt;&gt;Coro",DATOS!$I$2:$I$20000,"&lt;&gt;Conjunto"),""))</f>
        <v/>
      </c>
      <c r="H386" t="str">
        <f>IF(G386="","",IFERROR(AVERAGEIFS(DATOS!$K$2:$K$20000,DATOS!$A$2:$A$20000,G386,DATOS!$G$2:$G$20000,CONFIG_METADATA!$B$4,DATOS!$I$2:$I$20000,"Lenguaje Musical"),""))</f>
        <v/>
      </c>
      <c r="I386" t="str">
        <f>IF(G386="","",IFERROR(AVERAGEIFS(DATOS!$K$2:$K$20000,DATOS!$A$2:$A$20000,G386,DATOS!$G$2:$G$20000,CONFIG_METADATA!$B$4,DATOS!$I$2:$I$20000,"Coro"),""))</f>
        <v/>
      </c>
      <c r="J386" t="str">
        <f>IF(G386="","",IFERROR(AVERAGEIFS(DATOS!$K$2:$K$20000,DATOS!$A$2:$A$20000,G386,DATOS!$G$2:$G$20000,CONFIG_METADATA!$B$4,DATOS!$I$2:$I$20000,"Conjunto"),""))</f>
        <v/>
      </c>
      <c r="K386" t="str" cm="1">
        <f t="array" ref="K386">IF(G386="","",IFERROR(AVERAGE(IF((DATOS!$A$2:$A$20000=G386)*(DATOS!$G$2:$G$20000=CONFIG_METADATA!$B$4)*(DATOS!$I$2:$I$20000&lt;&gt;"Lenguaje Musical")*(DATOS!$I$2:$I$20000&lt;&gt;"Coro")*(DATOS!$I$2:$I$20000&lt;&gt;"Conjunto"),DATOS!$K$2:$K$20000)),""))</f>
        <v/>
      </c>
      <c r="N386" t="str">
        <f>IF(M386="","",IFERROR(AVERAGEIFS(DATOS!$K$2:$K$20000,DATOS!$A$2:$A$20000,M386,DATOS!$G$2:$G$20000,CONFIG_METADATA!$B$4,DATOS!$I$2:$I$20000,"Lenguaje Musical"),""))</f>
        <v/>
      </c>
      <c r="O386" t="str">
        <f>IF(M386="","",IFERROR(AVERAGEIFS(DATOS!$K$2:$K$20000,DATOS!$A$2:$A$20000,M386,DATOS!$G$2:$G$20000,CONFIG_METADATA!$B$4,DATOS!$I$2:$I$20000,"Coro"),""))</f>
        <v/>
      </c>
      <c r="P386" t="str">
        <f>IF(M386="","",IFERROR(AVERAGEIFS(DATOS!$K$2:$K$20000,DATOS!$A$2:$A$20000,M386,DATOS!$G$2:$G$20000,CONFIG_METADATA!$B$4,DATOS!$I$2:$I$20000,"Conjunto"),""))</f>
        <v/>
      </c>
      <c r="Q386" t="str">
        <f>IF(M386="","",IFERROR(AVERAGEIFS(DATOS!$K$2:$K$20000,DATOS!$A$2:$A$20000,M386,DATOS!$G$2:$G$20000,CONFIG_METADATA!$B$4,DATOS!$I$2:$I$20000,"&lt;&gt;Lenguaje Musical",DATOS!$I$2:$I$20000,"&lt;&gt;Coro",DATOS!$I$2:$I$20000,"&lt;&gt;Conjunto"),""))</f>
        <v/>
      </c>
      <c r="T386" t="str">
        <f>IF(S386="","",IFERROR(AVERAGEIFS(DATOS!$K$2:$K$20000,DATOS!$A$2:$A$20000,S386,DATOS!$G$2:$G$20000,CONFIG_METADATA!$B$4,DATOS!$I$2:$I$20000,"Lenguaje Musical"),""))</f>
        <v/>
      </c>
      <c r="U386" t="str">
        <f>IF(S386="","",IFERROR(AVERAGEIFS(DATOS!$K$2:$K$20000,DATOS!$A$2:$A$20000,S386,DATOS!$G$2:$G$20000,CONFIG_METADATA!$B$4,DATOS!$I$2:$I$20000,"Coro"),""))</f>
        <v/>
      </c>
      <c r="V386" t="str">
        <f>IF(S386="","",IFERROR(AVERAGEIFS(DATOS!$K$2:$K$20000,DATOS!$A$2:$A$20000,S386,DATOS!$G$2:$G$20000,CONFIG_METADATA!$B$4,DATOS!$I$2:$I$20000,"Conjunto"),""))</f>
        <v/>
      </c>
      <c r="W386" t="str" cm="1">
        <f t="array" ref="W386">IF(S386="","",IFERROR(AVERAGE(IF((DATOS!$A$2:$A$20000=S386)*(DATOS!$G$2:$G$20000=CONFIG_METADATA!$B$4)*(DATOS!$I$2:$I$20000&lt;&gt;"Lenguaje Musical")*(DATOS!$I$2:$I$20000&lt;&gt;"Coro")*(DATOS!$I$2:$I$20000&lt;&gt;"Conjunto"),DATOS!$K$2:$K$20000)),""))</f>
        <v/>
      </c>
    </row>
    <row r="387" spans="2:23" x14ac:dyDescent="0.2">
      <c r="B387" t="str">
        <f>IF(A387="","",IFERROR(AVERAGEIFS(DATOS!$K$2:$K$20000,DATOS!$A$2:$A$20000,A387,DATOS!$G$2:$G$20000,CONFIG_METADATA!$B$4,DATOS!$I$2:$I$20000,"Lenguaje Musical"),""))</f>
        <v/>
      </c>
      <c r="C387" t="str">
        <f>IF(A387="","",IFERROR(AVERAGEIFS(DATOS!$K$2:$K$20000,DATOS!$A$2:$A$20000,A387,DATOS!$G$2:$G$20000,CONFIG_METADATA!$B$4,DATOS!$I$2:$I$20000,"Coro"),""))</f>
        <v/>
      </c>
      <c r="D387" t="str">
        <f>IF(A387="","",IFERROR(AVERAGEIFS(DATOS!$K$2:$K$20000,DATOS!$A$2:$A$20000,A387,DATOS!$G$2:$G$20000,CONFIG_METADATA!$B$4,DATOS!$I$2:$I$20000,"Conjunto"),""))</f>
        <v/>
      </c>
      <c r="E387" t="str">
        <f>IF(A387="","",IFERROR(AVERAGEIFS(DATOS!$K$2:$K$20000,DATOS!$A$2:$A$20000,A387,DATOS!$G$2:$G$20000,CONFIG_METADATA!$B$4,DATOS!$I$2:$I$20000,"&lt;&gt;Lenguaje Musical",DATOS!$I$2:$I$20000,"&lt;&gt;Coro",DATOS!$I$2:$I$20000,"&lt;&gt;Conjunto"),""))</f>
        <v/>
      </c>
      <c r="H387" t="str">
        <f>IF(G387="","",IFERROR(AVERAGEIFS(DATOS!$K$2:$K$20000,DATOS!$A$2:$A$20000,G387,DATOS!$G$2:$G$20000,CONFIG_METADATA!$B$4,DATOS!$I$2:$I$20000,"Lenguaje Musical"),""))</f>
        <v/>
      </c>
      <c r="I387" t="str">
        <f>IF(G387="","",IFERROR(AVERAGEIFS(DATOS!$K$2:$K$20000,DATOS!$A$2:$A$20000,G387,DATOS!$G$2:$G$20000,CONFIG_METADATA!$B$4,DATOS!$I$2:$I$20000,"Coro"),""))</f>
        <v/>
      </c>
      <c r="J387" t="str">
        <f>IF(G387="","",IFERROR(AVERAGEIFS(DATOS!$K$2:$K$20000,DATOS!$A$2:$A$20000,G387,DATOS!$G$2:$G$20000,CONFIG_METADATA!$B$4,DATOS!$I$2:$I$20000,"Conjunto"),""))</f>
        <v/>
      </c>
      <c r="K387" t="str" cm="1">
        <f t="array" ref="K387">IF(G387="","",IFERROR(AVERAGE(IF((DATOS!$A$2:$A$20000=G387)*(DATOS!$G$2:$G$20000=CONFIG_METADATA!$B$4)*(DATOS!$I$2:$I$20000&lt;&gt;"Lenguaje Musical")*(DATOS!$I$2:$I$20000&lt;&gt;"Coro")*(DATOS!$I$2:$I$20000&lt;&gt;"Conjunto"),DATOS!$K$2:$K$20000)),""))</f>
        <v/>
      </c>
      <c r="N387" t="str">
        <f>IF(M387="","",IFERROR(AVERAGEIFS(DATOS!$K$2:$K$20000,DATOS!$A$2:$A$20000,M387,DATOS!$G$2:$G$20000,CONFIG_METADATA!$B$4,DATOS!$I$2:$I$20000,"Lenguaje Musical"),""))</f>
        <v/>
      </c>
      <c r="O387" t="str">
        <f>IF(M387="","",IFERROR(AVERAGEIFS(DATOS!$K$2:$K$20000,DATOS!$A$2:$A$20000,M387,DATOS!$G$2:$G$20000,CONFIG_METADATA!$B$4,DATOS!$I$2:$I$20000,"Coro"),""))</f>
        <v/>
      </c>
      <c r="P387" t="str">
        <f>IF(M387="","",IFERROR(AVERAGEIFS(DATOS!$K$2:$K$20000,DATOS!$A$2:$A$20000,M387,DATOS!$G$2:$G$20000,CONFIG_METADATA!$B$4,DATOS!$I$2:$I$20000,"Conjunto"),""))</f>
        <v/>
      </c>
      <c r="Q387" t="str">
        <f>IF(M387="","",IFERROR(AVERAGEIFS(DATOS!$K$2:$K$20000,DATOS!$A$2:$A$20000,M387,DATOS!$G$2:$G$20000,CONFIG_METADATA!$B$4,DATOS!$I$2:$I$20000,"&lt;&gt;Lenguaje Musical",DATOS!$I$2:$I$20000,"&lt;&gt;Coro",DATOS!$I$2:$I$20000,"&lt;&gt;Conjunto"),""))</f>
        <v/>
      </c>
      <c r="T387" t="str">
        <f>IF(S387="","",IFERROR(AVERAGEIFS(DATOS!$K$2:$K$20000,DATOS!$A$2:$A$20000,S387,DATOS!$G$2:$G$20000,CONFIG_METADATA!$B$4,DATOS!$I$2:$I$20000,"Lenguaje Musical"),""))</f>
        <v/>
      </c>
      <c r="U387" t="str">
        <f>IF(S387="","",IFERROR(AVERAGEIFS(DATOS!$K$2:$K$20000,DATOS!$A$2:$A$20000,S387,DATOS!$G$2:$G$20000,CONFIG_METADATA!$B$4,DATOS!$I$2:$I$20000,"Coro"),""))</f>
        <v/>
      </c>
      <c r="V387" t="str">
        <f>IF(S387="","",IFERROR(AVERAGEIFS(DATOS!$K$2:$K$20000,DATOS!$A$2:$A$20000,S387,DATOS!$G$2:$G$20000,CONFIG_METADATA!$B$4,DATOS!$I$2:$I$20000,"Conjunto"),""))</f>
        <v/>
      </c>
      <c r="W387" t="str" cm="1">
        <f t="array" ref="W387">IF(S387="","",IFERROR(AVERAGE(IF((DATOS!$A$2:$A$20000=S387)*(DATOS!$G$2:$G$20000=CONFIG_METADATA!$B$4)*(DATOS!$I$2:$I$20000&lt;&gt;"Lenguaje Musical")*(DATOS!$I$2:$I$20000&lt;&gt;"Coro")*(DATOS!$I$2:$I$20000&lt;&gt;"Conjunto"),DATOS!$K$2:$K$20000)),""))</f>
        <v/>
      </c>
    </row>
    <row r="388" spans="2:23" x14ac:dyDescent="0.2">
      <c r="B388" t="str">
        <f>IF(A388="","",IFERROR(AVERAGEIFS(DATOS!$K$2:$K$20000,DATOS!$A$2:$A$20000,A388,DATOS!$G$2:$G$20000,CONFIG_METADATA!$B$4,DATOS!$I$2:$I$20000,"Lenguaje Musical"),""))</f>
        <v/>
      </c>
      <c r="C388" t="str">
        <f>IF(A388="","",IFERROR(AVERAGEIFS(DATOS!$K$2:$K$20000,DATOS!$A$2:$A$20000,A388,DATOS!$G$2:$G$20000,CONFIG_METADATA!$B$4,DATOS!$I$2:$I$20000,"Coro"),""))</f>
        <v/>
      </c>
      <c r="D388" t="str">
        <f>IF(A388="","",IFERROR(AVERAGEIFS(DATOS!$K$2:$K$20000,DATOS!$A$2:$A$20000,A388,DATOS!$G$2:$G$20000,CONFIG_METADATA!$B$4,DATOS!$I$2:$I$20000,"Conjunto"),""))</f>
        <v/>
      </c>
      <c r="E388" t="str">
        <f>IF(A388="","",IFERROR(AVERAGEIFS(DATOS!$K$2:$K$20000,DATOS!$A$2:$A$20000,A388,DATOS!$G$2:$G$20000,CONFIG_METADATA!$B$4,DATOS!$I$2:$I$20000,"&lt;&gt;Lenguaje Musical",DATOS!$I$2:$I$20000,"&lt;&gt;Coro",DATOS!$I$2:$I$20000,"&lt;&gt;Conjunto"),""))</f>
        <v/>
      </c>
      <c r="H388" t="str">
        <f>IF(G388="","",IFERROR(AVERAGEIFS(DATOS!$K$2:$K$20000,DATOS!$A$2:$A$20000,G388,DATOS!$G$2:$G$20000,CONFIG_METADATA!$B$4,DATOS!$I$2:$I$20000,"Lenguaje Musical"),""))</f>
        <v/>
      </c>
      <c r="I388" t="str">
        <f>IF(G388="","",IFERROR(AVERAGEIFS(DATOS!$K$2:$K$20000,DATOS!$A$2:$A$20000,G388,DATOS!$G$2:$G$20000,CONFIG_METADATA!$B$4,DATOS!$I$2:$I$20000,"Coro"),""))</f>
        <v/>
      </c>
      <c r="J388" t="str">
        <f>IF(G388="","",IFERROR(AVERAGEIFS(DATOS!$K$2:$K$20000,DATOS!$A$2:$A$20000,G388,DATOS!$G$2:$G$20000,CONFIG_METADATA!$B$4,DATOS!$I$2:$I$20000,"Conjunto"),""))</f>
        <v/>
      </c>
      <c r="K388" t="str" cm="1">
        <f t="array" ref="K388">IF(G388="","",IFERROR(AVERAGE(IF((DATOS!$A$2:$A$20000=G388)*(DATOS!$G$2:$G$20000=CONFIG_METADATA!$B$4)*(DATOS!$I$2:$I$20000&lt;&gt;"Lenguaje Musical")*(DATOS!$I$2:$I$20000&lt;&gt;"Coro")*(DATOS!$I$2:$I$20000&lt;&gt;"Conjunto"),DATOS!$K$2:$K$20000)),""))</f>
        <v/>
      </c>
      <c r="N388" t="str">
        <f>IF(M388="","",IFERROR(AVERAGEIFS(DATOS!$K$2:$K$20000,DATOS!$A$2:$A$20000,M388,DATOS!$G$2:$G$20000,CONFIG_METADATA!$B$4,DATOS!$I$2:$I$20000,"Lenguaje Musical"),""))</f>
        <v/>
      </c>
      <c r="O388" t="str">
        <f>IF(M388="","",IFERROR(AVERAGEIFS(DATOS!$K$2:$K$20000,DATOS!$A$2:$A$20000,M388,DATOS!$G$2:$G$20000,CONFIG_METADATA!$B$4,DATOS!$I$2:$I$20000,"Coro"),""))</f>
        <v/>
      </c>
      <c r="P388" t="str">
        <f>IF(M388="","",IFERROR(AVERAGEIFS(DATOS!$K$2:$K$20000,DATOS!$A$2:$A$20000,M388,DATOS!$G$2:$G$20000,CONFIG_METADATA!$B$4,DATOS!$I$2:$I$20000,"Conjunto"),""))</f>
        <v/>
      </c>
      <c r="Q388" t="str">
        <f>IF(M388="","",IFERROR(AVERAGEIFS(DATOS!$K$2:$K$20000,DATOS!$A$2:$A$20000,M388,DATOS!$G$2:$G$20000,CONFIG_METADATA!$B$4,DATOS!$I$2:$I$20000,"&lt;&gt;Lenguaje Musical",DATOS!$I$2:$I$20000,"&lt;&gt;Coro",DATOS!$I$2:$I$20000,"&lt;&gt;Conjunto"),""))</f>
        <v/>
      </c>
      <c r="T388" t="str">
        <f>IF(S388="","",IFERROR(AVERAGEIFS(DATOS!$K$2:$K$20000,DATOS!$A$2:$A$20000,S388,DATOS!$G$2:$G$20000,CONFIG_METADATA!$B$4,DATOS!$I$2:$I$20000,"Lenguaje Musical"),""))</f>
        <v/>
      </c>
      <c r="U388" t="str">
        <f>IF(S388="","",IFERROR(AVERAGEIFS(DATOS!$K$2:$K$20000,DATOS!$A$2:$A$20000,S388,DATOS!$G$2:$G$20000,CONFIG_METADATA!$B$4,DATOS!$I$2:$I$20000,"Coro"),""))</f>
        <v/>
      </c>
      <c r="V388" t="str">
        <f>IF(S388="","",IFERROR(AVERAGEIFS(DATOS!$K$2:$K$20000,DATOS!$A$2:$A$20000,S388,DATOS!$G$2:$G$20000,CONFIG_METADATA!$B$4,DATOS!$I$2:$I$20000,"Conjunto"),""))</f>
        <v/>
      </c>
      <c r="W388" t="str" cm="1">
        <f t="array" ref="W388">IF(S388="","",IFERROR(AVERAGE(IF((DATOS!$A$2:$A$20000=S388)*(DATOS!$G$2:$G$20000=CONFIG_METADATA!$B$4)*(DATOS!$I$2:$I$20000&lt;&gt;"Lenguaje Musical")*(DATOS!$I$2:$I$20000&lt;&gt;"Coro")*(DATOS!$I$2:$I$20000&lt;&gt;"Conjunto"),DATOS!$K$2:$K$20000)),""))</f>
        <v/>
      </c>
    </row>
    <row r="389" spans="2:23" x14ac:dyDescent="0.2">
      <c r="B389" t="str">
        <f>IF(A389="","",IFERROR(AVERAGEIFS(DATOS!$K$2:$K$20000,DATOS!$A$2:$A$20000,A389,DATOS!$G$2:$G$20000,CONFIG_METADATA!$B$4,DATOS!$I$2:$I$20000,"Lenguaje Musical"),""))</f>
        <v/>
      </c>
      <c r="C389" t="str">
        <f>IF(A389="","",IFERROR(AVERAGEIFS(DATOS!$K$2:$K$20000,DATOS!$A$2:$A$20000,A389,DATOS!$G$2:$G$20000,CONFIG_METADATA!$B$4,DATOS!$I$2:$I$20000,"Coro"),""))</f>
        <v/>
      </c>
      <c r="D389" t="str">
        <f>IF(A389="","",IFERROR(AVERAGEIFS(DATOS!$K$2:$K$20000,DATOS!$A$2:$A$20000,A389,DATOS!$G$2:$G$20000,CONFIG_METADATA!$B$4,DATOS!$I$2:$I$20000,"Conjunto"),""))</f>
        <v/>
      </c>
      <c r="E389" t="str">
        <f>IF(A389="","",IFERROR(AVERAGEIFS(DATOS!$K$2:$K$20000,DATOS!$A$2:$A$20000,A389,DATOS!$G$2:$G$20000,CONFIG_METADATA!$B$4,DATOS!$I$2:$I$20000,"&lt;&gt;Lenguaje Musical",DATOS!$I$2:$I$20000,"&lt;&gt;Coro",DATOS!$I$2:$I$20000,"&lt;&gt;Conjunto"),""))</f>
        <v/>
      </c>
      <c r="H389" t="str">
        <f>IF(G389="","",IFERROR(AVERAGEIFS(DATOS!$K$2:$K$20000,DATOS!$A$2:$A$20000,G389,DATOS!$G$2:$G$20000,CONFIG_METADATA!$B$4,DATOS!$I$2:$I$20000,"Lenguaje Musical"),""))</f>
        <v/>
      </c>
      <c r="I389" t="str">
        <f>IF(G389="","",IFERROR(AVERAGEIFS(DATOS!$K$2:$K$20000,DATOS!$A$2:$A$20000,G389,DATOS!$G$2:$G$20000,CONFIG_METADATA!$B$4,DATOS!$I$2:$I$20000,"Coro"),""))</f>
        <v/>
      </c>
      <c r="J389" t="str">
        <f>IF(G389="","",IFERROR(AVERAGEIFS(DATOS!$K$2:$K$20000,DATOS!$A$2:$A$20000,G389,DATOS!$G$2:$G$20000,CONFIG_METADATA!$B$4,DATOS!$I$2:$I$20000,"Conjunto"),""))</f>
        <v/>
      </c>
      <c r="K389" t="str" cm="1">
        <f t="array" ref="K389">IF(G389="","",IFERROR(AVERAGE(IF((DATOS!$A$2:$A$20000=G389)*(DATOS!$G$2:$G$20000=CONFIG_METADATA!$B$4)*(DATOS!$I$2:$I$20000&lt;&gt;"Lenguaje Musical")*(DATOS!$I$2:$I$20000&lt;&gt;"Coro")*(DATOS!$I$2:$I$20000&lt;&gt;"Conjunto"),DATOS!$K$2:$K$20000)),""))</f>
        <v/>
      </c>
      <c r="N389" t="str">
        <f>IF(M389="","",IFERROR(AVERAGEIFS(DATOS!$K$2:$K$20000,DATOS!$A$2:$A$20000,M389,DATOS!$G$2:$G$20000,CONFIG_METADATA!$B$4,DATOS!$I$2:$I$20000,"Lenguaje Musical"),""))</f>
        <v/>
      </c>
      <c r="O389" t="str">
        <f>IF(M389="","",IFERROR(AVERAGEIFS(DATOS!$K$2:$K$20000,DATOS!$A$2:$A$20000,M389,DATOS!$G$2:$G$20000,CONFIG_METADATA!$B$4,DATOS!$I$2:$I$20000,"Coro"),""))</f>
        <v/>
      </c>
      <c r="P389" t="str">
        <f>IF(M389="","",IFERROR(AVERAGEIFS(DATOS!$K$2:$K$20000,DATOS!$A$2:$A$20000,M389,DATOS!$G$2:$G$20000,CONFIG_METADATA!$B$4,DATOS!$I$2:$I$20000,"Conjunto"),""))</f>
        <v/>
      </c>
      <c r="Q389" t="str">
        <f>IF(M389="","",IFERROR(AVERAGEIFS(DATOS!$K$2:$K$20000,DATOS!$A$2:$A$20000,M389,DATOS!$G$2:$G$20000,CONFIG_METADATA!$B$4,DATOS!$I$2:$I$20000,"&lt;&gt;Lenguaje Musical",DATOS!$I$2:$I$20000,"&lt;&gt;Coro",DATOS!$I$2:$I$20000,"&lt;&gt;Conjunto"),""))</f>
        <v/>
      </c>
      <c r="T389" t="str">
        <f>IF(S389="","",IFERROR(AVERAGEIFS(DATOS!$K$2:$K$20000,DATOS!$A$2:$A$20000,S389,DATOS!$G$2:$G$20000,CONFIG_METADATA!$B$4,DATOS!$I$2:$I$20000,"Lenguaje Musical"),""))</f>
        <v/>
      </c>
      <c r="U389" t="str">
        <f>IF(S389="","",IFERROR(AVERAGEIFS(DATOS!$K$2:$K$20000,DATOS!$A$2:$A$20000,S389,DATOS!$G$2:$G$20000,CONFIG_METADATA!$B$4,DATOS!$I$2:$I$20000,"Coro"),""))</f>
        <v/>
      </c>
      <c r="V389" t="str">
        <f>IF(S389="","",IFERROR(AVERAGEIFS(DATOS!$K$2:$K$20000,DATOS!$A$2:$A$20000,S389,DATOS!$G$2:$G$20000,CONFIG_METADATA!$B$4,DATOS!$I$2:$I$20000,"Conjunto"),""))</f>
        <v/>
      </c>
      <c r="W389" t="str" cm="1">
        <f t="array" ref="W389">IF(S389="","",IFERROR(AVERAGE(IF((DATOS!$A$2:$A$20000=S389)*(DATOS!$G$2:$G$20000=CONFIG_METADATA!$B$4)*(DATOS!$I$2:$I$20000&lt;&gt;"Lenguaje Musical")*(DATOS!$I$2:$I$20000&lt;&gt;"Coro")*(DATOS!$I$2:$I$20000&lt;&gt;"Conjunto"),DATOS!$K$2:$K$20000)),""))</f>
        <v/>
      </c>
    </row>
    <row r="390" spans="2:23" x14ac:dyDescent="0.2">
      <c r="B390" t="str">
        <f>IF(A390="","",IFERROR(AVERAGEIFS(DATOS!$K$2:$K$20000,DATOS!$A$2:$A$20000,A390,DATOS!$G$2:$G$20000,CONFIG_METADATA!$B$4,DATOS!$I$2:$I$20000,"Lenguaje Musical"),""))</f>
        <v/>
      </c>
      <c r="C390" t="str">
        <f>IF(A390="","",IFERROR(AVERAGEIFS(DATOS!$K$2:$K$20000,DATOS!$A$2:$A$20000,A390,DATOS!$G$2:$G$20000,CONFIG_METADATA!$B$4,DATOS!$I$2:$I$20000,"Coro"),""))</f>
        <v/>
      </c>
      <c r="D390" t="str">
        <f>IF(A390="","",IFERROR(AVERAGEIFS(DATOS!$K$2:$K$20000,DATOS!$A$2:$A$20000,A390,DATOS!$G$2:$G$20000,CONFIG_METADATA!$B$4,DATOS!$I$2:$I$20000,"Conjunto"),""))</f>
        <v/>
      </c>
      <c r="E390" t="str">
        <f>IF(A390="","",IFERROR(AVERAGEIFS(DATOS!$K$2:$K$20000,DATOS!$A$2:$A$20000,A390,DATOS!$G$2:$G$20000,CONFIG_METADATA!$B$4,DATOS!$I$2:$I$20000,"&lt;&gt;Lenguaje Musical",DATOS!$I$2:$I$20000,"&lt;&gt;Coro",DATOS!$I$2:$I$20000,"&lt;&gt;Conjunto"),""))</f>
        <v/>
      </c>
      <c r="H390" t="str">
        <f>IF(G390="","",IFERROR(AVERAGEIFS(DATOS!$K$2:$K$20000,DATOS!$A$2:$A$20000,G390,DATOS!$G$2:$G$20000,CONFIG_METADATA!$B$4,DATOS!$I$2:$I$20000,"Lenguaje Musical"),""))</f>
        <v/>
      </c>
      <c r="I390" t="str">
        <f>IF(G390="","",IFERROR(AVERAGEIFS(DATOS!$K$2:$K$20000,DATOS!$A$2:$A$20000,G390,DATOS!$G$2:$G$20000,CONFIG_METADATA!$B$4,DATOS!$I$2:$I$20000,"Coro"),""))</f>
        <v/>
      </c>
      <c r="J390" t="str">
        <f>IF(G390="","",IFERROR(AVERAGEIFS(DATOS!$K$2:$K$20000,DATOS!$A$2:$A$20000,G390,DATOS!$G$2:$G$20000,CONFIG_METADATA!$B$4,DATOS!$I$2:$I$20000,"Conjunto"),""))</f>
        <v/>
      </c>
      <c r="K390" t="str" cm="1">
        <f t="array" ref="K390">IF(G390="","",IFERROR(AVERAGE(IF((DATOS!$A$2:$A$20000=G390)*(DATOS!$G$2:$G$20000=CONFIG_METADATA!$B$4)*(DATOS!$I$2:$I$20000&lt;&gt;"Lenguaje Musical")*(DATOS!$I$2:$I$20000&lt;&gt;"Coro")*(DATOS!$I$2:$I$20000&lt;&gt;"Conjunto"),DATOS!$K$2:$K$20000)),""))</f>
        <v/>
      </c>
      <c r="N390" t="str">
        <f>IF(M390="","",IFERROR(AVERAGEIFS(DATOS!$K$2:$K$20000,DATOS!$A$2:$A$20000,M390,DATOS!$G$2:$G$20000,CONFIG_METADATA!$B$4,DATOS!$I$2:$I$20000,"Lenguaje Musical"),""))</f>
        <v/>
      </c>
      <c r="O390" t="str">
        <f>IF(M390="","",IFERROR(AVERAGEIFS(DATOS!$K$2:$K$20000,DATOS!$A$2:$A$20000,M390,DATOS!$G$2:$G$20000,CONFIG_METADATA!$B$4,DATOS!$I$2:$I$20000,"Coro"),""))</f>
        <v/>
      </c>
      <c r="P390" t="str">
        <f>IF(M390="","",IFERROR(AVERAGEIFS(DATOS!$K$2:$K$20000,DATOS!$A$2:$A$20000,M390,DATOS!$G$2:$G$20000,CONFIG_METADATA!$B$4,DATOS!$I$2:$I$20000,"Conjunto"),""))</f>
        <v/>
      </c>
      <c r="Q390" t="str">
        <f>IF(M390="","",IFERROR(AVERAGEIFS(DATOS!$K$2:$K$20000,DATOS!$A$2:$A$20000,M390,DATOS!$G$2:$G$20000,CONFIG_METADATA!$B$4,DATOS!$I$2:$I$20000,"&lt;&gt;Lenguaje Musical",DATOS!$I$2:$I$20000,"&lt;&gt;Coro",DATOS!$I$2:$I$20000,"&lt;&gt;Conjunto"),""))</f>
        <v/>
      </c>
      <c r="T390" t="str">
        <f>IF(S390="","",IFERROR(AVERAGEIFS(DATOS!$K$2:$K$20000,DATOS!$A$2:$A$20000,S390,DATOS!$G$2:$G$20000,CONFIG_METADATA!$B$4,DATOS!$I$2:$I$20000,"Lenguaje Musical"),""))</f>
        <v/>
      </c>
      <c r="U390" t="str">
        <f>IF(S390="","",IFERROR(AVERAGEIFS(DATOS!$K$2:$K$20000,DATOS!$A$2:$A$20000,S390,DATOS!$G$2:$G$20000,CONFIG_METADATA!$B$4,DATOS!$I$2:$I$20000,"Coro"),""))</f>
        <v/>
      </c>
      <c r="V390" t="str">
        <f>IF(S390="","",IFERROR(AVERAGEIFS(DATOS!$K$2:$K$20000,DATOS!$A$2:$A$20000,S390,DATOS!$G$2:$G$20000,CONFIG_METADATA!$B$4,DATOS!$I$2:$I$20000,"Conjunto"),""))</f>
        <v/>
      </c>
      <c r="W390" t="str" cm="1">
        <f t="array" ref="W390">IF(S390="","",IFERROR(AVERAGE(IF((DATOS!$A$2:$A$20000=S390)*(DATOS!$G$2:$G$20000=CONFIG_METADATA!$B$4)*(DATOS!$I$2:$I$20000&lt;&gt;"Lenguaje Musical")*(DATOS!$I$2:$I$20000&lt;&gt;"Coro")*(DATOS!$I$2:$I$20000&lt;&gt;"Conjunto"),DATOS!$K$2:$K$20000)),""))</f>
        <v/>
      </c>
    </row>
    <row r="391" spans="2:23" x14ac:dyDescent="0.2">
      <c r="B391" t="str">
        <f>IF(A391="","",IFERROR(AVERAGEIFS(DATOS!$K$2:$K$20000,DATOS!$A$2:$A$20000,A391,DATOS!$G$2:$G$20000,CONFIG_METADATA!$B$4,DATOS!$I$2:$I$20000,"Lenguaje Musical"),""))</f>
        <v/>
      </c>
      <c r="C391" t="str">
        <f>IF(A391="","",IFERROR(AVERAGEIFS(DATOS!$K$2:$K$20000,DATOS!$A$2:$A$20000,A391,DATOS!$G$2:$G$20000,CONFIG_METADATA!$B$4,DATOS!$I$2:$I$20000,"Coro"),""))</f>
        <v/>
      </c>
      <c r="D391" t="str">
        <f>IF(A391="","",IFERROR(AVERAGEIFS(DATOS!$K$2:$K$20000,DATOS!$A$2:$A$20000,A391,DATOS!$G$2:$G$20000,CONFIG_METADATA!$B$4,DATOS!$I$2:$I$20000,"Conjunto"),""))</f>
        <v/>
      </c>
      <c r="E391" t="str">
        <f>IF(A391="","",IFERROR(AVERAGEIFS(DATOS!$K$2:$K$20000,DATOS!$A$2:$A$20000,A391,DATOS!$G$2:$G$20000,CONFIG_METADATA!$B$4,DATOS!$I$2:$I$20000,"&lt;&gt;Lenguaje Musical",DATOS!$I$2:$I$20000,"&lt;&gt;Coro",DATOS!$I$2:$I$20000,"&lt;&gt;Conjunto"),""))</f>
        <v/>
      </c>
      <c r="H391" t="str">
        <f>IF(G391="","",IFERROR(AVERAGEIFS(DATOS!$K$2:$K$20000,DATOS!$A$2:$A$20000,G391,DATOS!$G$2:$G$20000,CONFIG_METADATA!$B$4,DATOS!$I$2:$I$20000,"Lenguaje Musical"),""))</f>
        <v/>
      </c>
      <c r="I391" t="str">
        <f>IF(G391="","",IFERROR(AVERAGEIFS(DATOS!$K$2:$K$20000,DATOS!$A$2:$A$20000,G391,DATOS!$G$2:$G$20000,CONFIG_METADATA!$B$4,DATOS!$I$2:$I$20000,"Coro"),""))</f>
        <v/>
      </c>
      <c r="J391" t="str">
        <f>IF(G391="","",IFERROR(AVERAGEIFS(DATOS!$K$2:$K$20000,DATOS!$A$2:$A$20000,G391,DATOS!$G$2:$G$20000,CONFIG_METADATA!$B$4,DATOS!$I$2:$I$20000,"Conjunto"),""))</f>
        <v/>
      </c>
      <c r="K391" t="str" cm="1">
        <f t="array" ref="K391">IF(G391="","",IFERROR(AVERAGE(IF((DATOS!$A$2:$A$20000=G391)*(DATOS!$G$2:$G$20000=CONFIG_METADATA!$B$4)*(DATOS!$I$2:$I$20000&lt;&gt;"Lenguaje Musical")*(DATOS!$I$2:$I$20000&lt;&gt;"Coro")*(DATOS!$I$2:$I$20000&lt;&gt;"Conjunto"),DATOS!$K$2:$K$20000)),""))</f>
        <v/>
      </c>
      <c r="N391" t="str">
        <f>IF(M391="","",IFERROR(AVERAGEIFS(DATOS!$K$2:$K$20000,DATOS!$A$2:$A$20000,M391,DATOS!$G$2:$G$20000,CONFIG_METADATA!$B$4,DATOS!$I$2:$I$20000,"Lenguaje Musical"),""))</f>
        <v/>
      </c>
      <c r="O391" t="str">
        <f>IF(M391="","",IFERROR(AVERAGEIFS(DATOS!$K$2:$K$20000,DATOS!$A$2:$A$20000,M391,DATOS!$G$2:$G$20000,CONFIG_METADATA!$B$4,DATOS!$I$2:$I$20000,"Coro"),""))</f>
        <v/>
      </c>
      <c r="P391" t="str">
        <f>IF(M391="","",IFERROR(AVERAGEIFS(DATOS!$K$2:$K$20000,DATOS!$A$2:$A$20000,M391,DATOS!$G$2:$G$20000,CONFIG_METADATA!$B$4,DATOS!$I$2:$I$20000,"Conjunto"),""))</f>
        <v/>
      </c>
      <c r="Q391" t="str">
        <f>IF(M391="","",IFERROR(AVERAGEIFS(DATOS!$K$2:$K$20000,DATOS!$A$2:$A$20000,M391,DATOS!$G$2:$G$20000,CONFIG_METADATA!$B$4,DATOS!$I$2:$I$20000,"&lt;&gt;Lenguaje Musical",DATOS!$I$2:$I$20000,"&lt;&gt;Coro",DATOS!$I$2:$I$20000,"&lt;&gt;Conjunto"),""))</f>
        <v/>
      </c>
      <c r="T391" t="str">
        <f>IF(S391="","",IFERROR(AVERAGEIFS(DATOS!$K$2:$K$20000,DATOS!$A$2:$A$20000,S391,DATOS!$G$2:$G$20000,CONFIG_METADATA!$B$4,DATOS!$I$2:$I$20000,"Lenguaje Musical"),""))</f>
        <v/>
      </c>
      <c r="U391" t="str">
        <f>IF(S391="","",IFERROR(AVERAGEIFS(DATOS!$K$2:$K$20000,DATOS!$A$2:$A$20000,S391,DATOS!$G$2:$G$20000,CONFIG_METADATA!$B$4,DATOS!$I$2:$I$20000,"Coro"),""))</f>
        <v/>
      </c>
      <c r="V391" t="str">
        <f>IF(S391="","",IFERROR(AVERAGEIFS(DATOS!$K$2:$K$20000,DATOS!$A$2:$A$20000,S391,DATOS!$G$2:$G$20000,CONFIG_METADATA!$B$4,DATOS!$I$2:$I$20000,"Conjunto"),""))</f>
        <v/>
      </c>
      <c r="W391" t="str" cm="1">
        <f t="array" ref="W391">IF(S391="","",IFERROR(AVERAGE(IF((DATOS!$A$2:$A$20000=S391)*(DATOS!$G$2:$G$20000=CONFIG_METADATA!$B$4)*(DATOS!$I$2:$I$20000&lt;&gt;"Lenguaje Musical")*(DATOS!$I$2:$I$20000&lt;&gt;"Coro")*(DATOS!$I$2:$I$20000&lt;&gt;"Conjunto"),DATOS!$K$2:$K$20000)),""))</f>
        <v/>
      </c>
    </row>
    <row r="392" spans="2:23" x14ac:dyDescent="0.2">
      <c r="B392" t="str">
        <f>IF(A392="","",IFERROR(AVERAGEIFS(DATOS!$K$2:$K$20000,DATOS!$A$2:$A$20000,A392,DATOS!$G$2:$G$20000,CONFIG_METADATA!$B$4,DATOS!$I$2:$I$20000,"Lenguaje Musical"),""))</f>
        <v/>
      </c>
      <c r="C392" t="str">
        <f>IF(A392="","",IFERROR(AVERAGEIFS(DATOS!$K$2:$K$20000,DATOS!$A$2:$A$20000,A392,DATOS!$G$2:$G$20000,CONFIG_METADATA!$B$4,DATOS!$I$2:$I$20000,"Coro"),""))</f>
        <v/>
      </c>
      <c r="D392" t="str">
        <f>IF(A392="","",IFERROR(AVERAGEIFS(DATOS!$K$2:$K$20000,DATOS!$A$2:$A$20000,A392,DATOS!$G$2:$G$20000,CONFIG_METADATA!$B$4,DATOS!$I$2:$I$20000,"Conjunto"),""))</f>
        <v/>
      </c>
      <c r="E392" t="str">
        <f>IF(A392="","",IFERROR(AVERAGEIFS(DATOS!$K$2:$K$20000,DATOS!$A$2:$A$20000,A392,DATOS!$G$2:$G$20000,CONFIG_METADATA!$B$4,DATOS!$I$2:$I$20000,"&lt;&gt;Lenguaje Musical",DATOS!$I$2:$I$20000,"&lt;&gt;Coro",DATOS!$I$2:$I$20000,"&lt;&gt;Conjunto"),""))</f>
        <v/>
      </c>
      <c r="H392" t="str">
        <f>IF(G392="","",IFERROR(AVERAGEIFS(DATOS!$K$2:$K$20000,DATOS!$A$2:$A$20000,G392,DATOS!$G$2:$G$20000,CONFIG_METADATA!$B$4,DATOS!$I$2:$I$20000,"Lenguaje Musical"),""))</f>
        <v/>
      </c>
      <c r="I392" t="str">
        <f>IF(G392="","",IFERROR(AVERAGEIFS(DATOS!$K$2:$K$20000,DATOS!$A$2:$A$20000,G392,DATOS!$G$2:$G$20000,CONFIG_METADATA!$B$4,DATOS!$I$2:$I$20000,"Coro"),""))</f>
        <v/>
      </c>
      <c r="J392" t="str">
        <f>IF(G392="","",IFERROR(AVERAGEIFS(DATOS!$K$2:$K$20000,DATOS!$A$2:$A$20000,G392,DATOS!$G$2:$G$20000,CONFIG_METADATA!$B$4,DATOS!$I$2:$I$20000,"Conjunto"),""))</f>
        <v/>
      </c>
      <c r="K392" t="str" cm="1">
        <f t="array" ref="K392">IF(G392="","",IFERROR(AVERAGE(IF((DATOS!$A$2:$A$20000=G392)*(DATOS!$G$2:$G$20000=CONFIG_METADATA!$B$4)*(DATOS!$I$2:$I$20000&lt;&gt;"Lenguaje Musical")*(DATOS!$I$2:$I$20000&lt;&gt;"Coro")*(DATOS!$I$2:$I$20000&lt;&gt;"Conjunto"),DATOS!$K$2:$K$20000)),""))</f>
        <v/>
      </c>
      <c r="N392" t="str">
        <f>IF(M392="","",IFERROR(AVERAGEIFS(DATOS!$K$2:$K$20000,DATOS!$A$2:$A$20000,M392,DATOS!$G$2:$G$20000,CONFIG_METADATA!$B$4,DATOS!$I$2:$I$20000,"Lenguaje Musical"),""))</f>
        <v/>
      </c>
      <c r="O392" t="str">
        <f>IF(M392="","",IFERROR(AVERAGEIFS(DATOS!$K$2:$K$20000,DATOS!$A$2:$A$20000,M392,DATOS!$G$2:$G$20000,CONFIG_METADATA!$B$4,DATOS!$I$2:$I$20000,"Coro"),""))</f>
        <v/>
      </c>
      <c r="P392" t="str">
        <f>IF(M392="","",IFERROR(AVERAGEIFS(DATOS!$K$2:$K$20000,DATOS!$A$2:$A$20000,M392,DATOS!$G$2:$G$20000,CONFIG_METADATA!$B$4,DATOS!$I$2:$I$20000,"Conjunto"),""))</f>
        <v/>
      </c>
      <c r="Q392" t="str">
        <f>IF(M392="","",IFERROR(AVERAGEIFS(DATOS!$K$2:$K$20000,DATOS!$A$2:$A$20000,M392,DATOS!$G$2:$G$20000,CONFIG_METADATA!$B$4,DATOS!$I$2:$I$20000,"&lt;&gt;Lenguaje Musical",DATOS!$I$2:$I$20000,"&lt;&gt;Coro",DATOS!$I$2:$I$20000,"&lt;&gt;Conjunto"),""))</f>
        <v/>
      </c>
      <c r="T392" t="str">
        <f>IF(S392="","",IFERROR(AVERAGEIFS(DATOS!$K$2:$K$20000,DATOS!$A$2:$A$20000,S392,DATOS!$G$2:$G$20000,CONFIG_METADATA!$B$4,DATOS!$I$2:$I$20000,"Lenguaje Musical"),""))</f>
        <v/>
      </c>
      <c r="U392" t="str">
        <f>IF(S392="","",IFERROR(AVERAGEIFS(DATOS!$K$2:$K$20000,DATOS!$A$2:$A$20000,S392,DATOS!$G$2:$G$20000,CONFIG_METADATA!$B$4,DATOS!$I$2:$I$20000,"Coro"),""))</f>
        <v/>
      </c>
      <c r="V392" t="str">
        <f>IF(S392="","",IFERROR(AVERAGEIFS(DATOS!$K$2:$K$20000,DATOS!$A$2:$A$20000,S392,DATOS!$G$2:$G$20000,CONFIG_METADATA!$B$4,DATOS!$I$2:$I$20000,"Conjunto"),""))</f>
        <v/>
      </c>
      <c r="W392" t="str" cm="1">
        <f t="array" ref="W392">IF(S392="","",IFERROR(AVERAGE(IF((DATOS!$A$2:$A$20000=S392)*(DATOS!$G$2:$G$20000=CONFIG_METADATA!$B$4)*(DATOS!$I$2:$I$20000&lt;&gt;"Lenguaje Musical")*(DATOS!$I$2:$I$20000&lt;&gt;"Coro")*(DATOS!$I$2:$I$20000&lt;&gt;"Conjunto"),DATOS!$K$2:$K$20000)),""))</f>
        <v/>
      </c>
    </row>
    <row r="393" spans="2:23" x14ac:dyDescent="0.2">
      <c r="B393" t="str">
        <f>IF(A393="","",IFERROR(AVERAGEIFS(DATOS!$K$2:$K$20000,DATOS!$A$2:$A$20000,A393,DATOS!$G$2:$G$20000,CONFIG_METADATA!$B$4,DATOS!$I$2:$I$20000,"Lenguaje Musical"),""))</f>
        <v/>
      </c>
      <c r="C393" t="str">
        <f>IF(A393="","",IFERROR(AVERAGEIFS(DATOS!$K$2:$K$20000,DATOS!$A$2:$A$20000,A393,DATOS!$G$2:$G$20000,CONFIG_METADATA!$B$4,DATOS!$I$2:$I$20000,"Coro"),""))</f>
        <v/>
      </c>
      <c r="D393" t="str">
        <f>IF(A393="","",IFERROR(AVERAGEIFS(DATOS!$K$2:$K$20000,DATOS!$A$2:$A$20000,A393,DATOS!$G$2:$G$20000,CONFIG_METADATA!$B$4,DATOS!$I$2:$I$20000,"Conjunto"),""))</f>
        <v/>
      </c>
      <c r="E393" t="str">
        <f>IF(A393="","",IFERROR(AVERAGEIFS(DATOS!$K$2:$K$20000,DATOS!$A$2:$A$20000,A393,DATOS!$G$2:$G$20000,CONFIG_METADATA!$B$4,DATOS!$I$2:$I$20000,"&lt;&gt;Lenguaje Musical",DATOS!$I$2:$I$20000,"&lt;&gt;Coro",DATOS!$I$2:$I$20000,"&lt;&gt;Conjunto"),""))</f>
        <v/>
      </c>
      <c r="H393" t="str">
        <f>IF(G393="","",IFERROR(AVERAGEIFS(DATOS!$K$2:$K$20000,DATOS!$A$2:$A$20000,G393,DATOS!$G$2:$G$20000,CONFIG_METADATA!$B$4,DATOS!$I$2:$I$20000,"Lenguaje Musical"),""))</f>
        <v/>
      </c>
      <c r="I393" t="str">
        <f>IF(G393="","",IFERROR(AVERAGEIFS(DATOS!$K$2:$K$20000,DATOS!$A$2:$A$20000,G393,DATOS!$G$2:$G$20000,CONFIG_METADATA!$B$4,DATOS!$I$2:$I$20000,"Coro"),""))</f>
        <v/>
      </c>
      <c r="J393" t="str">
        <f>IF(G393="","",IFERROR(AVERAGEIFS(DATOS!$K$2:$K$20000,DATOS!$A$2:$A$20000,G393,DATOS!$G$2:$G$20000,CONFIG_METADATA!$B$4,DATOS!$I$2:$I$20000,"Conjunto"),""))</f>
        <v/>
      </c>
      <c r="K393" t="str" cm="1">
        <f t="array" ref="K393">IF(G393="","",IFERROR(AVERAGE(IF((DATOS!$A$2:$A$20000=G393)*(DATOS!$G$2:$G$20000=CONFIG_METADATA!$B$4)*(DATOS!$I$2:$I$20000&lt;&gt;"Lenguaje Musical")*(DATOS!$I$2:$I$20000&lt;&gt;"Coro")*(DATOS!$I$2:$I$20000&lt;&gt;"Conjunto"),DATOS!$K$2:$K$20000)),""))</f>
        <v/>
      </c>
      <c r="N393" t="str">
        <f>IF(M393="","",IFERROR(AVERAGEIFS(DATOS!$K$2:$K$20000,DATOS!$A$2:$A$20000,M393,DATOS!$G$2:$G$20000,CONFIG_METADATA!$B$4,DATOS!$I$2:$I$20000,"Lenguaje Musical"),""))</f>
        <v/>
      </c>
      <c r="O393" t="str">
        <f>IF(M393="","",IFERROR(AVERAGEIFS(DATOS!$K$2:$K$20000,DATOS!$A$2:$A$20000,M393,DATOS!$G$2:$G$20000,CONFIG_METADATA!$B$4,DATOS!$I$2:$I$20000,"Coro"),""))</f>
        <v/>
      </c>
      <c r="P393" t="str">
        <f>IF(M393="","",IFERROR(AVERAGEIFS(DATOS!$K$2:$K$20000,DATOS!$A$2:$A$20000,M393,DATOS!$G$2:$G$20000,CONFIG_METADATA!$B$4,DATOS!$I$2:$I$20000,"Conjunto"),""))</f>
        <v/>
      </c>
      <c r="Q393" t="str">
        <f>IF(M393="","",IFERROR(AVERAGEIFS(DATOS!$K$2:$K$20000,DATOS!$A$2:$A$20000,M393,DATOS!$G$2:$G$20000,CONFIG_METADATA!$B$4,DATOS!$I$2:$I$20000,"&lt;&gt;Lenguaje Musical",DATOS!$I$2:$I$20000,"&lt;&gt;Coro",DATOS!$I$2:$I$20000,"&lt;&gt;Conjunto"),""))</f>
        <v/>
      </c>
      <c r="T393" t="str">
        <f>IF(S393="","",IFERROR(AVERAGEIFS(DATOS!$K$2:$K$20000,DATOS!$A$2:$A$20000,S393,DATOS!$G$2:$G$20000,CONFIG_METADATA!$B$4,DATOS!$I$2:$I$20000,"Lenguaje Musical"),""))</f>
        <v/>
      </c>
      <c r="U393" t="str">
        <f>IF(S393="","",IFERROR(AVERAGEIFS(DATOS!$K$2:$K$20000,DATOS!$A$2:$A$20000,S393,DATOS!$G$2:$G$20000,CONFIG_METADATA!$B$4,DATOS!$I$2:$I$20000,"Coro"),""))</f>
        <v/>
      </c>
      <c r="V393" t="str">
        <f>IF(S393="","",IFERROR(AVERAGEIFS(DATOS!$K$2:$K$20000,DATOS!$A$2:$A$20000,S393,DATOS!$G$2:$G$20000,CONFIG_METADATA!$B$4,DATOS!$I$2:$I$20000,"Conjunto"),""))</f>
        <v/>
      </c>
      <c r="W393" t="str" cm="1">
        <f t="array" ref="W393">IF(S393="","",IFERROR(AVERAGE(IF((DATOS!$A$2:$A$20000=S393)*(DATOS!$G$2:$G$20000=CONFIG_METADATA!$B$4)*(DATOS!$I$2:$I$20000&lt;&gt;"Lenguaje Musical")*(DATOS!$I$2:$I$20000&lt;&gt;"Coro")*(DATOS!$I$2:$I$20000&lt;&gt;"Conjunto"),DATOS!$K$2:$K$20000)),""))</f>
        <v/>
      </c>
    </row>
    <row r="394" spans="2:23" x14ac:dyDescent="0.2">
      <c r="B394" t="str">
        <f>IF(A394="","",IFERROR(AVERAGEIFS(DATOS!$K$2:$K$20000,DATOS!$A$2:$A$20000,A394,DATOS!$G$2:$G$20000,CONFIG_METADATA!$B$4,DATOS!$I$2:$I$20000,"Lenguaje Musical"),""))</f>
        <v/>
      </c>
      <c r="C394" t="str">
        <f>IF(A394="","",IFERROR(AVERAGEIFS(DATOS!$K$2:$K$20000,DATOS!$A$2:$A$20000,A394,DATOS!$G$2:$G$20000,CONFIG_METADATA!$B$4,DATOS!$I$2:$I$20000,"Coro"),""))</f>
        <v/>
      </c>
      <c r="D394" t="str">
        <f>IF(A394="","",IFERROR(AVERAGEIFS(DATOS!$K$2:$K$20000,DATOS!$A$2:$A$20000,A394,DATOS!$G$2:$G$20000,CONFIG_METADATA!$B$4,DATOS!$I$2:$I$20000,"Conjunto"),""))</f>
        <v/>
      </c>
      <c r="E394" t="str">
        <f>IF(A394="","",IFERROR(AVERAGEIFS(DATOS!$K$2:$K$20000,DATOS!$A$2:$A$20000,A394,DATOS!$G$2:$G$20000,CONFIG_METADATA!$B$4,DATOS!$I$2:$I$20000,"&lt;&gt;Lenguaje Musical",DATOS!$I$2:$I$20000,"&lt;&gt;Coro",DATOS!$I$2:$I$20000,"&lt;&gt;Conjunto"),""))</f>
        <v/>
      </c>
      <c r="H394" t="str">
        <f>IF(G394="","",IFERROR(AVERAGEIFS(DATOS!$K$2:$K$20000,DATOS!$A$2:$A$20000,G394,DATOS!$G$2:$G$20000,CONFIG_METADATA!$B$4,DATOS!$I$2:$I$20000,"Lenguaje Musical"),""))</f>
        <v/>
      </c>
      <c r="I394" t="str">
        <f>IF(G394="","",IFERROR(AVERAGEIFS(DATOS!$K$2:$K$20000,DATOS!$A$2:$A$20000,G394,DATOS!$G$2:$G$20000,CONFIG_METADATA!$B$4,DATOS!$I$2:$I$20000,"Coro"),""))</f>
        <v/>
      </c>
      <c r="J394" t="str">
        <f>IF(G394="","",IFERROR(AVERAGEIFS(DATOS!$K$2:$K$20000,DATOS!$A$2:$A$20000,G394,DATOS!$G$2:$G$20000,CONFIG_METADATA!$B$4,DATOS!$I$2:$I$20000,"Conjunto"),""))</f>
        <v/>
      </c>
      <c r="K394" t="str" cm="1">
        <f t="array" ref="K394">IF(G394="","",IFERROR(AVERAGE(IF((DATOS!$A$2:$A$20000=G394)*(DATOS!$G$2:$G$20000=CONFIG_METADATA!$B$4)*(DATOS!$I$2:$I$20000&lt;&gt;"Lenguaje Musical")*(DATOS!$I$2:$I$20000&lt;&gt;"Coro")*(DATOS!$I$2:$I$20000&lt;&gt;"Conjunto"),DATOS!$K$2:$K$20000)),""))</f>
        <v/>
      </c>
      <c r="N394" t="str">
        <f>IF(M394="","",IFERROR(AVERAGEIFS(DATOS!$K$2:$K$20000,DATOS!$A$2:$A$20000,M394,DATOS!$G$2:$G$20000,CONFIG_METADATA!$B$4,DATOS!$I$2:$I$20000,"Lenguaje Musical"),""))</f>
        <v/>
      </c>
      <c r="O394" t="str">
        <f>IF(M394="","",IFERROR(AVERAGEIFS(DATOS!$K$2:$K$20000,DATOS!$A$2:$A$20000,M394,DATOS!$G$2:$G$20000,CONFIG_METADATA!$B$4,DATOS!$I$2:$I$20000,"Coro"),""))</f>
        <v/>
      </c>
      <c r="P394" t="str">
        <f>IF(M394="","",IFERROR(AVERAGEIFS(DATOS!$K$2:$K$20000,DATOS!$A$2:$A$20000,M394,DATOS!$G$2:$G$20000,CONFIG_METADATA!$B$4,DATOS!$I$2:$I$20000,"Conjunto"),""))</f>
        <v/>
      </c>
      <c r="Q394" t="str">
        <f>IF(M394="","",IFERROR(AVERAGEIFS(DATOS!$K$2:$K$20000,DATOS!$A$2:$A$20000,M394,DATOS!$G$2:$G$20000,CONFIG_METADATA!$B$4,DATOS!$I$2:$I$20000,"&lt;&gt;Lenguaje Musical",DATOS!$I$2:$I$20000,"&lt;&gt;Coro",DATOS!$I$2:$I$20000,"&lt;&gt;Conjunto"),""))</f>
        <v/>
      </c>
      <c r="T394" t="str">
        <f>IF(S394="","",IFERROR(AVERAGEIFS(DATOS!$K$2:$K$20000,DATOS!$A$2:$A$20000,S394,DATOS!$G$2:$G$20000,CONFIG_METADATA!$B$4,DATOS!$I$2:$I$20000,"Lenguaje Musical"),""))</f>
        <v/>
      </c>
      <c r="U394" t="str">
        <f>IF(S394="","",IFERROR(AVERAGEIFS(DATOS!$K$2:$K$20000,DATOS!$A$2:$A$20000,S394,DATOS!$G$2:$G$20000,CONFIG_METADATA!$B$4,DATOS!$I$2:$I$20000,"Coro"),""))</f>
        <v/>
      </c>
      <c r="V394" t="str">
        <f>IF(S394="","",IFERROR(AVERAGEIFS(DATOS!$K$2:$K$20000,DATOS!$A$2:$A$20000,S394,DATOS!$G$2:$G$20000,CONFIG_METADATA!$B$4,DATOS!$I$2:$I$20000,"Conjunto"),""))</f>
        <v/>
      </c>
      <c r="W394" t="str" cm="1">
        <f t="array" ref="W394">IF(S394="","",IFERROR(AVERAGE(IF((DATOS!$A$2:$A$20000=S394)*(DATOS!$G$2:$G$20000=CONFIG_METADATA!$B$4)*(DATOS!$I$2:$I$20000&lt;&gt;"Lenguaje Musical")*(DATOS!$I$2:$I$20000&lt;&gt;"Coro")*(DATOS!$I$2:$I$20000&lt;&gt;"Conjunto"),DATOS!$K$2:$K$20000)),""))</f>
        <v/>
      </c>
    </row>
    <row r="395" spans="2:23" x14ac:dyDescent="0.2">
      <c r="B395" t="str">
        <f>IF(A395="","",IFERROR(AVERAGEIFS(DATOS!$K$2:$K$20000,DATOS!$A$2:$A$20000,A395,DATOS!$G$2:$G$20000,CONFIG_METADATA!$B$4,DATOS!$I$2:$I$20000,"Lenguaje Musical"),""))</f>
        <v/>
      </c>
      <c r="C395" t="str">
        <f>IF(A395="","",IFERROR(AVERAGEIFS(DATOS!$K$2:$K$20000,DATOS!$A$2:$A$20000,A395,DATOS!$G$2:$G$20000,CONFIG_METADATA!$B$4,DATOS!$I$2:$I$20000,"Coro"),""))</f>
        <v/>
      </c>
      <c r="D395" t="str">
        <f>IF(A395="","",IFERROR(AVERAGEIFS(DATOS!$K$2:$K$20000,DATOS!$A$2:$A$20000,A395,DATOS!$G$2:$G$20000,CONFIG_METADATA!$B$4,DATOS!$I$2:$I$20000,"Conjunto"),""))</f>
        <v/>
      </c>
      <c r="E395" t="str">
        <f>IF(A395="","",IFERROR(AVERAGEIFS(DATOS!$K$2:$K$20000,DATOS!$A$2:$A$20000,A395,DATOS!$G$2:$G$20000,CONFIG_METADATA!$B$4,DATOS!$I$2:$I$20000,"&lt;&gt;Lenguaje Musical",DATOS!$I$2:$I$20000,"&lt;&gt;Coro",DATOS!$I$2:$I$20000,"&lt;&gt;Conjunto"),""))</f>
        <v/>
      </c>
      <c r="H395" t="str">
        <f>IF(G395="","",IFERROR(AVERAGEIFS(DATOS!$K$2:$K$20000,DATOS!$A$2:$A$20000,G395,DATOS!$G$2:$G$20000,CONFIG_METADATA!$B$4,DATOS!$I$2:$I$20000,"Lenguaje Musical"),""))</f>
        <v/>
      </c>
      <c r="I395" t="str">
        <f>IF(G395="","",IFERROR(AVERAGEIFS(DATOS!$K$2:$K$20000,DATOS!$A$2:$A$20000,G395,DATOS!$G$2:$G$20000,CONFIG_METADATA!$B$4,DATOS!$I$2:$I$20000,"Coro"),""))</f>
        <v/>
      </c>
      <c r="J395" t="str">
        <f>IF(G395="","",IFERROR(AVERAGEIFS(DATOS!$K$2:$K$20000,DATOS!$A$2:$A$20000,G395,DATOS!$G$2:$G$20000,CONFIG_METADATA!$B$4,DATOS!$I$2:$I$20000,"Conjunto"),""))</f>
        <v/>
      </c>
      <c r="K395" t="str" cm="1">
        <f t="array" ref="K395">IF(G395="","",IFERROR(AVERAGE(IF((DATOS!$A$2:$A$20000=G395)*(DATOS!$G$2:$G$20000=CONFIG_METADATA!$B$4)*(DATOS!$I$2:$I$20000&lt;&gt;"Lenguaje Musical")*(DATOS!$I$2:$I$20000&lt;&gt;"Coro")*(DATOS!$I$2:$I$20000&lt;&gt;"Conjunto"),DATOS!$K$2:$K$20000)),""))</f>
        <v/>
      </c>
      <c r="N395" t="str">
        <f>IF(M395="","",IFERROR(AVERAGEIFS(DATOS!$K$2:$K$20000,DATOS!$A$2:$A$20000,M395,DATOS!$G$2:$G$20000,CONFIG_METADATA!$B$4,DATOS!$I$2:$I$20000,"Lenguaje Musical"),""))</f>
        <v/>
      </c>
      <c r="O395" t="str">
        <f>IF(M395="","",IFERROR(AVERAGEIFS(DATOS!$K$2:$K$20000,DATOS!$A$2:$A$20000,M395,DATOS!$G$2:$G$20000,CONFIG_METADATA!$B$4,DATOS!$I$2:$I$20000,"Coro"),""))</f>
        <v/>
      </c>
      <c r="P395" t="str">
        <f>IF(M395="","",IFERROR(AVERAGEIFS(DATOS!$K$2:$K$20000,DATOS!$A$2:$A$20000,M395,DATOS!$G$2:$G$20000,CONFIG_METADATA!$B$4,DATOS!$I$2:$I$20000,"Conjunto"),""))</f>
        <v/>
      </c>
      <c r="Q395" t="str">
        <f>IF(M395="","",IFERROR(AVERAGEIFS(DATOS!$K$2:$K$20000,DATOS!$A$2:$A$20000,M395,DATOS!$G$2:$G$20000,CONFIG_METADATA!$B$4,DATOS!$I$2:$I$20000,"&lt;&gt;Lenguaje Musical",DATOS!$I$2:$I$20000,"&lt;&gt;Coro",DATOS!$I$2:$I$20000,"&lt;&gt;Conjunto"),""))</f>
        <v/>
      </c>
      <c r="T395" t="str">
        <f>IF(S395="","",IFERROR(AVERAGEIFS(DATOS!$K$2:$K$20000,DATOS!$A$2:$A$20000,S395,DATOS!$G$2:$G$20000,CONFIG_METADATA!$B$4,DATOS!$I$2:$I$20000,"Lenguaje Musical"),""))</f>
        <v/>
      </c>
      <c r="U395" t="str">
        <f>IF(S395="","",IFERROR(AVERAGEIFS(DATOS!$K$2:$K$20000,DATOS!$A$2:$A$20000,S395,DATOS!$G$2:$G$20000,CONFIG_METADATA!$B$4,DATOS!$I$2:$I$20000,"Coro"),""))</f>
        <v/>
      </c>
      <c r="V395" t="str">
        <f>IF(S395="","",IFERROR(AVERAGEIFS(DATOS!$K$2:$K$20000,DATOS!$A$2:$A$20000,S395,DATOS!$G$2:$G$20000,CONFIG_METADATA!$B$4,DATOS!$I$2:$I$20000,"Conjunto"),""))</f>
        <v/>
      </c>
      <c r="W395" t="str" cm="1">
        <f t="array" ref="W395">IF(S395="","",IFERROR(AVERAGE(IF((DATOS!$A$2:$A$20000=S395)*(DATOS!$G$2:$G$20000=CONFIG_METADATA!$B$4)*(DATOS!$I$2:$I$20000&lt;&gt;"Lenguaje Musical")*(DATOS!$I$2:$I$20000&lt;&gt;"Coro")*(DATOS!$I$2:$I$20000&lt;&gt;"Conjunto"),DATOS!$K$2:$K$20000)),""))</f>
        <v/>
      </c>
    </row>
    <row r="396" spans="2:23" x14ac:dyDescent="0.2">
      <c r="B396" t="str">
        <f>IF(A396="","",IFERROR(AVERAGEIFS(DATOS!$K$2:$K$20000,DATOS!$A$2:$A$20000,A396,DATOS!$G$2:$G$20000,CONFIG_METADATA!$B$4,DATOS!$I$2:$I$20000,"Lenguaje Musical"),""))</f>
        <v/>
      </c>
      <c r="C396" t="str">
        <f>IF(A396="","",IFERROR(AVERAGEIFS(DATOS!$K$2:$K$20000,DATOS!$A$2:$A$20000,A396,DATOS!$G$2:$G$20000,CONFIG_METADATA!$B$4,DATOS!$I$2:$I$20000,"Coro"),""))</f>
        <v/>
      </c>
      <c r="D396" t="str">
        <f>IF(A396="","",IFERROR(AVERAGEIFS(DATOS!$K$2:$K$20000,DATOS!$A$2:$A$20000,A396,DATOS!$G$2:$G$20000,CONFIG_METADATA!$B$4,DATOS!$I$2:$I$20000,"Conjunto"),""))</f>
        <v/>
      </c>
      <c r="E396" t="str">
        <f>IF(A396="","",IFERROR(AVERAGEIFS(DATOS!$K$2:$K$20000,DATOS!$A$2:$A$20000,A396,DATOS!$G$2:$G$20000,CONFIG_METADATA!$B$4,DATOS!$I$2:$I$20000,"&lt;&gt;Lenguaje Musical",DATOS!$I$2:$I$20000,"&lt;&gt;Coro",DATOS!$I$2:$I$20000,"&lt;&gt;Conjunto"),""))</f>
        <v/>
      </c>
      <c r="H396" t="str">
        <f>IF(G396="","",IFERROR(AVERAGEIFS(DATOS!$K$2:$K$20000,DATOS!$A$2:$A$20000,G396,DATOS!$G$2:$G$20000,CONFIG_METADATA!$B$4,DATOS!$I$2:$I$20000,"Lenguaje Musical"),""))</f>
        <v/>
      </c>
      <c r="I396" t="str">
        <f>IF(G396="","",IFERROR(AVERAGEIFS(DATOS!$K$2:$K$20000,DATOS!$A$2:$A$20000,G396,DATOS!$G$2:$G$20000,CONFIG_METADATA!$B$4,DATOS!$I$2:$I$20000,"Coro"),""))</f>
        <v/>
      </c>
      <c r="J396" t="str">
        <f>IF(G396="","",IFERROR(AVERAGEIFS(DATOS!$K$2:$K$20000,DATOS!$A$2:$A$20000,G396,DATOS!$G$2:$G$20000,CONFIG_METADATA!$B$4,DATOS!$I$2:$I$20000,"Conjunto"),""))</f>
        <v/>
      </c>
      <c r="K396" t="str" cm="1">
        <f t="array" ref="K396">IF(G396="","",IFERROR(AVERAGE(IF((DATOS!$A$2:$A$20000=G396)*(DATOS!$G$2:$G$20000=CONFIG_METADATA!$B$4)*(DATOS!$I$2:$I$20000&lt;&gt;"Lenguaje Musical")*(DATOS!$I$2:$I$20000&lt;&gt;"Coro")*(DATOS!$I$2:$I$20000&lt;&gt;"Conjunto"),DATOS!$K$2:$K$20000)),""))</f>
        <v/>
      </c>
      <c r="N396" t="str">
        <f>IF(M396="","",IFERROR(AVERAGEIFS(DATOS!$K$2:$K$20000,DATOS!$A$2:$A$20000,M396,DATOS!$G$2:$G$20000,CONFIG_METADATA!$B$4,DATOS!$I$2:$I$20000,"Lenguaje Musical"),""))</f>
        <v/>
      </c>
      <c r="O396" t="str">
        <f>IF(M396="","",IFERROR(AVERAGEIFS(DATOS!$K$2:$K$20000,DATOS!$A$2:$A$20000,M396,DATOS!$G$2:$G$20000,CONFIG_METADATA!$B$4,DATOS!$I$2:$I$20000,"Coro"),""))</f>
        <v/>
      </c>
      <c r="P396" t="str">
        <f>IF(M396="","",IFERROR(AVERAGEIFS(DATOS!$K$2:$K$20000,DATOS!$A$2:$A$20000,M396,DATOS!$G$2:$G$20000,CONFIG_METADATA!$B$4,DATOS!$I$2:$I$20000,"Conjunto"),""))</f>
        <v/>
      </c>
      <c r="Q396" t="str">
        <f>IF(M396="","",IFERROR(AVERAGEIFS(DATOS!$K$2:$K$20000,DATOS!$A$2:$A$20000,M396,DATOS!$G$2:$G$20000,CONFIG_METADATA!$B$4,DATOS!$I$2:$I$20000,"&lt;&gt;Lenguaje Musical",DATOS!$I$2:$I$20000,"&lt;&gt;Coro",DATOS!$I$2:$I$20000,"&lt;&gt;Conjunto"),""))</f>
        <v/>
      </c>
      <c r="T396" t="str">
        <f>IF(S396="","",IFERROR(AVERAGEIFS(DATOS!$K$2:$K$20000,DATOS!$A$2:$A$20000,S396,DATOS!$G$2:$G$20000,CONFIG_METADATA!$B$4,DATOS!$I$2:$I$20000,"Lenguaje Musical"),""))</f>
        <v/>
      </c>
      <c r="U396" t="str">
        <f>IF(S396="","",IFERROR(AVERAGEIFS(DATOS!$K$2:$K$20000,DATOS!$A$2:$A$20000,S396,DATOS!$G$2:$G$20000,CONFIG_METADATA!$B$4,DATOS!$I$2:$I$20000,"Coro"),""))</f>
        <v/>
      </c>
      <c r="V396" t="str">
        <f>IF(S396="","",IFERROR(AVERAGEIFS(DATOS!$K$2:$K$20000,DATOS!$A$2:$A$20000,S396,DATOS!$G$2:$G$20000,CONFIG_METADATA!$B$4,DATOS!$I$2:$I$20000,"Conjunto"),""))</f>
        <v/>
      </c>
      <c r="W396" t="str" cm="1">
        <f t="array" ref="W396">IF(S396="","",IFERROR(AVERAGE(IF((DATOS!$A$2:$A$20000=S396)*(DATOS!$G$2:$G$20000=CONFIG_METADATA!$B$4)*(DATOS!$I$2:$I$20000&lt;&gt;"Lenguaje Musical")*(DATOS!$I$2:$I$20000&lt;&gt;"Coro")*(DATOS!$I$2:$I$20000&lt;&gt;"Conjunto"),DATOS!$K$2:$K$20000)),""))</f>
        <v/>
      </c>
    </row>
    <row r="397" spans="2:23" x14ac:dyDescent="0.2">
      <c r="B397" t="str">
        <f>IF(A397="","",IFERROR(AVERAGEIFS(DATOS!$K$2:$K$20000,DATOS!$A$2:$A$20000,A397,DATOS!$G$2:$G$20000,CONFIG_METADATA!$B$4,DATOS!$I$2:$I$20000,"Lenguaje Musical"),""))</f>
        <v/>
      </c>
      <c r="C397" t="str">
        <f>IF(A397="","",IFERROR(AVERAGEIFS(DATOS!$K$2:$K$20000,DATOS!$A$2:$A$20000,A397,DATOS!$G$2:$G$20000,CONFIG_METADATA!$B$4,DATOS!$I$2:$I$20000,"Coro"),""))</f>
        <v/>
      </c>
      <c r="D397" t="str">
        <f>IF(A397="","",IFERROR(AVERAGEIFS(DATOS!$K$2:$K$20000,DATOS!$A$2:$A$20000,A397,DATOS!$G$2:$G$20000,CONFIG_METADATA!$B$4,DATOS!$I$2:$I$20000,"Conjunto"),""))</f>
        <v/>
      </c>
      <c r="E397" t="str">
        <f>IF(A397="","",IFERROR(AVERAGEIFS(DATOS!$K$2:$K$20000,DATOS!$A$2:$A$20000,A397,DATOS!$G$2:$G$20000,CONFIG_METADATA!$B$4,DATOS!$I$2:$I$20000,"&lt;&gt;Lenguaje Musical",DATOS!$I$2:$I$20000,"&lt;&gt;Coro",DATOS!$I$2:$I$20000,"&lt;&gt;Conjunto"),""))</f>
        <v/>
      </c>
      <c r="H397" t="str">
        <f>IF(G397="","",IFERROR(AVERAGEIFS(DATOS!$K$2:$K$20000,DATOS!$A$2:$A$20000,G397,DATOS!$G$2:$G$20000,CONFIG_METADATA!$B$4,DATOS!$I$2:$I$20000,"Lenguaje Musical"),""))</f>
        <v/>
      </c>
      <c r="I397" t="str">
        <f>IF(G397="","",IFERROR(AVERAGEIFS(DATOS!$K$2:$K$20000,DATOS!$A$2:$A$20000,G397,DATOS!$G$2:$G$20000,CONFIG_METADATA!$B$4,DATOS!$I$2:$I$20000,"Coro"),""))</f>
        <v/>
      </c>
      <c r="J397" t="str">
        <f>IF(G397="","",IFERROR(AVERAGEIFS(DATOS!$K$2:$K$20000,DATOS!$A$2:$A$20000,G397,DATOS!$G$2:$G$20000,CONFIG_METADATA!$B$4,DATOS!$I$2:$I$20000,"Conjunto"),""))</f>
        <v/>
      </c>
      <c r="K397" t="str" cm="1">
        <f t="array" ref="K397">IF(G397="","",IFERROR(AVERAGE(IF((DATOS!$A$2:$A$20000=G397)*(DATOS!$G$2:$G$20000=CONFIG_METADATA!$B$4)*(DATOS!$I$2:$I$20000&lt;&gt;"Lenguaje Musical")*(DATOS!$I$2:$I$20000&lt;&gt;"Coro")*(DATOS!$I$2:$I$20000&lt;&gt;"Conjunto"),DATOS!$K$2:$K$20000)),""))</f>
        <v/>
      </c>
      <c r="N397" t="str">
        <f>IF(M397="","",IFERROR(AVERAGEIFS(DATOS!$K$2:$K$20000,DATOS!$A$2:$A$20000,M397,DATOS!$G$2:$G$20000,CONFIG_METADATA!$B$4,DATOS!$I$2:$I$20000,"Lenguaje Musical"),""))</f>
        <v/>
      </c>
      <c r="O397" t="str">
        <f>IF(M397="","",IFERROR(AVERAGEIFS(DATOS!$K$2:$K$20000,DATOS!$A$2:$A$20000,M397,DATOS!$G$2:$G$20000,CONFIG_METADATA!$B$4,DATOS!$I$2:$I$20000,"Coro"),""))</f>
        <v/>
      </c>
      <c r="P397" t="str">
        <f>IF(M397="","",IFERROR(AVERAGEIFS(DATOS!$K$2:$K$20000,DATOS!$A$2:$A$20000,M397,DATOS!$G$2:$G$20000,CONFIG_METADATA!$B$4,DATOS!$I$2:$I$20000,"Conjunto"),""))</f>
        <v/>
      </c>
      <c r="Q397" t="str">
        <f>IF(M397="","",IFERROR(AVERAGEIFS(DATOS!$K$2:$K$20000,DATOS!$A$2:$A$20000,M397,DATOS!$G$2:$G$20000,CONFIG_METADATA!$B$4,DATOS!$I$2:$I$20000,"&lt;&gt;Lenguaje Musical",DATOS!$I$2:$I$20000,"&lt;&gt;Coro",DATOS!$I$2:$I$20000,"&lt;&gt;Conjunto"),""))</f>
        <v/>
      </c>
      <c r="T397" t="str">
        <f>IF(S397="","",IFERROR(AVERAGEIFS(DATOS!$K$2:$K$20000,DATOS!$A$2:$A$20000,S397,DATOS!$G$2:$G$20000,CONFIG_METADATA!$B$4,DATOS!$I$2:$I$20000,"Lenguaje Musical"),""))</f>
        <v/>
      </c>
      <c r="U397" t="str">
        <f>IF(S397="","",IFERROR(AVERAGEIFS(DATOS!$K$2:$K$20000,DATOS!$A$2:$A$20000,S397,DATOS!$G$2:$G$20000,CONFIG_METADATA!$B$4,DATOS!$I$2:$I$20000,"Coro"),""))</f>
        <v/>
      </c>
      <c r="V397" t="str">
        <f>IF(S397="","",IFERROR(AVERAGEIFS(DATOS!$K$2:$K$20000,DATOS!$A$2:$A$20000,S397,DATOS!$G$2:$G$20000,CONFIG_METADATA!$B$4,DATOS!$I$2:$I$20000,"Conjunto"),""))</f>
        <v/>
      </c>
      <c r="W397" t="str" cm="1">
        <f t="array" ref="W397">IF(S397="","",IFERROR(AVERAGE(IF((DATOS!$A$2:$A$20000=S397)*(DATOS!$G$2:$G$20000=CONFIG_METADATA!$B$4)*(DATOS!$I$2:$I$20000&lt;&gt;"Lenguaje Musical")*(DATOS!$I$2:$I$20000&lt;&gt;"Coro")*(DATOS!$I$2:$I$20000&lt;&gt;"Conjunto"),DATOS!$K$2:$K$20000)),""))</f>
        <v/>
      </c>
    </row>
    <row r="398" spans="2:23" x14ac:dyDescent="0.2">
      <c r="B398" t="str">
        <f>IF(A398="","",IFERROR(AVERAGEIFS(DATOS!$K$2:$K$20000,DATOS!$A$2:$A$20000,A398,DATOS!$G$2:$G$20000,CONFIG_METADATA!$B$4,DATOS!$I$2:$I$20000,"Lenguaje Musical"),""))</f>
        <v/>
      </c>
      <c r="C398" t="str">
        <f>IF(A398="","",IFERROR(AVERAGEIFS(DATOS!$K$2:$K$20000,DATOS!$A$2:$A$20000,A398,DATOS!$G$2:$G$20000,CONFIG_METADATA!$B$4,DATOS!$I$2:$I$20000,"Coro"),""))</f>
        <v/>
      </c>
      <c r="D398" t="str">
        <f>IF(A398="","",IFERROR(AVERAGEIFS(DATOS!$K$2:$K$20000,DATOS!$A$2:$A$20000,A398,DATOS!$G$2:$G$20000,CONFIG_METADATA!$B$4,DATOS!$I$2:$I$20000,"Conjunto"),""))</f>
        <v/>
      </c>
      <c r="E398" t="str">
        <f>IF(A398="","",IFERROR(AVERAGEIFS(DATOS!$K$2:$K$20000,DATOS!$A$2:$A$20000,A398,DATOS!$G$2:$G$20000,CONFIG_METADATA!$B$4,DATOS!$I$2:$I$20000,"&lt;&gt;Lenguaje Musical",DATOS!$I$2:$I$20000,"&lt;&gt;Coro",DATOS!$I$2:$I$20000,"&lt;&gt;Conjunto"),""))</f>
        <v/>
      </c>
      <c r="H398" t="str">
        <f>IF(G398="","",IFERROR(AVERAGEIFS(DATOS!$K$2:$K$20000,DATOS!$A$2:$A$20000,G398,DATOS!$G$2:$G$20000,CONFIG_METADATA!$B$4,DATOS!$I$2:$I$20000,"Lenguaje Musical"),""))</f>
        <v/>
      </c>
      <c r="I398" t="str">
        <f>IF(G398="","",IFERROR(AVERAGEIFS(DATOS!$K$2:$K$20000,DATOS!$A$2:$A$20000,G398,DATOS!$G$2:$G$20000,CONFIG_METADATA!$B$4,DATOS!$I$2:$I$20000,"Coro"),""))</f>
        <v/>
      </c>
      <c r="J398" t="str">
        <f>IF(G398="","",IFERROR(AVERAGEIFS(DATOS!$K$2:$K$20000,DATOS!$A$2:$A$20000,G398,DATOS!$G$2:$G$20000,CONFIG_METADATA!$B$4,DATOS!$I$2:$I$20000,"Conjunto"),""))</f>
        <v/>
      </c>
      <c r="K398" t="str" cm="1">
        <f t="array" ref="K398">IF(G398="","",IFERROR(AVERAGE(IF((DATOS!$A$2:$A$20000=G398)*(DATOS!$G$2:$G$20000=CONFIG_METADATA!$B$4)*(DATOS!$I$2:$I$20000&lt;&gt;"Lenguaje Musical")*(DATOS!$I$2:$I$20000&lt;&gt;"Coro")*(DATOS!$I$2:$I$20000&lt;&gt;"Conjunto"),DATOS!$K$2:$K$20000)),""))</f>
        <v/>
      </c>
      <c r="N398" t="str">
        <f>IF(M398="","",IFERROR(AVERAGEIFS(DATOS!$K$2:$K$20000,DATOS!$A$2:$A$20000,M398,DATOS!$G$2:$G$20000,CONFIG_METADATA!$B$4,DATOS!$I$2:$I$20000,"Lenguaje Musical"),""))</f>
        <v/>
      </c>
      <c r="O398" t="str">
        <f>IF(M398="","",IFERROR(AVERAGEIFS(DATOS!$K$2:$K$20000,DATOS!$A$2:$A$20000,M398,DATOS!$G$2:$G$20000,CONFIG_METADATA!$B$4,DATOS!$I$2:$I$20000,"Coro"),""))</f>
        <v/>
      </c>
      <c r="P398" t="str">
        <f>IF(M398="","",IFERROR(AVERAGEIFS(DATOS!$K$2:$K$20000,DATOS!$A$2:$A$20000,M398,DATOS!$G$2:$G$20000,CONFIG_METADATA!$B$4,DATOS!$I$2:$I$20000,"Conjunto"),""))</f>
        <v/>
      </c>
      <c r="Q398" t="str">
        <f>IF(M398="","",IFERROR(AVERAGEIFS(DATOS!$K$2:$K$20000,DATOS!$A$2:$A$20000,M398,DATOS!$G$2:$G$20000,CONFIG_METADATA!$B$4,DATOS!$I$2:$I$20000,"&lt;&gt;Lenguaje Musical",DATOS!$I$2:$I$20000,"&lt;&gt;Coro",DATOS!$I$2:$I$20000,"&lt;&gt;Conjunto"),""))</f>
        <v/>
      </c>
      <c r="T398" t="str">
        <f>IF(S398="","",IFERROR(AVERAGEIFS(DATOS!$K$2:$K$20000,DATOS!$A$2:$A$20000,S398,DATOS!$G$2:$G$20000,CONFIG_METADATA!$B$4,DATOS!$I$2:$I$20000,"Lenguaje Musical"),""))</f>
        <v/>
      </c>
      <c r="U398" t="str">
        <f>IF(S398="","",IFERROR(AVERAGEIFS(DATOS!$K$2:$K$20000,DATOS!$A$2:$A$20000,S398,DATOS!$G$2:$G$20000,CONFIG_METADATA!$B$4,DATOS!$I$2:$I$20000,"Coro"),""))</f>
        <v/>
      </c>
      <c r="V398" t="str">
        <f>IF(S398="","",IFERROR(AVERAGEIFS(DATOS!$K$2:$K$20000,DATOS!$A$2:$A$20000,S398,DATOS!$G$2:$G$20000,CONFIG_METADATA!$B$4,DATOS!$I$2:$I$20000,"Conjunto"),""))</f>
        <v/>
      </c>
      <c r="W398" t="str" cm="1">
        <f t="array" ref="W398">IF(S398="","",IFERROR(AVERAGE(IF((DATOS!$A$2:$A$20000=S398)*(DATOS!$G$2:$G$20000=CONFIG_METADATA!$B$4)*(DATOS!$I$2:$I$20000&lt;&gt;"Lenguaje Musical")*(DATOS!$I$2:$I$20000&lt;&gt;"Coro")*(DATOS!$I$2:$I$20000&lt;&gt;"Conjunto"),DATOS!$K$2:$K$20000)),""))</f>
        <v/>
      </c>
    </row>
    <row r="399" spans="2:23" x14ac:dyDescent="0.2">
      <c r="B399" t="str">
        <f>IF(A399="","",IFERROR(AVERAGEIFS(DATOS!$K$2:$K$20000,DATOS!$A$2:$A$20000,A399,DATOS!$G$2:$G$20000,CONFIG_METADATA!$B$4,DATOS!$I$2:$I$20000,"Lenguaje Musical"),""))</f>
        <v/>
      </c>
      <c r="C399" t="str">
        <f>IF(A399="","",IFERROR(AVERAGEIFS(DATOS!$K$2:$K$20000,DATOS!$A$2:$A$20000,A399,DATOS!$G$2:$G$20000,CONFIG_METADATA!$B$4,DATOS!$I$2:$I$20000,"Coro"),""))</f>
        <v/>
      </c>
      <c r="D399" t="str">
        <f>IF(A399="","",IFERROR(AVERAGEIFS(DATOS!$K$2:$K$20000,DATOS!$A$2:$A$20000,A399,DATOS!$G$2:$G$20000,CONFIG_METADATA!$B$4,DATOS!$I$2:$I$20000,"Conjunto"),""))</f>
        <v/>
      </c>
      <c r="E399" t="str">
        <f>IF(A399="","",IFERROR(AVERAGEIFS(DATOS!$K$2:$K$20000,DATOS!$A$2:$A$20000,A399,DATOS!$G$2:$G$20000,CONFIG_METADATA!$B$4,DATOS!$I$2:$I$20000,"&lt;&gt;Lenguaje Musical",DATOS!$I$2:$I$20000,"&lt;&gt;Coro",DATOS!$I$2:$I$20000,"&lt;&gt;Conjunto"),""))</f>
        <v/>
      </c>
      <c r="H399" t="str">
        <f>IF(G399="","",IFERROR(AVERAGEIFS(DATOS!$K$2:$K$20000,DATOS!$A$2:$A$20000,G399,DATOS!$G$2:$G$20000,CONFIG_METADATA!$B$4,DATOS!$I$2:$I$20000,"Lenguaje Musical"),""))</f>
        <v/>
      </c>
      <c r="I399" t="str">
        <f>IF(G399="","",IFERROR(AVERAGEIFS(DATOS!$K$2:$K$20000,DATOS!$A$2:$A$20000,G399,DATOS!$G$2:$G$20000,CONFIG_METADATA!$B$4,DATOS!$I$2:$I$20000,"Coro"),""))</f>
        <v/>
      </c>
      <c r="J399" t="str">
        <f>IF(G399="","",IFERROR(AVERAGEIFS(DATOS!$K$2:$K$20000,DATOS!$A$2:$A$20000,G399,DATOS!$G$2:$G$20000,CONFIG_METADATA!$B$4,DATOS!$I$2:$I$20000,"Conjunto"),""))</f>
        <v/>
      </c>
      <c r="K399" t="str" cm="1">
        <f t="array" ref="K399">IF(G399="","",IFERROR(AVERAGE(IF((DATOS!$A$2:$A$20000=G399)*(DATOS!$G$2:$G$20000=CONFIG_METADATA!$B$4)*(DATOS!$I$2:$I$20000&lt;&gt;"Lenguaje Musical")*(DATOS!$I$2:$I$20000&lt;&gt;"Coro")*(DATOS!$I$2:$I$20000&lt;&gt;"Conjunto"),DATOS!$K$2:$K$20000)),""))</f>
        <v/>
      </c>
      <c r="N399" t="str">
        <f>IF(M399="","",IFERROR(AVERAGEIFS(DATOS!$K$2:$K$20000,DATOS!$A$2:$A$20000,M399,DATOS!$G$2:$G$20000,CONFIG_METADATA!$B$4,DATOS!$I$2:$I$20000,"Lenguaje Musical"),""))</f>
        <v/>
      </c>
      <c r="O399" t="str">
        <f>IF(M399="","",IFERROR(AVERAGEIFS(DATOS!$K$2:$K$20000,DATOS!$A$2:$A$20000,M399,DATOS!$G$2:$G$20000,CONFIG_METADATA!$B$4,DATOS!$I$2:$I$20000,"Coro"),""))</f>
        <v/>
      </c>
      <c r="P399" t="str">
        <f>IF(M399="","",IFERROR(AVERAGEIFS(DATOS!$K$2:$K$20000,DATOS!$A$2:$A$20000,M399,DATOS!$G$2:$G$20000,CONFIG_METADATA!$B$4,DATOS!$I$2:$I$20000,"Conjunto"),""))</f>
        <v/>
      </c>
      <c r="Q399" t="str">
        <f>IF(M399="","",IFERROR(AVERAGEIFS(DATOS!$K$2:$K$20000,DATOS!$A$2:$A$20000,M399,DATOS!$G$2:$G$20000,CONFIG_METADATA!$B$4,DATOS!$I$2:$I$20000,"&lt;&gt;Lenguaje Musical",DATOS!$I$2:$I$20000,"&lt;&gt;Coro",DATOS!$I$2:$I$20000,"&lt;&gt;Conjunto"),""))</f>
        <v/>
      </c>
      <c r="T399" t="str">
        <f>IF(S399="","",IFERROR(AVERAGEIFS(DATOS!$K$2:$K$20000,DATOS!$A$2:$A$20000,S399,DATOS!$G$2:$G$20000,CONFIG_METADATA!$B$4,DATOS!$I$2:$I$20000,"Lenguaje Musical"),""))</f>
        <v/>
      </c>
      <c r="U399" t="str">
        <f>IF(S399="","",IFERROR(AVERAGEIFS(DATOS!$K$2:$K$20000,DATOS!$A$2:$A$20000,S399,DATOS!$G$2:$G$20000,CONFIG_METADATA!$B$4,DATOS!$I$2:$I$20000,"Coro"),""))</f>
        <v/>
      </c>
      <c r="V399" t="str">
        <f>IF(S399="","",IFERROR(AVERAGEIFS(DATOS!$K$2:$K$20000,DATOS!$A$2:$A$20000,S399,DATOS!$G$2:$G$20000,CONFIG_METADATA!$B$4,DATOS!$I$2:$I$20000,"Conjunto"),""))</f>
        <v/>
      </c>
      <c r="W399" t="str" cm="1">
        <f t="array" ref="W399">IF(S399="","",IFERROR(AVERAGE(IF((DATOS!$A$2:$A$20000=S399)*(DATOS!$G$2:$G$20000=CONFIG_METADATA!$B$4)*(DATOS!$I$2:$I$20000&lt;&gt;"Lenguaje Musical")*(DATOS!$I$2:$I$20000&lt;&gt;"Coro")*(DATOS!$I$2:$I$20000&lt;&gt;"Conjunto"),DATOS!$K$2:$K$20000)),""))</f>
        <v/>
      </c>
    </row>
    <row r="400" spans="2:23" x14ac:dyDescent="0.2">
      <c r="B400" t="str">
        <f>IF(A400="","",IFERROR(AVERAGEIFS(DATOS!$K$2:$K$20000,DATOS!$A$2:$A$20000,A400,DATOS!$G$2:$G$20000,CONFIG_METADATA!$B$4,DATOS!$I$2:$I$20000,"Lenguaje Musical"),""))</f>
        <v/>
      </c>
      <c r="C400" t="str">
        <f>IF(A400="","",IFERROR(AVERAGEIFS(DATOS!$K$2:$K$20000,DATOS!$A$2:$A$20000,A400,DATOS!$G$2:$G$20000,CONFIG_METADATA!$B$4,DATOS!$I$2:$I$20000,"Coro"),""))</f>
        <v/>
      </c>
      <c r="D400" t="str">
        <f>IF(A400="","",IFERROR(AVERAGEIFS(DATOS!$K$2:$K$20000,DATOS!$A$2:$A$20000,A400,DATOS!$G$2:$G$20000,CONFIG_METADATA!$B$4,DATOS!$I$2:$I$20000,"Conjunto"),""))</f>
        <v/>
      </c>
      <c r="E400" t="str">
        <f>IF(A400="","",IFERROR(AVERAGEIFS(DATOS!$K$2:$K$20000,DATOS!$A$2:$A$20000,A400,DATOS!$G$2:$G$20000,CONFIG_METADATA!$B$4,DATOS!$I$2:$I$20000,"&lt;&gt;Lenguaje Musical",DATOS!$I$2:$I$20000,"&lt;&gt;Coro",DATOS!$I$2:$I$20000,"&lt;&gt;Conjunto"),""))</f>
        <v/>
      </c>
      <c r="H400" t="str">
        <f>IF(G400="","",IFERROR(AVERAGEIFS(DATOS!$K$2:$K$20000,DATOS!$A$2:$A$20000,G400,DATOS!$G$2:$G$20000,CONFIG_METADATA!$B$4,DATOS!$I$2:$I$20000,"Lenguaje Musical"),""))</f>
        <v/>
      </c>
      <c r="I400" t="str">
        <f>IF(G400="","",IFERROR(AVERAGEIFS(DATOS!$K$2:$K$20000,DATOS!$A$2:$A$20000,G400,DATOS!$G$2:$G$20000,CONFIG_METADATA!$B$4,DATOS!$I$2:$I$20000,"Coro"),""))</f>
        <v/>
      </c>
      <c r="J400" t="str">
        <f>IF(G400="","",IFERROR(AVERAGEIFS(DATOS!$K$2:$K$20000,DATOS!$A$2:$A$20000,G400,DATOS!$G$2:$G$20000,CONFIG_METADATA!$B$4,DATOS!$I$2:$I$20000,"Conjunto"),""))</f>
        <v/>
      </c>
      <c r="K400" t="str" cm="1">
        <f t="array" ref="K400">IF(G400="","",IFERROR(AVERAGE(IF((DATOS!$A$2:$A$20000=G400)*(DATOS!$G$2:$G$20000=CONFIG_METADATA!$B$4)*(DATOS!$I$2:$I$20000&lt;&gt;"Lenguaje Musical")*(DATOS!$I$2:$I$20000&lt;&gt;"Coro")*(DATOS!$I$2:$I$20000&lt;&gt;"Conjunto"),DATOS!$K$2:$K$20000)),""))</f>
        <v/>
      </c>
      <c r="N400" t="str">
        <f>IF(M400="","",IFERROR(AVERAGEIFS(DATOS!$K$2:$K$20000,DATOS!$A$2:$A$20000,M400,DATOS!$G$2:$G$20000,CONFIG_METADATA!$B$4,DATOS!$I$2:$I$20000,"Lenguaje Musical"),""))</f>
        <v/>
      </c>
      <c r="O400" t="str">
        <f>IF(M400="","",IFERROR(AVERAGEIFS(DATOS!$K$2:$K$20000,DATOS!$A$2:$A$20000,M400,DATOS!$G$2:$G$20000,CONFIG_METADATA!$B$4,DATOS!$I$2:$I$20000,"Coro"),""))</f>
        <v/>
      </c>
      <c r="P400" t="str">
        <f>IF(M400="","",IFERROR(AVERAGEIFS(DATOS!$K$2:$K$20000,DATOS!$A$2:$A$20000,M400,DATOS!$G$2:$G$20000,CONFIG_METADATA!$B$4,DATOS!$I$2:$I$20000,"Conjunto"),""))</f>
        <v/>
      </c>
      <c r="Q400" t="str">
        <f>IF(M400="","",IFERROR(AVERAGEIFS(DATOS!$K$2:$K$20000,DATOS!$A$2:$A$20000,M400,DATOS!$G$2:$G$20000,CONFIG_METADATA!$B$4,DATOS!$I$2:$I$20000,"&lt;&gt;Lenguaje Musical",DATOS!$I$2:$I$20000,"&lt;&gt;Coro",DATOS!$I$2:$I$20000,"&lt;&gt;Conjunto"),""))</f>
        <v/>
      </c>
      <c r="T400" t="str">
        <f>IF(S400="","",IFERROR(AVERAGEIFS(DATOS!$K$2:$K$20000,DATOS!$A$2:$A$20000,S400,DATOS!$G$2:$G$20000,CONFIG_METADATA!$B$4,DATOS!$I$2:$I$20000,"Lenguaje Musical"),""))</f>
        <v/>
      </c>
      <c r="U400" t="str">
        <f>IF(S400="","",IFERROR(AVERAGEIFS(DATOS!$K$2:$K$20000,DATOS!$A$2:$A$20000,S400,DATOS!$G$2:$G$20000,CONFIG_METADATA!$B$4,DATOS!$I$2:$I$20000,"Coro"),""))</f>
        <v/>
      </c>
      <c r="V400" t="str">
        <f>IF(S400="","",IFERROR(AVERAGEIFS(DATOS!$K$2:$K$20000,DATOS!$A$2:$A$20000,S400,DATOS!$G$2:$G$20000,CONFIG_METADATA!$B$4,DATOS!$I$2:$I$20000,"Conjunto"),""))</f>
        <v/>
      </c>
      <c r="W400" t="str" cm="1">
        <f t="array" ref="W400">IF(S400="","",IFERROR(AVERAGE(IF((DATOS!$A$2:$A$20000=S400)*(DATOS!$G$2:$G$20000=CONFIG_METADATA!$B$4)*(DATOS!$I$2:$I$20000&lt;&gt;"Lenguaje Musical")*(DATOS!$I$2:$I$20000&lt;&gt;"Coro")*(DATOS!$I$2:$I$20000&lt;&gt;"Conjunto"),DATOS!$K$2:$K$20000)),""))</f>
        <v/>
      </c>
    </row>
    <row r="401" spans="2:23" x14ac:dyDescent="0.2">
      <c r="B401" t="str">
        <f>IF(A401="","",IFERROR(AVERAGEIFS(DATOS!$K$2:$K$20000,DATOS!$A$2:$A$20000,A401,DATOS!$G$2:$G$20000,CONFIG_METADATA!$B$4,DATOS!$I$2:$I$20000,"Lenguaje Musical"),""))</f>
        <v/>
      </c>
      <c r="C401" t="str">
        <f>IF(A401="","",IFERROR(AVERAGEIFS(DATOS!$K$2:$K$20000,DATOS!$A$2:$A$20000,A401,DATOS!$G$2:$G$20000,CONFIG_METADATA!$B$4,DATOS!$I$2:$I$20000,"Coro"),""))</f>
        <v/>
      </c>
      <c r="D401" t="str">
        <f>IF(A401="","",IFERROR(AVERAGEIFS(DATOS!$K$2:$K$20000,DATOS!$A$2:$A$20000,A401,DATOS!$G$2:$G$20000,CONFIG_METADATA!$B$4,DATOS!$I$2:$I$20000,"Conjunto"),""))</f>
        <v/>
      </c>
      <c r="E401" t="str">
        <f>IF(A401="","",IFERROR(AVERAGEIFS(DATOS!$K$2:$K$20000,DATOS!$A$2:$A$20000,A401,DATOS!$G$2:$G$20000,CONFIG_METADATA!$B$4,DATOS!$I$2:$I$20000,"&lt;&gt;Lenguaje Musical",DATOS!$I$2:$I$20000,"&lt;&gt;Coro",DATOS!$I$2:$I$20000,"&lt;&gt;Conjunto"),""))</f>
        <v/>
      </c>
      <c r="H401" t="str">
        <f>IF(G401="","",IFERROR(AVERAGEIFS(DATOS!$K$2:$K$20000,DATOS!$A$2:$A$20000,G401,DATOS!$G$2:$G$20000,CONFIG_METADATA!$B$4,DATOS!$I$2:$I$20000,"Lenguaje Musical"),""))</f>
        <v/>
      </c>
      <c r="I401" t="str">
        <f>IF(G401="","",IFERROR(AVERAGEIFS(DATOS!$K$2:$K$20000,DATOS!$A$2:$A$20000,G401,DATOS!$G$2:$G$20000,CONFIG_METADATA!$B$4,DATOS!$I$2:$I$20000,"Coro"),""))</f>
        <v/>
      </c>
      <c r="J401" t="str">
        <f>IF(G401="","",IFERROR(AVERAGEIFS(DATOS!$K$2:$K$20000,DATOS!$A$2:$A$20000,G401,DATOS!$G$2:$G$20000,CONFIG_METADATA!$B$4,DATOS!$I$2:$I$20000,"Conjunto"),""))</f>
        <v/>
      </c>
      <c r="K401" t="str" cm="1">
        <f t="array" ref="K401">IF(G401="","",IFERROR(AVERAGE(IF((DATOS!$A$2:$A$20000=G401)*(DATOS!$G$2:$G$20000=CONFIG_METADATA!$B$4)*(DATOS!$I$2:$I$20000&lt;&gt;"Lenguaje Musical")*(DATOS!$I$2:$I$20000&lt;&gt;"Coro")*(DATOS!$I$2:$I$20000&lt;&gt;"Conjunto"),DATOS!$K$2:$K$20000)),""))</f>
        <v/>
      </c>
      <c r="N401" t="str">
        <f>IF(M401="","",IFERROR(AVERAGEIFS(DATOS!$K$2:$K$20000,DATOS!$A$2:$A$20000,M401,DATOS!$G$2:$G$20000,CONFIG_METADATA!$B$4,DATOS!$I$2:$I$20000,"Lenguaje Musical"),""))</f>
        <v/>
      </c>
      <c r="O401" t="str">
        <f>IF(M401="","",IFERROR(AVERAGEIFS(DATOS!$K$2:$K$20000,DATOS!$A$2:$A$20000,M401,DATOS!$G$2:$G$20000,CONFIG_METADATA!$B$4,DATOS!$I$2:$I$20000,"Coro"),""))</f>
        <v/>
      </c>
      <c r="P401" t="str">
        <f>IF(M401="","",IFERROR(AVERAGEIFS(DATOS!$K$2:$K$20000,DATOS!$A$2:$A$20000,M401,DATOS!$G$2:$G$20000,CONFIG_METADATA!$B$4,DATOS!$I$2:$I$20000,"Conjunto"),""))</f>
        <v/>
      </c>
      <c r="Q401" t="str">
        <f>IF(M401="","",IFERROR(AVERAGEIFS(DATOS!$K$2:$K$20000,DATOS!$A$2:$A$20000,M401,DATOS!$G$2:$G$20000,CONFIG_METADATA!$B$4,DATOS!$I$2:$I$20000,"&lt;&gt;Lenguaje Musical",DATOS!$I$2:$I$20000,"&lt;&gt;Coro",DATOS!$I$2:$I$20000,"&lt;&gt;Conjunto"),""))</f>
        <v/>
      </c>
      <c r="T401" t="str">
        <f>IF(S401="","",IFERROR(AVERAGEIFS(DATOS!$K$2:$K$20000,DATOS!$A$2:$A$20000,S401,DATOS!$G$2:$G$20000,CONFIG_METADATA!$B$4,DATOS!$I$2:$I$20000,"Lenguaje Musical"),""))</f>
        <v/>
      </c>
      <c r="U401" t="str">
        <f>IF(S401="","",IFERROR(AVERAGEIFS(DATOS!$K$2:$K$20000,DATOS!$A$2:$A$20000,S401,DATOS!$G$2:$G$20000,CONFIG_METADATA!$B$4,DATOS!$I$2:$I$20000,"Coro"),""))</f>
        <v/>
      </c>
      <c r="V401" t="str">
        <f>IF(S401="","",IFERROR(AVERAGEIFS(DATOS!$K$2:$K$20000,DATOS!$A$2:$A$20000,S401,DATOS!$G$2:$G$20000,CONFIG_METADATA!$B$4,DATOS!$I$2:$I$20000,"Conjunto"),""))</f>
        <v/>
      </c>
      <c r="W401" t="str" cm="1">
        <f t="array" ref="W401">IF(S401="","",IFERROR(AVERAGE(IF((DATOS!$A$2:$A$20000=S401)*(DATOS!$G$2:$G$20000=CONFIG_METADATA!$B$4)*(DATOS!$I$2:$I$20000&lt;&gt;"Lenguaje Musical")*(DATOS!$I$2:$I$20000&lt;&gt;"Coro")*(DATOS!$I$2:$I$20000&lt;&gt;"Conjunto"),DATOS!$K$2:$K$20000)),""))</f>
        <v/>
      </c>
    </row>
    <row r="402" spans="2:23" x14ac:dyDescent="0.2">
      <c r="B402" t="str">
        <f>IF(A402="","",IFERROR(AVERAGEIFS(DATOS!$K$2:$K$20000,DATOS!$A$2:$A$20000,A402,DATOS!$G$2:$G$20000,CONFIG_METADATA!$B$4,DATOS!$I$2:$I$20000,"Lenguaje Musical"),""))</f>
        <v/>
      </c>
      <c r="C402" t="str">
        <f>IF(A402="","",IFERROR(AVERAGEIFS(DATOS!$K$2:$K$20000,DATOS!$A$2:$A$20000,A402,DATOS!$G$2:$G$20000,CONFIG_METADATA!$B$4,DATOS!$I$2:$I$20000,"Coro"),""))</f>
        <v/>
      </c>
      <c r="D402" t="str">
        <f>IF(A402="","",IFERROR(AVERAGEIFS(DATOS!$K$2:$K$20000,DATOS!$A$2:$A$20000,A402,DATOS!$G$2:$G$20000,CONFIG_METADATA!$B$4,DATOS!$I$2:$I$20000,"Conjunto"),""))</f>
        <v/>
      </c>
      <c r="E402" t="str">
        <f>IF(A402="","",IFERROR(AVERAGEIFS(DATOS!$K$2:$K$20000,DATOS!$A$2:$A$20000,A402,DATOS!$G$2:$G$20000,CONFIG_METADATA!$B$4,DATOS!$I$2:$I$20000,"&lt;&gt;Lenguaje Musical",DATOS!$I$2:$I$20000,"&lt;&gt;Coro",DATOS!$I$2:$I$20000,"&lt;&gt;Conjunto"),""))</f>
        <v/>
      </c>
      <c r="H402" t="str">
        <f>IF(G402="","",IFERROR(AVERAGEIFS(DATOS!$K$2:$K$20000,DATOS!$A$2:$A$20000,G402,DATOS!$G$2:$G$20000,CONFIG_METADATA!$B$4,DATOS!$I$2:$I$20000,"Lenguaje Musical"),""))</f>
        <v/>
      </c>
      <c r="I402" t="str">
        <f>IF(G402="","",IFERROR(AVERAGEIFS(DATOS!$K$2:$K$20000,DATOS!$A$2:$A$20000,G402,DATOS!$G$2:$G$20000,CONFIG_METADATA!$B$4,DATOS!$I$2:$I$20000,"Coro"),""))</f>
        <v/>
      </c>
      <c r="J402" t="str">
        <f>IF(G402="","",IFERROR(AVERAGEIFS(DATOS!$K$2:$K$20000,DATOS!$A$2:$A$20000,G402,DATOS!$G$2:$G$20000,CONFIG_METADATA!$B$4,DATOS!$I$2:$I$20000,"Conjunto"),""))</f>
        <v/>
      </c>
      <c r="K402" t="str" cm="1">
        <f t="array" ref="K402">IF(G402="","",IFERROR(AVERAGE(IF((DATOS!$A$2:$A$20000=G402)*(DATOS!$G$2:$G$20000=CONFIG_METADATA!$B$4)*(DATOS!$I$2:$I$20000&lt;&gt;"Lenguaje Musical")*(DATOS!$I$2:$I$20000&lt;&gt;"Coro")*(DATOS!$I$2:$I$20000&lt;&gt;"Conjunto"),DATOS!$K$2:$K$20000)),""))</f>
        <v/>
      </c>
      <c r="N402" t="str">
        <f>IF(M402="","",IFERROR(AVERAGEIFS(DATOS!$K$2:$K$20000,DATOS!$A$2:$A$20000,M402,DATOS!$G$2:$G$20000,CONFIG_METADATA!$B$4,DATOS!$I$2:$I$20000,"Lenguaje Musical"),""))</f>
        <v/>
      </c>
      <c r="O402" t="str">
        <f>IF(M402="","",IFERROR(AVERAGEIFS(DATOS!$K$2:$K$20000,DATOS!$A$2:$A$20000,M402,DATOS!$G$2:$G$20000,CONFIG_METADATA!$B$4,DATOS!$I$2:$I$20000,"Coro"),""))</f>
        <v/>
      </c>
      <c r="P402" t="str">
        <f>IF(M402="","",IFERROR(AVERAGEIFS(DATOS!$K$2:$K$20000,DATOS!$A$2:$A$20000,M402,DATOS!$G$2:$G$20000,CONFIG_METADATA!$B$4,DATOS!$I$2:$I$20000,"Conjunto"),""))</f>
        <v/>
      </c>
      <c r="Q402" t="str">
        <f>IF(M402="","",IFERROR(AVERAGEIFS(DATOS!$K$2:$K$20000,DATOS!$A$2:$A$20000,M402,DATOS!$G$2:$G$20000,CONFIG_METADATA!$B$4,DATOS!$I$2:$I$20000,"&lt;&gt;Lenguaje Musical",DATOS!$I$2:$I$20000,"&lt;&gt;Coro",DATOS!$I$2:$I$20000,"&lt;&gt;Conjunto"),""))</f>
        <v/>
      </c>
      <c r="T402" t="str">
        <f>IF(S402="","",IFERROR(AVERAGEIFS(DATOS!$K$2:$K$20000,DATOS!$A$2:$A$20000,S402,DATOS!$G$2:$G$20000,CONFIG_METADATA!$B$4,DATOS!$I$2:$I$20000,"Lenguaje Musical"),""))</f>
        <v/>
      </c>
      <c r="U402" t="str">
        <f>IF(S402="","",IFERROR(AVERAGEIFS(DATOS!$K$2:$K$20000,DATOS!$A$2:$A$20000,S402,DATOS!$G$2:$G$20000,CONFIG_METADATA!$B$4,DATOS!$I$2:$I$20000,"Coro"),""))</f>
        <v/>
      </c>
      <c r="V402" t="str">
        <f>IF(S402="","",IFERROR(AVERAGEIFS(DATOS!$K$2:$K$20000,DATOS!$A$2:$A$20000,S402,DATOS!$G$2:$G$20000,CONFIG_METADATA!$B$4,DATOS!$I$2:$I$20000,"Conjunto"),""))</f>
        <v/>
      </c>
      <c r="W402" t="str" cm="1">
        <f t="array" ref="W402">IF(S402="","",IFERROR(AVERAGE(IF((DATOS!$A$2:$A$20000=S402)*(DATOS!$G$2:$G$20000=CONFIG_METADATA!$B$4)*(DATOS!$I$2:$I$20000&lt;&gt;"Lenguaje Musical")*(DATOS!$I$2:$I$20000&lt;&gt;"Coro")*(DATOS!$I$2:$I$20000&lt;&gt;"Conjunto"),DATOS!$K$2:$K$20000)),""))</f>
        <v/>
      </c>
    </row>
    <row r="403" spans="2:23" x14ac:dyDescent="0.2">
      <c r="B403" t="str">
        <f>IF(A403="","",IFERROR(AVERAGEIFS(DATOS!$K$2:$K$20000,DATOS!$A$2:$A$20000,A403,DATOS!$G$2:$G$20000,CONFIG_METADATA!$B$4,DATOS!$I$2:$I$20000,"Lenguaje Musical"),""))</f>
        <v/>
      </c>
      <c r="C403" t="str">
        <f>IF(A403="","",IFERROR(AVERAGEIFS(DATOS!$K$2:$K$20000,DATOS!$A$2:$A$20000,A403,DATOS!$G$2:$G$20000,CONFIG_METADATA!$B$4,DATOS!$I$2:$I$20000,"Coro"),""))</f>
        <v/>
      </c>
      <c r="D403" t="str">
        <f>IF(A403="","",IFERROR(AVERAGEIFS(DATOS!$K$2:$K$20000,DATOS!$A$2:$A$20000,A403,DATOS!$G$2:$G$20000,CONFIG_METADATA!$B$4,DATOS!$I$2:$I$20000,"Conjunto"),""))</f>
        <v/>
      </c>
      <c r="E403" t="str">
        <f>IF(A403="","",IFERROR(AVERAGEIFS(DATOS!$K$2:$K$20000,DATOS!$A$2:$A$20000,A403,DATOS!$G$2:$G$20000,CONFIG_METADATA!$B$4,DATOS!$I$2:$I$20000,"&lt;&gt;Lenguaje Musical",DATOS!$I$2:$I$20000,"&lt;&gt;Coro",DATOS!$I$2:$I$20000,"&lt;&gt;Conjunto"),""))</f>
        <v/>
      </c>
      <c r="H403" t="str">
        <f>IF(G403="","",IFERROR(AVERAGEIFS(DATOS!$K$2:$K$20000,DATOS!$A$2:$A$20000,G403,DATOS!$G$2:$G$20000,CONFIG_METADATA!$B$4,DATOS!$I$2:$I$20000,"Lenguaje Musical"),""))</f>
        <v/>
      </c>
      <c r="I403" t="str">
        <f>IF(G403="","",IFERROR(AVERAGEIFS(DATOS!$K$2:$K$20000,DATOS!$A$2:$A$20000,G403,DATOS!$G$2:$G$20000,CONFIG_METADATA!$B$4,DATOS!$I$2:$I$20000,"Coro"),""))</f>
        <v/>
      </c>
      <c r="J403" t="str">
        <f>IF(G403="","",IFERROR(AVERAGEIFS(DATOS!$K$2:$K$20000,DATOS!$A$2:$A$20000,G403,DATOS!$G$2:$G$20000,CONFIG_METADATA!$B$4,DATOS!$I$2:$I$20000,"Conjunto"),""))</f>
        <v/>
      </c>
      <c r="K403" t="str" cm="1">
        <f t="array" ref="K403">IF(G403="","",IFERROR(AVERAGE(IF((DATOS!$A$2:$A$20000=G403)*(DATOS!$G$2:$G$20000=CONFIG_METADATA!$B$4)*(DATOS!$I$2:$I$20000&lt;&gt;"Lenguaje Musical")*(DATOS!$I$2:$I$20000&lt;&gt;"Coro")*(DATOS!$I$2:$I$20000&lt;&gt;"Conjunto"),DATOS!$K$2:$K$20000)),""))</f>
        <v/>
      </c>
      <c r="N403" t="str">
        <f>IF(M403="","",IFERROR(AVERAGEIFS(DATOS!$K$2:$K$20000,DATOS!$A$2:$A$20000,M403,DATOS!$G$2:$G$20000,CONFIG_METADATA!$B$4,DATOS!$I$2:$I$20000,"Lenguaje Musical"),""))</f>
        <v/>
      </c>
      <c r="O403" t="str">
        <f>IF(M403="","",IFERROR(AVERAGEIFS(DATOS!$K$2:$K$20000,DATOS!$A$2:$A$20000,M403,DATOS!$G$2:$G$20000,CONFIG_METADATA!$B$4,DATOS!$I$2:$I$20000,"Coro"),""))</f>
        <v/>
      </c>
      <c r="P403" t="str">
        <f>IF(M403="","",IFERROR(AVERAGEIFS(DATOS!$K$2:$K$20000,DATOS!$A$2:$A$20000,M403,DATOS!$G$2:$G$20000,CONFIG_METADATA!$B$4,DATOS!$I$2:$I$20000,"Conjunto"),""))</f>
        <v/>
      </c>
      <c r="Q403" t="str">
        <f>IF(M403="","",IFERROR(AVERAGEIFS(DATOS!$K$2:$K$20000,DATOS!$A$2:$A$20000,M403,DATOS!$G$2:$G$20000,CONFIG_METADATA!$B$4,DATOS!$I$2:$I$20000,"&lt;&gt;Lenguaje Musical",DATOS!$I$2:$I$20000,"&lt;&gt;Coro",DATOS!$I$2:$I$20000,"&lt;&gt;Conjunto"),""))</f>
        <v/>
      </c>
      <c r="T403" t="str">
        <f>IF(S403="","",IFERROR(AVERAGEIFS(DATOS!$K$2:$K$20000,DATOS!$A$2:$A$20000,S403,DATOS!$G$2:$G$20000,CONFIG_METADATA!$B$4,DATOS!$I$2:$I$20000,"Lenguaje Musical"),""))</f>
        <v/>
      </c>
      <c r="U403" t="str">
        <f>IF(S403="","",IFERROR(AVERAGEIFS(DATOS!$K$2:$K$20000,DATOS!$A$2:$A$20000,S403,DATOS!$G$2:$G$20000,CONFIG_METADATA!$B$4,DATOS!$I$2:$I$20000,"Coro"),""))</f>
        <v/>
      </c>
      <c r="V403" t="str">
        <f>IF(S403="","",IFERROR(AVERAGEIFS(DATOS!$K$2:$K$20000,DATOS!$A$2:$A$20000,S403,DATOS!$G$2:$G$20000,CONFIG_METADATA!$B$4,DATOS!$I$2:$I$20000,"Conjunto"),""))</f>
        <v/>
      </c>
      <c r="W403" t="str" cm="1">
        <f t="array" ref="W403">IF(S403="","",IFERROR(AVERAGE(IF((DATOS!$A$2:$A$20000=S403)*(DATOS!$G$2:$G$20000=CONFIG_METADATA!$B$4)*(DATOS!$I$2:$I$20000&lt;&gt;"Lenguaje Musical")*(DATOS!$I$2:$I$20000&lt;&gt;"Coro")*(DATOS!$I$2:$I$20000&lt;&gt;"Conjunto"),DATOS!$K$2:$K$20000)),""))</f>
        <v/>
      </c>
    </row>
    <row r="404" spans="2:23" x14ac:dyDescent="0.2">
      <c r="B404" t="str">
        <f>IF(A404="","",IFERROR(AVERAGEIFS(DATOS!$K$2:$K$20000,DATOS!$A$2:$A$20000,A404,DATOS!$G$2:$G$20000,CONFIG_METADATA!$B$4,DATOS!$I$2:$I$20000,"Lenguaje Musical"),""))</f>
        <v/>
      </c>
      <c r="C404" t="str">
        <f>IF(A404="","",IFERROR(AVERAGEIFS(DATOS!$K$2:$K$20000,DATOS!$A$2:$A$20000,A404,DATOS!$G$2:$G$20000,CONFIG_METADATA!$B$4,DATOS!$I$2:$I$20000,"Coro"),""))</f>
        <v/>
      </c>
      <c r="D404" t="str">
        <f>IF(A404="","",IFERROR(AVERAGEIFS(DATOS!$K$2:$K$20000,DATOS!$A$2:$A$20000,A404,DATOS!$G$2:$G$20000,CONFIG_METADATA!$B$4,DATOS!$I$2:$I$20000,"Conjunto"),""))</f>
        <v/>
      </c>
      <c r="E404" t="str">
        <f>IF(A404="","",IFERROR(AVERAGEIFS(DATOS!$K$2:$K$20000,DATOS!$A$2:$A$20000,A404,DATOS!$G$2:$G$20000,CONFIG_METADATA!$B$4,DATOS!$I$2:$I$20000,"&lt;&gt;Lenguaje Musical",DATOS!$I$2:$I$20000,"&lt;&gt;Coro",DATOS!$I$2:$I$20000,"&lt;&gt;Conjunto"),""))</f>
        <v/>
      </c>
      <c r="H404" t="str">
        <f>IF(G404="","",IFERROR(AVERAGEIFS(DATOS!$K$2:$K$20000,DATOS!$A$2:$A$20000,G404,DATOS!$G$2:$G$20000,CONFIG_METADATA!$B$4,DATOS!$I$2:$I$20000,"Lenguaje Musical"),""))</f>
        <v/>
      </c>
      <c r="I404" t="str">
        <f>IF(G404="","",IFERROR(AVERAGEIFS(DATOS!$K$2:$K$20000,DATOS!$A$2:$A$20000,G404,DATOS!$G$2:$G$20000,CONFIG_METADATA!$B$4,DATOS!$I$2:$I$20000,"Coro"),""))</f>
        <v/>
      </c>
      <c r="J404" t="str">
        <f>IF(G404="","",IFERROR(AVERAGEIFS(DATOS!$K$2:$K$20000,DATOS!$A$2:$A$20000,G404,DATOS!$G$2:$G$20000,CONFIG_METADATA!$B$4,DATOS!$I$2:$I$20000,"Conjunto"),""))</f>
        <v/>
      </c>
      <c r="K404" t="str" cm="1">
        <f t="array" ref="K404">IF(G404="","",IFERROR(AVERAGE(IF((DATOS!$A$2:$A$20000=G404)*(DATOS!$G$2:$G$20000=CONFIG_METADATA!$B$4)*(DATOS!$I$2:$I$20000&lt;&gt;"Lenguaje Musical")*(DATOS!$I$2:$I$20000&lt;&gt;"Coro")*(DATOS!$I$2:$I$20000&lt;&gt;"Conjunto"),DATOS!$K$2:$K$20000)),""))</f>
        <v/>
      </c>
      <c r="N404" t="str">
        <f>IF(M404="","",IFERROR(AVERAGEIFS(DATOS!$K$2:$K$20000,DATOS!$A$2:$A$20000,M404,DATOS!$G$2:$G$20000,CONFIG_METADATA!$B$4,DATOS!$I$2:$I$20000,"Lenguaje Musical"),""))</f>
        <v/>
      </c>
      <c r="O404" t="str">
        <f>IF(M404="","",IFERROR(AVERAGEIFS(DATOS!$K$2:$K$20000,DATOS!$A$2:$A$20000,M404,DATOS!$G$2:$G$20000,CONFIG_METADATA!$B$4,DATOS!$I$2:$I$20000,"Coro"),""))</f>
        <v/>
      </c>
      <c r="P404" t="str">
        <f>IF(M404="","",IFERROR(AVERAGEIFS(DATOS!$K$2:$K$20000,DATOS!$A$2:$A$20000,M404,DATOS!$G$2:$G$20000,CONFIG_METADATA!$B$4,DATOS!$I$2:$I$20000,"Conjunto"),""))</f>
        <v/>
      </c>
      <c r="Q404" t="str">
        <f>IF(M404="","",IFERROR(AVERAGEIFS(DATOS!$K$2:$K$20000,DATOS!$A$2:$A$20000,M404,DATOS!$G$2:$G$20000,CONFIG_METADATA!$B$4,DATOS!$I$2:$I$20000,"&lt;&gt;Lenguaje Musical",DATOS!$I$2:$I$20000,"&lt;&gt;Coro",DATOS!$I$2:$I$20000,"&lt;&gt;Conjunto"),""))</f>
        <v/>
      </c>
      <c r="T404" t="str">
        <f>IF(S404="","",IFERROR(AVERAGEIFS(DATOS!$K$2:$K$20000,DATOS!$A$2:$A$20000,S404,DATOS!$G$2:$G$20000,CONFIG_METADATA!$B$4,DATOS!$I$2:$I$20000,"Lenguaje Musical"),""))</f>
        <v/>
      </c>
      <c r="U404" t="str">
        <f>IF(S404="","",IFERROR(AVERAGEIFS(DATOS!$K$2:$K$20000,DATOS!$A$2:$A$20000,S404,DATOS!$G$2:$G$20000,CONFIG_METADATA!$B$4,DATOS!$I$2:$I$20000,"Coro"),""))</f>
        <v/>
      </c>
      <c r="V404" t="str">
        <f>IF(S404="","",IFERROR(AVERAGEIFS(DATOS!$K$2:$K$20000,DATOS!$A$2:$A$20000,S404,DATOS!$G$2:$G$20000,CONFIG_METADATA!$B$4,DATOS!$I$2:$I$20000,"Conjunto"),""))</f>
        <v/>
      </c>
      <c r="W404" t="str" cm="1">
        <f t="array" ref="W404">IF(S404="","",IFERROR(AVERAGE(IF((DATOS!$A$2:$A$20000=S404)*(DATOS!$G$2:$G$20000=CONFIG_METADATA!$B$4)*(DATOS!$I$2:$I$20000&lt;&gt;"Lenguaje Musical")*(DATOS!$I$2:$I$20000&lt;&gt;"Coro")*(DATOS!$I$2:$I$20000&lt;&gt;"Conjunto"),DATOS!$K$2:$K$20000)),""))</f>
        <v/>
      </c>
    </row>
    <row r="405" spans="2:23" x14ac:dyDescent="0.2">
      <c r="B405" t="str">
        <f>IF(A405="","",IFERROR(AVERAGEIFS(DATOS!$K$2:$K$20000,DATOS!$A$2:$A$20000,A405,DATOS!$G$2:$G$20000,CONFIG_METADATA!$B$4,DATOS!$I$2:$I$20000,"Lenguaje Musical"),""))</f>
        <v/>
      </c>
      <c r="C405" t="str">
        <f>IF(A405="","",IFERROR(AVERAGEIFS(DATOS!$K$2:$K$20000,DATOS!$A$2:$A$20000,A405,DATOS!$G$2:$G$20000,CONFIG_METADATA!$B$4,DATOS!$I$2:$I$20000,"Coro"),""))</f>
        <v/>
      </c>
      <c r="D405" t="str">
        <f>IF(A405="","",IFERROR(AVERAGEIFS(DATOS!$K$2:$K$20000,DATOS!$A$2:$A$20000,A405,DATOS!$G$2:$G$20000,CONFIG_METADATA!$B$4,DATOS!$I$2:$I$20000,"Conjunto"),""))</f>
        <v/>
      </c>
      <c r="E405" t="str">
        <f>IF(A405="","",IFERROR(AVERAGEIFS(DATOS!$K$2:$K$20000,DATOS!$A$2:$A$20000,A405,DATOS!$G$2:$G$20000,CONFIG_METADATA!$B$4,DATOS!$I$2:$I$20000,"&lt;&gt;Lenguaje Musical",DATOS!$I$2:$I$20000,"&lt;&gt;Coro",DATOS!$I$2:$I$20000,"&lt;&gt;Conjunto"),""))</f>
        <v/>
      </c>
      <c r="H405" t="str">
        <f>IF(G405="","",IFERROR(AVERAGEIFS(DATOS!$K$2:$K$20000,DATOS!$A$2:$A$20000,G405,DATOS!$G$2:$G$20000,CONFIG_METADATA!$B$4,DATOS!$I$2:$I$20000,"Lenguaje Musical"),""))</f>
        <v/>
      </c>
      <c r="I405" t="str">
        <f>IF(G405="","",IFERROR(AVERAGEIFS(DATOS!$K$2:$K$20000,DATOS!$A$2:$A$20000,G405,DATOS!$G$2:$G$20000,CONFIG_METADATA!$B$4,DATOS!$I$2:$I$20000,"Coro"),""))</f>
        <v/>
      </c>
      <c r="J405" t="str">
        <f>IF(G405="","",IFERROR(AVERAGEIFS(DATOS!$K$2:$K$20000,DATOS!$A$2:$A$20000,G405,DATOS!$G$2:$G$20000,CONFIG_METADATA!$B$4,DATOS!$I$2:$I$20000,"Conjunto"),""))</f>
        <v/>
      </c>
      <c r="K405" t="str" cm="1">
        <f t="array" ref="K405">IF(G405="","",IFERROR(AVERAGE(IF((DATOS!$A$2:$A$20000=G405)*(DATOS!$G$2:$G$20000=CONFIG_METADATA!$B$4)*(DATOS!$I$2:$I$20000&lt;&gt;"Lenguaje Musical")*(DATOS!$I$2:$I$20000&lt;&gt;"Coro")*(DATOS!$I$2:$I$20000&lt;&gt;"Conjunto"),DATOS!$K$2:$K$20000)),""))</f>
        <v/>
      </c>
      <c r="N405" t="str">
        <f>IF(M405="","",IFERROR(AVERAGEIFS(DATOS!$K$2:$K$20000,DATOS!$A$2:$A$20000,M405,DATOS!$G$2:$G$20000,CONFIG_METADATA!$B$4,DATOS!$I$2:$I$20000,"Lenguaje Musical"),""))</f>
        <v/>
      </c>
      <c r="O405" t="str">
        <f>IF(M405="","",IFERROR(AVERAGEIFS(DATOS!$K$2:$K$20000,DATOS!$A$2:$A$20000,M405,DATOS!$G$2:$G$20000,CONFIG_METADATA!$B$4,DATOS!$I$2:$I$20000,"Coro"),""))</f>
        <v/>
      </c>
      <c r="P405" t="str">
        <f>IF(M405="","",IFERROR(AVERAGEIFS(DATOS!$K$2:$K$20000,DATOS!$A$2:$A$20000,M405,DATOS!$G$2:$G$20000,CONFIG_METADATA!$B$4,DATOS!$I$2:$I$20000,"Conjunto"),""))</f>
        <v/>
      </c>
      <c r="Q405" t="str">
        <f>IF(M405="","",IFERROR(AVERAGEIFS(DATOS!$K$2:$K$20000,DATOS!$A$2:$A$20000,M405,DATOS!$G$2:$G$20000,CONFIG_METADATA!$B$4,DATOS!$I$2:$I$20000,"&lt;&gt;Lenguaje Musical",DATOS!$I$2:$I$20000,"&lt;&gt;Coro",DATOS!$I$2:$I$20000,"&lt;&gt;Conjunto"),""))</f>
        <v/>
      </c>
      <c r="T405" t="str">
        <f>IF(S405="","",IFERROR(AVERAGEIFS(DATOS!$K$2:$K$20000,DATOS!$A$2:$A$20000,S405,DATOS!$G$2:$G$20000,CONFIG_METADATA!$B$4,DATOS!$I$2:$I$20000,"Lenguaje Musical"),""))</f>
        <v/>
      </c>
      <c r="U405" t="str">
        <f>IF(S405="","",IFERROR(AVERAGEIFS(DATOS!$K$2:$K$20000,DATOS!$A$2:$A$20000,S405,DATOS!$G$2:$G$20000,CONFIG_METADATA!$B$4,DATOS!$I$2:$I$20000,"Coro"),""))</f>
        <v/>
      </c>
      <c r="V405" t="str">
        <f>IF(S405="","",IFERROR(AVERAGEIFS(DATOS!$K$2:$K$20000,DATOS!$A$2:$A$20000,S405,DATOS!$G$2:$G$20000,CONFIG_METADATA!$B$4,DATOS!$I$2:$I$20000,"Conjunto"),""))</f>
        <v/>
      </c>
      <c r="W405" t="str" cm="1">
        <f t="array" ref="W405">IF(S405="","",IFERROR(AVERAGE(IF((DATOS!$A$2:$A$20000=S405)*(DATOS!$G$2:$G$20000=CONFIG_METADATA!$B$4)*(DATOS!$I$2:$I$20000&lt;&gt;"Lenguaje Musical")*(DATOS!$I$2:$I$20000&lt;&gt;"Coro")*(DATOS!$I$2:$I$20000&lt;&gt;"Conjunto"),DATOS!$K$2:$K$20000)),""))</f>
        <v/>
      </c>
    </row>
    <row r="406" spans="2:23" x14ac:dyDescent="0.2">
      <c r="B406" t="str">
        <f>IF(A406="","",IFERROR(AVERAGEIFS(DATOS!$K$2:$K$20000,DATOS!$A$2:$A$20000,A406,DATOS!$G$2:$G$20000,CONFIG_METADATA!$B$4,DATOS!$I$2:$I$20000,"Lenguaje Musical"),""))</f>
        <v/>
      </c>
      <c r="C406" t="str">
        <f>IF(A406="","",IFERROR(AVERAGEIFS(DATOS!$K$2:$K$20000,DATOS!$A$2:$A$20000,A406,DATOS!$G$2:$G$20000,CONFIG_METADATA!$B$4,DATOS!$I$2:$I$20000,"Coro"),""))</f>
        <v/>
      </c>
      <c r="D406" t="str">
        <f>IF(A406="","",IFERROR(AVERAGEIFS(DATOS!$K$2:$K$20000,DATOS!$A$2:$A$20000,A406,DATOS!$G$2:$G$20000,CONFIG_METADATA!$B$4,DATOS!$I$2:$I$20000,"Conjunto"),""))</f>
        <v/>
      </c>
      <c r="E406" t="str">
        <f>IF(A406="","",IFERROR(AVERAGEIFS(DATOS!$K$2:$K$20000,DATOS!$A$2:$A$20000,A406,DATOS!$G$2:$G$20000,CONFIG_METADATA!$B$4,DATOS!$I$2:$I$20000,"&lt;&gt;Lenguaje Musical",DATOS!$I$2:$I$20000,"&lt;&gt;Coro",DATOS!$I$2:$I$20000,"&lt;&gt;Conjunto"),""))</f>
        <v/>
      </c>
      <c r="H406" t="str">
        <f>IF(G406="","",IFERROR(AVERAGEIFS(DATOS!$K$2:$K$20000,DATOS!$A$2:$A$20000,G406,DATOS!$G$2:$G$20000,CONFIG_METADATA!$B$4,DATOS!$I$2:$I$20000,"Lenguaje Musical"),""))</f>
        <v/>
      </c>
      <c r="I406" t="str">
        <f>IF(G406="","",IFERROR(AVERAGEIFS(DATOS!$K$2:$K$20000,DATOS!$A$2:$A$20000,G406,DATOS!$G$2:$G$20000,CONFIG_METADATA!$B$4,DATOS!$I$2:$I$20000,"Coro"),""))</f>
        <v/>
      </c>
      <c r="J406" t="str">
        <f>IF(G406="","",IFERROR(AVERAGEIFS(DATOS!$K$2:$K$20000,DATOS!$A$2:$A$20000,G406,DATOS!$G$2:$G$20000,CONFIG_METADATA!$B$4,DATOS!$I$2:$I$20000,"Conjunto"),""))</f>
        <v/>
      </c>
      <c r="K406" t="str" cm="1">
        <f t="array" ref="K406">IF(G406="","",IFERROR(AVERAGE(IF((DATOS!$A$2:$A$20000=G406)*(DATOS!$G$2:$G$20000=CONFIG_METADATA!$B$4)*(DATOS!$I$2:$I$20000&lt;&gt;"Lenguaje Musical")*(DATOS!$I$2:$I$20000&lt;&gt;"Coro")*(DATOS!$I$2:$I$20000&lt;&gt;"Conjunto"),DATOS!$K$2:$K$20000)),""))</f>
        <v/>
      </c>
      <c r="N406" t="str">
        <f>IF(M406="","",IFERROR(AVERAGEIFS(DATOS!$K$2:$K$20000,DATOS!$A$2:$A$20000,M406,DATOS!$G$2:$G$20000,CONFIG_METADATA!$B$4,DATOS!$I$2:$I$20000,"Lenguaje Musical"),""))</f>
        <v/>
      </c>
      <c r="O406" t="str">
        <f>IF(M406="","",IFERROR(AVERAGEIFS(DATOS!$K$2:$K$20000,DATOS!$A$2:$A$20000,M406,DATOS!$G$2:$G$20000,CONFIG_METADATA!$B$4,DATOS!$I$2:$I$20000,"Coro"),""))</f>
        <v/>
      </c>
      <c r="P406" t="str">
        <f>IF(M406="","",IFERROR(AVERAGEIFS(DATOS!$K$2:$K$20000,DATOS!$A$2:$A$20000,M406,DATOS!$G$2:$G$20000,CONFIG_METADATA!$B$4,DATOS!$I$2:$I$20000,"Conjunto"),""))</f>
        <v/>
      </c>
      <c r="Q406" t="str">
        <f>IF(M406="","",IFERROR(AVERAGEIFS(DATOS!$K$2:$K$20000,DATOS!$A$2:$A$20000,M406,DATOS!$G$2:$G$20000,CONFIG_METADATA!$B$4,DATOS!$I$2:$I$20000,"&lt;&gt;Lenguaje Musical",DATOS!$I$2:$I$20000,"&lt;&gt;Coro",DATOS!$I$2:$I$20000,"&lt;&gt;Conjunto"),""))</f>
        <v/>
      </c>
      <c r="T406" t="str">
        <f>IF(S406="","",IFERROR(AVERAGEIFS(DATOS!$K$2:$K$20000,DATOS!$A$2:$A$20000,S406,DATOS!$G$2:$G$20000,CONFIG_METADATA!$B$4,DATOS!$I$2:$I$20000,"Lenguaje Musical"),""))</f>
        <v/>
      </c>
      <c r="U406" t="str">
        <f>IF(S406="","",IFERROR(AVERAGEIFS(DATOS!$K$2:$K$20000,DATOS!$A$2:$A$20000,S406,DATOS!$G$2:$G$20000,CONFIG_METADATA!$B$4,DATOS!$I$2:$I$20000,"Coro"),""))</f>
        <v/>
      </c>
      <c r="V406" t="str">
        <f>IF(S406="","",IFERROR(AVERAGEIFS(DATOS!$K$2:$K$20000,DATOS!$A$2:$A$20000,S406,DATOS!$G$2:$G$20000,CONFIG_METADATA!$B$4,DATOS!$I$2:$I$20000,"Conjunto"),""))</f>
        <v/>
      </c>
      <c r="W406" t="str" cm="1">
        <f t="array" ref="W406">IF(S406="","",IFERROR(AVERAGE(IF((DATOS!$A$2:$A$20000=S406)*(DATOS!$G$2:$G$20000=CONFIG_METADATA!$B$4)*(DATOS!$I$2:$I$20000&lt;&gt;"Lenguaje Musical")*(DATOS!$I$2:$I$20000&lt;&gt;"Coro")*(DATOS!$I$2:$I$20000&lt;&gt;"Conjunto"),DATOS!$K$2:$K$20000)),""))</f>
        <v/>
      </c>
    </row>
    <row r="407" spans="2:23" x14ac:dyDescent="0.2">
      <c r="B407" t="str">
        <f>IF(A407="","",IFERROR(AVERAGEIFS(DATOS!$K$2:$K$20000,DATOS!$A$2:$A$20000,A407,DATOS!$G$2:$G$20000,CONFIG_METADATA!$B$4,DATOS!$I$2:$I$20000,"Lenguaje Musical"),""))</f>
        <v/>
      </c>
      <c r="C407" t="str">
        <f>IF(A407="","",IFERROR(AVERAGEIFS(DATOS!$K$2:$K$20000,DATOS!$A$2:$A$20000,A407,DATOS!$G$2:$G$20000,CONFIG_METADATA!$B$4,DATOS!$I$2:$I$20000,"Coro"),""))</f>
        <v/>
      </c>
      <c r="D407" t="str">
        <f>IF(A407="","",IFERROR(AVERAGEIFS(DATOS!$K$2:$K$20000,DATOS!$A$2:$A$20000,A407,DATOS!$G$2:$G$20000,CONFIG_METADATA!$B$4,DATOS!$I$2:$I$20000,"Conjunto"),""))</f>
        <v/>
      </c>
      <c r="E407" t="str">
        <f>IF(A407="","",IFERROR(AVERAGEIFS(DATOS!$K$2:$K$20000,DATOS!$A$2:$A$20000,A407,DATOS!$G$2:$G$20000,CONFIG_METADATA!$B$4,DATOS!$I$2:$I$20000,"&lt;&gt;Lenguaje Musical",DATOS!$I$2:$I$20000,"&lt;&gt;Coro",DATOS!$I$2:$I$20000,"&lt;&gt;Conjunto"),""))</f>
        <v/>
      </c>
      <c r="H407" t="str">
        <f>IF(G407="","",IFERROR(AVERAGEIFS(DATOS!$K$2:$K$20000,DATOS!$A$2:$A$20000,G407,DATOS!$G$2:$G$20000,CONFIG_METADATA!$B$4,DATOS!$I$2:$I$20000,"Lenguaje Musical"),""))</f>
        <v/>
      </c>
      <c r="I407" t="str">
        <f>IF(G407="","",IFERROR(AVERAGEIFS(DATOS!$K$2:$K$20000,DATOS!$A$2:$A$20000,G407,DATOS!$G$2:$G$20000,CONFIG_METADATA!$B$4,DATOS!$I$2:$I$20000,"Coro"),""))</f>
        <v/>
      </c>
      <c r="J407" t="str">
        <f>IF(G407="","",IFERROR(AVERAGEIFS(DATOS!$K$2:$K$20000,DATOS!$A$2:$A$20000,G407,DATOS!$G$2:$G$20000,CONFIG_METADATA!$B$4,DATOS!$I$2:$I$20000,"Conjunto"),""))</f>
        <v/>
      </c>
      <c r="K407" t="str" cm="1">
        <f t="array" ref="K407">IF(G407="","",IFERROR(AVERAGE(IF((DATOS!$A$2:$A$20000=G407)*(DATOS!$G$2:$G$20000=CONFIG_METADATA!$B$4)*(DATOS!$I$2:$I$20000&lt;&gt;"Lenguaje Musical")*(DATOS!$I$2:$I$20000&lt;&gt;"Coro")*(DATOS!$I$2:$I$20000&lt;&gt;"Conjunto"),DATOS!$K$2:$K$20000)),""))</f>
        <v/>
      </c>
      <c r="N407" t="str">
        <f>IF(M407="","",IFERROR(AVERAGEIFS(DATOS!$K$2:$K$20000,DATOS!$A$2:$A$20000,M407,DATOS!$G$2:$G$20000,CONFIG_METADATA!$B$4,DATOS!$I$2:$I$20000,"Lenguaje Musical"),""))</f>
        <v/>
      </c>
      <c r="O407" t="str">
        <f>IF(M407="","",IFERROR(AVERAGEIFS(DATOS!$K$2:$K$20000,DATOS!$A$2:$A$20000,M407,DATOS!$G$2:$G$20000,CONFIG_METADATA!$B$4,DATOS!$I$2:$I$20000,"Coro"),""))</f>
        <v/>
      </c>
      <c r="P407" t="str">
        <f>IF(M407="","",IFERROR(AVERAGEIFS(DATOS!$K$2:$K$20000,DATOS!$A$2:$A$20000,M407,DATOS!$G$2:$G$20000,CONFIG_METADATA!$B$4,DATOS!$I$2:$I$20000,"Conjunto"),""))</f>
        <v/>
      </c>
      <c r="Q407" t="str">
        <f>IF(M407="","",IFERROR(AVERAGEIFS(DATOS!$K$2:$K$20000,DATOS!$A$2:$A$20000,M407,DATOS!$G$2:$G$20000,CONFIG_METADATA!$B$4,DATOS!$I$2:$I$20000,"&lt;&gt;Lenguaje Musical",DATOS!$I$2:$I$20000,"&lt;&gt;Coro",DATOS!$I$2:$I$20000,"&lt;&gt;Conjunto"),""))</f>
        <v/>
      </c>
      <c r="T407" t="str">
        <f>IF(S407="","",IFERROR(AVERAGEIFS(DATOS!$K$2:$K$20000,DATOS!$A$2:$A$20000,S407,DATOS!$G$2:$G$20000,CONFIG_METADATA!$B$4,DATOS!$I$2:$I$20000,"Lenguaje Musical"),""))</f>
        <v/>
      </c>
      <c r="U407" t="str">
        <f>IF(S407="","",IFERROR(AVERAGEIFS(DATOS!$K$2:$K$20000,DATOS!$A$2:$A$20000,S407,DATOS!$G$2:$G$20000,CONFIG_METADATA!$B$4,DATOS!$I$2:$I$20000,"Coro"),""))</f>
        <v/>
      </c>
      <c r="V407" t="str">
        <f>IF(S407="","",IFERROR(AVERAGEIFS(DATOS!$K$2:$K$20000,DATOS!$A$2:$A$20000,S407,DATOS!$G$2:$G$20000,CONFIG_METADATA!$B$4,DATOS!$I$2:$I$20000,"Conjunto"),""))</f>
        <v/>
      </c>
      <c r="W407" t="str" cm="1">
        <f t="array" ref="W407">IF(S407="","",IFERROR(AVERAGE(IF((DATOS!$A$2:$A$20000=S407)*(DATOS!$G$2:$G$20000=CONFIG_METADATA!$B$4)*(DATOS!$I$2:$I$20000&lt;&gt;"Lenguaje Musical")*(DATOS!$I$2:$I$20000&lt;&gt;"Coro")*(DATOS!$I$2:$I$20000&lt;&gt;"Conjunto"),DATOS!$K$2:$K$20000)),""))</f>
        <v/>
      </c>
    </row>
    <row r="408" spans="2:23" x14ac:dyDescent="0.2">
      <c r="B408" t="str">
        <f>IF(A408="","",IFERROR(AVERAGEIFS(DATOS!$K$2:$K$20000,DATOS!$A$2:$A$20000,A408,DATOS!$G$2:$G$20000,CONFIG_METADATA!$B$4,DATOS!$I$2:$I$20000,"Lenguaje Musical"),""))</f>
        <v/>
      </c>
      <c r="C408" t="str">
        <f>IF(A408="","",IFERROR(AVERAGEIFS(DATOS!$K$2:$K$20000,DATOS!$A$2:$A$20000,A408,DATOS!$G$2:$G$20000,CONFIG_METADATA!$B$4,DATOS!$I$2:$I$20000,"Coro"),""))</f>
        <v/>
      </c>
      <c r="D408" t="str">
        <f>IF(A408="","",IFERROR(AVERAGEIFS(DATOS!$K$2:$K$20000,DATOS!$A$2:$A$20000,A408,DATOS!$G$2:$G$20000,CONFIG_METADATA!$B$4,DATOS!$I$2:$I$20000,"Conjunto"),""))</f>
        <v/>
      </c>
      <c r="E408" t="str">
        <f>IF(A408="","",IFERROR(AVERAGEIFS(DATOS!$K$2:$K$20000,DATOS!$A$2:$A$20000,A408,DATOS!$G$2:$G$20000,CONFIG_METADATA!$B$4,DATOS!$I$2:$I$20000,"&lt;&gt;Lenguaje Musical",DATOS!$I$2:$I$20000,"&lt;&gt;Coro",DATOS!$I$2:$I$20000,"&lt;&gt;Conjunto"),""))</f>
        <v/>
      </c>
      <c r="H408" t="str">
        <f>IF(G408="","",IFERROR(AVERAGEIFS(DATOS!$K$2:$K$20000,DATOS!$A$2:$A$20000,G408,DATOS!$G$2:$G$20000,CONFIG_METADATA!$B$4,DATOS!$I$2:$I$20000,"Lenguaje Musical"),""))</f>
        <v/>
      </c>
      <c r="I408" t="str">
        <f>IF(G408="","",IFERROR(AVERAGEIFS(DATOS!$K$2:$K$20000,DATOS!$A$2:$A$20000,G408,DATOS!$G$2:$G$20000,CONFIG_METADATA!$B$4,DATOS!$I$2:$I$20000,"Coro"),""))</f>
        <v/>
      </c>
      <c r="J408" t="str">
        <f>IF(G408="","",IFERROR(AVERAGEIFS(DATOS!$K$2:$K$20000,DATOS!$A$2:$A$20000,G408,DATOS!$G$2:$G$20000,CONFIG_METADATA!$B$4,DATOS!$I$2:$I$20000,"Conjunto"),""))</f>
        <v/>
      </c>
      <c r="K408" t="str" cm="1">
        <f t="array" ref="K408">IF(G408="","",IFERROR(AVERAGE(IF((DATOS!$A$2:$A$20000=G408)*(DATOS!$G$2:$G$20000=CONFIG_METADATA!$B$4)*(DATOS!$I$2:$I$20000&lt;&gt;"Lenguaje Musical")*(DATOS!$I$2:$I$20000&lt;&gt;"Coro")*(DATOS!$I$2:$I$20000&lt;&gt;"Conjunto"),DATOS!$K$2:$K$20000)),""))</f>
        <v/>
      </c>
      <c r="N408" t="str">
        <f>IF(M408="","",IFERROR(AVERAGEIFS(DATOS!$K$2:$K$20000,DATOS!$A$2:$A$20000,M408,DATOS!$G$2:$G$20000,CONFIG_METADATA!$B$4,DATOS!$I$2:$I$20000,"Lenguaje Musical"),""))</f>
        <v/>
      </c>
      <c r="O408" t="str">
        <f>IF(M408="","",IFERROR(AVERAGEIFS(DATOS!$K$2:$K$20000,DATOS!$A$2:$A$20000,M408,DATOS!$G$2:$G$20000,CONFIG_METADATA!$B$4,DATOS!$I$2:$I$20000,"Coro"),""))</f>
        <v/>
      </c>
      <c r="P408" t="str">
        <f>IF(M408="","",IFERROR(AVERAGEIFS(DATOS!$K$2:$K$20000,DATOS!$A$2:$A$20000,M408,DATOS!$G$2:$G$20000,CONFIG_METADATA!$B$4,DATOS!$I$2:$I$20000,"Conjunto"),""))</f>
        <v/>
      </c>
      <c r="Q408" t="str">
        <f>IF(M408="","",IFERROR(AVERAGEIFS(DATOS!$K$2:$K$20000,DATOS!$A$2:$A$20000,M408,DATOS!$G$2:$G$20000,CONFIG_METADATA!$B$4,DATOS!$I$2:$I$20000,"&lt;&gt;Lenguaje Musical",DATOS!$I$2:$I$20000,"&lt;&gt;Coro",DATOS!$I$2:$I$20000,"&lt;&gt;Conjunto"),""))</f>
        <v/>
      </c>
      <c r="T408" t="str">
        <f>IF(S408="","",IFERROR(AVERAGEIFS(DATOS!$K$2:$K$20000,DATOS!$A$2:$A$20000,S408,DATOS!$G$2:$G$20000,CONFIG_METADATA!$B$4,DATOS!$I$2:$I$20000,"Lenguaje Musical"),""))</f>
        <v/>
      </c>
      <c r="U408" t="str">
        <f>IF(S408="","",IFERROR(AVERAGEIFS(DATOS!$K$2:$K$20000,DATOS!$A$2:$A$20000,S408,DATOS!$G$2:$G$20000,CONFIG_METADATA!$B$4,DATOS!$I$2:$I$20000,"Coro"),""))</f>
        <v/>
      </c>
      <c r="V408" t="str">
        <f>IF(S408="","",IFERROR(AVERAGEIFS(DATOS!$K$2:$K$20000,DATOS!$A$2:$A$20000,S408,DATOS!$G$2:$G$20000,CONFIG_METADATA!$B$4,DATOS!$I$2:$I$20000,"Conjunto"),""))</f>
        <v/>
      </c>
      <c r="W408" t="str" cm="1">
        <f t="array" ref="W408">IF(S408="","",IFERROR(AVERAGE(IF((DATOS!$A$2:$A$20000=S408)*(DATOS!$G$2:$G$20000=CONFIG_METADATA!$B$4)*(DATOS!$I$2:$I$20000&lt;&gt;"Lenguaje Musical")*(DATOS!$I$2:$I$20000&lt;&gt;"Coro")*(DATOS!$I$2:$I$20000&lt;&gt;"Conjunto"),DATOS!$K$2:$K$20000)),""))</f>
        <v/>
      </c>
    </row>
    <row r="409" spans="2:23" x14ac:dyDescent="0.2">
      <c r="B409" t="str">
        <f>IF(A409="","",IFERROR(AVERAGEIFS(DATOS!$K$2:$K$20000,DATOS!$A$2:$A$20000,A409,DATOS!$G$2:$G$20000,CONFIG_METADATA!$B$4,DATOS!$I$2:$I$20000,"Lenguaje Musical"),""))</f>
        <v/>
      </c>
      <c r="C409" t="str">
        <f>IF(A409="","",IFERROR(AVERAGEIFS(DATOS!$K$2:$K$20000,DATOS!$A$2:$A$20000,A409,DATOS!$G$2:$G$20000,CONFIG_METADATA!$B$4,DATOS!$I$2:$I$20000,"Coro"),""))</f>
        <v/>
      </c>
      <c r="D409" t="str">
        <f>IF(A409="","",IFERROR(AVERAGEIFS(DATOS!$K$2:$K$20000,DATOS!$A$2:$A$20000,A409,DATOS!$G$2:$G$20000,CONFIG_METADATA!$B$4,DATOS!$I$2:$I$20000,"Conjunto"),""))</f>
        <v/>
      </c>
      <c r="E409" t="str">
        <f>IF(A409="","",IFERROR(AVERAGEIFS(DATOS!$K$2:$K$20000,DATOS!$A$2:$A$20000,A409,DATOS!$G$2:$G$20000,CONFIG_METADATA!$B$4,DATOS!$I$2:$I$20000,"&lt;&gt;Lenguaje Musical",DATOS!$I$2:$I$20000,"&lt;&gt;Coro",DATOS!$I$2:$I$20000,"&lt;&gt;Conjunto"),""))</f>
        <v/>
      </c>
      <c r="H409" t="str">
        <f>IF(G409="","",IFERROR(AVERAGEIFS(DATOS!$K$2:$K$20000,DATOS!$A$2:$A$20000,G409,DATOS!$G$2:$G$20000,CONFIG_METADATA!$B$4,DATOS!$I$2:$I$20000,"Lenguaje Musical"),""))</f>
        <v/>
      </c>
      <c r="I409" t="str">
        <f>IF(G409="","",IFERROR(AVERAGEIFS(DATOS!$K$2:$K$20000,DATOS!$A$2:$A$20000,G409,DATOS!$G$2:$G$20000,CONFIG_METADATA!$B$4,DATOS!$I$2:$I$20000,"Coro"),""))</f>
        <v/>
      </c>
      <c r="J409" t="str">
        <f>IF(G409="","",IFERROR(AVERAGEIFS(DATOS!$K$2:$K$20000,DATOS!$A$2:$A$20000,G409,DATOS!$G$2:$G$20000,CONFIG_METADATA!$B$4,DATOS!$I$2:$I$20000,"Conjunto"),""))</f>
        <v/>
      </c>
      <c r="K409" t="str" cm="1">
        <f t="array" ref="K409">IF(G409="","",IFERROR(AVERAGE(IF((DATOS!$A$2:$A$20000=G409)*(DATOS!$G$2:$G$20000=CONFIG_METADATA!$B$4)*(DATOS!$I$2:$I$20000&lt;&gt;"Lenguaje Musical")*(DATOS!$I$2:$I$20000&lt;&gt;"Coro")*(DATOS!$I$2:$I$20000&lt;&gt;"Conjunto"),DATOS!$K$2:$K$20000)),""))</f>
        <v/>
      </c>
      <c r="N409" t="str">
        <f>IF(M409="","",IFERROR(AVERAGEIFS(DATOS!$K$2:$K$20000,DATOS!$A$2:$A$20000,M409,DATOS!$G$2:$G$20000,CONFIG_METADATA!$B$4,DATOS!$I$2:$I$20000,"Lenguaje Musical"),""))</f>
        <v/>
      </c>
      <c r="O409" t="str">
        <f>IF(M409="","",IFERROR(AVERAGEIFS(DATOS!$K$2:$K$20000,DATOS!$A$2:$A$20000,M409,DATOS!$G$2:$G$20000,CONFIG_METADATA!$B$4,DATOS!$I$2:$I$20000,"Coro"),""))</f>
        <v/>
      </c>
      <c r="P409" t="str">
        <f>IF(M409="","",IFERROR(AVERAGEIFS(DATOS!$K$2:$K$20000,DATOS!$A$2:$A$20000,M409,DATOS!$G$2:$G$20000,CONFIG_METADATA!$B$4,DATOS!$I$2:$I$20000,"Conjunto"),""))</f>
        <v/>
      </c>
      <c r="Q409" t="str">
        <f>IF(M409="","",IFERROR(AVERAGEIFS(DATOS!$K$2:$K$20000,DATOS!$A$2:$A$20000,M409,DATOS!$G$2:$G$20000,CONFIG_METADATA!$B$4,DATOS!$I$2:$I$20000,"&lt;&gt;Lenguaje Musical",DATOS!$I$2:$I$20000,"&lt;&gt;Coro",DATOS!$I$2:$I$20000,"&lt;&gt;Conjunto"),""))</f>
        <v/>
      </c>
      <c r="T409" t="str">
        <f>IF(S409="","",IFERROR(AVERAGEIFS(DATOS!$K$2:$K$20000,DATOS!$A$2:$A$20000,S409,DATOS!$G$2:$G$20000,CONFIG_METADATA!$B$4,DATOS!$I$2:$I$20000,"Lenguaje Musical"),""))</f>
        <v/>
      </c>
      <c r="U409" t="str">
        <f>IF(S409="","",IFERROR(AVERAGEIFS(DATOS!$K$2:$K$20000,DATOS!$A$2:$A$20000,S409,DATOS!$G$2:$G$20000,CONFIG_METADATA!$B$4,DATOS!$I$2:$I$20000,"Coro"),""))</f>
        <v/>
      </c>
      <c r="V409" t="str">
        <f>IF(S409="","",IFERROR(AVERAGEIFS(DATOS!$K$2:$K$20000,DATOS!$A$2:$A$20000,S409,DATOS!$G$2:$G$20000,CONFIG_METADATA!$B$4,DATOS!$I$2:$I$20000,"Conjunto"),""))</f>
        <v/>
      </c>
      <c r="W409" t="str" cm="1">
        <f t="array" ref="W409">IF(S409="","",IFERROR(AVERAGE(IF((DATOS!$A$2:$A$20000=S409)*(DATOS!$G$2:$G$20000=CONFIG_METADATA!$B$4)*(DATOS!$I$2:$I$20000&lt;&gt;"Lenguaje Musical")*(DATOS!$I$2:$I$20000&lt;&gt;"Coro")*(DATOS!$I$2:$I$20000&lt;&gt;"Conjunto"),DATOS!$K$2:$K$20000)),""))</f>
        <v/>
      </c>
    </row>
    <row r="410" spans="2:23" x14ac:dyDescent="0.2">
      <c r="B410" t="str">
        <f>IF(A410="","",IFERROR(AVERAGEIFS(DATOS!$K$2:$K$20000,DATOS!$A$2:$A$20000,A410,DATOS!$G$2:$G$20000,CONFIG_METADATA!$B$4,DATOS!$I$2:$I$20000,"Lenguaje Musical"),""))</f>
        <v/>
      </c>
      <c r="C410" t="str">
        <f>IF(A410="","",IFERROR(AVERAGEIFS(DATOS!$K$2:$K$20000,DATOS!$A$2:$A$20000,A410,DATOS!$G$2:$G$20000,CONFIG_METADATA!$B$4,DATOS!$I$2:$I$20000,"Coro"),""))</f>
        <v/>
      </c>
      <c r="D410" t="str">
        <f>IF(A410="","",IFERROR(AVERAGEIFS(DATOS!$K$2:$K$20000,DATOS!$A$2:$A$20000,A410,DATOS!$G$2:$G$20000,CONFIG_METADATA!$B$4,DATOS!$I$2:$I$20000,"Conjunto"),""))</f>
        <v/>
      </c>
      <c r="E410" t="str">
        <f>IF(A410="","",IFERROR(AVERAGEIFS(DATOS!$K$2:$K$20000,DATOS!$A$2:$A$20000,A410,DATOS!$G$2:$G$20000,CONFIG_METADATA!$B$4,DATOS!$I$2:$I$20000,"&lt;&gt;Lenguaje Musical",DATOS!$I$2:$I$20000,"&lt;&gt;Coro",DATOS!$I$2:$I$20000,"&lt;&gt;Conjunto"),""))</f>
        <v/>
      </c>
      <c r="H410" t="str">
        <f>IF(G410="","",IFERROR(AVERAGEIFS(DATOS!$K$2:$K$20000,DATOS!$A$2:$A$20000,G410,DATOS!$G$2:$G$20000,CONFIG_METADATA!$B$4,DATOS!$I$2:$I$20000,"Lenguaje Musical"),""))</f>
        <v/>
      </c>
      <c r="I410" t="str">
        <f>IF(G410="","",IFERROR(AVERAGEIFS(DATOS!$K$2:$K$20000,DATOS!$A$2:$A$20000,G410,DATOS!$G$2:$G$20000,CONFIG_METADATA!$B$4,DATOS!$I$2:$I$20000,"Coro"),""))</f>
        <v/>
      </c>
      <c r="J410" t="str">
        <f>IF(G410="","",IFERROR(AVERAGEIFS(DATOS!$K$2:$K$20000,DATOS!$A$2:$A$20000,G410,DATOS!$G$2:$G$20000,CONFIG_METADATA!$B$4,DATOS!$I$2:$I$20000,"Conjunto"),""))</f>
        <v/>
      </c>
      <c r="K410" t="str" cm="1">
        <f t="array" ref="K410">IF(G410="","",IFERROR(AVERAGE(IF((DATOS!$A$2:$A$20000=G410)*(DATOS!$G$2:$G$20000=CONFIG_METADATA!$B$4)*(DATOS!$I$2:$I$20000&lt;&gt;"Lenguaje Musical")*(DATOS!$I$2:$I$20000&lt;&gt;"Coro")*(DATOS!$I$2:$I$20000&lt;&gt;"Conjunto"),DATOS!$K$2:$K$20000)),""))</f>
        <v/>
      </c>
      <c r="N410" t="str">
        <f>IF(M410="","",IFERROR(AVERAGEIFS(DATOS!$K$2:$K$20000,DATOS!$A$2:$A$20000,M410,DATOS!$G$2:$G$20000,CONFIG_METADATA!$B$4,DATOS!$I$2:$I$20000,"Lenguaje Musical"),""))</f>
        <v/>
      </c>
      <c r="O410" t="str">
        <f>IF(M410="","",IFERROR(AVERAGEIFS(DATOS!$K$2:$K$20000,DATOS!$A$2:$A$20000,M410,DATOS!$G$2:$G$20000,CONFIG_METADATA!$B$4,DATOS!$I$2:$I$20000,"Coro"),""))</f>
        <v/>
      </c>
      <c r="P410" t="str">
        <f>IF(M410="","",IFERROR(AVERAGEIFS(DATOS!$K$2:$K$20000,DATOS!$A$2:$A$20000,M410,DATOS!$G$2:$G$20000,CONFIG_METADATA!$B$4,DATOS!$I$2:$I$20000,"Conjunto"),""))</f>
        <v/>
      </c>
      <c r="Q410" t="str">
        <f>IF(M410="","",IFERROR(AVERAGEIFS(DATOS!$K$2:$K$20000,DATOS!$A$2:$A$20000,M410,DATOS!$G$2:$G$20000,CONFIG_METADATA!$B$4,DATOS!$I$2:$I$20000,"&lt;&gt;Lenguaje Musical",DATOS!$I$2:$I$20000,"&lt;&gt;Coro",DATOS!$I$2:$I$20000,"&lt;&gt;Conjunto"),""))</f>
        <v/>
      </c>
      <c r="T410" t="str">
        <f>IF(S410="","",IFERROR(AVERAGEIFS(DATOS!$K$2:$K$20000,DATOS!$A$2:$A$20000,S410,DATOS!$G$2:$G$20000,CONFIG_METADATA!$B$4,DATOS!$I$2:$I$20000,"Lenguaje Musical"),""))</f>
        <v/>
      </c>
      <c r="U410" t="str">
        <f>IF(S410="","",IFERROR(AVERAGEIFS(DATOS!$K$2:$K$20000,DATOS!$A$2:$A$20000,S410,DATOS!$G$2:$G$20000,CONFIG_METADATA!$B$4,DATOS!$I$2:$I$20000,"Coro"),""))</f>
        <v/>
      </c>
      <c r="V410" t="str">
        <f>IF(S410="","",IFERROR(AVERAGEIFS(DATOS!$K$2:$K$20000,DATOS!$A$2:$A$20000,S410,DATOS!$G$2:$G$20000,CONFIG_METADATA!$B$4,DATOS!$I$2:$I$20000,"Conjunto"),""))</f>
        <v/>
      </c>
      <c r="W410" t="str" cm="1">
        <f t="array" ref="W410">IF(S410="","",IFERROR(AVERAGE(IF((DATOS!$A$2:$A$20000=S410)*(DATOS!$G$2:$G$20000=CONFIG_METADATA!$B$4)*(DATOS!$I$2:$I$20000&lt;&gt;"Lenguaje Musical")*(DATOS!$I$2:$I$20000&lt;&gt;"Coro")*(DATOS!$I$2:$I$20000&lt;&gt;"Conjunto"),DATOS!$K$2:$K$20000)),""))</f>
        <v/>
      </c>
    </row>
    <row r="411" spans="2:23" x14ac:dyDescent="0.2">
      <c r="B411" t="str">
        <f>IF(A411="","",IFERROR(AVERAGEIFS(DATOS!$K$2:$K$20000,DATOS!$A$2:$A$20000,A411,DATOS!$G$2:$G$20000,CONFIG_METADATA!$B$4,DATOS!$I$2:$I$20000,"Lenguaje Musical"),""))</f>
        <v/>
      </c>
      <c r="C411" t="str">
        <f>IF(A411="","",IFERROR(AVERAGEIFS(DATOS!$K$2:$K$20000,DATOS!$A$2:$A$20000,A411,DATOS!$G$2:$G$20000,CONFIG_METADATA!$B$4,DATOS!$I$2:$I$20000,"Coro"),""))</f>
        <v/>
      </c>
      <c r="D411" t="str">
        <f>IF(A411="","",IFERROR(AVERAGEIFS(DATOS!$K$2:$K$20000,DATOS!$A$2:$A$20000,A411,DATOS!$G$2:$G$20000,CONFIG_METADATA!$B$4,DATOS!$I$2:$I$20000,"Conjunto"),""))</f>
        <v/>
      </c>
      <c r="E411" t="str">
        <f>IF(A411="","",IFERROR(AVERAGEIFS(DATOS!$K$2:$K$20000,DATOS!$A$2:$A$20000,A411,DATOS!$G$2:$G$20000,CONFIG_METADATA!$B$4,DATOS!$I$2:$I$20000,"&lt;&gt;Lenguaje Musical",DATOS!$I$2:$I$20000,"&lt;&gt;Coro",DATOS!$I$2:$I$20000,"&lt;&gt;Conjunto"),""))</f>
        <v/>
      </c>
      <c r="H411" t="str">
        <f>IF(G411="","",IFERROR(AVERAGEIFS(DATOS!$K$2:$K$20000,DATOS!$A$2:$A$20000,G411,DATOS!$G$2:$G$20000,CONFIG_METADATA!$B$4,DATOS!$I$2:$I$20000,"Lenguaje Musical"),""))</f>
        <v/>
      </c>
      <c r="I411" t="str">
        <f>IF(G411="","",IFERROR(AVERAGEIFS(DATOS!$K$2:$K$20000,DATOS!$A$2:$A$20000,G411,DATOS!$G$2:$G$20000,CONFIG_METADATA!$B$4,DATOS!$I$2:$I$20000,"Coro"),""))</f>
        <v/>
      </c>
      <c r="J411" t="str">
        <f>IF(G411="","",IFERROR(AVERAGEIFS(DATOS!$K$2:$K$20000,DATOS!$A$2:$A$20000,G411,DATOS!$G$2:$G$20000,CONFIG_METADATA!$B$4,DATOS!$I$2:$I$20000,"Conjunto"),""))</f>
        <v/>
      </c>
      <c r="K411" t="str" cm="1">
        <f t="array" ref="K411">IF(G411="","",IFERROR(AVERAGE(IF((DATOS!$A$2:$A$20000=G411)*(DATOS!$G$2:$G$20000=CONFIG_METADATA!$B$4)*(DATOS!$I$2:$I$20000&lt;&gt;"Lenguaje Musical")*(DATOS!$I$2:$I$20000&lt;&gt;"Coro")*(DATOS!$I$2:$I$20000&lt;&gt;"Conjunto"),DATOS!$K$2:$K$20000)),""))</f>
        <v/>
      </c>
      <c r="N411" t="str">
        <f>IF(M411="","",IFERROR(AVERAGEIFS(DATOS!$K$2:$K$20000,DATOS!$A$2:$A$20000,M411,DATOS!$G$2:$G$20000,CONFIG_METADATA!$B$4,DATOS!$I$2:$I$20000,"Lenguaje Musical"),""))</f>
        <v/>
      </c>
      <c r="O411" t="str">
        <f>IF(M411="","",IFERROR(AVERAGEIFS(DATOS!$K$2:$K$20000,DATOS!$A$2:$A$20000,M411,DATOS!$G$2:$G$20000,CONFIG_METADATA!$B$4,DATOS!$I$2:$I$20000,"Coro"),""))</f>
        <v/>
      </c>
      <c r="P411" t="str">
        <f>IF(M411="","",IFERROR(AVERAGEIFS(DATOS!$K$2:$K$20000,DATOS!$A$2:$A$20000,M411,DATOS!$G$2:$G$20000,CONFIG_METADATA!$B$4,DATOS!$I$2:$I$20000,"Conjunto"),""))</f>
        <v/>
      </c>
      <c r="Q411" t="str">
        <f>IF(M411="","",IFERROR(AVERAGEIFS(DATOS!$K$2:$K$20000,DATOS!$A$2:$A$20000,M411,DATOS!$G$2:$G$20000,CONFIG_METADATA!$B$4,DATOS!$I$2:$I$20000,"&lt;&gt;Lenguaje Musical",DATOS!$I$2:$I$20000,"&lt;&gt;Coro",DATOS!$I$2:$I$20000,"&lt;&gt;Conjunto"),""))</f>
        <v/>
      </c>
      <c r="T411" t="str">
        <f>IF(S411="","",IFERROR(AVERAGEIFS(DATOS!$K$2:$K$20000,DATOS!$A$2:$A$20000,S411,DATOS!$G$2:$G$20000,CONFIG_METADATA!$B$4,DATOS!$I$2:$I$20000,"Lenguaje Musical"),""))</f>
        <v/>
      </c>
      <c r="U411" t="str">
        <f>IF(S411="","",IFERROR(AVERAGEIFS(DATOS!$K$2:$K$20000,DATOS!$A$2:$A$20000,S411,DATOS!$G$2:$G$20000,CONFIG_METADATA!$B$4,DATOS!$I$2:$I$20000,"Coro"),""))</f>
        <v/>
      </c>
      <c r="V411" t="str">
        <f>IF(S411="","",IFERROR(AVERAGEIFS(DATOS!$K$2:$K$20000,DATOS!$A$2:$A$20000,S411,DATOS!$G$2:$G$20000,CONFIG_METADATA!$B$4,DATOS!$I$2:$I$20000,"Conjunto"),""))</f>
        <v/>
      </c>
      <c r="W411" t="str" cm="1">
        <f t="array" ref="W411">IF(S411="","",IFERROR(AVERAGE(IF((DATOS!$A$2:$A$20000=S411)*(DATOS!$G$2:$G$20000=CONFIG_METADATA!$B$4)*(DATOS!$I$2:$I$20000&lt;&gt;"Lenguaje Musical")*(DATOS!$I$2:$I$20000&lt;&gt;"Coro")*(DATOS!$I$2:$I$20000&lt;&gt;"Conjunto"),DATOS!$K$2:$K$20000)),""))</f>
        <v/>
      </c>
    </row>
    <row r="412" spans="2:23" x14ac:dyDescent="0.2">
      <c r="B412" t="str">
        <f>IF(A412="","",IFERROR(AVERAGEIFS(DATOS!$K$2:$K$20000,DATOS!$A$2:$A$20000,A412,DATOS!$G$2:$G$20000,CONFIG_METADATA!$B$4,DATOS!$I$2:$I$20000,"Lenguaje Musical"),""))</f>
        <v/>
      </c>
      <c r="C412" t="str">
        <f>IF(A412="","",IFERROR(AVERAGEIFS(DATOS!$K$2:$K$20000,DATOS!$A$2:$A$20000,A412,DATOS!$G$2:$G$20000,CONFIG_METADATA!$B$4,DATOS!$I$2:$I$20000,"Coro"),""))</f>
        <v/>
      </c>
      <c r="D412" t="str">
        <f>IF(A412="","",IFERROR(AVERAGEIFS(DATOS!$K$2:$K$20000,DATOS!$A$2:$A$20000,A412,DATOS!$G$2:$G$20000,CONFIG_METADATA!$B$4,DATOS!$I$2:$I$20000,"Conjunto"),""))</f>
        <v/>
      </c>
      <c r="E412" t="str">
        <f>IF(A412="","",IFERROR(AVERAGEIFS(DATOS!$K$2:$K$20000,DATOS!$A$2:$A$20000,A412,DATOS!$G$2:$G$20000,CONFIG_METADATA!$B$4,DATOS!$I$2:$I$20000,"&lt;&gt;Lenguaje Musical",DATOS!$I$2:$I$20000,"&lt;&gt;Coro",DATOS!$I$2:$I$20000,"&lt;&gt;Conjunto"),""))</f>
        <v/>
      </c>
      <c r="H412" t="str">
        <f>IF(G412="","",IFERROR(AVERAGEIFS(DATOS!$K$2:$K$20000,DATOS!$A$2:$A$20000,G412,DATOS!$G$2:$G$20000,CONFIG_METADATA!$B$4,DATOS!$I$2:$I$20000,"Lenguaje Musical"),""))</f>
        <v/>
      </c>
      <c r="I412" t="str">
        <f>IF(G412="","",IFERROR(AVERAGEIFS(DATOS!$K$2:$K$20000,DATOS!$A$2:$A$20000,G412,DATOS!$G$2:$G$20000,CONFIG_METADATA!$B$4,DATOS!$I$2:$I$20000,"Coro"),""))</f>
        <v/>
      </c>
      <c r="J412" t="str">
        <f>IF(G412="","",IFERROR(AVERAGEIFS(DATOS!$K$2:$K$20000,DATOS!$A$2:$A$20000,G412,DATOS!$G$2:$G$20000,CONFIG_METADATA!$B$4,DATOS!$I$2:$I$20000,"Conjunto"),""))</f>
        <v/>
      </c>
      <c r="K412" t="str" cm="1">
        <f t="array" ref="K412">IF(G412="","",IFERROR(AVERAGE(IF((DATOS!$A$2:$A$20000=G412)*(DATOS!$G$2:$G$20000=CONFIG_METADATA!$B$4)*(DATOS!$I$2:$I$20000&lt;&gt;"Lenguaje Musical")*(DATOS!$I$2:$I$20000&lt;&gt;"Coro")*(DATOS!$I$2:$I$20000&lt;&gt;"Conjunto"),DATOS!$K$2:$K$20000)),""))</f>
        <v/>
      </c>
      <c r="N412" t="str">
        <f>IF(M412="","",IFERROR(AVERAGEIFS(DATOS!$K$2:$K$20000,DATOS!$A$2:$A$20000,M412,DATOS!$G$2:$G$20000,CONFIG_METADATA!$B$4,DATOS!$I$2:$I$20000,"Lenguaje Musical"),""))</f>
        <v/>
      </c>
      <c r="O412" t="str">
        <f>IF(M412="","",IFERROR(AVERAGEIFS(DATOS!$K$2:$K$20000,DATOS!$A$2:$A$20000,M412,DATOS!$G$2:$G$20000,CONFIG_METADATA!$B$4,DATOS!$I$2:$I$20000,"Coro"),""))</f>
        <v/>
      </c>
      <c r="P412" t="str">
        <f>IF(M412="","",IFERROR(AVERAGEIFS(DATOS!$K$2:$K$20000,DATOS!$A$2:$A$20000,M412,DATOS!$G$2:$G$20000,CONFIG_METADATA!$B$4,DATOS!$I$2:$I$20000,"Conjunto"),""))</f>
        <v/>
      </c>
      <c r="Q412" t="str">
        <f>IF(M412="","",IFERROR(AVERAGEIFS(DATOS!$K$2:$K$20000,DATOS!$A$2:$A$20000,M412,DATOS!$G$2:$G$20000,CONFIG_METADATA!$B$4,DATOS!$I$2:$I$20000,"&lt;&gt;Lenguaje Musical",DATOS!$I$2:$I$20000,"&lt;&gt;Coro",DATOS!$I$2:$I$20000,"&lt;&gt;Conjunto"),""))</f>
        <v/>
      </c>
      <c r="T412" t="str">
        <f>IF(S412="","",IFERROR(AVERAGEIFS(DATOS!$K$2:$K$20000,DATOS!$A$2:$A$20000,S412,DATOS!$G$2:$G$20000,CONFIG_METADATA!$B$4,DATOS!$I$2:$I$20000,"Lenguaje Musical"),""))</f>
        <v/>
      </c>
      <c r="U412" t="str">
        <f>IF(S412="","",IFERROR(AVERAGEIFS(DATOS!$K$2:$K$20000,DATOS!$A$2:$A$20000,S412,DATOS!$G$2:$G$20000,CONFIG_METADATA!$B$4,DATOS!$I$2:$I$20000,"Coro"),""))</f>
        <v/>
      </c>
      <c r="V412" t="str">
        <f>IF(S412="","",IFERROR(AVERAGEIFS(DATOS!$K$2:$K$20000,DATOS!$A$2:$A$20000,S412,DATOS!$G$2:$G$20000,CONFIG_METADATA!$B$4,DATOS!$I$2:$I$20000,"Conjunto"),""))</f>
        <v/>
      </c>
      <c r="W412" t="str" cm="1">
        <f t="array" ref="W412">IF(S412="","",IFERROR(AVERAGE(IF((DATOS!$A$2:$A$20000=S412)*(DATOS!$G$2:$G$20000=CONFIG_METADATA!$B$4)*(DATOS!$I$2:$I$20000&lt;&gt;"Lenguaje Musical")*(DATOS!$I$2:$I$20000&lt;&gt;"Coro")*(DATOS!$I$2:$I$20000&lt;&gt;"Conjunto"),DATOS!$K$2:$K$20000)),""))</f>
        <v/>
      </c>
    </row>
    <row r="413" spans="2:23" x14ac:dyDescent="0.2">
      <c r="B413" t="str">
        <f>IF(A413="","",IFERROR(AVERAGEIFS(DATOS!$K$2:$K$20000,DATOS!$A$2:$A$20000,A413,DATOS!$G$2:$G$20000,CONFIG_METADATA!$B$4,DATOS!$I$2:$I$20000,"Lenguaje Musical"),""))</f>
        <v/>
      </c>
      <c r="C413" t="str">
        <f>IF(A413="","",IFERROR(AVERAGEIFS(DATOS!$K$2:$K$20000,DATOS!$A$2:$A$20000,A413,DATOS!$G$2:$G$20000,CONFIG_METADATA!$B$4,DATOS!$I$2:$I$20000,"Coro"),""))</f>
        <v/>
      </c>
      <c r="D413" t="str">
        <f>IF(A413="","",IFERROR(AVERAGEIFS(DATOS!$K$2:$K$20000,DATOS!$A$2:$A$20000,A413,DATOS!$G$2:$G$20000,CONFIG_METADATA!$B$4,DATOS!$I$2:$I$20000,"Conjunto"),""))</f>
        <v/>
      </c>
      <c r="E413" t="str">
        <f>IF(A413="","",IFERROR(AVERAGEIFS(DATOS!$K$2:$K$20000,DATOS!$A$2:$A$20000,A413,DATOS!$G$2:$G$20000,CONFIG_METADATA!$B$4,DATOS!$I$2:$I$20000,"&lt;&gt;Lenguaje Musical",DATOS!$I$2:$I$20000,"&lt;&gt;Coro",DATOS!$I$2:$I$20000,"&lt;&gt;Conjunto"),""))</f>
        <v/>
      </c>
      <c r="H413" t="str">
        <f>IF(G413="","",IFERROR(AVERAGEIFS(DATOS!$K$2:$K$20000,DATOS!$A$2:$A$20000,G413,DATOS!$G$2:$G$20000,CONFIG_METADATA!$B$4,DATOS!$I$2:$I$20000,"Lenguaje Musical"),""))</f>
        <v/>
      </c>
      <c r="I413" t="str">
        <f>IF(G413="","",IFERROR(AVERAGEIFS(DATOS!$K$2:$K$20000,DATOS!$A$2:$A$20000,G413,DATOS!$G$2:$G$20000,CONFIG_METADATA!$B$4,DATOS!$I$2:$I$20000,"Coro"),""))</f>
        <v/>
      </c>
      <c r="J413" t="str">
        <f>IF(G413="","",IFERROR(AVERAGEIFS(DATOS!$K$2:$K$20000,DATOS!$A$2:$A$20000,G413,DATOS!$G$2:$G$20000,CONFIG_METADATA!$B$4,DATOS!$I$2:$I$20000,"Conjunto"),""))</f>
        <v/>
      </c>
      <c r="K413" t="str" cm="1">
        <f t="array" ref="K413">IF(G413="","",IFERROR(AVERAGE(IF((DATOS!$A$2:$A$20000=G413)*(DATOS!$G$2:$G$20000=CONFIG_METADATA!$B$4)*(DATOS!$I$2:$I$20000&lt;&gt;"Lenguaje Musical")*(DATOS!$I$2:$I$20000&lt;&gt;"Coro")*(DATOS!$I$2:$I$20000&lt;&gt;"Conjunto"),DATOS!$K$2:$K$20000)),""))</f>
        <v/>
      </c>
      <c r="N413" t="str">
        <f>IF(M413="","",IFERROR(AVERAGEIFS(DATOS!$K$2:$K$20000,DATOS!$A$2:$A$20000,M413,DATOS!$G$2:$G$20000,CONFIG_METADATA!$B$4,DATOS!$I$2:$I$20000,"Lenguaje Musical"),""))</f>
        <v/>
      </c>
      <c r="O413" t="str">
        <f>IF(M413="","",IFERROR(AVERAGEIFS(DATOS!$K$2:$K$20000,DATOS!$A$2:$A$20000,M413,DATOS!$G$2:$G$20000,CONFIG_METADATA!$B$4,DATOS!$I$2:$I$20000,"Coro"),""))</f>
        <v/>
      </c>
      <c r="P413" t="str">
        <f>IF(M413="","",IFERROR(AVERAGEIFS(DATOS!$K$2:$K$20000,DATOS!$A$2:$A$20000,M413,DATOS!$G$2:$G$20000,CONFIG_METADATA!$B$4,DATOS!$I$2:$I$20000,"Conjunto"),""))</f>
        <v/>
      </c>
      <c r="Q413" t="str">
        <f>IF(M413="","",IFERROR(AVERAGEIFS(DATOS!$K$2:$K$20000,DATOS!$A$2:$A$20000,M413,DATOS!$G$2:$G$20000,CONFIG_METADATA!$B$4,DATOS!$I$2:$I$20000,"&lt;&gt;Lenguaje Musical",DATOS!$I$2:$I$20000,"&lt;&gt;Coro",DATOS!$I$2:$I$20000,"&lt;&gt;Conjunto"),""))</f>
        <v/>
      </c>
      <c r="T413" t="str">
        <f>IF(S413="","",IFERROR(AVERAGEIFS(DATOS!$K$2:$K$20000,DATOS!$A$2:$A$20000,S413,DATOS!$G$2:$G$20000,CONFIG_METADATA!$B$4,DATOS!$I$2:$I$20000,"Lenguaje Musical"),""))</f>
        <v/>
      </c>
      <c r="U413" t="str">
        <f>IF(S413="","",IFERROR(AVERAGEIFS(DATOS!$K$2:$K$20000,DATOS!$A$2:$A$20000,S413,DATOS!$G$2:$G$20000,CONFIG_METADATA!$B$4,DATOS!$I$2:$I$20000,"Coro"),""))</f>
        <v/>
      </c>
      <c r="V413" t="str">
        <f>IF(S413="","",IFERROR(AVERAGEIFS(DATOS!$K$2:$K$20000,DATOS!$A$2:$A$20000,S413,DATOS!$G$2:$G$20000,CONFIG_METADATA!$B$4,DATOS!$I$2:$I$20000,"Conjunto"),""))</f>
        <v/>
      </c>
      <c r="W413" t="str" cm="1">
        <f t="array" ref="W413">IF(S413="","",IFERROR(AVERAGE(IF((DATOS!$A$2:$A$20000=S413)*(DATOS!$G$2:$G$20000=CONFIG_METADATA!$B$4)*(DATOS!$I$2:$I$20000&lt;&gt;"Lenguaje Musical")*(DATOS!$I$2:$I$20000&lt;&gt;"Coro")*(DATOS!$I$2:$I$20000&lt;&gt;"Conjunto"),DATOS!$K$2:$K$20000)),""))</f>
        <v/>
      </c>
    </row>
    <row r="414" spans="2:23" x14ac:dyDescent="0.2">
      <c r="B414" t="str">
        <f>IF(A414="","",IFERROR(AVERAGEIFS(DATOS!$K$2:$K$20000,DATOS!$A$2:$A$20000,A414,DATOS!$G$2:$G$20000,CONFIG_METADATA!$B$4,DATOS!$I$2:$I$20000,"Lenguaje Musical"),""))</f>
        <v/>
      </c>
      <c r="C414" t="str">
        <f>IF(A414="","",IFERROR(AVERAGEIFS(DATOS!$K$2:$K$20000,DATOS!$A$2:$A$20000,A414,DATOS!$G$2:$G$20000,CONFIG_METADATA!$B$4,DATOS!$I$2:$I$20000,"Coro"),""))</f>
        <v/>
      </c>
      <c r="D414" t="str">
        <f>IF(A414="","",IFERROR(AVERAGEIFS(DATOS!$K$2:$K$20000,DATOS!$A$2:$A$20000,A414,DATOS!$G$2:$G$20000,CONFIG_METADATA!$B$4,DATOS!$I$2:$I$20000,"Conjunto"),""))</f>
        <v/>
      </c>
      <c r="E414" t="str">
        <f>IF(A414="","",IFERROR(AVERAGEIFS(DATOS!$K$2:$K$20000,DATOS!$A$2:$A$20000,A414,DATOS!$G$2:$G$20000,CONFIG_METADATA!$B$4,DATOS!$I$2:$I$20000,"&lt;&gt;Lenguaje Musical",DATOS!$I$2:$I$20000,"&lt;&gt;Coro",DATOS!$I$2:$I$20000,"&lt;&gt;Conjunto"),""))</f>
        <v/>
      </c>
      <c r="H414" t="str">
        <f>IF(G414="","",IFERROR(AVERAGEIFS(DATOS!$K$2:$K$20000,DATOS!$A$2:$A$20000,G414,DATOS!$G$2:$G$20000,CONFIG_METADATA!$B$4,DATOS!$I$2:$I$20000,"Lenguaje Musical"),""))</f>
        <v/>
      </c>
      <c r="I414" t="str">
        <f>IF(G414="","",IFERROR(AVERAGEIFS(DATOS!$K$2:$K$20000,DATOS!$A$2:$A$20000,G414,DATOS!$G$2:$G$20000,CONFIG_METADATA!$B$4,DATOS!$I$2:$I$20000,"Coro"),""))</f>
        <v/>
      </c>
      <c r="J414" t="str">
        <f>IF(G414="","",IFERROR(AVERAGEIFS(DATOS!$K$2:$K$20000,DATOS!$A$2:$A$20000,G414,DATOS!$G$2:$G$20000,CONFIG_METADATA!$B$4,DATOS!$I$2:$I$20000,"Conjunto"),""))</f>
        <v/>
      </c>
      <c r="K414" t="str" cm="1">
        <f t="array" ref="K414">IF(G414="","",IFERROR(AVERAGE(IF((DATOS!$A$2:$A$20000=G414)*(DATOS!$G$2:$G$20000=CONFIG_METADATA!$B$4)*(DATOS!$I$2:$I$20000&lt;&gt;"Lenguaje Musical")*(DATOS!$I$2:$I$20000&lt;&gt;"Coro")*(DATOS!$I$2:$I$20000&lt;&gt;"Conjunto"),DATOS!$K$2:$K$20000)),""))</f>
        <v/>
      </c>
      <c r="N414" t="str">
        <f>IF(M414="","",IFERROR(AVERAGEIFS(DATOS!$K$2:$K$20000,DATOS!$A$2:$A$20000,M414,DATOS!$G$2:$G$20000,CONFIG_METADATA!$B$4,DATOS!$I$2:$I$20000,"Lenguaje Musical"),""))</f>
        <v/>
      </c>
      <c r="O414" t="str">
        <f>IF(M414="","",IFERROR(AVERAGEIFS(DATOS!$K$2:$K$20000,DATOS!$A$2:$A$20000,M414,DATOS!$G$2:$G$20000,CONFIG_METADATA!$B$4,DATOS!$I$2:$I$20000,"Coro"),""))</f>
        <v/>
      </c>
      <c r="P414" t="str">
        <f>IF(M414="","",IFERROR(AVERAGEIFS(DATOS!$K$2:$K$20000,DATOS!$A$2:$A$20000,M414,DATOS!$G$2:$G$20000,CONFIG_METADATA!$B$4,DATOS!$I$2:$I$20000,"Conjunto"),""))</f>
        <v/>
      </c>
      <c r="Q414" t="str">
        <f>IF(M414="","",IFERROR(AVERAGEIFS(DATOS!$K$2:$K$20000,DATOS!$A$2:$A$20000,M414,DATOS!$G$2:$G$20000,CONFIG_METADATA!$B$4,DATOS!$I$2:$I$20000,"&lt;&gt;Lenguaje Musical",DATOS!$I$2:$I$20000,"&lt;&gt;Coro",DATOS!$I$2:$I$20000,"&lt;&gt;Conjunto"),""))</f>
        <v/>
      </c>
      <c r="T414" t="str">
        <f>IF(S414="","",IFERROR(AVERAGEIFS(DATOS!$K$2:$K$20000,DATOS!$A$2:$A$20000,S414,DATOS!$G$2:$G$20000,CONFIG_METADATA!$B$4,DATOS!$I$2:$I$20000,"Lenguaje Musical"),""))</f>
        <v/>
      </c>
      <c r="U414" t="str">
        <f>IF(S414="","",IFERROR(AVERAGEIFS(DATOS!$K$2:$K$20000,DATOS!$A$2:$A$20000,S414,DATOS!$G$2:$G$20000,CONFIG_METADATA!$B$4,DATOS!$I$2:$I$20000,"Coro"),""))</f>
        <v/>
      </c>
      <c r="V414" t="str">
        <f>IF(S414="","",IFERROR(AVERAGEIFS(DATOS!$K$2:$K$20000,DATOS!$A$2:$A$20000,S414,DATOS!$G$2:$G$20000,CONFIG_METADATA!$B$4,DATOS!$I$2:$I$20000,"Conjunto"),""))</f>
        <v/>
      </c>
      <c r="W414" t="str" cm="1">
        <f t="array" ref="W414">IF(S414="","",IFERROR(AVERAGE(IF((DATOS!$A$2:$A$20000=S414)*(DATOS!$G$2:$G$20000=CONFIG_METADATA!$B$4)*(DATOS!$I$2:$I$20000&lt;&gt;"Lenguaje Musical")*(DATOS!$I$2:$I$20000&lt;&gt;"Coro")*(DATOS!$I$2:$I$20000&lt;&gt;"Conjunto"),DATOS!$K$2:$K$20000)),""))</f>
        <v/>
      </c>
    </row>
    <row r="415" spans="2:23" x14ac:dyDescent="0.2">
      <c r="B415" t="str">
        <f>IF(A415="","",IFERROR(AVERAGEIFS(DATOS!$K$2:$K$20000,DATOS!$A$2:$A$20000,A415,DATOS!$G$2:$G$20000,CONFIG_METADATA!$B$4,DATOS!$I$2:$I$20000,"Lenguaje Musical"),""))</f>
        <v/>
      </c>
      <c r="C415" t="str">
        <f>IF(A415="","",IFERROR(AVERAGEIFS(DATOS!$K$2:$K$20000,DATOS!$A$2:$A$20000,A415,DATOS!$G$2:$G$20000,CONFIG_METADATA!$B$4,DATOS!$I$2:$I$20000,"Coro"),""))</f>
        <v/>
      </c>
      <c r="D415" t="str">
        <f>IF(A415="","",IFERROR(AVERAGEIFS(DATOS!$K$2:$K$20000,DATOS!$A$2:$A$20000,A415,DATOS!$G$2:$G$20000,CONFIG_METADATA!$B$4,DATOS!$I$2:$I$20000,"Conjunto"),""))</f>
        <v/>
      </c>
      <c r="E415" t="str">
        <f>IF(A415="","",IFERROR(AVERAGEIFS(DATOS!$K$2:$K$20000,DATOS!$A$2:$A$20000,A415,DATOS!$G$2:$G$20000,CONFIG_METADATA!$B$4,DATOS!$I$2:$I$20000,"&lt;&gt;Lenguaje Musical",DATOS!$I$2:$I$20000,"&lt;&gt;Coro",DATOS!$I$2:$I$20000,"&lt;&gt;Conjunto"),""))</f>
        <v/>
      </c>
      <c r="H415" t="str">
        <f>IF(G415="","",IFERROR(AVERAGEIFS(DATOS!$K$2:$K$20000,DATOS!$A$2:$A$20000,G415,DATOS!$G$2:$G$20000,CONFIG_METADATA!$B$4,DATOS!$I$2:$I$20000,"Lenguaje Musical"),""))</f>
        <v/>
      </c>
      <c r="I415" t="str">
        <f>IF(G415="","",IFERROR(AVERAGEIFS(DATOS!$K$2:$K$20000,DATOS!$A$2:$A$20000,G415,DATOS!$G$2:$G$20000,CONFIG_METADATA!$B$4,DATOS!$I$2:$I$20000,"Coro"),""))</f>
        <v/>
      </c>
      <c r="J415" t="str">
        <f>IF(G415="","",IFERROR(AVERAGEIFS(DATOS!$K$2:$K$20000,DATOS!$A$2:$A$20000,G415,DATOS!$G$2:$G$20000,CONFIG_METADATA!$B$4,DATOS!$I$2:$I$20000,"Conjunto"),""))</f>
        <v/>
      </c>
      <c r="K415" t="str" cm="1">
        <f t="array" ref="K415">IF(G415="","",IFERROR(AVERAGE(IF((DATOS!$A$2:$A$20000=G415)*(DATOS!$G$2:$G$20000=CONFIG_METADATA!$B$4)*(DATOS!$I$2:$I$20000&lt;&gt;"Lenguaje Musical")*(DATOS!$I$2:$I$20000&lt;&gt;"Coro")*(DATOS!$I$2:$I$20000&lt;&gt;"Conjunto"),DATOS!$K$2:$K$20000)),""))</f>
        <v/>
      </c>
      <c r="N415" t="str">
        <f>IF(M415="","",IFERROR(AVERAGEIFS(DATOS!$K$2:$K$20000,DATOS!$A$2:$A$20000,M415,DATOS!$G$2:$G$20000,CONFIG_METADATA!$B$4,DATOS!$I$2:$I$20000,"Lenguaje Musical"),""))</f>
        <v/>
      </c>
      <c r="O415" t="str">
        <f>IF(M415="","",IFERROR(AVERAGEIFS(DATOS!$K$2:$K$20000,DATOS!$A$2:$A$20000,M415,DATOS!$G$2:$G$20000,CONFIG_METADATA!$B$4,DATOS!$I$2:$I$20000,"Coro"),""))</f>
        <v/>
      </c>
      <c r="P415" t="str">
        <f>IF(M415="","",IFERROR(AVERAGEIFS(DATOS!$K$2:$K$20000,DATOS!$A$2:$A$20000,M415,DATOS!$G$2:$G$20000,CONFIG_METADATA!$B$4,DATOS!$I$2:$I$20000,"Conjunto"),""))</f>
        <v/>
      </c>
      <c r="Q415" t="str">
        <f>IF(M415="","",IFERROR(AVERAGEIFS(DATOS!$K$2:$K$20000,DATOS!$A$2:$A$20000,M415,DATOS!$G$2:$G$20000,CONFIG_METADATA!$B$4,DATOS!$I$2:$I$20000,"&lt;&gt;Lenguaje Musical",DATOS!$I$2:$I$20000,"&lt;&gt;Coro",DATOS!$I$2:$I$20000,"&lt;&gt;Conjunto"),""))</f>
        <v/>
      </c>
      <c r="T415" t="str">
        <f>IF(S415="","",IFERROR(AVERAGEIFS(DATOS!$K$2:$K$20000,DATOS!$A$2:$A$20000,S415,DATOS!$G$2:$G$20000,CONFIG_METADATA!$B$4,DATOS!$I$2:$I$20000,"Lenguaje Musical"),""))</f>
        <v/>
      </c>
      <c r="U415" t="str">
        <f>IF(S415="","",IFERROR(AVERAGEIFS(DATOS!$K$2:$K$20000,DATOS!$A$2:$A$20000,S415,DATOS!$G$2:$G$20000,CONFIG_METADATA!$B$4,DATOS!$I$2:$I$20000,"Coro"),""))</f>
        <v/>
      </c>
      <c r="V415" t="str">
        <f>IF(S415="","",IFERROR(AVERAGEIFS(DATOS!$K$2:$K$20000,DATOS!$A$2:$A$20000,S415,DATOS!$G$2:$G$20000,CONFIG_METADATA!$B$4,DATOS!$I$2:$I$20000,"Conjunto"),""))</f>
        <v/>
      </c>
      <c r="W415" t="str" cm="1">
        <f t="array" ref="W415">IF(S415="","",IFERROR(AVERAGE(IF((DATOS!$A$2:$A$20000=S415)*(DATOS!$G$2:$G$20000=CONFIG_METADATA!$B$4)*(DATOS!$I$2:$I$20000&lt;&gt;"Lenguaje Musical")*(DATOS!$I$2:$I$20000&lt;&gt;"Coro")*(DATOS!$I$2:$I$20000&lt;&gt;"Conjunto"),DATOS!$K$2:$K$20000)),""))</f>
        <v/>
      </c>
    </row>
    <row r="416" spans="2:23" x14ac:dyDescent="0.2">
      <c r="B416" t="str">
        <f>IF(A416="","",IFERROR(AVERAGEIFS(DATOS!$K$2:$K$20000,DATOS!$A$2:$A$20000,A416,DATOS!$G$2:$G$20000,CONFIG_METADATA!$B$4,DATOS!$I$2:$I$20000,"Lenguaje Musical"),""))</f>
        <v/>
      </c>
      <c r="C416" t="str">
        <f>IF(A416="","",IFERROR(AVERAGEIFS(DATOS!$K$2:$K$20000,DATOS!$A$2:$A$20000,A416,DATOS!$G$2:$G$20000,CONFIG_METADATA!$B$4,DATOS!$I$2:$I$20000,"Coro"),""))</f>
        <v/>
      </c>
      <c r="D416" t="str">
        <f>IF(A416="","",IFERROR(AVERAGEIFS(DATOS!$K$2:$K$20000,DATOS!$A$2:$A$20000,A416,DATOS!$G$2:$G$20000,CONFIG_METADATA!$B$4,DATOS!$I$2:$I$20000,"Conjunto"),""))</f>
        <v/>
      </c>
      <c r="E416" t="str">
        <f>IF(A416="","",IFERROR(AVERAGEIFS(DATOS!$K$2:$K$20000,DATOS!$A$2:$A$20000,A416,DATOS!$G$2:$G$20000,CONFIG_METADATA!$B$4,DATOS!$I$2:$I$20000,"&lt;&gt;Lenguaje Musical",DATOS!$I$2:$I$20000,"&lt;&gt;Coro",DATOS!$I$2:$I$20000,"&lt;&gt;Conjunto"),""))</f>
        <v/>
      </c>
      <c r="H416" t="str">
        <f>IF(G416="","",IFERROR(AVERAGEIFS(DATOS!$K$2:$K$20000,DATOS!$A$2:$A$20000,G416,DATOS!$G$2:$G$20000,CONFIG_METADATA!$B$4,DATOS!$I$2:$I$20000,"Lenguaje Musical"),""))</f>
        <v/>
      </c>
      <c r="I416" t="str">
        <f>IF(G416="","",IFERROR(AVERAGEIFS(DATOS!$K$2:$K$20000,DATOS!$A$2:$A$20000,G416,DATOS!$G$2:$G$20000,CONFIG_METADATA!$B$4,DATOS!$I$2:$I$20000,"Coro"),""))</f>
        <v/>
      </c>
      <c r="J416" t="str">
        <f>IF(G416="","",IFERROR(AVERAGEIFS(DATOS!$K$2:$K$20000,DATOS!$A$2:$A$20000,G416,DATOS!$G$2:$G$20000,CONFIG_METADATA!$B$4,DATOS!$I$2:$I$20000,"Conjunto"),""))</f>
        <v/>
      </c>
      <c r="K416" t="str" cm="1">
        <f t="array" ref="K416">IF(G416="","",IFERROR(AVERAGE(IF((DATOS!$A$2:$A$20000=G416)*(DATOS!$G$2:$G$20000=CONFIG_METADATA!$B$4)*(DATOS!$I$2:$I$20000&lt;&gt;"Lenguaje Musical")*(DATOS!$I$2:$I$20000&lt;&gt;"Coro")*(DATOS!$I$2:$I$20000&lt;&gt;"Conjunto"),DATOS!$K$2:$K$20000)),""))</f>
        <v/>
      </c>
      <c r="N416" t="str">
        <f>IF(M416="","",IFERROR(AVERAGEIFS(DATOS!$K$2:$K$20000,DATOS!$A$2:$A$20000,M416,DATOS!$G$2:$G$20000,CONFIG_METADATA!$B$4,DATOS!$I$2:$I$20000,"Lenguaje Musical"),""))</f>
        <v/>
      </c>
      <c r="O416" t="str">
        <f>IF(M416="","",IFERROR(AVERAGEIFS(DATOS!$K$2:$K$20000,DATOS!$A$2:$A$20000,M416,DATOS!$G$2:$G$20000,CONFIG_METADATA!$B$4,DATOS!$I$2:$I$20000,"Coro"),""))</f>
        <v/>
      </c>
      <c r="P416" t="str">
        <f>IF(M416="","",IFERROR(AVERAGEIFS(DATOS!$K$2:$K$20000,DATOS!$A$2:$A$20000,M416,DATOS!$G$2:$G$20000,CONFIG_METADATA!$B$4,DATOS!$I$2:$I$20000,"Conjunto"),""))</f>
        <v/>
      </c>
      <c r="Q416" t="str">
        <f>IF(M416="","",IFERROR(AVERAGEIFS(DATOS!$K$2:$K$20000,DATOS!$A$2:$A$20000,M416,DATOS!$G$2:$G$20000,CONFIG_METADATA!$B$4,DATOS!$I$2:$I$20000,"&lt;&gt;Lenguaje Musical",DATOS!$I$2:$I$20000,"&lt;&gt;Coro",DATOS!$I$2:$I$20000,"&lt;&gt;Conjunto"),""))</f>
        <v/>
      </c>
      <c r="T416" t="str">
        <f>IF(S416="","",IFERROR(AVERAGEIFS(DATOS!$K$2:$K$20000,DATOS!$A$2:$A$20000,S416,DATOS!$G$2:$G$20000,CONFIG_METADATA!$B$4,DATOS!$I$2:$I$20000,"Lenguaje Musical"),""))</f>
        <v/>
      </c>
      <c r="U416" t="str">
        <f>IF(S416="","",IFERROR(AVERAGEIFS(DATOS!$K$2:$K$20000,DATOS!$A$2:$A$20000,S416,DATOS!$G$2:$G$20000,CONFIG_METADATA!$B$4,DATOS!$I$2:$I$20000,"Coro"),""))</f>
        <v/>
      </c>
      <c r="V416" t="str">
        <f>IF(S416="","",IFERROR(AVERAGEIFS(DATOS!$K$2:$K$20000,DATOS!$A$2:$A$20000,S416,DATOS!$G$2:$G$20000,CONFIG_METADATA!$B$4,DATOS!$I$2:$I$20000,"Conjunto"),""))</f>
        <v/>
      </c>
      <c r="W416" t="str" cm="1">
        <f t="array" ref="W416">IF(S416="","",IFERROR(AVERAGE(IF((DATOS!$A$2:$A$20000=S416)*(DATOS!$G$2:$G$20000=CONFIG_METADATA!$B$4)*(DATOS!$I$2:$I$20000&lt;&gt;"Lenguaje Musical")*(DATOS!$I$2:$I$20000&lt;&gt;"Coro")*(DATOS!$I$2:$I$20000&lt;&gt;"Conjunto"),DATOS!$K$2:$K$20000)),""))</f>
        <v/>
      </c>
    </row>
    <row r="417" spans="2:23" x14ac:dyDescent="0.2">
      <c r="B417" t="str">
        <f>IF(A417="","",IFERROR(AVERAGEIFS(DATOS!$K$2:$K$20000,DATOS!$A$2:$A$20000,A417,DATOS!$G$2:$G$20000,CONFIG_METADATA!$B$4,DATOS!$I$2:$I$20000,"Lenguaje Musical"),""))</f>
        <v/>
      </c>
      <c r="C417" t="str">
        <f>IF(A417="","",IFERROR(AVERAGEIFS(DATOS!$K$2:$K$20000,DATOS!$A$2:$A$20000,A417,DATOS!$G$2:$G$20000,CONFIG_METADATA!$B$4,DATOS!$I$2:$I$20000,"Coro"),""))</f>
        <v/>
      </c>
      <c r="D417" t="str">
        <f>IF(A417="","",IFERROR(AVERAGEIFS(DATOS!$K$2:$K$20000,DATOS!$A$2:$A$20000,A417,DATOS!$G$2:$G$20000,CONFIG_METADATA!$B$4,DATOS!$I$2:$I$20000,"Conjunto"),""))</f>
        <v/>
      </c>
      <c r="E417" t="str">
        <f>IF(A417="","",IFERROR(AVERAGEIFS(DATOS!$K$2:$K$20000,DATOS!$A$2:$A$20000,A417,DATOS!$G$2:$G$20000,CONFIG_METADATA!$B$4,DATOS!$I$2:$I$20000,"&lt;&gt;Lenguaje Musical",DATOS!$I$2:$I$20000,"&lt;&gt;Coro",DATOS!$I$2:$I$20000,"&lt;&gt;Conjunto"),""))</f>
        <v/>
      </c>
      <c r="H417" t="str">
        <f>IF(G417="","",IFERROR(AVERAGEIFS(DATOS!$K$2:$K$20000,DATOS!$A$2:$A$20000,G417,DATOS!$G$2:$G$20000,CONFIG_METADATA!$B$4,DATOS!$I$2:$I$20000,"Lenguaje Musical"),""))</f>
        <v/>
      </c>
      <c r="I417" t="str">
        <f>IF(G417="","",IFERROR(AVERAGEIFS(DATOS!$K$2:$K$20000,DATOS!$A$2:$A$20000,G417,DATOS!$G$2:$G$20000,CONFIG_METADATA!$B$4,DATOS!$I$2:$I$20000,"Coro"),""))</f>
        <v/>
      </c>
      <c r="J417" t="str">
        <f>IF(G417="","",IFERROR(AVERAGEIFS(DATOS!$K$2:$K$20000,DATOS!$A$2:$A$20000,G417,DATOS!$G$2:$G$20000,CONFIG_METADATA!$B$4,DATOS!$I$2:$I$20000,"Conjunto"),""))</f>
        <v/>
      </c>
      <c r="K417" t="str" cm="1">
        <f t="array" ref="K417">IF(G417="","",IFERROR(AVERAGE(IF((DATOS!$A$2:$A$20000=G417)*(DATOS!$G$2:$G$20000=CONFIG_METADATA!$B$4)*(DATOS!$I$2:$I$20000&lt;&gt;"Lenguaje Musical")*(DATOS!$I$2:$I$20000&lt;&gt;"Coro")*(DATOS!$I$2:$I$20000&lt;&gt;"Conjunto"),DATOS!$K$2:$K$20000)),""))</f>
        <v/>
      </c>
      <c r="N417" t="str">
        <f>IF(M417="","",IFERROR(AVERAGEIFS(DATOS!$K$2:$K$20000,DATOS!$A$2:$A$20000,M417,DATOS!$G$2:$G$20000,CONFIG_METADATA!$B$4,DATOS!$I$2:$I$20000,"Lenguaje Musical"),""))</f>
        <v/>
      </c>
      <c r="O417" t="str">
        <f>IF(M417="","",IFERROR(AVERAGEIFS(DATOS!$K$2:$K$20000,DATOS!$A$2:$A$20000,M417,DATOS!$G$2:$G$20000,CONFIG_METADATA!$B$4,DATOS!$I$2:$I$20000,"Coro"),""))</f>
        <v/>
      </c>
      <c r="P417" t="str">
        <f>IF(M417="","",IFERROR(AVERAGEIFS(DATOS!$K$2:$K$20000,DATOS!$A$2:$A$20000,M417,DATOS!$G$2:$G$20000,CONFIG_METADATA!$B$4,DATOS!$I$2:$I$20000,"Conjunto"),""))</f>
        <v/>
      </c>
      <c r="Q417" t="str">
        <f>IF(M417="","",IFERROR(AVERAGEIFS(DATOS!$K$2:$K$20000,DATOS!$A$2:$A$20000,M417,DATOS!$G$2:$G$20000,CONFIG_METADATA!$B$4,DATOS!$I$2:$I$20000,"&lt;&gt;Lenguaje Musical",DATOS!$I$2:$I$20000,"&lt;&gt;Coro",DATOS!$I$2:$I$20000,"&lt;&gt;Conjunto"),""))</f>
        <v/>
      </c>
      <c r="T417" t="str">
        <f>IF(S417="","",IFERROR(AVERAGEIFS(DATOS!$K$2:$K$20000,DATOS!$A$2:$A$20000,S417,DATOS!$G$2:$G$20000,CONFIG_METADATA!$B$4,DATOS!$I$2:$I$20000,"Lenguaje Musical"),""))</f>
        <v/>
      </c>
      <c r="U417" t="str">
        <f>IF(S417="","",IFERROR(AVERAGEIFS(DATOS!$K$2:$K$20000,DATOS!$A$2:$A$20000,S417,DATOS!$G$2:$G$20000,CONFIG_METADATA!$B$4,DATOS!$I$2:$I$20000,"Coro"),""))</f>
        <v/>
      </c>
      <c r="V417" t="str">
        <f>IF(S417="","",IFERROR(AVERAGEIFS(DATOS!$K$2:$K$20000,DATOS!$A$2:$A$20000,S417,DATOS!$G$2:$G$20000,CONFIG_METADATA!$B$4,DATOS!$I$2:$I$20000,"Conjunto"),""))</f>
        <v/>
      </c>
      <c r="W417" t="str" cm="1">
        <f t="array" ref="W417">IF(S417="","",IFERROR(AVERAGE(IF((DATOS!$A$2:$A$20000=S417)*(DATOS!$G$2:$G$20000=CONFIG_METADATA!$B$4)*(DATOS!$I$2:$I$20000&lt;&gt;"Lenguaje Musical")*(DATOS!$I$2:$I$20000&lt;&gt;"Coro")*(DATOS!$I$2:$I$20000&lt;&gt;"Conjunto"),DATOS!$K$2:$K$20000)),""))</f>
        <v/>
      </c>
    </row>
    <row r="418" spans="2:23" x14ac:dyDescent="0.2">
      <c r="B418" t="str">
        <f>IF(A418="","",IFERROR(AVERAGEIFS(DATOS!$K$2:$K$20000,DATOS!$A$2:$A$20000,A418,DATOS!$G$2:$G$20000,CONFIG_METADATA!$B$4,DATOS!$I$2:$I$20000,"Lenguaje Musical"),""))</f>
        <v/>
      </c>
      <c r="C418" t="str">
        <f>IF(A418="","",IFERROR(AVERAGEIFS(DATOS!$K$2:$K$20000,DATOS!$A$2:$A$20000,A418,DATOS!$G$2:$G$20000,CONFIG_METADATA!$B$4,DATOS!$I$2:$I$20000,"Coro"),""))</f>
        <v/>
      </c>
      <c r="D418" t="str">
        <f>IF(A418="","",IFERROR(AVERAGEIFS(DATOS!$K$2:$K$20000,DATOS!$A$2:$A$20000,A418,DATOS!$G$2:$G$20000,CONFIG_METADATA!$B$4,DATOS!$I$2:$I$20000,"Conjunto"),""))</f>
        <v/>
      </c>
      <c r="E418" t="str">
        <f>IF(A418="","",IFERROR(AVERAGEIFS(DATOS!$K$2:$K$20000,DATOS!$A$2:$A$20000,A418,DATOS!$G$2:$G$20000,CONFIG_METADATA!$B$4,DATOS!$I$2:$I$20000,"&lt;&gt;Lenguaje Musical",DATOS!$I$2:$I$20000,"&lt;&gt;Coro",DATOS!$I$2:$I$20000,"&lt;&gt;Conjunto"),""))</f>
        <v/>
      </c>
      <c r="H418" t="str">
        <f>IF(G418="","",IFERROR(AVERAGEIFS(DATOS!$K$2:$K$20000,DATOS!$A$2:$A$20000,G418,DATOS!$G$2:$G$20000,CONFIG_METADATA!$B$4,DATOS!$I$2:$I$20000,"Lenguaje Musical"),""))</f>
        <v/>
      </c>
      <c r="I418" t="str">
        <f>IF(G418="","",IFERROR(AVERAGEIFS(DATOS!$K$2:$K$20000,DATOS!$A$2:$A$20000,G418,DATOS!$G$2:$G$20000,CONFIG_METADATA!$B$4,DATOS!$I$2:$I$20000,"Coro"),""))</f>
        <v/>
      </c>
      <c r="J418" t="str">
        <f>IF(G418="","",IFERROR(AVERAGEIFS(DATOS!$K$2:$K$20000,DATOS!$A$2:$A$20000,G418,DATOS!$G$2:$G$20000,CONFIG_METADATA!$B$4,DATOS!$I$2:$I$20000,"Conjunto"),""))</f>
        <v/>
      </c>
      <c r="K418" t="str" cm="1">
        <f t="array" ref="K418">IF(G418="","",IFERROR(AVERAGE(IF((DATOS!$A$2:$A$20000=G418)*(DATOS!$G$2:$G$20000=CONFIG_METADATA!$B$4)*(DATOS!$I$2:$I$20000&lt;&gt;"Lenguaje Musical")*(DATOS!$I$2:$I$20000&lt;&gt;"Coro")*(DATOS!$I$2:$I$20000&lt;&gt;"Conjunto"),DATOS!$K$2:$K$20000)),""))</f>
        <v/>
      </c>
      <c r="N418" t="str">
        <f>IF(M418="","",IFERROR(AVERAGEIFS(DATOS!$K$2:$K$20000,DATOS!$A$2:$A$20000,M418,DATOS!$G$2:$G$20000,CONFIG_METADATA!$B$4,DATOS!$I$2:$I$20000,"Lenguaje Musical"),""))</f>
        <v/>
      </c>
      <c r="O418" t="str">
        <f>IF(M418="","",IFERROR(AVERAGEIFS(DATOS!$K$2:$K$20000,DATOS!$A$2:$A$20000,M418,DATOS!$G$2:$G$20000,CONFIG_METADATA!$B$4,DATOS!$I$2:$I$20000,"Coro"),""))</f>
        <v/>
      </c>
      <c r="P418" t="str">
        <f>IF(M418="","",IFERROR(AVERAGEIFS(DATOS!$K$2:$K$20000,DATOS!$A$2:$A$20000,M418,DATOS!$G$2:$G$20000,CONFIG_METADATA!$B$4,DATOS!$I$2:$I$20000,"Conjunto"),""))</f>
        <v/>
      </c>
      <c r="Q418" t="str">
        <f>IF(M418="","",IFERROR(AVERAGEIFS(DATOS!$K$2:$K$20000,DATOS!$A$2:$A$20000,M418,DATOS!$G$2:$G$20000,CONFIG_METADATA!$B$4,DATOS!$I$2:$I$20000,"&lt;&gt;Lenguaje Musical",DATOS!$I$2:$I$20000,"&lt;&gt;Coro",DATOS!$I$2:$I$20000,"&lt;&gt;Conjunto"),""))</f>
        <v/>
      </c>
      <c r="T418" t="str">
        <f>IF(S418="","",IFERROR(AVERAGEIFS(DATOS!$K$2:$K$20000,DATOS!$A$2:$A$20000,S418,DATOS!$G$2:$G$20000,CONFIG_METADATA!$B$4,DATOS!$I$2:$I$20000,"Lenguaje Musical"),""))</f>
        <v/>
      </c>
      <c r="U418" t="str">
        <f>IF(S418="","",IFERROR(AVERAGEIFS(DATOS!$K$2:$K$20000,DATOS!$A$2:$A$20000,S418,DATOS!$G$2:$G$20000,CONFIG_METADATA!$B$4,DATOS!$I$2:$I$20000,"Coro"),""))</f>
        <v/>
      </c>
      <c r="V418" t="str">
        <f>IF(S418="","",IFERROR(AVERAGEIFS(DATOS!$K$2:$K$20000,DATOS!$A$2:$A$20000,S418,DATOS!$G$2:$G$20000,CONFIG_METADATA!$B$4,DATOS!$I$2:$I$20000,"Conjunto"),""))</f>
        <v/>
      </c>
      <c r="W418" t="str" cm="1">
        <f t="array" ref="W418">IF(S418="","",IFERROR(AVERAGE(IF((DATOS!$A$2:$A$20000=S418)*(DATOS!$G$2:$G$20000=CONFIG_METADATA!$B$4)*(DATOS!$I$2:$I$20000&lt;&gt;"Lenguaje Musical")*(DATOS!$I$2:$I$20000&lt;&gt;"Coro")*(DATOS!$I$2:$I$20000&lt;&gt;"Conjunto"),DATOS!$K$2:$K$20000)),""))</f>
        <v/>
      </c>
    </row>
    <row r="419" spans="2:23" x14ac:dyDescent="0.2">
      <c r="B419" t="str">
        <f>IF(A419="","",IFERROR(AVERAGEIFS(DATOS!$K$2:$K$20000,DATOS!$A$2:$A$20000,A419,DATOS!$G$2:$G$20000,CONFIG_METADATA!$B$4,DATOS!$I$2:$I$20000,"Lenguaje Musical"),""))</f>
        <v/>
      </c>
      <c r="C419" t="str">
        <f>IF(A419="","",IFERROR(AVERAGEIFS(DATOS!$K$2:$K$20000,DATOS!$A$2:$A$20000,A419,DATOS!$G$2:$G$20000,CONFIG_METADATA!$B$4,DATOS!$I$2:$I$20000,"Coro"),""))</f>
        <v/>
      </c>
      <c r="D419" t="str">
        <f>IF(A419="","",IFERROR(AVERAGEIFS(DATOS!$K$2:$K$20000,DATOS!$A$2:$A$20000,A419,DATOS!$G$2:$G$20000,CONFIG_METADATA!$B$4,DATOS!$I$2:$I$20000,"Conjunto"),""))</f>
        <v/>
      </c>
      <c r="E419" t="str">
        <f>IF(A419="","",IFERROR(AVERAGEIFS(DATOS!$K$2:$K$20000,DATOS!$A$2:$A$20000,A419,DATOS!$G$2:$G$20000,CONFIG_METADATA!$B$4,DATOS!$I$2:$I$20000,"&lt;&gt;Lenguaje Musical",DATOS!$I$2:$I$20000,"&lt;&gt;Coro",DATOS!$I$2:$I$20000,"&lt;&gt;Conjunto"),""))</f>
        <v/>
      </c>
      <c r="H419" t="str">
        <f>IF(G419="","",IFERROR(AVERAGEIFS(DATOS!$K$2:$K$20000,DATOS!$A$2:$A$20000,G419,DATOS!$G$2:$G$20000,CONFIG_METADATA!$B$4,DATOS!$I$2:$I$20000,"Lenguaje Musical"),""))</f>
        <v/>
      </c>
      <c r="I419" t="str">
        <f>IF(G419="","",IFERROR(AVERAGEIFS(DATOS!$K$2:$K$20000,DATOS!$A$2:$A$20000,G419,DATOS!$G$2:$G$20000,CONFIG_METADATA!$B$4,DATOS!$I$2:$I$20000,"Coro"),""))</f>
        <v/>
      </c>
      <c r="J419" t="str">
        <f>IF(G419="","",IFERROR(AVERAGEIFS(DATOS!$K$2:$K$20000,DATOS!$A$2:$A$20000,G419,DATOS!$G$2:$G$20000,CONFIG_METADATA!$B$4,DATOS!$I$2:$I$20000,"Conjunto"),""))</f>
        <v/>
      </c>
      <c r="K419" t="str" cm="1">
        <f t="array" ref="K419">IF(G419="","",IFERROR(AVERAGE(IF((DATOS!$A$2:$A$20000=G419)*(DATOS!$G$2:$G$20000=CONFIG_METADATA!$B$4)*(DATOS!$I$2:$I$20000&lt;&gt;"Lenguaje Musical")*(DATOS!$I$2:$I$20000&lt;&gt;"Coro")*(DATOS!$I$2:$I$20000&lt;&gt;"Conjunto"),DATOS!$K$2:$K$20000)),""))</f>
        <v/>
      </c>
      <c r="N419" t="str">
        <f>IF(M419="","",IFERROR(AVERAGEIFS(DATOS!$K$2:$K$20000,DATOS!$A$2:$A$20000,M419,DATOS!$G$2:$G$20000,CONFIG_METADATA!$B$4,DATOS!$I$2:$I$20000,"Lenguaje Musical"),""))</f>
        <v/>
      </c>
      <c r="O419" t="str">
        <f>IF(M419="","",IFERROR(AVERAGEIFS(DATOS!$K$2:$K$20000,DATOS!$A$2:$A$20000,M419,DATOS!$G$2:$G$20000,CONFIG_METADATA!$B$4,DATOS!$I$2:$I$20000,"Coro"),""))</f>
        <v/>
      </c>
      <c r="P419" t="str">
        <f>IF(M419="","",IFERROR(AVERAGEIFS(DATOS!$K$2:$K$20000,DATOS!$A$2:$A$20000,M419,DATOS!$G$2:$G$20000,CONFIG_METADATA!$B$4,DATOS!$I$2:$I$20000,"Conjunto"),""))</f>
        <v/>
      </c>
      <c r="Q419" t="str">
        <f>IF(M419="","",IFERROR(AVERAGEIFS(DATOS!$K$2:$K$20000,DATOS!$A$2:$A$20000,M419,DATOS!$G$2:$G$20000,CONFIG_METADATA!$B$4,DATOS!$I$2:$I$20000,"&lt;&gt;Lenguaje Musical",DATOS!$I$2:$I$20000,"&lt;&gt;Coro",DATOS!$I$2:$I$20000,"&lt;&gt;Conjunto"),""))</f>
        <v/>
      </c>
      <c r="T419" t="str">
        <f>IF(S419="","",IFERROR(AVERAGEIFS(DATOS!$K$2:$K$20000,DATOS!$A$2:$A$20000,S419,DATOS!$G$2:$G$20000,CONFIG_METADATA!$B$4,DATOS!$I$2:$I$20000,"Lenguaje Musical"),""))</f>
        <v/>
      </c>
      <c r="U419" t="str">
        <f>IF(S419="","",IFERROR(AVERAGEIFS(DATOS!$K$2:$K$20000,DATOS!$A$2:$A$20000,S419,DATOS!$G$2:$G$20000,CONFIG_METADATA!$B$4,DATOS!$I$2:$I$20000,"Coro"),""))</f>
        <v/>
      </c>
      <c r="V419" t="str">
        <f>IF(S419="","",IFERROR(AVERAGEIFS(DATOS!$K$2:$K$20000,DATOS!$A$2:$A$20000,S419,DATOS!$G$2:$G$20000,CONFIG_METADATA!$B$4,DATOS!$I$2:$I$20000,"Conjunto"),""))</f>
        <v/>
      </c>
      <c r="W419" t="str" cm="1">
        <f t="array" ref="W419">IF(S419="","",IFERROR(AVERAGE(IF((DATOS!$A$2:$A$20000=S419)*(DATOS!$G$2:$G$20000=CONFIG_METADATA!$B$4)*(DATOS!$I$2:$I$20000&lt;&gt;"Lenguaje Musical")*(DATOS!$I$2:$I$20000&lt;&gt;"Coro")*(DATOS!$I$2:$I$20000&lt;&gt;"Conjunto"),DATOS!$K$2:$K$20000)),""))</f>
        <v/>
      </c>
    </row>
    <row r="420" spans="2:23" x14ac:dyDescent="0.2">
      <c r="B420" t="str">
        <f>IF(A420="","",IFERROR(AVERAGEIFS(DATOS!$K$2:$K$20000,DATOS!$A$2:$A$20000,A420,DATOS!$G$2:$G$20000,CONFIG_METADATA!$B$4,DATOS!$I$2:$I$20000,"Lenguaje Musical"),""))</f>
        <v/>
      </c>
      <c r="C420" t="str">
        <f>IF(A420="","",IFERROR(AVERAGEIFS(DATOS!$K$2:$K$20000,DATOS!$A$2:$A$20000,A420,DATOS!$G$2:$G$20000,CONFIG_METADATA!$B$4,DATOS!$I$2:$I$20000,"Coro"),""))</f>
        <v/>
      </c>
      <c r="D420" t="str">
        <f>IF(A420="","",IFERROR(AVERAGEIFS(DATOS!$K$2:$K$20000,DATOS!$A$2:$A$20000,A420,DATOS!$G$2:$G$20000,CONFIG_METADATA!$B$4,DATOS!$I$2:$I$20000,"Conjunto"),""))</f>
        <v/>
      </c>
      <c r="E420" t="str">
        <f>IF(A420="","",IFERROR(AVERAGEIFS(DATOS!$K$2:$K$20000,DATOS!$A$2:$A$20000,A420,DATOS!$G$2:$G$20000,CONFIG_METADATA!$B$4,DATOS!$I$2:$I$20000,"&lt;&gt;Lenguaje Musical",DATOS!$I$2:$I$20000,"&lt;&gt;Coro",DATOS!$I$2:$I$20000,"&lt;&gt;Conjunto"),""))</f>
        <v/>
      </c>
      <c r="H420" t="str">
        <f>IF(G420="","",IFERROR(AVERAGEIFS(DATOS!$K$2:$K$20000,DATOS!$A$2:$A$20000,G420,DATOS!$G$2:$G$20000,CONFIG_METADATA!$B$4,DATOS!$I$2:$I$20000,"Lenguaje Musical"),""))</f>
        <v/>
      </c>
      <c r="I420" t="str">
        <f>IF(G420="","",IFERROR(AVERAGEIFS(DATOS!$K$2:$K$20000,DATOS!$A$2:$A$20000,G420,DATOS!$G$2:$G$20000,CONFIG_METADATA!$B$4,DATOS!$I$2:$I$20000,"Coro"),""))</f>
        <v/>
      </c>
      <c r="J420" t="str">
        <f>IF(G420="","",IFERROR(AVERAGEIFS(DATOS!$K$2:$K$20000,DATOS!$A$2:$A$20000,G420,DATOS!$G$2:$G$20000,CONFIG_METADATA!$B$4,DATOS!$I$2:$I$20000,"Conjunto"),""))</f>
        <v/>
      </c>
      <c r="K420" t="str" cm="1">
        <f t="array" ref="K420">IF(G420="","",IFERROR(AVERAGE(IF((DATOS!$A$2:$A$20000=G420)*(DATOS!$G$2:$G$20000=CONFIG_METADATA!$B$4)*(DATOS!$I$2:$I$20000&lt;&gt;"Lenguaje Musical")*(DATOS!$I$2:$I$20000&lt;&gt;"Coro")*(DATOS!$I$2:$I$20000&lt;&gt;"Conjunto"),DATOS!$K$2:$K$20000)),""))</f>
        <v/>
      </c>
      <c r="N420" t="str">
        <f>IF(M420="","",IFERROR(AVERAGEIFS(DATOS!$K$2:$K$20000,DATOS!$A$2:$A$20000,M420,DATOS!$G$2:$G$20000,CONFIG_METADATA!$B$4,DATOS!$I$2:$I$20000,"Lenguaje Musical"),""))</f>
        <v/>
      </c>
      <c r="O420" t="str">
        <f>IF(M420="","",IFERROR(AVERAGEIFS(DATOS!$K$2:$K$20000,DATOS!$A$2:$A$20000,M420,DATOS!$G$2:$G$20000,CONFIG_METADATA!$B$4,DATOS!$I$2:$I$20000,"Coro"),""))</f>
        <v/>
      </c>
      <c r="P420" t="str">
        <f>IF(M420="","",IFERROR(AVERAGEIFS(DATOS!$K$2:$K$20000,DATOS!$A$2:$A$20000,M420,DATOS!$G$2:$G$20000,CONFIG_METADATA!$B$4,DATOS!$I$2:$I$20000,"Conjunto"),""))</f>
        <v/>
      </c>
      <c r="Q420" t="str">
        <f>IF(M420="","",IFERROR(AVERAGEIFS(DATOS!$K$2:$K$20000,DATOS!$A$2:$A$20000,M420,DATOS!$G$2:$G$20000,CONFIG_METADATA!$B$4,DATOS!$I$2:$I$20000,"&lt;&gt;Lenguaje Musical",DATOS!$I$2:$I$20000,"&lt;&gt;Coro",DATOS!$I$2:$I$20000,"&lt;&gt;Conjunto"),""))</f>
        <v/>
      </c>
      <c r="T420" t="str">
        <f>IF(S420="","",IFERROR(AVERAGEIFS(DATOS!$K$2:$K$20000,DATOS!$A$2:$A$20000,S420,DATOS!$G$2:$G$20000,CONFIG_METADATA!$B$4,DATOS!$I$2:$I$20000,"Lenguaje Musical"),""))</f>
        <v/>
      </c>
      <c r="U420" t="str">
        <f>IF(S420="","",IFERROR(AVERAGEIFS(DATOS!$K$2:$K$20000,DATOS!$A$2:$A$20000,S420,DATOS!$G$2:$G$20000,CONFIG_METADATA!$B$4,DATOS!$I$2:$I$20000,"Coro"),""))</f>
        <v/>
      </c>
      <c r="V420" t="str">
        <f>IF(S420="","",IFERROR(AVERAGEIFS(DATOS!$K$2:$K$20000,DATOS!$A$2:$A$20000,S420,DATOS!$G$2:$G$20000,CONFIG_METADATA!$B$4,DATOS!$I$2:$I$20000,"Conjunto"),""))</f>
        <v/>
      </c>
      <c r="W420" t="str" cm="1">
        <f t="array" ref="W420">IF(S420="","",IFERROR(AVERAGE(IF((DATOS!$A$2:$A$20000=S420)*(DATOS!$G$2:$G$20000=CONFIG_METADATA!$B$4)*(DATOS!$I$2:$I$20000&lt;&gt;"Lenguaje Musical")*(DATOS!$I$2:$I$20000&lt;&gt;"Coro")*(DATOS!$I$2:$I$20000&lt;&gt;"Conjunto"),DATOS!$K$2:$K$20000)),""))</f>
        <v/>
      </c>
    </row>
    <row r="421" spans="2:23" x14ac:dyDescent="0.2">
      <c r="B421" t="str">
        <f>IF(A421="","",IFERROR(AVERAGEIFS(DATOS!$K$2:$K$20000,DATOS!$A$2:$A$20000,A421,DATOS!$G$2:$G$20000,CONFIG_METADATA!$B$4,DATOS!$I$2:$I$20000,"Lenguaje Musical"),""))</f>
        <v/>
      </c>
      <c r="C421" t="str">
        <f>IF(A421="","",IFERROR(AVERAGEIFS(DATOS!$K$2:$K$20000,DATOS!$A$2:$A$20000,A421,DATOS!$G$2:$G$20000,CONFIG_METADATA!$B$4,DATOS!$I$2:$I$20000,"Coro"),""))</f>
        <v/>
      </c>
      <c r="D421" t="str">
        <f>IF(A421="","",IFERROR(AVERAGEIFS(DATOS!$K$2:$K$20000,DATOS!$A$2:$A$20000,A421,DATOS!$G$2:$G$20000,CONFIG_METADATA!$B$4,DATOS!$I$2:$I$20000,"Conjunto"),""))</f>
        <v/>
      </c>
      <c r="E421" t="str">
        <f>IF(A421="","",IFERROR(AVERAGEIFS(DATOS!$K$2:$K$20000,DATOS!$A$2:$A$20000,A421,DATOS!$G$2:$G$20000,CONFIG_METADATA!$B$4,DATOS!$I$2:$I$20000,"&lt;&gt;Lenguaje Musical",DATOS!$I$2:$I$20000,"&lt;&gt;Coro",DATOS!$I$2:$I$20000,"&lt;&gt;Conjunto"),""))</f>
        <v/>
      </c>
      <c r="H421" t="str">
        <f>IF(G421="","",IFERROR(AVERAGEIFS(DATOS!$K$2:$K$20000,DATOS!$A$2:$A$20000,G421,DATOS!$G$2:$G$20000,CONFIG_METADATA!$B$4,DATOS!$I$2:$I$20000,"Lenguaje Musical"),""))</f>
        <v/>
      </c>
      <c r="I421" t="str">
        <f>IF(G421="","",IFERROR(AVERAGEIFS(DATOS!$K$2:$K$20000,DATOS!$A$2:$A$20000,G421,DATOS!$G$2:$G$20000,CONFIG_METADATA!$B$4,DATOS!$I$2:$I$20000,"Coro"),""))</f>
        <v/>
      </c>
      <c r="J421" t="str">
        <f>IF(G421="","",IFERROR(AVERAGEIFS(DATOS!$K$2:$K$20000,DATOS!$A$2:$A$20000,G421,DATOS!$G$2:$G$20000,CONFIG_METADATA!$B$4,DATOS!$I$2:$I$20000,"Conjunto"),""))</f>
        <v/>
      </c>
      <c r="K421" t="str" cm="1">
        <f t="array" ref="K421">IF(G421="","",IFERROR(AVERAGE(IF((DATOS!$A$2:$A$20000=G421)*(DATOS!$G$2:$G$20000=CONFIG_METADATA!$B$4)*(DATOS!$I$2:$I$20000&lt;&gt;"Lenguaje Musical")*(DATOS!$I$2:$I$20000&lt;&gt;"Coro")*(DATOS!$I$2:$I$20000&lt;&gt;"Conjunto"),DATOS!$K$2:$K$20000)),""))</f>
        <v/>
      </c>
      <c r="N421" t="str">
        <f>IF(M421="","",IFERROR(AVERAGEIFS(DATOS!$K$2:$K$20000,DATOS!$A$2:$A$20000,M421,DATOS!$G$2:$G$20000,CONFIG_METADATA!$B$4,DATOS!$I$2:$I$20000,"Lenguaje Musical"),""))</f>
        <v/>
      </c>
      <c r="O421" t="str">
        <f>IF(M421="","",IFERROR(AVERAGEIFS(DATOS!$K$2:$K$20000,DATOS!$A$2:$A$20000,M421,DATOS!$G$2:$G$20000,CONFIG_METADATA!$B$4,DATOS!$I$2:$I$20000,"Coro"),""))</f>
        <v/>
      </c>
      <c r="P421" t="str">
        <f>IF(M421="","",IFERROR(AVERAGEIFS(DATOS!$K$2:$K$20000,DATOS!$A$2:$A$20000,M421,DATOS!$G$2:$G$20000,CONFIG_METADATA!$B$4,DATOS!$I$2:$I$20000,"Conjunto"),""))</f>
        <v/>
      </c>
      <c r="Q421" t="str">
        <f>IF(M421="","",IFERROR(AVERAGEIFS(DATOS!$K$2:$K$20000,DATOS!$A$2:$A$20000,M421,DATOS!$G$2:$G$20000,CONFIG_METADATA!$B$4,DATOS!$I$2:$I$20000,"&lt;&gt;Lenguaje Musical",DATOS!$I$2:$I$20000,"&lt;&gt;Coro",DATOS!$I$2:$I$20000,"&lt;&gt;Conjunto"),""))</f>
        <v/>
      </c>
      <c r="T421" t="str">
        <f>IF(S421="","",IFERROR(AVERAGEIFS(DATOS!$K$2:$K$20000,DATOS!$A$2:$A$20000,S421,DATOS!$G$2:$G$20000,CONFIG_METADATA!$B$4,DATOS!$I$2:$I$20000,"Lenguaje Musical"),""))</f>
        <v/>
      </c>
      <c r="U421" t="str">
        <f>IF(S421="","",IFERROR(AVERAGEIFS(DATOS!$K$2:$K$20000,DATOS!$A$2:$A$20000,S421,DATOS!$G$2:$G$20000,CONFIG_METADATA!$B$4,DATOS!$I$2:$I$20000,"Coro"),""))</f>
        <v/>
      </c>
      <c r="V421" t="str">
        <f>IF(S421="","",IFERROR(AVERAGEIFS(DATOS!$K$2:$K$20000,DATOS!$A$2:$A$20000,S421,DATOS!$G$2:$G$20000,CONFIG_METADATA!$B$4,DATOS!$I$2:$I$20000,"Conjunto"),""))</f>
        <v/>
      </c>
      <c r="W421" t="str" cm="1">
        <f t="array" ref="W421">IF(S421="","",IFERROR(AVERAGE(IF((DATOS!$A$2:$A$20000=S421)*(DATOS!$G$2:$G$20000=CONFIG_METADATA!$B$4)*(DATOS!$I$2:$I$20000&lt;&gt;"Lenguaje Musical")*(DATOS!$I$2:$I$20000&lt;&gt;"Coro")*(DATOS!$I$2:$I$20000&lt;&gt;"Conjunto"),DATOS!$K$2:$K$20000)),""))</f>
        <v/>
      </c>
    </row>
    <row r="422" spans="2:23" x14ac:dyDescent="0.2">
      <c r="B422" t="str">
        <f>IF(A422="","",IFERROR(AVERAGEIFS(DATOS!$K$2:$K$20000,DATOS!$A$2:$A$20000,A422,DATOS!$G$2:$G$20000,CONFIG_METADATA!$B$4,DATOS!$I$2:$I$20000,"Lenguaje Musical"),""))</f>
        <v/>
      </c>
      <c r="C422" t="str">
        <f>IF(A422="","",IFERROR(AVERAGEIFS(DATOS!$K$2:$K$20000,DATOS!$A$2:$A$20000,A422,DATOS!$G$2:$G$20000,CONFIG_METADATA!$B$4,DATOS!$I$2:$I$20000,"Coro"),""))</f>
        <v/>
      </c>
      <c r="D422" t="str">
        <f>IF(A422="","",IFERROR(AVERAGEIFS(DATOS!$K$2:$K$20000,DATOS!$A$2:$A$20000,A422,DATOS!$G$2:$G$20000,CONFIG_METADATA!$B$4,DATOS!$I$2:$I$20000,"Conjunto"),""))</f>
        <v/>
      </c>
      <c r="E422" t="str">
        <f>IF(A422="","",IFERROR(AVERAGEIFS(DATOS!$K$2:$K$20000,DATOS!$A$2:$A$20000,A422,DATOS!$G$2:$G$20000,CONFIG_METADATA!$B$4,DATOS!$I$2:$I$20000,"&lt;&gt;Lenguaje Musical",DATOS!$I$2:$I$20000,"&lt;&gt;Coro",DATOS!$I$2:$I$20000,"&lt;&gt;Conjunto"),""))</f>
        <v/>
      </c>
      <c r="H422" t="str">
        <f>IF(G422="","",IFERROR(AVERAGEIFS(DATOS!$K$2:$K$20000,DATOS!$A$2:$A$20000,G422,DATOS!$G$2:$G$20000,CONFIG_METADATA!$B$4,DATOS!$I$2:$I$20000,"Lenguaje Musical"),""))</f>
        <v/>
      </c>
      <c r="I422" t="str">
        <f>IF(G422="","",IFERROR(AVERAGEIFS(DATOS!$K$2:$K$20000,DATOS!$A$2:$A$20000,G422,DATOS!$G$2:$G$20000,CONFIG_METADATA!$B$4,DATOS!$I$2:$I$20000,"Coro"),""))</f>
        <v/>
      </c>
      <c r="J422" t="str">
        <f>IF(G422="","",IFERROR(AVERAGEIFS(DATOS!$K$2:$K$20000,DATOS!$A$2:$A$20000,G422,DATOS!$G$2:$G$20000,CONFIG_METADATA!$B$4,DATOS!$I$2:$I$20000,"Conjunto"),""))</f>
        <v/>
      </c>
      <c r="K422" t="str" cm="1">
        <f t="array" ref="K422">IF(G422="","",IFERROR(AVERAGE(IF((DATOS!$A$2:$A$20000=G422)*(DATOS!$G$2:$G$20000=CONFIG_METADATA!$B$4)*(DATOS!$I$2:$I$20000&lt;&gt;"Lenguaje Musical")*(DATOS!$I$2:$I$20000&lt;&gt;"Coro")*(DATOS!$I$2:$I$20000&lt;&gt;"Conjunto"),DATOS!$K$2:$K$20000)),""))</f>
        <v/>
      </c>
      <c r="N422" t="str">
        <f>IF(M422="","",IFERROR(AVERAGEIFS(DATOS!$K$2:$K$20000,DATOS!$A$2:$A$20000,M422,DATOS!$G$2:$G$20000,CONFIG_METADATA!$B$4,DATOS!$I$2:$I$20000,"Lenguaje Musical"),""))</f>
        <v/>
      </c>
      <c r="O422" t="str">
        <f>IF(M422="","",IFERROR(AVERAGEIFS(DATOS!$K$2:$K$20000,DATOS!$A$2:$A$20000,M422,DATOS!$G$2:$G$20000,CONFIG_METADATA!$B$4,DATOS!$I$2:$I$20000,"Coro"),""))</f>
        <v/>
      </c>
      <c r="P422" t="str">
        <f>IF(M422="","",IFERROR(AVERAGEIFS(DATOS!$K$2:$K$20000,DATOS!$A$2:$A$20000,M422,DATOS!$G$2:$G$20000,CONFIG_METADATA!$B$4,DATOS!$I$2:$I$20000,"Conjunto"),""))</f>
        <v/>
      </c>
      <c r="Q422" t="str">
        <f>IF(M422="","",IFERROR(AVERAGEIFS(DATOS!$K$2:$K$20000,DATOS!$A$2:$A$20000,M422,DATOS!$G$2:$G$20000,CONFIG_METADATA!$B$4,DATOS!$I$2:$I$20000,"&lt;&gt;Lenguaje Musical",DATOS!$I$2:$I$20000,"&lt;&gt;Coro",DATOS!$I$2:$I$20000,"&lt;&gt;Conjunto"),""))</f>
        <v/>
      </c>
      <c r="T422" t="str">
        <f>IF(S422="","",IFERROR(AVERAGEIFS(DATOS!$K$2:$K$20000,DATOS!$A$2:$A$20000,S422,DATOS!$G$2:$G$20000,CONFIG_METADATA!$B$4,DATOS!$I$2:$I$20000,"Lenguaje Musical"),""))</f>
        <v/>
      </c>
      <c r="U422" t="str">
        <f>IF(S422="","",IFERROR(AVERAGEIFS(DATOS!$K$2:$K$20000,DATOS!$A$2:$A$20000,S422,DATOS!$G$2:$G$20000,CONFIG_METADATA!$B$4,DATOS!$I$2:$I$20000,"Coro"),""))</f>
        <v/>
      </c>
      <c r="V422" t="str">
        <f>IF(S422="","",IFERROR(AVERAGEIFS(DATOS!$K$2:$K$20000,DATOS!$A$2:$A$20000,S422,DATOS!$G$2:$G$20000,CONFIG_METADATA!$B$4,DATOS!$I$2:$I$20000,"Conjunto"),""))</f>
        <v/>
      </c>
      <c r="W422" t="str" cm="1">
        <f t="array" ref="W422">IF(S422="","",IFERROR(AVERAGE(IF((DATOS!$A$2:$A$20000=S422)*(DATOS!$G$2:$G$20000=CONFIG_METADATA!$B$4)*(DATOS!$I$2:$I$20000&lt;&gt;"Lenguaje Musical")*(DATOS!$I$2:$I$20000&lt;&gt;"Coro")*(DATOS!$I$2:$I$20000&lt;&gt;"Conjunto"),DATOS!$K$2:$K$20000)),""))</f>
        <v/>
      </c>
    </row>
    <row r="423" spans="2:23" x14ac:dyDescent="0.2">
      <c r="B423" t="str">
        <f>IF(A423="","",IFERROR(AVERAGEIFS(DATOS!$K$2:$K$20000,DATOS!$A$2:$A$20000,A423,DATOS!$G$2:$G$20000,CONFIG_METADATA!$B$4,DATOS!$I$2:$I$20000,"Lenguaje Musical"),""))</f>
        <v/>
      </c>
      <c r="C423" t="str">
        <f>IF(A423="","",IFERROR(AVERAGEIFS(DATOS!$K$2:$K$20000,DATOS!$A$2:$A$20000,A423,DATOS!$G$2:$G$20000,CONFIG_METADATA!$B$4,DATOS!$I$2:$I$20000,"Coro"),""))</f>
        <v/>
      </c>
      <c r="D423" t="str">
        <f>IF(A423="","",IFERROR(AVERAGEIFS(DATOS!$K$2:$K$20000,DATOS!$A$2:$A$20000,A423,DATOS!$G$2:$G$20000,CONFIG_METADATA!$B$4,DATOS!$I$2:$I$20000,"Conjunto"),""))</f>
        <v/>
      </c>
      <c r="E423" t="str">
        <f>IF(A423="","",IFERROR(AVERAGEIFS(DATOS!$K$2:$K$20000,DATOS!$A$2:$A$20000,A423,DATOS!$G$2:$G$20000,CONFIG_METADATA!$B$4,DATOS!$I$2:$I$20000,"&lt;&gt;Lenguaje Musical",DATOS!$I$2:$I$20000,"&lt;&gt;Coro",DATOS!$I$2:$I$20000,"&lt;&gt;Conjunto"),""))</f>
        <v/>
      </c>
      <c r="H423" t="str">
        <f>IF(G423="","",IFERROR(AVERAGEIFS(DATOS!$K$2:$K$20000,DATOS!$A$2:$A$20000,G423,DATOS!$G$2:$G$20000,CONFIG_METADATA!$B$4,DATOS!$I$2:$I$20000,"Lenguaje Musical"),""))</f>
        <v/>
      </c>
      <c r="I423" t="str">
        <f>IF(G423="","",IFERROR(AVERAGEIFS(DATOS!$K$2:$K$20000,DATOS!$A$2:$A$20000,G423,DATOS!$G$2:$G$20000,CONFIG_METADATA!$B$4,DATOS!$I$2:$I$20000,"Coro"),""))</f>
        <v/>
      </c>
      <c r="J423" t="str">
        <f>IF(G423="","",IFERROR(AVERAGEIFS(DATOS!$K$2:$K$20000,DATOS!$A$2:$A$20000,G423,DATOS!$G$2:$G$20000,CONFIG_METADATA!$B$4,DATOS!$I$2:$I$20000,"Conjunto"),""))</f>
        <v/>
      </c>
      <c r="K423" t="str" cm="1">
        <f t="array" ref="K423">IF(G423="","",IFERROR(AVERAGE(IF((DATOS!$A$2:$A$20000=G423)*(DATOS!$G$2:$G$20000=CONFIG_METADATA!$B$4)*(DATOS!$I$2:$I$20000&lt;&gt;"Lenguaje Musical")*(DATOS!$I$2:$I$20000&lt;&gt;"Coro")*(DATOS!$I$2:$I$20000&lt;&gt;"Conjunto"),DATOS!$K$2:$K$20000)),""))</f>
        <v/>
      </c>
      <c r="N423" t="str">
        <f>IF(M423="","",IFERROR(AVERAGEIFS(DATOS!$K$2:$K$20000,DATOS!$A$2:$A$20000,M423,DATOS!$G$2:$G$20000,CONFIG_METADATA!$B$4,DATOS!$I$2:$I$20000,"Lenguaje Musical"),""))</f>
        <v/>
      </c>
      <c r="O423" t="str">
        <f>IF(M423="","",IFERROR(AVERAGEIFS(DATOS!$K$2:$K$20000,DATOS!$A$2:$A$20000,M423,DATOS!$G$2:$G$20000,CONFIG_METADATA!$B$4,DATOS!$I$2:$I$20000,"Coro"),""))</f>
        <v/>
      </c>
      <c r="P423" t="str">
        <f>IF(M423="","",IFERROR(AVERAGEIFS(DATOS!$K$2:$K$20000,DATOS!$A$2:$A$20000,M423,DATOS!$G$2:$G$20000,CONFIG_METADATA!$B$4,DATOS!$I$2:$I$20000,"Conjunto"),""))</f>
        <v/>
      </c>
      <c r="Q423" t="str">
        <f>IF(M423="","",IFERROR(AVERAGEIFS(DATOS!$K$2:$K$20000,DATOS!$A$2:$A$20000,M423,DATOS!$G$2:$G$20000,CONFIG_METADATA!$B$4,DATOS!$I$2:$I$20000,"&lt;&gt;Lenguaje Musical",DATOS!$I$2:$I$20000,"&lt;&gt;Coro",DATOS!$I$2:$I$20000,"&lt;&gt;Conjunto"),""))</f>
        <v/>
      </c>
      <c r="T423" t="str">
        <f>IF(S423="","",IFERROR(AVERAGEIFS(DATOS!$K$2:$K$20000,DATOS!$A$2:$A$20000,S423,DATOS!$G$2:$G$20000,CONFIG_METADATA!$B$4,DATOS!$I$2:$I$20000,"Lenguaje Musical"),""))</f>
        <v/>
      </c>
      <c r="U423" t="str">
        <f>IF(S423="","",IFERROR(AVERAGEIFS(DATOS!$K$2:$K$20000,DATOS!$A$2:$A$20000,S423,DATOS!$G$2:$G$20000,CONFIG_METADATA!$B$4,DATOS!$I$2:$I$20000,"Coro"),""))</f>
        <v/>
      </c>
      <c r="V423" t="str">
        <f>IF(S423="","",IFERROR(AVERAGEIFS(DATOS!$K$2:$K$20000,DATOS!$A$2:$A$20000,S423,DATOS!$G$2:$G$20000,CONFIG_METADATA!$B$4,DATOS!$I$2:$I$20000,"Conjunto"),""))</f>
        <v/>
      </c>
      <c r="W423" t="str" cm="1">
        <f t="array" ref="W423">IF(S423="","",IFERROR(AVERAGE(IF((DATOS!$A$2:$A$20000=S423)*(DATOS!$G$2:$G$20000=CONFIG_METADATA!$B$4)*(DATOS!$I$2:$I$20000&lt;&gt;"Lenguaje Musical")*(DATOS!$I$2:$I$20000&lt;&gt;"Coro")*(DATOS!$I$2:$I$20000&lt;&gt;"Conjunto"),DATOS!$K$2:$K$20000)),""))</f>
        <v/>
      </c>
    </row>
    <row r="424" spans="2:23" x14ac:dyDescent="0.2">
      <c r="B424" t="str">
        <f>IF(A424="","",IFERROR(AVERAGEIFS(DATOS!$K$2:$K$20000,DATOS!$A$2:$A$20000,A424,DATOS!$G$2:$G$20000,CONFIG_METADATA!$B$4,DATOS!$I$2:$I$20000,"Lenguaje Musical"),""))</f>
        <v/>
      </c>
      <c r="C424" t="str">
        <f>IF(A424="","",IFERROR(AVERAGEIFS(DATOS!$K$2:$K$20000,DATOS!$A$2:$A$20000,A424,DATOS!$G$2:$G$20000,CONFIG_METADATA!$B$4,DATOS!$I$2:$I$20000,"Coro"),""))</f>
        <v/>
      </c>
      <c r="D424" t="str">
        <f>IF(A424="","",IFERROR(AVERAGEIFS(DATOS!$K$2:$K$20000,DATOS!$A$2:$A$20000,A424,DATOS!$G$2:$G$20000,CONFIG_METADATA!$B$4,DATOS!$I$2:$I$20000,"Conjunto"),""))</f>
        <v/>
      </c>
      <c r="E424" t="str">
        <f>IF(A424="","",IFERROR(AVERAGEIFS(DATOS!$K$2:$K$20000,DATOS!$A$2:$A$20000,A424,DATOS!$G$2:$G$20000,CONFIG_METADATA!$B$4,DATOS!$I$2:$I$20000,"&lt;&gt;Lenguaje Musical",DATOS!$I$2:$I$20000,"&lt;&gt;Coro",DATOS!$I$2:$I$20000,"&lt;&gt;Conjunto"),""))</f>
        <v/>
      </c>
      <c r="H424" t="str">
        <f>IF(G424="","",IFERROR(AVERAGEIFS(DATOS!$K$2:$K$20000,DATOS!$A$2:$A$20000,G424,DATOS!$G$2:$G$20000,CONFIG_METADATA!$B$4,DATOS!$I$2:$I$20000,"Lenguaje Musical"),""))</f>
        <v/>
      </c>
      <c r="I424" t="str">
        <f>IF(G424="","",IFERROR(AVERAGEIFS(DATOS!$K$2:$K$20000,DATOS!$A$2:$A$20000,G424,DATOS!$G$2:$G$20000,CONFIG_METADATA!$B$4,DATOS!$I$2:$I$20000,"Coro"),""))</f>
        <v/>
      </c>
      <c r="J424" t="str">
        <f>IF(G424="","",IFERROR(AVERAGEIFS(DATOS!$K$2:$K$20000,DATOS!$A$2:$A$20000,G424,DATOS!$G$2:$G$20000,CONFIG_METADATA!$B$4,DATOS!$I$2:$I$20000,"Conjunto"),""))</f>
        <v/>
      </c>
      <c r="K424" t="str" cm="1">
        <f t="array" ref="K424">IF(G424="","",IFERROR(AVERAGE(IF((DATOS!$A$2:$A$20000=G424)*(DATOS!$G$2:$G$20000=CONFIG_METADATA!$B$4)*(DATOS!$I$2:$I$20000&lt;&gt;"Lenguaje Musical")*(DATOS!$I$2:$I$20000&lt;&gt;"Coro")*(DATOS!$I$2:$I$20000&lt;&gt;"Conjunto"),DATOS!$K$2:$K$20000)),""))</f>
        <v/>
      </c>
      <c r="N424" t="str">
        <f>IF(M424="","",IFERROR(AVERAGEIFS(DATOS!$K$2:$K$20000,DATOS!$A$2:$A$20000,M424,DATOS!$G$2:$G$20000,CONFIG_METADATA!$B$4,DATOS!$I$2:$I$20000,"Lenguaje Musical"),""))</f>
        <v/>
      </c>
      <c r="O424" t="str">
        <f>IF(M424="","",IFERROR(AVERAGEIFS(DATOS!$K$2:$K$20000,DATOS!$A$2:$A$20000,M424,DATOS!$G$2:$G$20000,CONFIG_METADATA!$B$4,DATOS!$I$2:$I$20000,"Coro"),""))</f>
        <v/>
      </c>
      <c r="P424" t="str">
        <f>IF(M424="","",IFERROR(AVERAGEIFS(DATOS!$K$2:$K$20000,DATOS!$A$2:$A$20000,M424,DATOS!$G$2:$G$20000,CONFIG_METADATA!$B$4,DATOS!$I$2:$I$20000,"Conjunto"),""))</f>
        <v/>
      </c>
      <c r="Q424" t="str">
        <f>IF(M424="","",IFERROR(AVERAGEIFS(DATOS!$K$2:$K$20000,DATOS!$A$2:$A$20000,M424,DATOS!$G$2:$G$20000,CONFIG_METADATA!$B$4,DATOS!$I$2:$I$20000,"&lt;&gt;Lenguaje Musical",DATOS!$I$2:$I$20000,"&lt;&gt;Coro",DATOS!$I$2:$I$20000,"&lt;&gt;Conjunto"),""))</f>
        <v/>
      </c>
      <c r="T424" t="str">
        <f>IF(S424="","",IFERROR(AVERAGEIFS(DATOS!$K$2:$K$20000,DATOS!$A$2:$A$20000,S424,DATOS!$G$2:$G$20000,CONFIG_METADATA!$B$4,DATOS!$I$2:$I$20000,"Lenguaje Musical"),""))</f>
        <v/>
      </c>
      <c r="U424" t="str">
        <f>IF(S424="","",IFERROR(AVERAGEIFS(DATOS!$K$2:$K$20000,DATOS!$A$2:$A$20000,S424,DATOS!$G$2:$G$20000,CONFIG_METADATA!$B$4,DATOS!$I$2:$I$20000,"Coro"),""))</f>
        <v/>
      </c>
      <c r="V424" t="str">
        <f>IF(S424="","",IFERROR(AVERAGEIFS(DATOS!$K$2:$K$20000,DATOS!$A$2:$A$20000,S424,DATOS!$G$2:$G$20000,CONFIG_METADATA!$B$4,DATOS!$I$2:$I$20000,"Conjunto"),""))</f>
        <v/>
      </c>
      <c r="W424" t="str" cm="1">
        <f t="array" ref="W424">IF(S424="","",IFERROR(AVERAGE(IF((DATOS!$A$2:$A$20000=S424)*(DATOS!$G$2:$G$20000=CONFIG_METADATA!$B$4)*(DATOS!$I$2:$I$20000&lt;&gt;"Lenguaje Musical")*(DATOS!$I$2:$I$20000&lt;&gt;"Coro")*(DATOS!$I$2:$I$20000&lt;&gt;"Conjunto"),DATOS!$K$2:$K$20000)),""))</f>
        <v/>
      </c>
    </row>
    <row r="425" spans="2:23" x14ac:dyDescent="0.2">
      <c r="B425" t="str">
        <f>IF(A425="","",IFERROR(AVERAGEIFS(DATOS!$K$2:$K$20000,DATOS!$A$2:$A$20000,A425,DATOS!$G$2:$G$20000,CONFIG_METADATA!$B$4,DATOS!$I$2:$I$20000,"Lenguaje Musical"),""))</f>
        <v/>
      </c>
      <c r="C425" t="str">
        <f>IF(A425="","",IFERROR(AVERAGEIFS(DATOS!$K$2:$K$20000,DATOS!$A$2:$A$20000,A425,DATOS!$G$2:$G$20000,CONFIG_METADATA!$B$4,DATOS!$I$2:$I$20000,"Coro"),""))</f>
        <v/>
      </c>
      <c r="D425" t="str">
        <f>IF(A425="","",IFERROR(AVERAGEIFS(DATOS!$K$2:$K$20000,DATOS!$A$2:$A$20000,A425,DATOS!$G$2:$G$20000,CONFIG_METADATA!$B$4,DATOS!$I$2:$I$20000,"Conjunto"),""))</f>
        <v/>
      </c>
      <c r="E425" t="str">
        <f>IF(A425="","",IFERROR(AVERAGEIFS(DATOS!$K$2:$K$20000,DATOS!$A$2:$A$20000,A425,DATOS!$G$2:$G$20000,CONFIG_METADATA!$B$4,DATOS!$I$2:$I$20000,"&lt;&gt;Lenguaje Musical",DATOS!$I$2:$I$20000,"&lt;&gt;Coro",DATOS!$I$2:$I$20000,"&lt;&gt;Conjunto"),""))</f>
        <v/>
      </c>
      <c r="H425" t="str">
        <f>IF(G425="","",IFERROR(AVERAGEIFS(DATOS!$K$2:$K$20000,DATOS!$A$2:$A$20000,G425,DATOS!$G$2:$G$20000,CONFIG_METADATA!$B$4,DATOS!$I$2:$I$20000,"Lenguaje Musical"),""))</f>
        <v/>
      </c>
      <c r="I425" t="str">
        <f>IF(G425="","",IFERROR(AVERAGEIFS(DATOS!$K$2:$K$20000,DATOS!$A$2:$A$20000,G425,DATOS!$G$2:$G$20000,CONFIG_METADATA!$B$4,DATOS!$I$2:$I$20000,"Coro"),""))</f>
        <v/>
      </c>
      <c r="J425" t="str">
        <f>IF(G425="","",IFERROR(AVERAGEIFS(DATOS!$K$2:$K$20000,DATOS!$A$2:$A$20000,G425,DATOS!$G$2:$G$20000,CONFIG_METADATA!$B$4,DATOS!$I$2:$I$20000,"Conjunto"),""))</f>
        <v/>
      </c>
      <c r="K425" t="str" cm="1">
        <f t="array" ref="K425">IF(G425="","",IFERROR(AVERAGE(IF((DATOS!$A$2:$A$20000=G425)*(DATOS!$G$2:$G$20000=CONFIG_METADATA!$B$4)*(DATOS!$I$2:$I$20000&lt;&gt;"Lenguaje Musical")*(DATOS!$I$2:$I$20000&lt;&gt;"Coro")*(DATOS!$I$2:$I$20000&lt;&gt;"Conjunto"),DATOS!$K$2:$K$20000)),""))</f>
        <v/>
      </c>
      <c r="N425" t="str">
        <f>IF(M425="","",IFERROR(AVERAGEIFS(DATOS!$K$2:$K$20000,DATOS!$A$2:$A$20000,M425,DATOS!$G$2:$G$20000,CONFIG_METADATA!$B$4,DATOS!$I$2:$I$20000,"Lenguaje Musical"),""))</f>
        <v/>
      </c>
      <c r="O425" t="str">
        <f>IF(M425="","",IFERROR(AVERAGEIFS(DATOS!$K$2:$K$20000,DATOS!$A$2:$A$20000,M425,DATOS!$G$2:$G$20000,CONFIG_METADATA!$B$4,DATOS!$I$2:$I$20000,"Coro"),""))</f>
        <v/>
      </c>
      <c r="P425" t="str">
        <f>IF(M425="","",IFERROR(AVERAGEIFS(DATOS!$K$2:$K$20000,DATOS!$A$2:$A$20000,M425,DATOS!$G$2:$G$20000,CONFIG_METADATA!$B$4,DATOS!$I$2:$I$20000,"Conjunto"),""))</f>
        <v/>
      </c>
      <c r="Q425" t="str">
        <f>IF(M425="","",IFERROR(AVERAGEIFS(DATOS!$K$2:$K$20000,DATOS!$A$2:$A$20000,M425,DATOS!$G$2:$G$20000,CONFIG_METADATA!$B$4,DATOS!$I$2:$I$20000,"&lt;&gt;Lenguaje Musical",DATOS!$I$2:$I$20000,"&lt;&gt;Coro",DATOS!$I$2:$I$20000,"&lt;&gt;Conjunto"),""))</f>
        <v/>
      </c>
      <c r="T425" t="str">
        <f>IF(S425="","",IFERROR(AVERAGEIFS(DATOS!$K$2:$K$20000,DATOS!$A$2:$A$20000,S425,DATOS!$G$2:$G$20000,CONFIG_METADATA!$B$4,DATOS!$I$2:$I$20000,"Lenguaje Musical"),""))</f>
        <v/>
      </c>
      <c r="U425" t="str">
        <f>IF(S425="","",IFERROR(AVERAGEIFS(DATOS!$K$2:$K$20000,DATOS!$A$2:$A$20000,S425,DATOS!$G$2:$G$20000,CONFIG_METADATA!$B$4,DATOS!$I$2:$I$20000,"Coro"),""))</f>
        <v/>
      </c>
      <c r="V425" t="str">
        <f>IF(S425="","",IFERROR(AVERAGEIFS(DATOS!$K$2:$K$20000,DATOS!$A$2:$A$20000,S425,DATOS!$G$2:$G$20000,CONFIG_METADATA!$B$4,DATOS!$I$2:$I$20000,"Conjunto"),""))</f>
        <v/>
      </c>
      <c r="W425" t="str" cm="1">
        <f t="array" ref="W425">IF(S425="","",IFERROR(AVERAGE(IF((DATOS!$A$2:$A$20000=S425)*(DATOS!$G$2:$G$20000=CONFIG_METADATA!$B$4)*(DATOS!$I$2:$I$20000&lt;&gt;"Lenguaje Musical")*(DATOS!$I$2:$I$20000&lt;&gt;"Coro")*(DATOS!$I$2:$I$20000&lt;&gt;"Conjunto"),DATOS!$K$2:$K$20000)),""))</f>
        <v/>
      </c>
    </row>
    <row r="426" spans="2:23" x14ac:dyDescent="0.2">
      <c r="B426" t="str">
        <f>IF(A426="","",IFERROR(AVERAGEIFS(DATOS!$K$2:$K$20000,DATOS!$A$2:$A$20000,A426,DATOS!$G$2:$G$20000,CONFIG_METADATA!$B$4,DATOS!$I$2:$I$20000,"Lenguaje Musical"),""))</f>
        <v/>
      </c>
      <c r="C426" t="str">
        <f>IF(A426="","",IFERROR(AVERAGEIFS(DATOS!$K$2:$K$20000,DATOS!$A$2:$A$20000,A426,DATOS!$G$2:$G$20000,CONFIG_METADATA!$B$4,DATOS!$I$2:$I$20000,"Coro"),""))</f>
        <v/>
      </c>
      <c r="D426" t="str">
        <f>IF(A426="","",IFERROR(AVERAGEIFS(DATOS!$K$2:$K$20000,DATOS!$A$2:$A$20000,A426,DATOS!$G$2:$G$20000,CONFIG_METADATA!$B$4,DATOS!$I$2:$I$20000,"Conjunto"),""))</f>
        <v/>
      </c>
      <c r="E426" t="str">
        <f>IF(A426="","",IFERROR(AVERAGEIFS(DATOS!$K$2:$K$20000,DATOS!$A$2:$A$20000,A426,DATOS!$G$2:$G$20000,CONFIG_METADATA!$B$4,DATOS!$I$2:$I$20000,"&lt;&gt;Lenguaje Musical",DATOS!$I$2:$I$20000,"&lt;&gt;Coro",DATOS!$I$2:$I$20000,"&lt;&gt;Conjunto"),""))</f>
        <v/>
      </c>
      <c r="H426" t="str">
        <f>IF(G426="","",IFERROR(AVERAGEIFS(DATOS!$K$2:$K$20000,DATOS!$A$2:$A$20000,G426,DATOS!$G$2:$G$20000,CONFIG_METADATA!$B$4,DATOS!$I$2:$I$20000,"Lenguaje Musical"),""))</f>
        <v/>
      </c>
      <c r="I426" t="str">
        <f>IF(G426="","",IFERROR(AVERAGEIFS(DATOS!$K$2:$K$20000,DATOS!$A$2:$A$20000,G426,DATOS!$G$2:$G$20000,CONFIG_METADATA!$B$4,DATOS!$I$2:$I$20000,"Coro"),""))</f>
        <v/>
      </c>
      <c r="J426" t="str">
        <f>IF(G426="","",IFERROR(AVERAGEIFS(DATOS!$K$2:$K$20000,DATOS!$A$2:$A$20000,G426,DATOS!$G$2:$G$20000,CONFIG_METADATA!$B$4,DATOS!$I$2:$I$20000,"Conjunto"),""))</f>
        <v/>
      </c>
      <c r="K426" t="str" cm="1">
        <f t="array" ref="K426">IF(G426="","",IFERROR(AVERAGE(IF((DATOS!$A$2:$A$20000=G426)*(DATOS!$G$2:$G$20000=CONFIG_METADATA!$B$4)*(DATOS!$I$2:$I$20000&lt;&gt;"Lenguaje Musical")*(DATOS!$I$2:$I$20000&lt;&gt;"Coro")*(DATOS!$I$2:$I$20000&lt;&gt;"Conjunto"),DATOS!$K$2:$K$20000)),""))</f>
        <v/>
      </c>
      <c r="N426" t="str">
        <f>IF(M426="","",IFERROR(AVERAGEIFS(DATOS!$K$2:$K$20000,DATOS!$A$2:$A$20000,M426,DATOS!$G$2:$G$20000,CONFIG_METADATA!$B$4,DATOS!$I$2:$I$20000,"Lenguaje Musical"),""))</f>
        <v/>
      </c>
      <c r="O426" t="str">
        <f>IF(M426="","",IFERROR(AVERAGEIFS(DATOS!$K$2:$K$20000,DATOS!$A$2:$A$20000,M426,DATOS!$G$2:$G$20000,CONFIG_METADATA!$B$4,DATOS!$I$2:$I$20000,"Coro"),""))</f>
        <v/>
      </c>
      <c r="P426" t="str">
        <f>IF(M426="","",IFERROR(AVERAGEIFS(DATOS!$K$2:$K$20000,DATOS!$A$2:$A$20000,M426,DATOS!$G$2:$G$20000,CONFIG_METADATA!$B$4,DATOS!$I$2:$I$20000,"Conjunto"),""))</f>
        <v/>
      </c>
      <c r="Q426" t="str">
        <f>IF(M426="","",IFERROR(AVERAGEIFS(DATOS!$K$2:$K$20000,DATOS!$A$2:$A$20000,M426,DATOS!$G$2:$G$20000,CONFIG_METADATA!$B$4,DATOS!$I$2:$I$20000,"&lt;&gt;Lenguaje Musical",DATOS!$I$2:$I$20000,"&lt;&gt;Coro",DATOS!$I$2:$I$20000,"&lt;&gt;Conjunto"),""))</f>
        <v/>
      </c>
      <c r="T426" t="str">
        <f>IF(S426="","",IFERROR(AVERAGEIFS(DATOS!$K$2:$K$20000,DATOS!$A$2:$A$20000,S426,DATOS!$G$2:$G$20000,CONFIG_METADATA!$B$4,DATOS!$I$2:$I$20000,"Lenguaje Musical"),""))</f>
        <v/>
      </c>
      <c r="U426" t="str">
        <f>IF(S426="","",IFERROR(AVERAGEIFS(DATOS!$K$2:$K$20000,DATOS!$A$2:$A$20000,S426,DATOS!$G$2:$G$20000,CONFIG_METADATA!$B$4,DATOS!$I$2:$I$20000,"Coro"),""))</f>
        <v/>
      </c>
      <c r="V426" t="str">
        <f>IF(S426="","",IFERROR(AVERAGEIFS(DATOS!$K$2:$K$20000,DATOS!$A$2:$A$20000,S426,DATOS!$G$2:$G$20000,CONFIG_METADATA!$B$4,DATOS!$I$2:$I$20000,"Conjunto"),""))</f>
        <v/>
      </c>
      <c r="W426" t="str" cm="1">
        <f t="array" ref="W426">IF(S426="","",IFERROR(AVERAGE(IF((DATOS!$A$2:$A$20000=S426)*(DATOS!$G$2:$G$20000=CONFIG_METADATA!$B$4)*(DATOS!$I$2:$I$20000&lt;&gt;"Lenguaje Musical")*(DATOS!$I$2:$I$20000&lt;&gt;"Coro")*(DATOS!$I$2:$I$20000&lt;&gt;"Conjunto"),DATOS!$K$2:$K$20000)),""))</f>
        <v/>
      </c>
    </row>
    <row r="427" spans="2:23" x14ac:dyDescent="0.2">
      <c r="B427" t="str">
        <f>IF(A427="","",IFERROR(AVERAGEIFS(DATOS!$K$2:$K$20000,DATOS!$A$2:$A$20000,A427,DATOS!$G$2:$G$20000,CONFIG_METADATA!$B$4,DATOS!$I$2:$I$20000,"Lenguaje Musical"),""))</f>
        <v/>
      </c>
      <c r="C427" t="str">
        <f>IF(A427="","",IFERROR(AVERAGEIFS(DATOS!$K$2:$K$20000,DATOS!$A$2:$A$20000,A427,DATOS!$G$2:$G$20000,CONFIG_METADATA!$B$4,DATOS!$I$2:$I$20000,"Coro"),""))</f>
        <v/>
      </c>
      <c r="D427" t="str">
        <f>IF(A427="","",IFERROR(AVERAGEIFS(DATOS!$K$2:$K$20000,DATOS!$A$2:$A$20000,A427,DATOS!$G$2:$G$20000,CONFIG_METADATA!$B$4,DATOS!$I$2:$I$20000,"Conjunto"),""))</f>
        <v/>
      </c>
      <c r="E427" t="str">
        <f>IF(A427="","",IFERROR(AVERAGEIFS(DATOS!$K$2:$K$20000,DATOS!$A$2:$A$20000,A427,DATOS!$G$2:$G$20000,CONFIG_METADATA!$B$4,DATOS!$I$2:$I$20000,"&lt;&gt;Lenguaje Musical",DATOS!$I$2:$I$20000,"&lt;&gt;Coro",DATOS!$I$2:$I$20000,"&lt;&gt;Conjunto"),""))</f>
        <v/>
      </c>
      <c r="H427" t="str">
        <f>IF(G427="","",IFERROR(AVERAGEIFS(DATOS!$K$2:$K$20000,DATOS!$A$2:$A$20000,G427,DATOS!$G$2:$G$20000,CONFIG_METADATA!$B$4,DATOS!$I$2:$I$20000,"Lenguaje Musical"),""))</f>
        <v/>
      </c>
      <c r="I427" t="str">
        <f>IF(G427="","",IFERROR(AVERAGEIFS(DATOS!$K$2:$K$20000,DATOS!$A$2:$A$20000,G427,DATOS!$G$2:$G$20000,CONFIG_METADATA!$B$4,DATOS!$I$2:$I$20000,"Coro"),""))</f>
        <v/>
      </c>
      <c r="J427" t="str">
        <f>IF(G427="","",IFERROR(AVERAGEIFS(DATOS!$K$2:$K$20000,DATOS!$A$2:$A$20000,G427,DATOS!$G$2:$G$20000,CONFIG_METADATA!$B$4,DATOS!$I$2:$I$20000,"Conjunto"),""))</f>
        <v/>
      </c>
      <c r="K427" t="str" cm="1">
        <f t="array" ref="K427">IF(G427="","",IFERROR(AVERAGE(IF((DATOS!$A$2:$A$20000=G427)*(DATOS!$G$2:$G$20000=CONFIG_METADATA!$B$4)*(DATOS!$I$2:$I$20000&lt;&gt;"Lenguaje Musical")*(DATOS!$I$2:$I$20000&lt;&gt;"Coro")*(DATOS!$I$2:$I$20000&lt;&gt;"Conjunto"),DATOS!$K$2:$K$20000)),""))</f>
        <v/>
      </c>
      <c r="N427" t="str">
        <f>IF(M427="","",IFERROR(AVERAGEIFS(DATOS!$K$2:$K$20000,DATOS!$A$2:$A$20000,M427,DATOS!$G$2:$G$20000,CONFIG_METADATA!$B$4,DATOS!$I$2:$I$20000,"Lenguaje Musical"),""))</f>
        <v/>
      </c>
      <c r="O427" t="str">
        <f>IF(M427="","",IFERROR(AVERAGEIFS(DATOS!$K$2:$K$20000,DATOS!$A$2:$A$20000,M427,DATOS!$G$2:$G$20000,CONFIG_METADATA!$B$4,DATOS!$I$2:$I$20000,"Coro"),""))</f>
        <v/>
      </c>
      <c r="P427" t="str">
        <f>IF(M427="","",IFERROR(AVERAGEIFS(DATOS!$K$2:$K$20000,DATOS!$A$2:$A$20000,M427,DATOS!$G$2:$G$20000,CONFIG_METADATA!$B$4,DATOS!$I$2:$I$20000,"Conjunto"),""))</f>
        <v/>
      </c>
      <c r="Q427" t="str">
        <f>IF(M427="","",IFERROR(AVERAGEIFS(DATOS!$K$2:$K$20000,DATOS!$A$2:$A$20000,M427,DATOS!$G$2:$G$20000,CONFIG_METADATA!$B$4,DATOS!$I$2:$I$20000,"&lt;&gt;Lenguaje Musical",DATOS!$I$2:$I$20000,"&lt;&gt;Coro",DATOS!$I$2:$I$20000,"&lt;&gt;Conjunto"),""))</f>
        <v/>
      </c>
      <c r="T427" t="str">
        <f>IF(S427="","",IFERROR(AVERAGEIFS(DATOS!$K$2:$K$20000,DATOS!$A$2:$A$20000,S427,DATOS!$G$2:$G$20000,CONFIG_METADATA!$B$4,DATOS!$I$2:$I$20000,"Lenguaje Musical"),""))</f>
        <v/>
      </c>
      <c r="U427" t="str">
        <f>IF(S427="","",IFERROR(AVERAGEIFS(DATOS!$K$2:$K$20000,DATOS!$A$2:$A$20000,S427,DATOS!$G$2:$G$20000,CONFIG_METADATA!$B$4,DATOS!$I$2:$I$20000,"Coro"),""))</f>
        <v/>
      </c>
      <c r="V427" t="str">
        <f>IF(S427="","",IFERROR(AVERAGEIFS(DATOS!$K$2:$K$20000,DATOS!$A$2:$A$20000,S427,DATOS!$G$2:$G$20000,CONFIG_METADATA!$B$4,DATOS!$I$2:$I$20000,"Conjunto"),""))</f>
        <v/>
      </c>
      <c r="W427" t="str" cm="1">
        <f t="array" ref="W427">IF(S427="","",IFERROR(AVERAGE(IF((DATOS!$A$2:$A$20000=S427)*(DATOS!$G$2:$G$20000=CONFIG_METADATA!$B$4)*(DATOS!$I$2:$I$20000&lt;&gt;"Lenguaje Musical")*(DATOS!$I$2:$I$20000&lt;&gt;"Coro")*(DATOS!$I$2:$I$20000&lt;&gt;"Conjunto"),DATOS!$K$2:$K$20000)),""))</f>
        <v/>
      </c>
    </row>
    <row r="428" spans="2:23" x14ac:dyDescent="0.2">
      <c r="B428" t="str">
        <f>IF(A428="","",IFERROR(AVERAGEIFS(DATOS!$K$2:$K$20000,DATOS!$A$2:$A$20000,A428,DATOS!$G$2:$G$20000,CONFIG_METADATA!$B$4,DATOS!$I$2:$I$20000,"Lenguaje Musical"),""))</f>
        <v/>
      </c>
      <c r="C428" t="str">
        <f>IF(A428="","",IFERROR(AVERAGEIFS(DATOS!$K$2:$K$20000,DATOS!$A$2:$A$20000,A428,DATOS!$G$2:$G$20000,CONFIG_METADATA!$B$4,DATOS!$I$2:$I$20000,"Coro"),""))</f>
        <v/>
      </c>
      <c r="D428" t="str">
        <f>IF(A428="","",IFERROR(AVERAGEIFS(DATOS!$K$2:$K$20000,DATOS!$A$2:$A$20000,A428,DATOS!$G$2:$G$20000,CONFIG_METADATA!$B$4,DATOS!$I$2:$I$20000,"Conjunto"),""))</f>
        <v/>
      </c>
      <c r="E428" t="str">
        <f>IF(A428="","",IFERROR(AVERAGEIFS(DATOS!$K$2:$K$20000,DATOS!$A$2:$A$20000,A428,DATOS!$G$2:$G$20000,CONFIG_METADATA!$B$4,DATOS!$I$2:$I$20000,"&lt;&gt;Lenguaje Musical",DATOS!$I$2:$I$20000,"&lt;&gt;Coro",DATOS!$I$2:$I$20000,"&lt;&gt;Conjunto"),""))</f>
        <v/>
      </c>
      <c r="H428" t="str">
        <f>IF(G428="","",IFERROR(AVERAGEIFS(DATOS!$K$2:$K$20000,DATOS!$A$2:$A$20000,G428,DATOS!$G$2:$G$20000,CONFIG_METADATA!$B$4,DATOS!$I$2:$I$20000,"Lenguaje Musical"),""))</f>
        <v/>
      </c>
      <c r="I428" t="str">
        <f>IF(G428="","",IFERROR(AVERAGEIFS(DATOS!$K$2:$K$20000,DATOS!$A$2:$A$20000,G428,DATOS!$G$2:$G$20000,CONFIG_METADATA!$B$4,DATOS!$I$2:$I$20000,"Coro"),""))</f>
        <v/>
      </c>
      <c r="J428" t="str">
        <f>IF(G428="","",IFERROR(AVERAGEIFS(DATOS!$K$2:$K$20000,DATOS!$A$2:$A$20000,G428,DATOS!$G$2:$G$20000,CONFIG_METADATA!$B$4,DATOS!$I$2:$I$20000,"Conjunto"),""))</f>
        <v/>
      </c>
      <c r="K428" t="str" cm="1">
        <f t="array" ref="K428">IF(G428="","",IFERROR(AVERAGE(IF((DATOS!$A$2:$A$20000=G428)*(DATOS!$G$2:$G$20000=CONFIG_METADATA!$B$4)*(DATOS!$I$2:$I$20000&lt;&gt;"Lenguaje Musical")*(DATOS!$I$2:$I$20000&lt;&gt;"Coro")*(DATOS!$I$2:$I$20000&lt;&gt;"Conjunto"),DATOS!$K$2:$K$20000)),""))</f>
        <v/>
      </c>
      <c r="N428" t="str">
        <f>IF(M428="","",IFERROR(AVERAGEIFS(DATOS!$K$2:$K$20000,DATOS!$A$2:$A$20000,M428,DATOS!$G$2:$G$20000,CONFIG_METADATA!$B$4,DATOS!$I$2:$I$20000,"Lenguaje Musical"),""))</f>
        <v/>
      </c>
      <c r="O428" t="str">
        <f>IF(M428="","",IFERROR(AVERAGEIFS(DATOS!$K$2:$K$20000,DATOS!$A$2:$A$20000,M428,DATOS!$G$2:$G$20000,CONFIG_METADATA!$B$4,DATOS!$I$2:$I$20000,"Coro"),""))</f>
        <v/>
      </c>
      <c r="P428" t="str">
        <f>IF(M428="","",IFERROR(AVERAGEIFS(DATOS!$K$2:$K$20000,DATOS!$A$2:$A$20000,M428,DATOS!$G$2:$G$20000,CONFIG_METADATA!$B$4,DATOS!$I$2:$I$20000,"Conjunto"),""))</f>
        <v/>
      </c>
      <c r="Q428" t="str">
        <f>IF(M428="","",IFERROR(AVERAGEIFS(DATOS!$K$2:$K$20000,DATOS!$A$2:$A$20000,M428,DATOS!$G$2:$G$20000,CONFIG_METADATA!$B$4,DATOS!$I$2:$I$20000,"&lt;&gt;Lenguaje Musical",DATOS!$I$2:$I$20000,"&lt;&gt;Coro",DATOS!$I$2:$I$20000,"&lt;&gt;Conjunto"),""))</f>
        <v/>
      </c>
      <c r="T428" t="str">
        <f>IF(S428="","",IFERROR(AVERAGEIFS(DATOS!$K$2:$K$20000,DATOS!$A$2:$A$20000,S428,DATOS!$G$2:$G$20000,CONFIG_METADATA!$B$4,DATOS!$I$2:$I$20000,"Lenguaje Musical"),""))</f>
        <v/>
      </c>
      <c r="U428" t="str">
        <f>IF(S428="","",IFERROR(AVERAGEIFS(DATOS!$K$2:$K$20000,DATOS!$A$2:$A$20000,S428,DATOS!$G$2:$G$20000,CONFIG_METADATA!$B$4,DATOS!$I$2:$I$20000,"Coro"),""))</f>
        <v/>
      </c>
      <c r="V428" t="str">
        <f>IF(S428="","",IFERROR(AVERAGEIFS(DATOS!$K$2:$K$20000,DATOS!$A$2:$A$20000,S428,DATOS!$G$2:$G$20000,CONFIG_METADATA!$B$4,DATOS!$I$2:$I$20000,"Conjunto"),""))</f>
        <v/>
      </c>
      <c r="W428" t="str" cm="1">
        <f t="array" ref="W428">IF(S428="","",IFERROR(AVERAGE(IF((DATOS!$A$2:$A$20000=S428)*(DATOS!$G$2:$G$20000=CONFIG_METADATA!$B$4)*(DATOS!$I$2:$I$20000&lt;&gt;"Lenguaje Musical")*(DATOS!$I$2:$I$20000&lt;&gt;"Coro")*(DATOS!$I$2:$I$20000&lt;&gt;"Conjunto"),DATOS!$K$2:$K$20000)),""))</f>
        <v/>
      </c>
    </row>
    <row r="429" spans="2:23" x14ac:dyDescent="0.2">
      <c r="B429" t="str">
        <f>IF(A429="","",IFERROR(AVERAGEIFS(DATOS!$K$2:$K$20000,DATOS!$A$2:$A$20000,A429,DATOS!$G$2:$G$20000,CONFIG_METADATA!$B$4,DATOS!$I$2:$I$20000,"Lenguaje Musical"),""))</f>
        <v/>
      </c>
      <c r="C429" t="str">
        <f>IF(A429="","",IFERROR(AVERAGEIFS(DATOS!$K$2:$K$20000,DATOS!$A$2:$A$20000,A429,DATOS!$G$2:$G$20000,CONFIG_METADATA!$B$4,DATOS!$I$2:$I$20000,"Coro"),""))</f>
        <v/>
      </c>
      <c r="D429" t="str">
        <f>IF(A429="","",IFERROR(AVERAGEIFS(DATOS!$K$2:$K$20000,DATOS!$A$2:$A$20000,A429,DATOS!$G$2:$G$20000,CONFIG_METADATA!$B$4,DATOS!$I$2:$I$20000,"Conjunto"),""))</f>
        <v/>
      </c>
      <c r="E429" t="str">
        <f>IF(A429="","",IFERROR(AVERAGEIFS(DATOS!$K$2:$K$20000,DATOS!$A$2:$A$20000,A429,DATOS!$G$2:$G$20000,CONFIG_METADATA!$B$4,DATOS!$I$2:$I$20000,"&lt;&gt;Lenguaje Musical",DATOS!$I$2:$I$20000,"&lt;&gt;Coro",DATOS!$I$2:$I$20000,"&lt;&gt;Conjunto"),""))</f>
        <v/>
      </c>
      <c r="H429" t="str">
        <f>IF(G429="","",IFERROR(AVERAGEIFS(DATOS!$K$2:$K$20000,DATOS!$A$2:$A$20000,G429,DATOS!$G$2:$G$20000,CONFIG_METADATA!$B$4,DATOS!$I$2:$I$20000,"Lenguaje Musical"),""))</f>
        <v/>
      </c>
      <c r="I429" t="str">
        <f>IF(G429="","",IFERROR(AVERAGEIFS(DATOS!$K$2:$K$20000,DATOS!$A$2:$A$20000,G429,DATOS!$G$2:$G$20000,CONFIG_METADATA!$B$4,DATOS!$I$2:$I$20000,"Coro"),""))</f>
        <v/>
      </c>
      <c r="J429" t="str">
        <f>IF(G429="","",IFERROR(AVERAGEIFS(DATOS!$K$2:$K$20000,DATOS!$A$2:$A$20000,G429,DATOS!$G$2:$G$20000,CONFIG_METADATA!$B$4,DATOS!$I$2:$I$20000,"Conjunto"),""))</f>
        <v/>
      </c>
      <c r="K429" t="str" cm="1">
        <f t="array" ref="K429">IF(G429="","",IFERROR(AVERAGE(IF((DATOS!$A$2:$A$20000=G429)*(DATOS!$G$2:$G$20000=CONFIG_METADATA!$B$4)*(DATOS!$I$2:$I$20000&lt;&gt;"Lenguaje Musical")*(DATOS!$I$2:$I$20000&lt;&gt;"Coro")*(DATOS!$I$2:$I$20000&lt;&gt;"Conjunto"),DATOS!$K$2:$K$20000)),""))</f>
        <v/>
      </c>
      <c r="N429" t="str">
        <f>IF(M429="","",IFERROR(AVERAGEIFS(DATOS!$K$2:$K$20000,DATOS!$A$2:$A$20000,M429,DATOS!$G$2:$G$20000,CONFIG_METADATA!$B$4,DATOS!$I$2:$I$20000,"Lenguaje Musical"),""))</f>
        <v/>
      </c>
      <c r="O429" t="str">
        <f>IF(M429="","",IFERROR(AVERAGEIFS(DATOS!$K$2:$K$20000,DATOS!$A$2:$A$20000,M429,DATOS!$G$2:$G$20000,CONFIG_METADATA!$B$4,DATOS!$I$2:$I$20000,"Coro"),""))</f>
        <v/>
      </c>
      <c r="P429" t="str">
        <f>IF(M429="","",IFERROR(AVERAGEIFS(DATOS!$K$2:$K$20000,DATOS!$A$2:$A$20000,M429,DATOS!$G$2:$G$20000,CONFIG_METADATA!$B$4,DATOS!$I$2:$I$20000,"Conjunto"),""))</f>
        <v/>
      </c>
      <c r="Q429" t="str">
        <f>IF(M429="","",IFERROR(AVERAGEIFS(DATOS!$K$2:$K$20000,DATOS!$A$2:$A$20000,M429,DATOS!$G$2:$G$20000,CONFIG_METADATA!$B$4,DATOS!$I$2:$I$20000,"&lt;&gt;Lenguaje Musical",DATOS!$I$2:$I$20000,"&lt;&gt;Coro",DATOS!$I$2:$I$20000,"&lt;&gt;Conjunto"),""))</f>
        <v/>
      </c>
      <c r="T429" t="str">
        <f>IF(S429="","",IFERROR(AVERAGEIFS(DATOS!$K$2:$K$20000,DATOS!$A$2:$A$20000,S429,DATOS!$G$2:$G$20000,CONFIG_METADATA!$B$4,DATOS!$I$2:$I$20000,"Lenguaje Musical"),""))</f>
        <v/>
      </c>
      <c r="U429" t="str">
        <f>IF(S429="","",IFERROR(AVERAGEIFS(DATOS!$K$2:$K$20000,DATOS!$A$2:$A$20000,S429,DATOS!$G$2:$G$20000,CONFIG_METADATA!$B$4,DATOS!$I$2:$I$20000,"Coro"),""))</f>
        <v/>
      </c>
      <c r="V429" t="str">
        <f>IF(S429="","",IFERROR(AVERAGEIFS(DATOS!$K$2:$K$20000,DATOS!$A$2:$A$20000,S429,DATOS!$G$2:$G$20000,CONFIG_METADATA!$B$4,DATOS!$I$2:$I$20000,"Conjunto"),""))</f>
        <v/>
      </c>
      <c r="W429" t="str" cm="1">
        <f t="array" ref="W429">IF(S429="","",IFERROR(AVERAGE(IF((DATOS!$A$2:$A$20000=S429)*(DATOS!$G$2:$G$20000=CONFIG_METADATA!$B$4)*(DATOS!$I$2:$I$20000&lt;&gt;"Lenguaje Musical")*(DATOS!$I$2:$I$20000&lt;&gt;"Coro")*(DATOS!$I$2:$I$20000&lt;&gt;"Conjunto"),DATOS!$K$2:$K$20000)),""))</f>
        <v/>
      </c>
    </row>
    <row r="430" spans="2:23" x14ac:dyDescent="0.2">
      <c r="B430" t="str">
        <f>IF(A430="","",IFERROR(AVERAGEIFS(DATOS!$K$2:$K$20000,DATOS!$A$2:$A$20000,A430,DATOS!$G$2:$G$20000,CONFIG_METADATA!$B$4,DATOS!$I$2:$I$20000,"Lenguaje Musical"),""))</f>
        <v/>
      </c>
      <c r="C430" t="str">
        <f>IF(A430="","",IFERROR(AVERAGEIFS(DATOS!$K$2:$K$20000,DATOS!$A$2:$A$20000,A430,DATOS!$G$2:$G$20000,CONFIG_METADATA!$B$4,DATOS!$I$2:$I$20000,"Coro"),""))</f>
        <v/>
      </c>
      <c r="D430" t="str">
        <f>IF(A430="","",IFERROR(AVERAGEIFS(DATOS!$K$2:$K$20000,DATOS!$A$2:$A$20000,A430,DATOS!$G$2:$G$20000,CONFIG_METADATA!$B$4,DATOS!$I$2:$I$20000,"Conjunto"),""))</f>
        <v/>
      </c>
      <c r="E430" t="str">
        <f>IF(A430="","",IFERROR(AVERAGEIFS(DATOS!$K$2:$K$20000,DATOS!$A$2:$A$20000,A430,DATOS!$G$2:$G$20000,CONFIG_METADATA!$B$4,DATOS!$I$2:$I$20000,"&lt;&gt;Lenguaje Musical",DATOS!$I$2:$I$20000,"&lt;&gt;Coro",DATOS!$I$2:$I$20000,"&lt;&gt;Conjunto"),""))</f>
        <v/>
      </c>
      <c r="H430" t="str">
        <f>IF(G430="","",IFERROR(AVERAGEIFS(DATOS!$K$2:$K$20000,DATOS!$A$2:$A$20000,G430,DATOS!$G$2:$G$20000,CONFIG_METADATA!$B$4,DATOS!$I$2:$I$20000,"Lenguaje Musical"),""))</f>
        <v/>
      </c>
      <c r="I430" t="str">
        <f>IF(G430="","",IFERROR(AVERAGEIFS(DATOS!$K$2:$K$20000,DATOS!$A$2:$A$20000,G430,DATOS!$G$2:$G$20000,CONFIG_METADATA!$B$4,DATOS!$I$2:$I$20000,"Coro"),""))</f>
        <v/>
      </c>
      <c r="J430" t="str">
        <f>IF(G430="","",IFERROR(AVERAGEIFS(DATOS!$K$2:$K$20000,DATOS!$A$2:$A$20000,G430,DATOS!$G$2:$G$20000,CONFIG_METADATA!$B$4,DATOS!$I$2:$I$20000,"Conjunto"),""))</f>
        <v/>
      </c>
      <c r="K430" t="str" cm="1">
        <f t="array" ref="K430">IF(G430="","",IFERROR(AVERAGE(IF((DATOS!$A$2:$A$20000=G430)*(DATOS!$G$2:$G$20000=CONFIG_METADATA!$B$4)*(DATOS!$I$2:$I$20000&lt;&gt;"Lenguaje Musical")*(DATOS!$I$2:$I$20000&lt;&gt;"Coro")*(DATOS!$I$2:$I$20000&lt;&gt;"Conjunto"),DATOS!$K$2:$K$20000)),""))</f>
        <v/>
      </c>
      <c r="N430" t="str">
        <f>IF(M430="","",IFERROR(AVERAGEIFS(DATOS!$K$2:$K$20000,DATOS!$A$2:$A$20000,M430,DATOS!$G$2:$G$20000,CONFIG_METADATA!$B$4,DATOS!$I$2:$I$20000,"Lenguaje Musical"),""))</f>
        <v/>
      </c>
      <c r="O430" t="str">
        <f>IF(M430="","",IFERROR(AVERAGEIFS(DATOS!$K$2:$K$20000,DATOS!$A$2:$A$20000,M430,DATOS!$G$2:$G$20000,CONFIG_METADATA!$B$4,DATOS!$I$2:$I$20000,"Coro"),""))</f>
        <v/>
      </c>
      <c r="P430" t="str">
        <f>IF(M430="","",IFERROR(AVERAGEIFS(DATOS!$K$2:$K$20000,DATOS!$A$2:$A$20000,M430,DATOS!$G$2:$G$20000,CONFIG_METADATA!$B$4,DATOS!$I$2:$I$20000,"Conjunto"),""))</f>
        <v/>
      </c>
      <c r="Q430" t="str">
        <f>IF(M430="","",IFERROR(AVERAGEIFS(DATOS!$K$2:$K$20000,DATOS!$A$2:$A$20000,M430,DATOS!$G$2:$G$20000,CONFIG_METADATA!$B$4,DATOS!$I$2:$I$20000,"&lt;&gt;Lenguaje Musical",DATOS!$I$2:$I$20000,"&lt;&gt;Coro",DATOS!$I$2:$I$20000,"&lt;&gt;Conjunto"),""))</f>
        <v/>
      </c>
      <c r="T430" t="str">
        <f>IF(S430="","",IFERROR(AVERAGEIFS(DATOS!$K$2:$K$20000,DATOS!$A$2:$A$20000,S430,DATOS!$G$2:$G$20000,CONFIG_METADATA!$B$4,DATOS!$I$2:$I$20000,"Lenguaje Musical"),""))</f>
        <v/>
      </c>
      <c r="U430" t="str">
        <f>IF(S430="","",IFERROR(AVERAGEIFS(DATOS!$K$2:$K$20000,DATOS!$A$2:$A$20000,S430,DATOS!$G$2:$G$20000,CONFIG_METADATA!$B$4,DATOS!$I$2:$I$20000,"Coro"),""))</f>
        <v/>
      </c>
      <c r="V430" t="str">
        <f>IF(S430="","",IFERROR(AVERAGEIFS(DATOS!$K$2:$K$20000,DATOS!$A$2:$A$20000,S430,DATOS!$G$2:$G$20000,CONFIG_METADATA!$B$4,DATOS!$I$2:$I$20000,"Conjunto"),""))</f>
        <v/>
      </c>
      <c r="W430" t="str" cm="1">
        <f t="array" ref="W430">IF(S430="","",IFERROR(AVERAGE(IF((DATOS!$A$2:$A$20000=S430)*(DATOS!$G$2:$G$20000=CONFIG_METADATA!$B$4)*(DATOS!$I$2:$I$20000&lt;&gt;"Lenguaje Musical")*(DATOS!$I$2:$I$20000&lt;&gt;"Coro")*(DATOS!$I$2:$I$20000&lt;&gt;"Conjunto"),DATOS!$K$2:$K$20000)),""))</f>
        <v/>
      </c>
    </row>
    <row r="431" spans="2:23" x14ac:dyDescent="0.2">
      <c r="B431" t="str">
        <f>IF(A431="","",IFERROR(AVERAGEIFS(DATOS!$K$2:$K$20000,DATOS!$A$2:$A$20000,A431,DATOS!$G$2:$G$20000,CONFIG_METADATA!$B$4,DATOS!$I$2:$I$20000,"Lenguaje Musical"),""))</f>
        <v/>
      </c>
      <c r="C431" t="str">
        <f>IF(A431="","",IFERROR(AVERAGEIFS(DATOS!$K$2:$K$20000,DATOS!$A$2:$A$20000,A431,DATOS!$G$2:$G$20000,CONFIG_METADATA!$B$4,DATOS!$I$2:$I$20000,"Coro"),""))</f>
        <v/>
      </c>
      <c r="D431" t="str">
        <f>IF(A431="","",IFERROR(AVERAGEIFS(DATOS!$K$2:$K$20000,DATOS!$A$2:$A$20000,A431,DATOS!$G$2:$G$20000,CONFIG_METADATA!$B$4,DATOS!$I$2:$I$20000,"Conjunto"),""))</f>
        <v/>
      </c>
      <c r="E431" t="str">
        <f>IF(A431="","",IFERROR(AVERAGEIFS(DATOS!$K$2:$K$20000,DATOS!$A$2:$A$20000,A431,DATOS!$G$2:$G$20000,CONFIG_METADATA!$B$4,DATOS!$I$2:$I$20000,"&lt;&gt;Lenguaje Musical",DATOS!$I$2:$I$20000,"&lt;&gt;Coro",DATOS!$I$2:$I$20000,"&lt;&gt;Conjunto"),""))</f>
        <v/>
      </c>
      <c r="H431" t="str">
        <f>IF(G431="","",IFERROR(AVERAGEIFS(DATOS!$K$2:$K$20000,DATOS!$A$2:$A$20000,G431,DATOS!$G$2:$G$20000,CONFIG_METADATA!$B$4,DATOS!$I$2:$I$20000,"Lenguaje Musical"),""))</f>
        <v/>
      </c>
      <c r="I431" t="str">
        <f>IF(G431="","",IFERROR(AVERAGEIFS(DATOS!$K$2:$K$20000,DATOS!$A$2:$A$20000,G431,DATOS!$G$2:$G$20000,CONFIG_METADATA!$B$4,DATOS!$I$2:$I$20000,"Coro"),""))</f>
        <v/>
      </c>
      <c r="J431" t="str">
        <f>IF(G431="","",IFERROR(AVERAGEIFS(DATOS!$K$2:$K$20000,DATOS!$A$2:$A$20000,G431,DATOS!$G$2:$G$20000,CONFIG_METADATA!$B$4,DATOS!$I$2:$I$20000,"Conjunto"),""))</f>
        <v/>
      </c>
      <c r="K431" t="str" cm="1">
        <f t="array" ref="K431">IF(G431="","",IFERROR(AVERAGE(IF((DATOS!$A$2:$A$20000=G431)*(DATOS!$G$2:$G$20000=CONFIG_METADATA!$B$4)*(DATOS!$I$2:$I$20000&lt;&gt;"Lenguaje Musical")*(DATOS!$I$2:$I$20000&lt;&gt;"Coro")*(DATOS!$I$2:$I$20000&lt;&gt;"Conjunto"),DATOS!$K$2:$K$20000)),""))</f>
        <v/>
      </c>
      <c r="N431" t="str">
        <f>IF(M431="","",IFERROR(AVERAGEIFS(DATOS!$K$2:$K$20000,DATOS!$A$2:$A$20000,M431,DATOS!$G$2:$G$20000,CONFIG_METADATA!$B$4,DATOS!$I$2:$I$20000,"Lenguaje Musical"),""))</f>
        <v/>
      </c>
      <c r="O431" t="str">
        <f>IF(M431="","",IFERROR(AVERAGEIFS(DATOS!$K$2:$K$20000,DATOS!$A$2:$A$20000,M431,DATOS!$G$2:$G$20000,CONFIG_METADATA!$B$4,DATOS!$I$2:$I$20000,"Coro"),""))</f>
        <v/>
      </c>
      <c r="P431" t="str">
        <f>IF(M431="","",IFERROR(AVERAGEIFS(DATOS!$K$2:$K$20000,DATOS!$A$2:$A$20000,M431,DATOS!$G$2:$G$20000,CONFIG_METADATA!$B$4,DATOS!$I$2:$I$20000,"Conjunto"),""))</f>
        <v/>
      </c>
      <c r="Q431" t="str">
        <f>IF(M431="","",IFERROR(AVERAGEIFS(DATOS!$K$2:$K$20000,DATOS!$A$2:$A$20000,M431,DATOS!$G$2:$G$20000,CONFIG_METADATA!$B$4,DATOS!$I$2:$I$20000,"&lt;&gt;Lenguaje Musical",DATOS!$I$2:$I$20000,"&lt;&gt;Coro",DATOS!$I$2:$I$20000,"&lt;&gt;Conjunto"),""))</f>
        <v/>
      </c>
      <c r="T431" t="str">
        <f>IF(S431="","",IFERROR(AVERAGEIFS(DATOS!$K$2:$K$20000,DATOS!$A$2:$A$20000,S431,DATOS!$G$2:$G$20000,CONFIG_METADATA!$B$4,DATOS!$I$2:$I$20000,"Lenguaje Musical"),""))</f>
        <v/>
      </c>
      <c r="U431" t="str">
        <f>IF(S431="","",IFERROR(AVERAGEIFS(DATOS!$K$2:$K$20000,DATOS!$A$2:$A$20000,S431,DATOS!$G$2:$G$20000,CONFIG_METADATA!$B$4,DATOS!$I$2:$I$20000,"Coro"),""))</f>
        <v/>
      </c>
      <c r="V431" t="str">
        <f>IF(S431="","",IFERROR(AVERAGEIFS(DATOS!$K$2:$K$20000,DATOS!$A$2:$A$20000,S431,DATOS!$G$2:$G$20000,CONFIG_METADATA!$B$4,DATOS!$I$2:$I$20000,"Conjunto"),""))</f>
        <v/>
      </c>
      <c r="W431" t="str" cm="1">
        <f t="array" ref="W431">IF(S431="","",IFERROR(AVERAGE(IF((DATOS!$A$2:$A$20000=S431)*(DATOS!$G$2:$G$20000=CONFIG_METADATA!$B$4)*(DATOS!$I$2:$I$20000&lt;&gt;"Lenguaje Musical")*(DATOS!$I$2:$I$20000&lt;&gt;"Coro")*(DATOS!$I$2:$I$20000&lt;&gt;"Conjunto"),DATOS!$K$2:$K$20000)),""))</f>
        <v/>
      </c>
    </row>
    <row r="432" spans="2:23" x14ac:dyDescent="0.2">
      <c r="B432" t="str">
        <f>IF(A432="","",IFERROR(AVERAGEIFS(DATOS!$K$2:$K$20000,DATOS!$A$2:$A$20000,A432,DATOS!$G$2:$G$20000,CONFIG_METADATA!$B$4,DATOS!$I$2:$I$20000,"Lenguaje Musical"),""))</f>
        <v/>
      </c>
      <c r="C432" t="str">
        <f>IF(A432="","",IFERROR(AVERAGEIFS(DATOS!$K$2:$K$20000,DATOS!$A$2:$A$20000,A432,DATOS!$G$2:$G$20000,CONFIG_METADATA!$B$4,DATOS!$I$2:$I$20000,"Coro"),""))</f>
        <v/>
      </c>
      <c r="D432" t="str">
        <f>IF(A432="","",IFERROR(AVERAGEIFS(DATOS!$K$2:$K$20000,DATOS!$A$2:$A$20000,A432,DATOS!$G$2:$G$20000,CONFIG_METADATA!$B$4,DATOS!$I$2:$I$20000,"Conjunto"),""))</f>
        <v/>
      </c>
      <c r="E432" t="str">
        <f>IF(A432="","",IFERROR(AVERAGEIFS(DATOS!$K$2:$K$20000,DATOS!$A$2:$A$20000,A432,DATOS!$G$2:$G$20000,CONFIG_METADATA!$B$4,DATOS!$I$2:$I$20000,"&lt;&gt;Lenguaje Musical",DATOS!$I$2:$I$20000,"&lt;&gt;Coro",DATOS!$I$2:$I$20000,"&lt;&gt;Conjunto"),""))</f>
        <v/>
      </c>
      <c r="H432" t="str">
        <f>IF(G432="","",IFERROR(AVERAGEIFS(DATOS!$K$2:$K$20000,DATOS!$A$2:$A$20000,G432,DATOS!$G$2:$G$20000,CONFIG_METADATA!$B$4,DATOS!$I$2:$I$20000,"Lenguaje Musical"),""))</f>
        <v/>
      </c>
      <c r="I432" t="str">
        <f>IF(G432="","",IFERROR(AVERAGEIFS(DATOS!$K$2:$K$20000,DATOS!$A$2:$A$20000,G432,DATOS!$G$2:$G$20000,CONFIG_METADATA!$B$4,DATOS!$I$2:$I$20000,"Coro"),""))</f>
        <v/>
      </c>
      <c r="J432" t="str">
        <f>IF(G432="","",IFERROR(AVERAGEIFS(DATOS!$K$2:$K$20000,DATOS!$A$2:$A$20000,G432,DATOS!$G$2:$G$20000,CONFIG_METADATA!$B$4,DATOS!$I$2:$I$20000,"Conjunto"),""))</f>
        <v/>
      </c>
      <c r="K432" t="str" cm="1">
        <f t="array" ref="K432">IF(G432="","",IFERROR(AVERAGE(IF((DATOS!$A$2:$A$20000=G432)*(DATOS!$G$2:$G$20000=CONFIG_METADATA!$B$4)*(DATOS!$I$2:$I$20000&lt;&gt;"Lenguaje Musical")*(DATOS!$I$2:$I$20000&lt;&gt;"Coro")*(DATOS!$I$2:$I$20000&lt;&gt;"Conjunto"),DATOS!$K$2:$K$20000)),""))</f>
        <v/>
      </c>
      <c r="N432" t="str">
        <f>IF(M432="","",IFERROR(AVERAGEIFS(DATOS!$K$2:$K$20000,DATOS!$A$2:$A$20000,M432,DATOS!$G$2:$G$20000,CONFIG_METADATA!$B$4,DATOS!$I$2:$I$20000,"Lenguaje Musical"),""))</f>
        <v/>
      </c>
      <c r="O432" t="str">
        <f>IF(M432="","",IFERROR(AVERAGEIFS(DATOS!$K$2:$K$20000,DATOS!$A$2:$A$20000,M432,DATOS!$G$2:$G$20000,CONFIG_METADATA!$B$4,DATOS!$I$2:$I$20000,"Coro"),""))</f>
        <v/>
      </c>
      <c r="P432" t="str">
        <f>IF(M432="","",IFERROR(AVERAGEIFS(DATOS!$K$2:$K$20000,DATOS!$A$2:$A$20000,M432,DATOS!$G$2:$G$20000,CONFIG_METADATA!$B$4,DATOS!$I$2:$I$20000,"Conjunto"),""))</f>
        <v/>
      </c>
      <c r="Q432" t="str">
        <f>IF(M432="","",IFERROR(AVERAGEIFS(DATOS!$K$2:$K$20000,DATOS!$A$2:$A$20000,M432,DATOS!$G$2:$G$20000,CONFIG_METADATA!$B$4,DATOS!$I$2:$I$20000,"&lt;&gt;Lenguaje Musical",DATOS!$I$2:$I$20000,"&lt;&gt;Coro",DATOS!$I$2:$I$20000,"&lt;&gt;Conjunto"),""))</f>
        <v/>
      </c>
      <c r="T432" t="str">
        <f>IF(S432="","",IFERROR(AVERAGEIFS(DATOS!$K$2:$K$20000,DATOS!$A$2:$A$20000,S432,DATOS!$G$2:$G$20000,CONFIG_METADATA!$B$4,DATOS!$I$2:$I$20000,"Lenguaje Musical"),""))</f>
        <v/>
      </c>
      <c r="U432" t="str">
        <f>IF(S432="","",IFERROR(AVERAGEIFS(DATOS!$K$2:$K$20000,DATOS!$A$2:$A$20000,S432,DATOS!$G$2:$G$20000,CONFIG_METADATA!$B$4,DATOS!$I$2:$I$20000,"Coro"),""))</f>
        <v/>
      </c>
      <c r="V432" t="str">
        <f>IF(S432="","",IFERROR(AVERAGEIFS(DATOS!$K$2:$K$20000,DATOS!$A$2:$A$20000,S432,DATOS!$G$2:$G$20000,CONFIG_METADATA!$B$4,DATOS!$I$2:$I$20000,"Conjunto"),""))</f>
        <v/>
      </c>
      <c r="W432" t="str" cm="1">
        <f t="array" ref="W432">IF(S432="","",IFERROR(AVERAGE(IF((DATOS!$A$2:$A$20000=S432)*(DATOS!$G$2:$G$20000=CONFIG_METADATA!$B$4)*(DATOS!$I$2:$I$20000&lt;&gt;"Lenguaje Musical")*(DATOS!$I$2:$I$20000&lt;&gt;"Coro")*(DATOS!$I$2:$I$20000&lt;&gt;"Conjunto"),DATOS!$K$2:$K$20000)),""))</f>
        <v/>
      </c>
    </row>
    <row r="433" spans="2:23" x14ac:dyDescent="0.2">
      <c r="B433" t="str">
        <f>IF(A433="","",IFERROR(AVERAGEIFS(DATOS!$K$2:$K$20000,DATOS!$A$2:$A$20000,A433,DATOS!$G$2:$G$20000,CONFIG_METADATA!$B$4,DATOS!$I$2:$I$20000,"Lenguaje Musical"),""))</f>
        <v/>
      </c>
      <c r="C433" t="str">
        <f>IF(A433="","",IFERROR(AVERAGEIFS(DATOS!$K$2:$K$20000,DATOS!$A$2:$A$20000,A433,DATOS!$G$2:$G$20000,CONFIG_METADATA!$B$4,DATOS!$I$2:$I$20000,"Coro"),""))</f>
        <v/>
      </c>
      <c r="D433" t="str">
        <f>IF(A433="","",IFERROR(AVERAGEIFS(DATOS!$K$2:$K$20000,DATOS!$A$2:$A$20000,A433,DATOS!$G$2:$G$20000,CONFIG_METADATA!$B$4,DATOS!$I$2:$I$20000,"Conjunto"),""))</f>
        <v/>
      </c>
      <c r="E433" t="str">
        <f>IF(A433="","",IFERROR(AVERAGEIFS(DATOS!$K$2:$K$20000,DATOS!$A$2:$A$20000,A433,DATOS!$G$2:$G$20000,CONFIG_METADATA!$B$4,DATOS!$I$2:$I$20000,"&lt;&gt;Lenguaje Musical",DATOS!$I$2:$I$20000,"&lt;&gt;Coro",DATOS!$I$2:$I$20000,"&lt;&gt;Conjunto"),""))</f>
        <v/>
      </c>
      <c r="H433" t="str">
        <f>IF(G433="","",IFERROR(AVERAGEIFS(DATOS!$K$2:$K$20000,DATOS!$A$2:$A$20000,G433,DATOS!$G$2:$G$20000,CONFIG_METADATA!$B$4,DATOS!$I$2:$I$20000,"Lenguaje Musical"),""))</f>
        <v/>
      </c>
      <c r="I433" t="str">
        <f>IF(G433="","",IFERROR(AVERAGEIFS(DATOS!$K$2:$K$20000,DATOS!$A$2:$A$20000,G433,DATOS!$G$2:$G$20000,CONFIG_METADATA!$B$4,DATOS!$I$2:$I$20000,"Coro"),""))</f>
        <v/>
      </c>
      <c r="J433" t="str">
        <f>IF(G433="","",IFERROR(AVERAGEIFS(DATOS!$K$2:$K$20000,DATOS!$A$2:$A$20000,G433,DATOS!$G$2:$G$20000,CONFIG_METADATA!$B$4,DATOS!$I$2:$I$20000,"Conjunto"),""))</f>
        <v/>
      </c>
      <c r="K433" t="str" cm="1">
        <f t="array" ref="K433">IF(G433="","",IFERROR(AVERAGE(IF((DATOS!$A$2:$A$20000=G433)*(DATOS!$G$2:$G$20000=CONFIG_METADATA!$B$4)*(DATOS!$I$2:$I$20000&lt;&gt;"Lenguaje Musical")*(DATOS!$I$2:$I$20000&lt;&gt;"Coro")*(DATOS!$I$2:$I$20000&lt;&gt;"Conjunto"),DATOS!$K$2:$K$20000)),""))</f>
        <v/>
      </c>
      <c r="N433" t="str">
        <f>IF(M433="","",IFERROR(AVERAGEIFS(DATOS!$K$2:$K$20000,DATOS!$A$2:$A$20000,M433,DATOS!$G$2:$G$20000,CONFIG_METADATA!$B$4,DATOS!$I$2:$I$20000,"Lenguaje Musical"),""))</f>
        <v/>
      </c>
      <c r="O433" t="str">
        <f>IF(M433="","",IFERROR(AVERAGEIFS(DATOS!$K$2:$K$20000,DATOS!$A$2:$A$20000,M433,DATOS!$G$2:$G$20000,CONFIG_METADATA!$B$4,DATOS!$I$2:$I$20000,"Coro"),""))</f>
        <v/>
      </c>
      <c r="P433" t="str">
        <f>IF(M433="","",IFERROR(AVERAGEIFS(DATOS!$K$2:$K$20000,DATOS!$A$2:$A$20000,M433,DATOS!$G$2:$G$20000,CONFIG_METADATA!$B$4,DATOS!$I$2:$I$20000,"Conjunto"),""))</f>
        <v/>
      </c>
      <c r="Q433" t="str">
        <f>IF(M433="","",IFERROR(AVERAGEIFS(DATOS!$K$2:$K$20000,DATOS!$A$2:$A$20000,M433,DATOS!$G$2:$G$20000,CONFIG_METADATA!$B$4,DATOS!$I$2:$I$20000,"&lt;&gt;Lenguaje Musical",DATOS!$I$2:$I$20000,"&lt;&gt;Coro",DATOS!$I$2:$I$20000,"&lt;&gt;Conjunto"),""))</f>
        <v/>
      </c>
      <c r="T433" t="str">
        <f>IF(S433="","",IFERROR(AVERAGEIFS(DATOS!$K$2:$K$20000,DATOS!$A$2:$A$20000,S433,DATOS!$G$2:$G$20000,CONFIG_METADATA!$B$4,DATOS!$I$2:$I$20000,"Lenguaje Musical"),""))</f>
        <v/>
      </c>
      <c r="U433" t="str">
        <f>IF(S433="","",IFERROR(AVERAGEIFS(DATOS!$K$2:$K$20000,DATOS!$A$2:$A$20000,S433,DATOS!$G$2:$G$20000,CONFIG_METADATA!$B$4,DATOS!$I$2:$I$20000,"Coro"),""))</f>
        <v/>
      </c>
      <c r="V433" t="str">
        <f>IF(S433="","",IFERROR(AVERAGEIFS(DATOS!$K$2:$K$20000,DATOS!$A$2:$A$20000,S433,DATOS!$G$2:$G$20000,CONFIG_METADATA!$B$4,DATOS!$I$2:$I$20000,"Conjunto"),""))</f>
        <v/>
      </c>
      <c r="W433" t="str" cm="1">
        <f t="array" ref="W433">IF(S433="","",IFERROR(AVERAGE(IF((DATOS!$A$2:$A$20000=S433)*(DATOS!$G$2:$G$20000=CONFIG_METADATA!$B$4)*(DATOS!$I$2:$I$20000&lt;&gt;"Lenguaje Musical")*(DATOS!$I$2:$I$20000&lt;&gt;"Coro")*(DATOS!$I$2:$I$20000&lt;&gt;"Conjunto"),DATOS!$K$2:$K$20000)),""))</f>
        <v/>
      </c>
    </row>
    <row r="434" spans="2:23" x14ac:dyDescent="0.2">
      <c r="B434" t="str">
        <f>IF(A434="","",IFERROR(AVERAGEIFS(DATOS!$K$2:$K$20000,DATOS!$A$2:$A$20000,A434,DATOS!$G$2:$G$20000,CONFIG_METADATA!$B$4,DATOS!$I$2:$I$20000,"Lenguaje Musical"),""))</f>
        <v/>
      </c>
      <c r="C434" t="str">
        <f>IF(A434="","",IFERROR(AVERAGEIFS(DATOS!$K$2:$K$20000,DATOS!$A$2:$A$20000,A434,DATOS!$G$2:$G$20000,CONFIG_METADATA!$B$4,DATOS!$I$2:$I$20000,"Coro"),""))</f>
        <v/>
      </c>
      <c r="D434" t="str">
        <f>IF(A434="","",IFERROR(AVERAGEIFS(DATOS!$K$2:$K$20000,DATOS!$A$2:$A$20000,A434,DATOS!$G$2:$G$20000,CONFIG_METADATA!$B$4,DATOS!$I$2:$I$20000,"Conjunto"),""))</f>
        <v/>
      </c>
      <c r="E434" t="str">
        <f>IF(A434="","",IFERROR(AVERAGEIFS(DATOS!$K$2:$K$20000,DATOS!$A$2:$A$20000,A434,DATOS!$G$2:$G$20000,CONFIG_METADATA!$B$4,DATOS!$I$2:$I$20000,"&lt;&gt;Lenguaje Musical",DATOS!$I$2:$I$20000,"&lt;&gt;Coro",DATOS!$I$2:$I$20000,"&lt;&gt;Conjunto"),""))</f>
        <v/>
      </c>
      <c r="H434" t="str">
        <f>IF(G434="","",IFERROR(AVERAGEIFS(DATOS!$K$2:$K$20000,DATOS!$A$2:$A$20000,G434,DATOS!$G$2:$G$20000,CONFIG_METADATA!$B$4,DATOS!$I$2:$I$20000,"Lenguaje Musical"),""))</f>
        <v/>
      </c>
      <c r="I434" t="str">
        <f>IF(G434="","",IFERROR(AVERAGEIFS(DATOS!$K$2:$K$20000,DATOS!$A$2:$A$20000,G434,DATOS!$G$2:$G$20000,CONFIG_METADATA!$B$4,DATOS!$I$2:$I$20000,"Coro"),""))</f>
        <v/>
      </c>
      <c r="J434" t="str">
        <f>IF(G434="","",IFERROR(AVERAGEIFS(DATOS!$K$2:$K$20000,DATOS!$A$2:$A$20000,G434,DATOS!$G$2:$G$20000,CONFIG_METADATA!$B$4,DATOS!$I$2:$I$20000,"Conjunto"),""))</f>
        <v/>
      </c>
      <c r="K434" t="str" cm="1">
        <f t="array" ref="K434">IF(G434="","",IFERROR(AVERAGE(IF((DATOS!$A$2:$A$20000=G434)*(DATOS!$G$2:$G$20000=CONFIG_METADATA!$B$4)*(DATOS!$I$2:$I$20000&lt;&gt;"Lenguaje Musical")*(DATOS!$I$2:$I$20000&lt;&gt;"Coro")*(DATOS!$I$2:$I$20000&lt;&gt;"Conjunto"),DATOS!$K$2:$K$20000)),""))</f>
        <v/>
      </c>
      <c r="N434" t="str">
        <f>IF(M434="","",IFERROR(AVERAGEIFS(DATOS!$K$2:$K$20000,DATOS!$A$2:$A$20000,M434,DATOS!$G$2:$G$20000,CONFIG_METADATA!$B$4,DATOS!$I$2:$I$20000,"Lenguaje Musical"),""))</f>
        <v/>
      </c>
      <c r="O434" t="str">
        <f>IF(M434="","",IFERROR(AVERAGEIFS(DATOS!$K$2:$K$20000,DATOS!$A$2:$A$20000,M434,DATOS!$G$2:$G$20000,CONFIG_METADATA!$B$4,DATOS!$I$2:$I$20000,"Coro"),""))</f>
        <v/>
      </c>
      <c r="P434" t="str">
        <f>IF(M434="","",IFERROR(AVERAGEIFS(DATOS!$K$2:$K$20000,DATOS!$A$2:$A$20000,M434,DATOS!$G$2:$G$20000,CONFIG_METADATA!$B$4,DATOS!$I$2:$I$20000,"Conjunto"),""))</f>
        <v/>
      </c>
      <c r="Q434" t="str">
        <f>IF(M434="","",IFERROR(AVERAGEIFS(DATOS!$K$2:$K$20000,DATOS!$A$2:$A$20000,M434,DATOS!$G$2:$G$20000,CONFIG_METADATA!$B$4,DATOS!$I$2:$I$20000,"&lt;&gt;Lenguaje Musical",DATOS!$I$2:$I$20000,"&lt;&gt;Coro",DATOS!$I$2:$I$20000,"&lt;&gt;Conjunto"),""))</f>
        <v/>
      </c>
      <c r="T434" t="str">
        <f>IF(S434="","",IFERROR(AVERAGEIFS(DATOS!$K$2:$K$20000,DATOS!$A$2:$A$20000,S434,DATOS!$G$2:$G$20000,CONFIG_METADATA!$B$4,DATOS!$I$2:$I$20000,"Lenguaje Musical"),""))</f>
        <v/>
      </c>
      <c r="U434" t="str">
        <f>IF(S434="","",IFERROR(AVERAGEIFS(DATOS!$K$2:$K$20000,DATOS!$A$2:$A$20000,S434,DATOS!$G$2:$G$20000,CONFIG_METADATA!$B$4,DATOS!$I$2:$I$20000,"Coro"),""))</f>
        <v/>
      </c>
      <c r="V434" t="str">
        <f>IF(S434="","",IFERROR(AVERAGEIFS(DATOS!$K$2:$K$20000,DATOS!$A$2:$A$20000,S434,DATOS!$G$2:$G$20000,CONFIG_METADATA!$B$4,DATOS!$I$2:$I$20000,"Conjunto"),""))</f>
        <v/>
      </c>
      <c r="W434" t="str" cm="1">
        <f t="array" ref="W434">IF(S434="","",IFERROR(AVERAGE(IF((DATOS!$A$2:$A$20000=S434)*(DATOS!$G$2:$G$20000=CONFIG_METADATA!$B$4)*(DATOS!$I$2:$I$20000&lt;&gt;"Lenguaje Musical")*(DATOS!$I$2:$I$20000&lt;&gt;"Coro")*(DATOS!$I$2:$I$20000&lt;&gt;"Conjunto"),DATOS!$K$2:$K$20000)),""))</f>
        <v/>
      </c>
    </row>
    <row r="435" spans="2:23" x14ac:dyDescent="0.2">
      <c r="B435" t="str">
        <f>IF(A435="","",IFERROR(AVERAGEIFS(DATOS!$K$2:$K$20000,DATOS!$A$2:$A$20000,A435,DATOS!$G$2:$G$20000,CONFIG_METADATA!$B$4,DATOS!$I$2:$I$20000,"Lenguaje Musical"),""))</f>
        <v/>
      </c>
      <c r="C435" t="str">
        <f>IF(A435="","",IFERROR(AVERAGEIFS(DATOS!$K$2:$K$20000,DATOS!$A$2:$A$20000,A435,DATOS!$G$2:$G$20000,CONFIG_METADATA!$B$4,DATOS!$I$2:$I$20000,"Coro"),""))</f>
        <v/>
      </c>
      <c r="D435" t="str">
        <f>IF(A435="","",IFERROR(AVERAGEIFS(DATOS!$K$2:$K$20000,DATOS!$A$2:$A$20000,A435,DATOS!$G$2:$G$20000,CONFIG_METADATA!$B$4,DATOS!$I$2:$I$20000,"Conjunto"),""))</f>
        <v/>
      </c>
      <c r="E435" t="str">
        <f>IF(A435="","",IFERROR(AVERAGEIFS(DATOS!$K$2:$K$20000,DATOS!$A$2:$A$20000,A435,DATOS!$G$2:$G$20000,CONFIG_METADATA!$B$4,DATOS!$I$2:$I$20000,"&lt;&gt;Lenguaje Musical",DATOS!$I$2:$I$20000,"&lt;&gt;Coro",DATOS!$I$2:$I$20000,"&lt;&gt;Conjunto"),""))</f>
        <v/>
      </c>
      <c r="H435" t="str">
        <f>IF(G435="","",IFERROR(AVERAGEIFS(DATOS!$K$2:$K$20000,DATOS!$A$2:$A$20000,G435,DATOS!$G$2:$G$20000,CONFIG_METADATA!$B$4,DATOS!$I$2:$I$20000,"Lenguaje Musical"),""))</f>
        <v/>
      </c>
      <c r="I435" t="str">
        <f>IF(G435="","",IFERROR(AVERAGEIFS(DATOS!$K$2:$K$20000,DATOS!$A$2:$A$20000,G435,DATOS!$G$2:$G$20000,CONFIG_METADATA!$B$4,DATOS!$I$2:$I$20000,"Coro"),""))</f>
        <v/>
      </c>
      <c r="J435" t="str">
        <f>IF(G435="","",IFERROR(AVERAGEIFS(DATOS!$K$2:$K$20000,DATOS!$A$2:$A$20000,G435,DATOS!$G$2:$G$20000,CONFIG_METADATA!$B$4,DATOS!$I$2:$I$20000,"Conjunto"),""))</f>
        <v/>
      </c>
      <c r="K435" t="str" cm="1">
        <f t="array" ref="K435">IF(G435="","",IFERROR(AVERAGE(IF((DATOS!$A$2:$A$20000=G435)*(DATOS!$G$2:$G$20000=CONFIG_METADATA!$B$4)*(DATOS!$I$2:$I$20000&lt;&gt;"Lenguaje Musical")*(DATOS!$I$2:$I$20000&lt;&gt;"Coro")*(DATOS!$I$2:$I$20000&lt;&gt;"Conjunto"),DATOS!$K$2:$K$20000)),""))</f>
        <v/>
      </c>
      <c r="N435" t="str">
        <f>IF(M435="","",IFERROR(AVERAGEIFS(DATOS!$K$2:$K$20000,DATOS!$A$2:$A$20000,M435,DATOS!$G$2:$G$20000,CONFIG_METADATA!$B$4,DATOS!$I$2:$I$20000,"Lenguaje Musical"),""))</f>
        <v/>
      </c>
      <c r="O435" t="str">
        <f>IF(M435="","",IFERROR(AVERAGEIFS(DATOS!$K$2:$K$20000,DATOS!$A$2:$A$20000,M435,DATOS!$G$2:$G$20000,CONFIG_METADATA!$B$4,DATOS!$I$2:$I$20000,"Coro"),""))</f>
        <v/>
      </c>
      <c r="P435" t="str">
        <f>IF(M435="","",IFERROR(AVERAGEIFS(DATOS!$K$2:$K$20000,DATOS!$A$2:$A$20000,M435,DATOS!$G$2:$G$20000,CONFIG_METADATA!$B$4,DATOS!$I$2:$I$20000,"Conjunto"),""))</f>
        <v/>
      </c>
      <c r="Q435" t="str">
        <f>IF(M435="","",IFERROR(AVERAGEIFS(DATOS!$K$2:$K$20000,DATOS!$A$2:$A$20000,M435,DATOS!$G$2:$G$20000,CONFIG_METADATA!$B$4,DATOS!$I$2:$I$20000,"&lt;&gt;Lenguaje Musical",DATOS!$I$2:$I$20000,"&lt;&gt;Coro",DATOS!$I$2:$I$20000,"&lt;&gt;Conjunto"),""))</f>
        <v/>
      </c>
      <c r="T435" t="str">
        <f>IF(S435="","",IFERROR(AVERAGEIFS(DATOS!$K$2:$K$20000,DATOS!$A$2:$A$20000,S435,DATOS!$G$2:$G$20000,CONFIG_METADATA!$B$4,DATOS!$I$2:$I$20000,"Lenguaje Musical"),""))</f>
        <v/>
      </c>
      <c r="U435" t="str">
        <f>IF(S435="","",IFERROR(AVERAGEIFS(DATOS!$K$2:$K$20000,DATOS!$A$2:$A$20000,S435,DATOS!$G$2:$G$20000,CONFIG_METADATA!$B$4,DATOS!$I$2:$I$20000,"Coro"),""))</f>
        <v/>
      </c>
      <c r="V435" t="str">
        <f>IF(S435="","",IFERROR(AVERAGEIFS(DATOS!$K$2:$K$20000,DATOS!$A$2:$A$20000,S435,DATOS!$G$2:$G$20000,CONFIG_METADATA!$B$4,DATOS!$I$2:$I$20000,"Conjunto"),""))</f>
        <v/>
      </c>
      <c r="W435" t="str" cm="1">
        <f t="array" ref="W435">IF(S435="","",IFERROR(AVERAGE(IF((DATOS!$A$2:$A$20000=S435)*(DATOS!$G$2:$G$20000=CONFIG_METADATA!$B$4)*(DATOS!$I$2:$I$20000&lt;&gt;"Lenguaje Musical")*(DATOS!$I$2:$I$20000&lt;&gt;"Coro")*(DATOS!$I$2:$I$20000&lt;&gt;"Conjunto"),DATOS!$K$2:$K$20000)),""))</f>
        <v/>
      </c>
    </row>
    <row r="436" spans="2:23" x14ac:dyDescent="0.2">
      <c r="B436" t="str">
        <f>IF(A436="","",IFERROR(AVERAGEIFS(DATOS!$K$2:$K$20000,DATOS!$A$2:$A$20000,A436,DATOS!$G$2:$G$20000,CONFIG_METADATA!$B$4,DATOS!$I$2:$I$20000,"Lenguaje Musical"),""))</f>
        <v/>
      </c>
      <c r="C436" t="str">
        <f>IF(A436="","",IFERROR(AVERAGEIFS(DATOS!$K$2:$K$20000,DATOS!$A$2:$A$20000,A436,DATOS!$G$2:$G$20000,CONFIG_METADATA!$B$4,DATOS!$I$2:$I$20000,"Coro"),""))</f>
        <v/>
      </c>
      <c r="D436" t="str">
        <f>IF(A436="","",IFERROR(AVERAGEIFS(DATOS!$K$2:$K$20000,DATOS!$A$2:$A$20000,A436,DATOS!$G$2:$G$20000,CONFIG_METADATA!$B$4,DATOS!$I$2:$I$20000,"Conjunto"),""))</f>
        <v/>
      </c>
      <c r="E436" t="str">
        <f>IF(A436="","",IFERROR(AVERAGEIFS(DATOS!$K$2:$K$20000,DATOS!$A$2:$A$20000,A436,DATOS!$G$2:$G$20000,CONFIG_METADATA!$B$4,DATOS!$I$2:$I$20000,"&lt;&gt;Lenguaje Musical",DATOS!$I$2:$I$20000,"&lt;&gt;Coro",DATOS!$I$2:$I$20000,"&lt;&gt;Conjunto"),""))</f>
        <v/>
      </c>
      <c r="H436" t="str">
        <f>IF(G436="","",IFERROR(AVERAGEIFS(DATOS!$K$2:$K$20000,DATOS!$A$2:$A$20000,G436,DATOS!$G$2:$G$20000,CONFIG_METADATA!$B$4,DATOS!$I$2:$I$20000,"Lenguaje Musical"),""))</f>
        <v/>
      </c>
      <c r="I436" t="str">
        <f>IF(G436="","",IFERROR(AVERAGEIFS(DATOS!$K$2:$K$20000,DATOS!$A$2:$A$20000,G436,DATOS!$G$2:$G$20000,CONFIG_METADATA!$B$4,DATOS!$I$2:$I$20000,"Coro"),""))</f>
        <v/>
      </c>
      <c r="J436" t="str">
        <f>IF(G436="","",IFERROR(AVERAGEIFS(DATOS!$K$2:$K$20000,DATOS!$A$2:$A$20000,G436,DATOS!$G$2:$G$20000,CONFIG_METADATA!$B$4,DATOS!$I$2:$I$20000,"Conjunto"),""))</f>
        <v/>
      </c>
      <c r="K436" t="str" cm="1">
        <f t="array" ref="K436">IF(G436="","",IFERROR(AVERAGE(IF((DATOS!$A$2:$A$20000=G436)*(DATOS!$G$2:$G$20000=CONFIG_METADATA!$B$4)*(DATOS!$I$2:$I$20000&lt;&gt;"Lenguaje Musical")*(DATOS!$I$2:$I$20000&lt;&gt;"Coro")*(DATOS!$I$2:$I$20000&lt;&gt;"Conjunto"),DATOS!$K$2:$K$20000)),""))</f>
        <v/>
      </c>
      <c r="N436" t="str">
        <f>IF(M436="","",IFERROR(AVERAGEIFS(DATOS!$K$2:$K$20000,DATOS!$A$2:$A$20000,M436,DATOS!$G$2:$G$20000,CONFIG_METADATA!$B$4,DATOS!$I$2:$I$20000,"Lenguaje Musical"),""))</f>
        <v/>
      </c>
      <c r="O436" t="str">
        <f>IF(M436="","",IFERROR(AVERAGEIFS(DATOS!$K$2:$K$20000,DATOS!$A$2:$A$20000,M436,DATOS!$G$2:$G$20000,CONFIG_METADATA!$B$4,DATOS!$I$2:$I$20000,"Coro"),""))</f>
        <v/>
      </c>
      <c r="P436" t="str">
        <f>IF(M436="","",IFERROR(AVERAGEIFS(DATOS!$K$2:$K$20000,DATOS!$A$2:$A$20000,M436,DATOS!$G$2:$G$20000,CONFIG_METADATA!$B$4,DATOS!$I$2:$I$20000,"Conjunto"),""))</f>
        <v/>
      </c>
      <c r="Q436" t="str">
        <f>IF(M436="","",IFERROR(AVERAGEIFS(DATOS!$K$2:$K$20000,DATOS!$A$2:$A$20000,M436,DATOS!$G$2:$G$20000,CONFIG_METADATA!$B$4,DATOS!$I$2:$I$20000,"&lt;&gt;Lenguaje Musical",DATOS!$I$2:$I$20000,"&lt;&gt;Coro",DATOS!$I$2:$I$20000,"&lt;&gt;Conjunto"),""))</f>
        <v/>
      </c>
      <c r="T436" t="str">
        <f>IF(S436="","",IFERROR(AVERAGEIFS(DATOS!$K$2:$K$20000,DATOS!$A$2:$A$20000,S436,DATOS!$G$2:$G$20000,CONFIG_METADATA!$B$4,DATOS!$I$2:$I$20000,"Lenguaje Musical"),""))</f>
        <v/>
      </c>
      <c r="U436" t="str">
        <f>IF(S436="","",IFERROR(AVERAGEIFS(DATOS!$K$2:$K$20000,DATOS!$A$2:$A$20000,S436,DATOS!$G$2:$G$20000,CONFIG_METADATA!$B$4,DATOS!$I$2:$I$20000,"Coro"),""))</f>
        <v/>
      </c>
      <c r="V436" t="str">
        <f>IF(S436="","",IFERROR(AVERAGEIFS(DATOS!$K$2:$K$20000,DATOS!$A$2:$A$20000,S436,DATOS!$G$2:$G$20000,CONFIG_METADATA!$B$4,DATOS!$I$2:$I$20000,"Conjunto"),""))</f>
        <v/>
      </c>
      <c r="W436" t="str" cm="1">
        <f t="array" ref="W436">IF(S436="","",IFERROR(AVERAGE(IF((DATOS!$A$2:$A$20000=S436)*(DATOS!$G$2:$G$20000=CONFIG_METADATA!$B$4)*(DATOS!$I$2:$I$20000&lt;&gt;"Lenguaje Musical")*(DATOS!$I$2:$I$20000&lt;&gt;"Coro")*(DATOS!$I$2:$I$20000&lt;&gt;"Conjunto"),DATOS!$K$2:$K$20000)),""))</f>
        <v/>
      </c>
    </row>
    <row r="437" spans="2:23" x14ac:dyDescent="0.2">
      <c r="B437" t="str">
        <f>IF(A437="","",IFERROR(AVERAGEIFS(DATOS!$K$2:$K$20000,DATOS!$A$2:$A$20000,A437,DATOS!$G$2:$G$20000,CONFIG_METADATA!$B$4,DATOS!$I$2:$I$20000,"Lenguaje Musical"),""))</f>
        <v/>
      </c>
      <c r="C437" t="str">
        <f>IF(A437="","",IFERROR(AVERAGEIFS(DATOS!$K$2:$K$20000,DATOS!$A$2:$A$20000,A437,DATOS!$G$2:$G$20000,CONFIG_METADATA!$B$4,DATOS!$I$2:$I$20000,"Coro"),""))</f>
        <v/>
      </c>
      <c r="D437" t="str">
        <f>IF(A437="","",IFERROR(AVERAGEIFS(DATOS!$K$2:$K$20000,DATOS!$A$2:$A$20000,A437,DATOS!$G$2:$G$20000,CONFIG_METADATA!$B$4,DATOS!$I$2:$I$20000,"Conjunto"),""))</f>
        <v/>
      </c>
      <c r="E437" t="str">
        <f>IF(A437="","",IFERROR(AVERAGEIFS(DATOS!$K$2:$K$20000,DATOS!$A$2:$A$20000,A437,DATOS!$G$2:$G$20000,CONFIG_METADATA!$B$4,DATOS!$I$2:$I$20000,"&lt;&gt;Lenguaje Musical",DATOS!$I$2:$I$20000,"&lt;&gt;Coro",DATOS!$I$2:$I$20000,"&lt;&gt;Conjunto"),""))</f>
        <v/>
      </c>
      <c r="H437" t="str">
        <f>IF(G437="","",IFERROR(AVERAGEIFS(DATOS!$K$2:$K$20000,DATOS!$A$2:$A$20000,G437,DATOS!$G$2:$G$20000,CONFIG_METADATA!$B$4,DATOS!$I$2:$I$20000,"Lenguaje Musical"),""))</f>
        <v/>
      </c>
      <c r="I437" t="str">
        <f>IF(G437="","",IFERROR(AVERAGEIFS(DATOS!$K$2:$K$20000,DATOS!$A$2:$A$20000,G437,DATOS!$G$2:$G$20000,CONFIG_METADATA!$B$4,DATOS!$I$2:$I$20000,"Coro"),""))</f>
        <v/>
      </c>
      <c r="J437" t="str">
        <f>IF(G437="","",IFERROR(AVERAGEIFS(DATOS!$K$2:$K$20000,DATOS!$A$2:$A$20000,G437,DATOS!$G$2:$G$20000,CONFIG_METADATA!$B$4,DATOS!$I$2:$I$20000,"Conjunto"),""))</f>
        <v/>
      </c>
      <c r="K437" t="str" cm="1">
        <f t="array" ref="K437">IF(G437="","",IFERROR(AVERAGE(IF((DATOS!$A$2:$A$20000=G437)*(DATOS!$G$2:$G$20000=CONFIG_METADATA!$B$4)*(DATOS!$I$2:$I$20000&lt;&gt;"Lenguaje Musical")*(DATOS!$I$2:$I$20000&lt;&gt;"Coro")*(DATOS!$I$2:$I$20000&lt;&gt;"Conjunto"),DATOS!$K$2:$K$20000)),""))</f>
        <v/>
      </c>
      <c r="N437" t="str">
        <f>IF(M437="","",IFERROR(AVERAGEIFS(DATOS!$K$2:$K$20000,DATOS!$A$2:$A$20000,M437,DATOS!$G$2:$G$20000,CONFIG_METADATA!$B$4,DATOS!$I$2:$I$20000,"Lenguaje Musical"),""))</f>
        <v/>
      </c>
      <c r="O437" t="str">
        <f>IF(M437="","",IFERROR(AVERAGEIFS(DATOS!$K$2:$K$20000,DATOS!$A$2:$A$20000,M437,DATOS!$G$2:$G$20000,CONFIG_METADATA!$B$4,DATOS!$I$2:$I$20000,"Coro"),""))</f>
        <v/>
      </c>
      <c r="P437" t="str">
        <f>IF(M437="","",IFERROR(AVERAGEIFS(DATOS!$K$2:$K$20000,DATOS!$A$2:$A$20000,M437,DATOS!$G$2:$G$20000,CONFIG_METADATA!$B$4,DATOS!$I$2:$I$20000,"Conjunto"),""))</f>
        <v/>
      </c>
      <c r="Q437" t="str">
        <f>IF(M437="","",IFERROR(AVERAGEIFS(DATOS!$K$2:$K$20000,DATOS!$A$2:$A$20000,M437,DATOS!$G$2:$G$20000,CONFIG_METADATA!$B$4,DATOS!$I$2:$I$20000,"&lt;&gt;Lenguaje Musical",DATOS!$I$2:$I$20000,"&lt;&gt;Coro",DATOS!$I$2:$I$20000,"&lt;&gt;Conjunto"),""))</f>
        <v/>
      </c>
      <c r="T437" t="str">
        <f>IF(S437="","",IFERROR(AVERAGEIFS(DATOS!$K$2:$K$20000,DATOS!$A$2:$A$20000,S437,DATOS!$G$2:$G$20000,CONFIG_METADATA!$B$4,DATOS!$I$2:$I$20000,"Lenguaje Musical"),""))</f>
        <v/>
      </c>
      <c r="U437" t="str">
        <f>IF(S437="","",IFERROR(AVERAGEIFS(DATOS!$K$2:$K$20000,DATOS!$A$2:$A$20000,S437,DATOS!$G$2:$G$20000,CONFIG_METADATA!$B$4,DATOS!$I$2:$I$20000,"Coro"),""))</f>
        <v/>
      </c>
      <c r="V437" t="str">
        <f>IF(S437="","",IFERROR(AVERAGEIFS(DATOS!$K$2:$K$20000,DATOS!$A$2:$A$20000,S437,DATOS!$G$2:$G$20000,CONFIG_METADATA!$B$4,DATOS!$I$2:$I$20000,"Conjunto"),""))</f>
        <v/>
      </c>
      <c r="W437" t="str" cm="1">
        <f t="array" ref="W437">IF(S437="","",IFERROR(AVERAGE(IF((DATOS!$A$2:$A$20000=S437)*(DATOS!$G$2:$G$20000=CONFIG_METADATA!$B$4)*(DATOS!$I$2:$I$20000&lt;&gt;"Lenguaje Musical")*(DATOS!$I$2:$I$20000&lt;&gt;"Coro")*(DATOS!$I$2:$I$20000&lt;&gt;"Conjunto"),DATOS!$K$2:$K$20000)),""))</f>
        <v/>
      </c>
    </row>
    <row r="438" spans="2:23" x14ac:dyDescent="0.2">
      <c r="B438" t="str">
        <f>IF(A438="","",IFERROR(AVERAGEIFS(DATOS!$K$2:$K$20000,DATOS!$A$2:$A$20000,A438,DATOS!$G$2:$G$20000,CONFIG_METADATA!$B$4,DATOS!$I$2:$I$20000,"Lenguaje Musical"),""))</f>
        <v/>
      </c>
      <c r="C438" t="str">
        <f>IF(A438="","",IFERROR(AVERAGEIFS(DATOS!$K$2:$K$20000,DATOS!$A$2:$A$20000,A438,DATOS!$G$2:$G$20000,CONFIG_METADATA!$B$4,DATOS!$I$2:$I$20000,"Coro"),""))</f>
        <v/>
      </c>
      <c r="D438" t="str">
        <f>IF(A438="","",IFERROR(AVERAGEIFS(DATOS!$K$2:$K$20000,DATOS!$A$2:$A$20000,A438,DATOS!$G$2:$G$20000,CONFIG_METADATA!$B$4,DATOS!$I$2:$I$20000,"Conjunto"),""))</f>
        <v/>
      </c>
      <c r="E438" t="str">
        <f>IF(A438="","",IFERROR(AVERAGEIFS(DATOS!$K$2:$K$20000,DATOS!$A$2:$A$20000,A438,DATOS!$G$2:$G$20000,CONFIG_METADATA!$B$4,DATOS!$I$2:$I$20000,"&lt;&gt;Lenguaje Musical",DATOS!$I$2:$I$20000,"&lt;&gt;Coro",DATOS!$I$2:$I$20000,"&lt;&gt;Conjunto"),""))</f>
        <v/>
      </c>
      <c r="H438" t="str">
        <f>IF(G438="","",IFERROR(AVERAGEIFS(DATOS!$K$2:$K$20000,DATOS!$A$2:$A$20000,G438,DATOS!$G$2:$G$20000,CONFIG_METADATA!$B$4,DATOS!$I$2:$I$20000,"Lenguaje Musical"),""))</f>
        <v/>
      </c>
      <c r="I438" t="str">
        <f>IF(G438="","",IFERROR(AVERAGEIFS(DATOS!$K$2:$K$20000,DATOS!$A$2:$A$20000,G438,DATOS!$G$2:$G$20000,CONFIG_METADATA!$B$4,DATOS!$I$2:$I$20000,"Coro"),""))</f>
        <v/>
      </c>
      <c r="J438" t="str">
        <f>IF(G438="","",IFERROR(AVERAGEIFS(DATOS!$K$2:$K$20000,DATOS!$A$2:$A$20000,G438,DATOS!$G$2:$G$20000,CONFIG_METADATA!$B$4,DATOS!$I$2:$I$20000,"Conjunto"),""))</f>
        <v/>
      </c>
      <c r="K438" t="str" cm="1">
        <f t="array" ref="K438">IF(G438="","",IFERROR(AVERAGE(IF((DATOS!$A$2:$A$20000=G438)*(DATOS!$G$2:$G$20000=CONFIG_METADATA!$B$4)*(DATOS!$I$2:$I$20000&lt;&gt;"Lenguaje Musical")*(DATOS!$I$2:$I$20000&lt;&gt;"Coro")*(DATOS!$I$2:$I$20000&lt;&gt;"Conjunto"),DATOS!$K$2:$K$20000)),""))</f>
        <v/>
      </c>
      <c r="N438" t="str">
        <f>IF(M438="","",IFERROR(AVERAGEIFS(DATOS!$K$2:$K$20000,DATOS!$A$2:$A$20000,M438,DATOS!$G$2:$G$20000,CONFIG_METADATA!$B$4,DATOS!$I$2:$I$20000,"Lenguaje Musical"),""))</f>
        <v/>
      </c>
      <c r="O438" t="str">
        <f>IF(M438="","",IFERROR(AVERAGEIFS(DATOS!$K$2:$K$20000,DATOS!$A$2:$A$20000,M438,DATOS!$G$2:$G$20000,CONFIG_METADATA!$B$4,DATOS!$I$2:$I$20000,"Coro"),""))</f>
        <v/>
      </c>
      <c r="P438" t="str">
        <f>IF(M438="","",IFERROR(AVERAGEIFS(DATOS!$K$2:$K$20000,DATOS!$A$2:$A$20000,M438,DATOS!$G$2:$G$20000,CONFIG_METADATA!$B$4,DATOS!$I$2:$I$20000,"Conjunto"),""))</f>
        <v/>
      </c>
      <c r="Q438" t="str">
        <f>IF(M438="","",IFERROR(AVERAGEIFS(DATOS!$K$2:$K$20000,DATOS!$A$2:$A$20000,M438,DATOS!$G$2:$G$20000,CONFIG_METADATA!$B$4,DATOS!$I$2:$I$20000,"&lt;&gt;Lenguaje Musical",DATOS!$I$2:$I$20000,"&lt;&gt;Coro",DATOS!$I$2:$I$20000,"&lt;&gt;Conjunto"),""))</f>
        <v/>
      </c>
      <c r="T438" t="str">
        <f>IF(S438="","",IFERROR(AVERAGEIFS(DATOS!$K$2:$K$20000,DATOS!$A$2:$A$20000,S438,DATOS!$G$2:$G$20000,CONFIG_METADATA!$B$4,DATOS!$I$2:$I$20000,"Lenguaje Musical"),""))</f>
        <v/>
      </c>
      <c r="U438" t="str">
        <f>IF(S438="","",IFERROR(AVERAGEIFS(DATOS!$K$2:$K$20000,DATOS!$A$2:$A$20000,S438,DATOS!$G$2:$G$20000,CONFIG_METADATA!$B$4,DATOS!$I$2:$I$20000,"Coro"),""))</f>
        <v/>
      </c>
      <c r="V438" t="str">
        <f>IF(S438="","",IFERROR(AVERAGEIFS(DATOS!$K$2:$K$20000,DATOS!$A$2:$A$20000,S438,DATOS!$G$2:$G$20000,CONFIG_METADATA!$B$4,DATOS!$I$2:$I$20000,"Conjunto"),""))</f>
        <v/>
      </c>
      <c r="W438" t="str" cm="1">
        <f t="array" ref="W438">IF(S438="","",IFERROR(AVERAGE(IF((DATOS!$A$2:$A$20000=S438)*(DATOS!$G$2:$G$20000=CONFIG_METADATA!$B$4)*(DATOS!$I$2:$I$20000&lt;&gt;"Lenguaje Musical")*(DATOS!$I$2:$I$20000&lt;&gt;"Coro")*(DATOS!$I$2:$I$20000&lt;&gt;"Conjunto"),DATOS!$K$2:$K$20000)),""))</f>
        <v/>
      </c>
    </row>
    <row r="439" spans="2:23" x14ac:dyDescent="0.2">
      <c r="B439" t="str">
        <f>IF(A439="","",IFERROR(AVERAGEIFS(DATOS!$K$2:$K$20000,DATOS!$A$2:$A$20000,A439,DATOS!$G$2:$G$20000,CONFIG_METADATA!$B$4,DATOS!$I$2:$I$20000,"Lenguaje Musical"),""))</f>
        <v/>
      </c>
      <c r="C439" t="str">
        <f>IF(A439="","",IFERROR(AVERAGEIFS(DATOS!$K$2:$K$20000,DATOS!$A$2:$A$20000,A439,DATOS!$G$2:$G$20000,CONFIG_METADATA!$B$4,DATOS!$I$2:$I$20000,"Coro"),""))</f>
        <v/>
      </c>
      <c r="D439" t="str">
        <f>IF(A439="","",IFERROR(AVERAGEIFS(DATOS!$K$2:$K$20000,DATOS!$A$2:$A$20000,A439,DATOS!$G$2:$G$20000,CONFIG_METADATA!$B$4,DATOS!$I$2:$I$20000,"Conjunto"),""))</f>
        <v/>
      </c>
      <c r="E439" t="str">
        <f>IF(A439="","",IFERROR(AVERAGEIFS(DATOS!$K$2:$K$20000,DATOS!$A$2:$A$20000,A439,DATOS!$G$2:$G$20000,CONFIG_METADATA!$B$4,DATOS!$I$2:$I$20000,"&lt;&gt;Lenguaje Musical",DATOS!$I$2:$I$20000,"&lt;&gt;Coro",DATOS!$I$2:$I$20000,"&lt;&gt;Conjunto"),""))</f>
        <v/>
      </c>
      <c r="H439" t="str">
        <f>IF(G439="","",IFERROR(AVERAGEIFS(DATOS!$K$2:$K$20000,DATOS!$A$2:$A$20000,G439,DATOS!$G$2:$G$20000,CONFIG_METADATA!$B$4,DATOS!$I$2:$I$20000,"Lenguaje Musical"),""))</f>
        <v/>
      </c>
      <c r="I439" t="str">
        <f>IF(G439="","",IFERROR(AVERAGEIFS(DATOS!$K$2:$K$20000,DATOS!$A$2:$A$20000,G439,DATOS!$G$2:$G$20000,CONFIG_METADATA!$B$4,DATOS!$I$2:$I$20000,"Coro"),""))</f>
        <v/>
      </c>
      <c r="J439" t="str">
        <f>IF(G439="","",IFERROR(AVERAGEIFS(DATOS!$K$2:$K$20000,DATOS!$A$2:$A$20000,G439,DATOS!$G$2:$G$20000,CONFIG_METADATA!$B$4,DATOS!$I$2:$I$20000,"Conjunto"),""))</f>
        <v/>
      </c>
      <c r="K439" t="str" cm="1">
        <f t="array" ref="K439">IF(G439="","",IFERROR(AVERAGE(IF((DATOS!$A$2:$A$20000=G439)*(DATOS!$G$2:$G$20000=CONFIG_METADATA!$B$4)*(DATOS!$I$2:$I$20000&lt;&gt;"Lenguaje Musical")*(DATOS!$I$2:$I$20000&lt;&gt;"Coro")*(DATOS!$I$2:$I$20000&lt;&gt;"Conjunto"),DATOS!$K$2:$K$20000)),""))</f>
        <v/>
      </c>
      <c r="N439" t="str">
        <f>IF(M439="","",IFERROR(AVERAGEIFS(DATOS!$K$2:$K$20000,DATOS!$A$2:$A$20000,M439,DATOS!$G$2:$G$20000,CONFIG_METADATA!$B$4,DATOS!$I$2:$I$20000,"Lenguaje Musical"),""))</f>
        <v/>
      </c>
      <c r="O439" t="str">
        <f>IF(M439="","",IFERROR(AVERAGEIFS(DATOS!$K$2:$K$20000,DATOS!$A$2:$A$20000,M439,DATOS!$G$2:$G$20000,CONFIG_METADATA!$B$4,DATOS!$I$2:$I$20000,"Coro"),""))</f>
        <v/>
      </c>
      <c r="P439" t="str">
        <f>IF(M439="","",IFERROR(AVERAGEIFS(DATOS!$K$2:$K$20000,DATOS!$A$2:$A$20000,M439,DATOS!$G$2:$G$20000,CONFIG_METADATA!$B$4,DATOS!$I$2:$I$20000,"Conjunto"),""))</f>
        <v/>
      </c>
      <c r="Q439" t="str">
        <f>IF(M439="","",IFERROR(AVERAGEIFS(DATOS!$K$2:$K$20000,DATOS!$A$2:$A$20000,M439,DATOS!$G$2:$G$20000,CONFIG_METADATA!$B$4,DATOS!$I$2:$I$20000,"&lt;&gt;Lenguaje Musical",DATOS!$I$2:$I$20000,"&lt;&gt;Coro",DATOS!$I$2:$I$20000,"&lt;&gt;Conjunto"),""))</f>
        <v/>
      </c>
      <c r="T439" t="str">
        <f>IF(S439="","",IFERROR(AVERAGEIFS(DATOS!$K$2:$K$20000,DATOS!$A$2:$A$20000,S439,DATOS!$G$2:$G$20000,CONFIG_METADATA!$B$4,DATOS!$I$2:$I$20000,"Lenguaje Musical"),""))</f>
        <v/>
      </c>
      <c r="U439" t="str">
        <f>IF(S439="","",IFERROR(AVERAGEIFS(DATOS!$K$2:$K$20000,DATOS!$A$2:$A$20000,S439,DATOS!$G$2:$G$20000,CONFIG_METADATA!$B$4,DATOS!$I$2:$I$20000,"Coro"),""))</f>
        <v/>
      </c>
      <c r="V439" t="str">
        <f>IF(S439="","",IFERROR(AVERAGEIFS(DATOS!$K$2:$K$20000,DATOS!$A$2:$A$20000,S439,DATOS!$G$2:$G$20000,CONFIG_METADATA!$B$4,DATOS!$I$2:$I$20000,"Conjunto"),""))</f>
        <v/>
      </c>
      <c r="W439" t="str" cm="1">
        <f t="array" ref="W439">IF(S439="","",IFERROR(AVERAGE(IF((DATOS!$A$2:$A$20000=S439)*(DATOS!$G$2:$G$20000=CONFIG_METADATA!$B$4)*(DATOS!$I$2:$I$20000&lt;&gt;"Lenguaje Musical")*(DATOS!$I$2:$I$20000&lt;&gt;"Coro")*(DATOS!$I$2:$I$20000&lt;&gt;"Conjunto"),DATOS!$K$2:$K$20000)),""))</f>
        <v/>
      </c>
    </row>
    <row r="440" spans="2:23" x14ac:dyDescent="0.2">
      <c r="B440" t="str">
        <f>IF(A440="","",IFERROR(AVERAGEIFS(DATOS!$K$2:$K$20000,DATOS!$A$2:$A$20000,A440,DATOS!$G$2:$G$20000,CONFIG_METADATA!$B$4,DATOS!$I$2:$I$20000,"Lenguaje Musical"),""))</f>
        <v/>
      </c>
      <c r="C440" t="str">
        <f>IF(A440="","",IFERROR(AVERAGEIFS(DATOS!$K$2:$K$20000,DATOS!$A$2:$A$20000,A440,DATOS!$G$2:$G$20000,CONFIG_METADATA!$B$4,DATOS!$I$2:$I$20000,"Coro"),""))</f>
        <v/>
      </c>
      <c r="D440" t="str">
        <f>IF(A440="","",IFERROR(AVERAGEIFS(DATOS!$K$2:$K$20000,DATOS!$A$2:$A$20000,A440,DATOS!$G$2:$G$20000,CONFIG_METADATA!$B$4,DATOS!$I$2:$I$20000,"Conjunto"),""))</f>
        <v/>
      </c>
      <c r="E440" t="str">
        <f>IF(A440="","",IFERROR(AVERAGEIFS(DATOS!$K$2:$K$20000,DATOS!$A$2:$A$20000,A440,DATOS!$G$2:$G$20000,CONFIG_METADATA!$B$4,DATOS!$I$2:$I$20000,"&lt;&gt;Lenguaje Musical",DATOS!$I$2:$I$20000,"&lt;&gt;Coro",DATOS!$I$2:$I$20000,"&lt;&gt;Conjunto"),""))</f>
        <v/>
      </c>
      <c r="H440" t="str">
        <f>IF(G440="","",IFERROR(AVERAGEIFS(DATOS!$K$2:$K$20000,DATOS!$A$2:$A$20000,G440,DATOS!$G$2:$G$20000,CONFIG_METADATA!$B$4,DATOS!$I$2:$I$20000,"Lenguaje Musical"),""))</f>
        <v/>
      </c>
      <c r="I440" t="str">
        <f>IF(G440="","",IFERROR(AVERAGEIFS(DATOS!$K$2:$K$20000,DATOS!$A$2:$A$20000,G440,DATOS!$G$2:$G$20000,CONFIG_METADATA!$B$4,DATOS!$I$2:$I$20000,"Coro"),""))</f>
        <v/>
      </c>
      <c r="J440" t="str">
        <f>IF(G440="","",IFERROR(AVERAGEIFS(DATOS!$K$2:$K$20000,DATOS!$A$2:$A$20000,G440,DATOS!$G$2:$G$20000,CONFIG_METADATA!$B$4,DATOS!$I$2:$I$20000,"Conjunto"),""))</f>
        <v/>
      </c>
      <c r="K440" t="str" cm="1">
        <f t="array" ref="K440">IF(G440="","",IFERROR(AVERAGE(IF((DATOS!$A$2:$A$20000=G440)*(DATOS!$G$2:$G$20000=CONFIG_METADATA!$B$4)*(DATOS!$I$2:$I$20000&lt;&gt;"Lenguaje Musical")*(DATOS!$I$2:$I$20000&lt;&gt;"Coro")*(DATOS!$I$2:$I$20000&lt;&gt;"Conjunto"),DATOS!$K$2:$K$20000)),""))</f>
        <v/>
      </c>
      <c r="N440" t="str">
        <f>IF(M440="","",IFERROR(AVERAGEIFS(DATOS!$K$2:$K$20000,DATOS!$A$2:$A$20000,M440,DATOS!$G$2:$G$20000,CONFIG_METADATA!$B$4,DATOS!$I$2:$I$20000,"Lenguaje Musical"),""))</f>
        <v/>
      </c>
      <c r="O440" t="str">
        <f>IF(M440="","",IFERROR(AVERAGEIFS(DATOS!$K$2:$K$20000,DATOS!$A$2:$A$20000,M440,DATOS!$G$2:$G$20000,CONFIG_METADATA!$B$4,DATOS!$I$2:$I$20000,"Coro"),""))</f>
        <v/>
      </c>
      <c r="P440" t="str">
        <f>IF(M440="","",IFERROR(AVERAGEIFS(DATOS!$K$2:$K$20000,DATOS!$A$2:$A$20000,M440,DATOS!$G$2:$G$20000,CONFIG_METADATA!$B$4,DATOS!$I$2:$I$20000,"Conjunto"),""))</f>
        <v/>
      </c>
      <c r="Q440" t="str">
        <f>IF(M440="","",IFERROR(AVERAGEIFS(DATOS!$K$2:$K$20000,DATOS!$A$2:$A$20000,M440,DATOS!$G$2:$G$20000,CONFIG_METADATA!$B$4,DATOS!$I$2:$I$20000,"&lt;&gt;Lenguaje Musical",DATOS!$I$2:$I$20000,"&lt;&gt;Coro",DATOS!$I$2:$I$20000,"&lt;&gt;Conjunto"),""))</f>
        <v/>
      </c>
      <c r="T440" t="str">
        <f>IF(S440="","",IFERROR(AVERAGEIFS(DATOS!$K$2:$K$20000,DATOS!$A$2:$A$20000,S440,DATOS!$G$2:$G$20000,CONFIG_METADATA!$B$4,DATOS!$I$2:$I$20000,"Lenguaje Musical"),""))</f>
        <v/>
      </c>
      <c r="U440" t="str">
        <f>IF(S440="","",IFERROR(AVERAGEIFS(DATOS!$K$2:$K$20000,DATOS!$A$2:$A$20000,S440,DATOS!$G$2:$G$20000,CONFIG_METADATA!$B$4,DATOS!$I$2:$I$20000,"Coro"),""))</f>
        <v/>
      </c>
      <c r="V440" t="str">
        <f>IF(S440="","",IFERROR(AVERAGEIFS(DATOS!$K$2:$K$20000,DATOS!$A$2:$A$20000,S440,DATOS!$G$2:$G$20000,CONFIG_METADATA!$B$4,DATOS!$I$2:$I$20000,"Conjunto"),""))</f>
        <v/>
      </c>
      <c r="W440" t="str" cm="1">
        <f t="array" ref="W440">IF(S440="","",IFERROR(AVERAGE(IF((DATOS!$A$2:$A$20000=S440)*(DATOS!$G$2:$G$20000=CONFIG_METADATA!$B$4)*(DATOS!$I$2:$I$20000&lt;&gt;"Lenguaje Musical")*(DATOS!$I$2:$I$20000&lt;&gt;"Coro")*(DATOS!$I$2:$I$20000&lt;&gt;"Conjunto"),DATOS!$K$2:$K$20000)),""))</f>
        <v/>
      </c>
    </row>
    <row r="441" spans="2:23" x14ac:dyDescent="0.2">
      <c r="B441" t="str">
        <f>IF(A441="","",IFERROR(AVERAGEIFS(DATOS!$K$2:$K$20000,DATOS!$A$2:$A$20000,A441,DATOS!$G$2:$G$20000,CONFIG_METADATA!$B$4,DATOS!$I$2:$I$20000,"Lenguaje Musical"),""))</f>
        <v/>
      </c>
      <c r="C441" t="str">
        <f>IF(A441="","",IFERROR(AVERAGEIFS(DATOS!$K$2:$K$20000,DATOS!$A$2:$A$20000,A441,DATOS!$G$2:$G$20000,CONFIG_METADATA!$B$4,DATOS!$I$2:$I$20000,"Coro"),""))</f>
        <v/>
      </c>
      <c r="D441" t="str">
        <f>IF(A441="","",IFERROR(AVERAGEIFS(DATOS!$K$2:$K$20000,DATOS!$A$2:$A$20000,A441,DATOS!$G$2:$G$20000,CONFIG_METADATA!$B$4,DATOS!$I$2:$I$20000,"Conjunto"),""))</f>
        <v/>
      </c>
      <c r="E441" t="str">
        <f>IF(A441="","",IFERROR(AVERAGEIFS(DATOS!$K$2:$K$20000,DATOS!$A$2:$A$20000,A441,DATOS!$G$2:$G$20000,CONFIG_METADATA!$B$4,DATOS!$I$2:$I$20000,"&lt;&gt;Lenguaje Musical",DATOS!$I$2:$I$20000,"&lt;&gt;Coro",DATOS!$I$2:$I$20000,"&lt;&gt;Conjunto"),""))</f>
        <v/>
      </c>
      <c r="H441" t="str">
        <f>IF(G441="","",IFERROR(AVERAGEIFS(DATOS!$K$2:$K$20000,DATOS!$A$2:$A$20000,G441,DATOS!$G$2:$G$20000,CONFIG_METADATA!$B$4,DATOS!$I$2:$I$20000,"Lenguaje Musical"),""))</f>
        <v/>
      </c>
      <c r="I441" t="str">
        <f>IF(G441="","",IFERROR(AVERAGEIFS(DATOS!$K$2:$K$20000,DATOS!$A$2:$A$20000,G441,DATOS!$G$2:$G$20000,CONFIG_METADATA!$B$4,DATOS!$I$2:$I$20000,"Coro"),""))</f>
        <v/>
      </c>
      <c r="J441" t="str">
        <f>IF(G441="","",IFERROR(AVERAGEIFS(DATOS!$K$2:$K$20000,DATOS!$A$2:$A$20000,G441,DATOS!$G$2:$G$20000,CONFIG_METADATA!$B$4,DATOS!$I$2:$I$20000,"Conjunto"),""))</f>
        <v/>
      </c>
      <c r="K441" t="str" cm="1">
        <f t="array" ref="K441">IF(G441="","",IFERROR(AVERAGE(IF((DATOS!$A$2:$A$20000=G441)*(DATOS!$G$2:$G$20000=CONFIG_METADATA!$B$4)*(DATOS!$I$2:$I$20000&lt;&gt;"Lenguaje Musical")*(DATOS!$I$2:$I$20000&lt;&gt;"Coro")*(DATOS!$I$2:$I$20000&lt;&gt;"Conjunto"),DATOS!$K$2:$K$20000)),""))</f>
        <v/>
      </c>
      <c r="N441" t="str">
        <f>IF(M441="","",IFERROR(AVERAGEIFS(DATOS!$K$2:$K$20000,DATOS!$A$2:$A$20000,M441,DATOS!$G$2:$G$20000,CONFIG_METADATA!$B$4,DATOS!$I$2:$I$20000,"Lenguaje Musical"),""))</f>
        <v/>
      </c>
      <c r="O441" t="str">
        <f>IF(M441="","",IFERROR(AVERAGEIFS(DATOS!$K$2:$K$20000,DATOS!$A$2:$A$20000,M441,DATOS!$G$2:$G$20000,CONFIG_METADATA!$B$4,DATOS!$I$2:$I$20000,"Coro"),""))</f>
        <v/>
      </c>
      <c r="P441" t="str">
        <f>IF(M441="","",IFERROR(AVERAGEIFS(DATOS!$K$2:$K$20000,DATOS!$A$2:$A$20000,M441,DATOS!$G$2:$G$20000,CONFIG_METADATA!$B$4,DATOS!$I$2:$I$20000,"Conjunto"),""))</f>
        <v/>
      </c>
      <c r="Q441" t="str">
        <f>IF(M441="","",IFERROR(AVERAGEIFS(DATOS!$K$2:$K$20000,DATOS!$A$2:$A$20000,M441,DATOS!$G$2:$G$20000,CONFIG_METADATA!$B$4,DATOS!$I$2:$I$20000,"&lt;&gt;Lenguaje Musical",DATOS!$I$2:$I$20000,"&lt;&gt;Coro",DATOS!$I$2:$I$20000,"&lt;&gt;Conjunto"),""))</f>
        <v/>
      </c>
      <c r="T441" t="str">
        <f>IF(S441="","",IFERROR(AVERAGEIFS(DATOS!$K$2:$K$20000,DATOS!$A$2:$A$20000,S441,DATOS!$G$2:$G$20000,CONFIG_METADATA!$B$4,DATOS!$I$2:$I$20000,"Lenguaje Musical"),""))</f>
        <v/>
      </c>
      <c r="U441" t="str">
        <f>IF(S441="","",IFERROR(AVERAGEIFS(DATOS!$K$2:$K$20000,DATOS!$A$2:$A$20000,S441,DATOS!$G$2:$G$20000,CONFIG_METADATA!$B$4,DATOS!$I$2:$I$20000,"Coro"),""))</f>
        <v/>
      </c>
      <c r="V441" t="str">
        <f>IF(S441="","",IFERROR(AVERAGEIFS(DATOS!$K$2:$K$20000,DATOS!$A$2:$A$20000,S441,DATOS!$G$2:$G$20000,CONFIG_METADATA!$B$4,DATOS!$I$2:$I$20000,"Conjunto"),""))</f>
        <v/>
      </c>
      <c r="W441" t="str" cm="1">
        <f t="array" ref="W441">IF(S441="","",IFERROR(AVERAGE(IF((DATOS!$A$2:$A$20000=S441)*(DATOS!$G$2:$G$20000=CONFIG_METADATA!$B$4)*(DATOS!$I$2:$I$20000&lt;&gt;"Lenguaje Musical")*(DATOS!$I$2:$I$20000&lt;&gt;"Coro")*(DATOS!$I$2:$I$20000&lt;&gt;"Conjunto"),DATOS!$K$2:$K$20000)),""))</f>
        <v/>
      </c>
    </row>
    <row r="442" spans="2:23" x14ac:dyDescent="0.2">
      <c r="B442" t="str">
        <f>IF(A442="","",IFERROR(AVERAGEIFS(DATOS!$K$2:$K$20000,DATOS!$A$2:$A$20000,A442,DATOS!$G$2:$G$20000,CONFIG_METADATA!$B$4,DATOS!$I$2:$I$20000,"Lenguaje Musical"),""))</f>
        <v/>
      </c>
      <c r="C442" t="str">
        <f>IF(A442="","",IFERROR(AVERAGEIFS(DATOS!$K$2:$K$20000,DATOS!$A$2:$A$20000,A442,DATOS!$G$2:$G$20000,CONFIG_METADATA!$B$4,DATOS!$I$2:$I$20000,"Coro"),""))</f>
        <v/>
      </c>
      <c r="D442" t="str">
        <f>IF(A442="","",IFERROR(AVERAGEIFS(DATOS!$K$2:$K$20000,DATOS!$A$2:$A$20000,A442,DATOS!$G$2:$G$20000,CONFIG_METADATA!$B$4,DATOS!$I$2:$I$20000,"Conjunto"),""))</f>
        <v/>
      </c>
      <c r="E442" t="str">
        <f>IF(A442="","",IFERROR(AVERAGEIFS(DATOS!$K$2:$K$20000,DATOS!$A$2:$A$20000,A442,DATOS!$G$2:$G$20000,CONFIG_METADATA!$B$4,DATOS!$I$2:$I$20000,"&lt;&gt;Lenguaje Musical",DATOS!$I$2:$I$20000,"&lt;&gt;Coro",DATOS!$I$2:$I$20000,"&lt;&gt;Conjunto"),""))</f>
        <v/>
      </c>
      <c r="H442" t="str">
        <f>IF(G442="","",IFERROR(AVERAGEIFS(DATOS!$K$2:$K$20000,DATOS!$A$2:$A$20000,G442,DATOS!$G$2:$G$20000,CONFIG_METADATA!$B$4,DATOS!$I$2:$I$20000,"Lenguaje Musical"),""))</f>
        <v/>
      </c>
      <c r="I442" t="str">
        <f>IF(G442="","",IFERROR(AVERAGEIFS(DATOS!$K$2:$K$20000,DATOS!$A$2:$A$20000,G442,DATOS!$G$2:$G$20000,CONFIG_METADATA!$B$4,DATOS!$I$2:$I$20000,"Coro"),""))</f>
        <v/>
      </c>
      <c r="J442" t="str">
        <f>IF(G442="","",IFERROR(AVERAGEIFS(DATOS!$K$2:$K$20000,DATOS!$A$2:$A$20000,G442,DATOS!$G$2:$G$20000,CONFIG_METADATA!$B$4,DATOS!$I$2:$I$20000,"Conjunto"),""))</f>
        <v/>
      </c>
      <c r="K442" t="str" cm="1">
        <f t="array" ref="K442">IF(G442="","",IFERROR(AVERAGE(IF((DATOS!$A$2:$A$20000=G442)*(DATOS!$G$2:$G$20000=CONFIG_METADATA!$B$4)*(DATOS!$I$2:$I$20000&lt;&gt;"Lenguaje Musical")*(DATOS!$I$2:$I$20000&lt;&gt;"Coro")*(DATOS!$I$2:$I$20000&lt;&gt;"Conjunto"),DATOS!$K$2:$K$20000)),""))</f>
        <v/>
      </c>
      <c r="N442" t="str">
        <f>IF(M442="","",IFERROR(AVERAGEIFS(DATOS!$K$2:$K$20000,DATOS!$A$2:$A$20000,M442,DATOS!$G$2:$G$20000,CONFIG_METADATA!$B$4,DATOS!$I$2:$I$20000,"Lenguaje Musical"),""))</f>
        <v/>
      </c>
      <c r="O442" t="str">
        <f>IF(M442="","",IFERROR(AVERAGEIFS(DATOS!$K$2:$K$20000,DATOS!$A$2:$A$20000,M442,DATOS!$G$2:$G$20000,CONFIG_METADATA!$B$4,DATOS!$I$2:$I$20000,"Coro"),""))</f>
        <v/>
      </c>
      <c r="P442" t="str">
        <f>IF(M442="","",IFERROR(AVERAGEIFS(DATOS!$K$2:$K$20000,DATOS!$A$2:$A$20000,M442,DATOS!$G$2:$G$20000,CONFIG_METADATA!$B$4,DATOS!$I$2:$I$20000,"Conjunto"),""))</f>
        <v/>
      </c>
      <c r="Q442" t="str">
        <f>IF(M442="","",IFERROR(AVERAGEIFS(DATOS!$K$2:$K$20000,DATOS!$A$2:$A$20000,M442,DATOS!$G$2:$G$20000,CONFIG_METADATA!$B$4,DATOS!$I$2:$I$20000,"&lt;&gt;Lenguaje Musical",DATOS!$I$2:$I$20000,"&lt;&gt;Coro",DATOS!$I$2:$I$20000,"&lt;&gt;Conjunto"),""))</f>
        <v/>
      </c>
      <c r="T442" t="str">
        <f>IF(S442="","",IFERROR(AVERAGEIFS(DATOS!$K$2:$K$20000,DATOS!$A$2:$A$20000,S442,DATOS!$G$2:$G$20000,CONFIG_METADATA!$B$4,DATOS!$I$2:$I$20000,"Lenguaje Musical"),""))</f>
        <v/>
      </c>
      <c r="U442" t="str">
        <f>IF(S442="","",IFERROR(AVERAGEIFS(DATOS!$K$2:$K$20000,DATOS!$A$2:$A$20000,S442,DATOS!$G$2:$G$20000,CONFIG_METADATA!$B$4,DATOS!$I$2:$I$20000,"Coro"),""))</f>
        <v/>
      </c>
      <c r="V442" t="str">
        <f>IF(S442="","",IFERROR(AVERAGEIFS(DATOS!$K$2:$K$20000,DATOS!$A$2:$A$20000,S442,DATOS!$G$2:$G$20000,CONFIG_METADATA!$B$4,DATOS!$I$2:$I$20000,"Conjunto"),""))</f>
        <v/>
      </c>
      <c r="W442" t="str" cm="1">
        <f t="array" ref="W442">IF(S442="","",IFERROR(AVERAGE(IF((DATOS!$A$2:$A$20000=S442)*(DATOS!$G$2:$G$20000=CONFIG_METADATA!$B$4)*(DATOS!$I$2:$I$20000&lt;&gt;"Lenguaje Musical")*(DATOS!$I$2:$I$20000&lt;&gt;"Coro")*(DATOS!$I$2:$I$20000&lt;&gt;"Conjunto"),DATOS!$K$2:$K$20000)),""))</f>
        <v/>
      </c>
    </row>
    <row r="443" spans="2:23" x14ac:dyDescent="0.2">
      <c r="B443" t="str">
        <f>IF(A443="","",IFERROR(AVERAGEIFS(DATOS!$K$2:$K$20000,DATOS!$A$2:$A$20000,A443,DATOS!$G$2:$G$20000,CONFIG_METADATA!$B$4,DATOS!$I$2:$I$20000,"Lenguaje Musical"),""))</f>
        <v/>
      </c>
      <c r="C443" t="str">
        <f>IF(A443="","",IFERROR(AVERAGEIFS(DATOS!$K$2:$K$20000,DATOS!$A$2:$A$20000,A443,DATOS!$G$2:$G$20000,CONFIG_METADATA!$B$4,DATOS!$I$2:$I$20000,"Coro"),""))</f>
        <v/>
      </c>
      <c r="D443" t="str">
        <f>IF(A443="","",IFERROR(AVERAGEIFS(DATOS!$K$2:$K$20000,DATOS!$A$2:$A$20000,A443,DATOS!$G$2:$G$20000,CONFIG_METADATA!$B$4,DATOS!$I$2:$I$20000,"Conjunto"),""))</f>
        <v/>
      </c>
      <c r="E443" t="str">
        <f>IF(A443="","",IFERROR(AVERAGEIFS(DATOS!$K$2:$K$20000,DATOS!$A$2:$A$20000,A443,DATOS!$G$2:$G$20000,CONFIG_METADATA!$B$4,DATOS!$I$2:$I$20000,"&lt;&gt;Lenguaje Musical",DATOS!$I$2:$I$20000,"&lt;&gt;Coro",DATOS!$I$2:$I$20000,"&lt;&gt;Conjunto"),""))</f>
        <v/>
      </c>
      <c r="H443" t="str">
        <f>IF(G443="","",IFERROR(AVERAGEIFS(DATOS!$K$2:$K$20000,DATOS!$A$2:$A$20000,G443,DATOS!$G$2:$G$20000,CONFIG_METADATA!$B$4,DATOS!$I$2:$I$20000,"Lenguaje Musical"),""))</f>
        <v/>
      </c>
      <c r="I443" t="str">
        <f>IF(G443="","",IFERROR(AVERAGEIFS(DATOS!$K$2:$K$20000,DATOS!$A$2:$A$20000,G443,DATOS!$G$2:$G$20000,CONFIG_METADATA!$B$4,DATOS!$I$2:$I$20000,"Coro"),""))</f>
        <v/>
      </c>
      <c r="J443" t="str">
        <f>IF(G443="","",IFERROR(AVERAGEIFS(DATOS!$K$2:$K$20000,DATOS!$A$2:$A$20000,G443,DATOS!$G$2:$G$20000,CONFIG_METADATA!$B$4,DATOS!$I$2:$I$20000,"Conjunto"),""))</f>
        <v/>
      </c>
      <c r="K443" t="str" cm="1">
        <f t="array" ref="K443">IF(G443="","",IFERROR(AVERAGE(IF((DATOS!$A$2:$A$20000=G443)*(DATOS!$G$2:$G$20000=CONFIG_METADATA!$B$4)*(DATOS!$I$2:$I$20000&lt;&gt;"Lenguaje Musical")*(DATOS!$I$2:$I$20000&lt;&gt;"Coro")*(DATOS!$I$2:$I$20000&lt;&gt;"Conjunto"),DATOS!$K$2:$K$20000)),""))</f>
        <v/>
      </c>
      <c r="N443" t="str">
        <f>IF(M443="","",IFERROR(AVERAGEIFS(DATOS!$K$2:$K$20000,DATOS!$A$2:$A$20000,M443,DATOS!$G$2:$G$20000,CONFIG_METADATA!$B$4,DATOS!$I$2:$I$20000,"Lenguaje Musical"),""))</f>
        <v/>
      </c>
      <c r="O443" t="str">
        <f>IF(M443="","",IFERROR(AVERAGEIFS(DATOS!$K$2:$K$20000,DATOS!$A$2:$A$20000,M443,DATOS!$G$2:$G$20000,CONFIG_METADATA!$B$4,DATOS!$I$2:$I$20000,"Coro"),""))</f>
        <v/>
      </c>
      <c r="P443" t="str">
        <f>IF(M443="","",IFERROR(AVERAGEIFS(DATOS!$K$2:$K$20000,DATOS!$A$2:$A$20000,M443,DATOS!$G$2:$G$20000,CONFIG_METADATA!$B$4,DATOS!$I$2:$I$20000,"Conjunto"),""))</f>
        <v/>
      </c>
      <c r="Q443" t="str">
        <f>IF(M443="","",IFERROR(AVERAGEIFS(DATOS!$K$2:$K$20000,DATOS!$A$2:$A$20000,M443,DATOS!$G$2:$G$20000,CONFIG_METADATA!$B$4,DATOS!$I$2:$I$20000,"&lt;&gt;Lenguaje Musical",DATOS!$I$2:$I$20000,"&lt;&gt;Coro",DATOS!$I$2:$I$20000,"&lt;&gt;Conjunto"),""))</f>
        <v/>
      </c>
      <c r="T443" t="str">
        <f>IF(S443="","",IFERROR(AVERAGEIFS(DATOS!$K$2:$K$20000,DATOS!$A$2:$A$20000,S443,DATOS!$G$2:$G$20000,CONFIG_METADATA!$B$4,DATOS!$I$2:$I$20000,"Lenguaje Musical"),""))</f>
        <v/>
      </c>
      <c r="U443" t="str">
        <f>IF(S443="","",IFERROR(AVERAGEIFS(DATOS!$K$2:$K$20000,DATOS!$A$2:$A$20000,S443,DATOS!$G$2:$G$20000,CONFIG_METADATA!$B$4,DATOS!$I$2:$I$20000,"Coro"),""))</f>
        <v/>
      </c>
      <c r="V443" t="str">
        <f>IF(S443="","",IFERROR(AVERAGEIFS(DATOS!$K$2:$K$20000,DATOS!$A$2:$A$20000,S443,DATOS!$G$2:$G$20000,CONFIG_METADATA!$B$4,DATOS!$I$2:$I$20000,"Conjunto"),""))</f>
        <v/>
      </c>
      <c r="W443" t="str" cm="1">
        <f t="array" ref="W443">IF(S443="","",IFERROR(AVERAGE(IF((DATOS!$A$2:$A$20000=S443)*(DATOS!$G$2:$G$20000=CONFIG_METADATA!$B$4)*(DATOS!$I$2:$I$20000&lt;&gt;"Lenguaje Musical")*(DATOS!$I$2:$I$20000&lt;&gt;"Coro")*(DATOS!$I$2:$I$20000&lt;&gt;"Conjunto"),DATOS!$K$2:$K$20000)),""))</f>
        <v/>
      </c>
    </row>
    <row r="444" spans="2:23" x14ac:dyDescent="0.2">
      <c r="B444" t="str">
        <f>IF(A444="","",IFERROR(AVERAGEIFS(DATOS!$K$2:$K$20000,DATOS!$A$2:$A$20000,A444,DATOS!$G$2:$G$20000,CONFIG_METADATA!$B$4,DATOS!$I$2:$I$20000,"Lenguaje Musical"),""))</f>
        <v/>
      </c>
      <c r="C444" t="str">
        <f>IF(A444="","",IFERROR(AVERAGEIFS(DATOS!$K$2:$K$20000,DATOS!$A$2:$A$20000,A444,DATOS!$G$2:$G$20000,CONFIG_METADATA!$B$4,DATOS!$I$2:$I$20000,"Coro"),""))</f>
        <v/>
      </c>
      <c r="D444" t="str">
        <f>IF(A444="","",IFERROR(AVERAGEIFS(DATOS!$K$2:$K$20000,DATOS!$A$2:$A$20000,A444,DATOS!$G$2:$G$20000,CONFIG_METADATA!$B$4,DATOS!$I$2:$I$20000,"Conjunto"),""))</f>
        <v/>
      </c>
      <c r="E444" t="str">
        <f>IF(A444="","",IFERROR(AVERAGEIFS(DATOS!$K$2:$K$20000,DATOS!$A$2:$A$20000,A444,DATOS!$G$2:$G$20000,CONFIG_METADATA!$B$4,DATOS!$I$2:$I$20000,"&lt;&gt;Lenguaje Musical",DATOS!$I$2:$I$20000,"&lt;&gt;Coro",DATOS!$I$2:$I$20000,"&lt;&gt;Conjunto"),""))</f>
        <v/>
      </c>
      <c r="H444" t="str">
        <f>IF(G444="","",IFERROR(AVERAGEIFS(DATOS!$K$2:$K$20000,DATOS!$A$2:$A$20000,G444,DATOS!$G$2:$G$20000,CONFIG_METADATA!$B$4,DATOS!$I$2:$I$20000,"Lenguaje Musical"),""))</f>
        <v/>
      </c>
      <c r="I444" t="str">
        <f>IF(G444="","",IFERROR(AVERAGEIFS(DATOS!$K$2:$K$20000,DATOS!$A$2:$A$20000,G444,DATOS!$G$2:$G$20000,CONFIG_METADATA!$B$4,DATOS!$I$2:$I$20000,"Coro"),""))</f>
        <v/>
      </c>
      <c r="J444" t="str">
        <f>IF(G444="","",IFERROR(AVERAGEIFS(DATOS!$K$2:$K$20000,DATOS!$A$2:$A$20000,G444,DATOS!$G$2:$G$20000,CONFIG_METADATA!$B$4,DATOS!$I$2:$I$20000,"Conjunto"),""))</f>
        <v/>
      </c>
      <c r="K444" t="str" cm="1">
        <f t="array" ref="K444">IF(G444="","",IFERROR(AVERAGE(IF((DATOS!$A$2:$A$20000=G444)*(DATOS!$G$2:$G$20000=CONFIG_METADATA!$B$4)*(DATOS!$I$2:$I$20000&lt;&gt;"Lenguaje Musical")*(DATOS!$I$2:$I$20000&lt;&gt;"Coro")*(DATOS!$I$2:$I$20000&lt;&gt;"Conjunto"),DATOS!$K$2:$K$20000)),""))</f>
        <v/>
      </c>
      <c r="N444" t="str">
        <f>IF(M444="","",IFERROR(AVERAGEIFS(DATOS!$K$2:$K$20000,DATOS!$A$2:$A$20000,M444,DATOS!$G$2:$G$20000,CONFIG_METADATA!$B$4,DATOS!$I$2:$I$20000,"Lenguaje Musical"),""))</f>
        <v/>
      </c>
      <c r="O444" t="str">
        <f>IF(M444="","",IFERROR(AVERAGEIFS(DATOS!$K$2:$K$20000,DATOS!$A$2:$A$20000,M444,DATOS!$G$2:$G$20000,CONFIG_METADATA!$B$4,DATOS!$I$2:$I$20000,"Coro"),""))</f>
        <v/>
      </c>
      <c r="P444" t="str">
        <f>IF(M444="","",IFERROR(AVERAGEIFS(DATOS!$K$2:$K$20000,DATOS!$A$2:$A$20000,M444,DATOS!$G$2:$G$20000,CONFIG_METADATA!$B$4,DATOS!$I$2:$I$20000,"Conjunto"),""))</f>
        <v/>
      </c>
      <c r="Q444" t="str">
        <f>IF(M444="","",IFERROR(AVERAGEIFS(DATOS!$K$2:$K$20000,DATOS!$A$2:$A$20000,M444,DATOS!$G$2:$G$20000,CONFIG_METADATA!$B$4,DATOS!$I$2:$I$20000,"&lt;&gt;Lenguaje Musical",DATOS!$I$2:$I$20000,"&lt;&gt;Coro",DATOS!$I$2:$I$20000,"&lt;&gt;Conjunto"),""))</f>
        <v/>
      </c>
      <c r="T444" t="str">
        <f>IF(S444="","",IFERROR(AVERAGEIFS(DATOS!$K$2:$K$20000,DATOS!$A$2:$A$20000,S444,DATOS!$G$2:$G$20000,CONFIG_METADATA!$B$4,DATOS!$I$2:$I$20000,"Lenguaje Musical"),""))</f>
        <v/>
      </c>
      <c r="U444" t="str">
        <f>IF(S444="","",IFERROR(AVERAGEIFS(DATOS!$K$2:$K$20000,DATOS!$A$2:$A$20000,S444,DATOS!$G$2:$G$20000,CONFIG_METADATA!$B$4,DATOS!$I$2:$I$20000,"Coro"),""))</f>
        <v/>
      </c>
      <c r="V444" t="str">
        <f>IF(S444="","",IFERROR(AVERAGEIFS(DATOS!$K$2:$K$20000,DATOS!$A$2:$A$20000,S444,DATOS!$G$2:$G$20000,CONFIG_METADATA!$B$4,DATOS!$I$2:$I$20000,"Conjunto"),""))</f>
        <v/>
      </c>
      <c r="W444" t="str" cm="1">
        <f t="array" ref="W444">IF(S444="","",IFERROR(AVERAGE(IF((DATOS!$A$2:$A$20000=S444)*(DATOS!$G$2:$G$20000=CONFIG_METADATA!$B$4)*(DATOS!$I$2:$I$20000&lt;&gt;"Lenguaje Musical")*(DATOS!$I$2:$I$20000&lt;&gt;"Coro")*(DATOS!$I$2:$I$20000&lt;&gt;"Conjunto"),DATOS!$K$2:$K$20000)),""))</f>
        <v/>
      </c>
    </row>
    <row r="445" spans="2:23" x14ac:dyDescent="0.2">
      <c r="B445" t="str">
        <f>IF(A445="","",IFERROR(AVERAGEIFS(DATOS!$K$2:$K$20000,DATOS!$A$2:$A$20000,A445,DATOS!$G$2:$G$20000,CONFIG_METADATA!$B$4,DATOS!$I$2:$I$20000,"Lenguaje Musical"),""))</f>
        <v/>
      </c>
      <c r="C445" t="str">
        <f>IF(A445="","",IFERROR(AVERAGEIFS(DATOS!$K$2:$K$20000,DATOS!$A$2:$A$20000,A445,DATOS!$G$2:$G$20000,CONFIG_METADATA!$B$4,DATOS!$I$2:$I$20000,"Coro"),""))</f>
        <v/>
      </c>
      <c r="D445" t="str">
        <f>IF(A445="","",IFERROR(AVERAGEIFS(DATOS!$K$2:$K$20000,DATOS!$A$2:$A$20000,A445,DATOS!$G$2:$G$20000,CONFIG_METADATA!$B$4,DATOS!$I$2:$I$20000,"Conjunto"),""))</f>
        <v/>
      </c>
      <c r="E445" t="str">
        <f>IF(A445="","",IFERROR(AVERAGEIFS(DATOS!$K$2:$K$20000,DATOS!$A$2:$A$20000,A445,DATOS!$G$2:$G$20000,CONFIG_METADATA!$B$4,DATOS!$I$2:$I$20000,"&lt;&gt;Lenguaje Musical",DATOS!$I$2:$I$20000,"&lt;&gt;Coro",DATOS!$I$2:$I$20000,"&lt;&gt;Conjunto"),""))</f>
        <v/>
      </c>
      <c r="H445" t="str">
        <f>IF(G445="","",IFERROR(AVERAGEIFS(DATOS!$K$2:$K$20000,DATOS!$A$2:$A$20000,G445,DATOS!$G$2:$G$20000,CONFIG_METADATA!$B$4,DATOS!$I$2:$I$20000,"Lenguaje Musical"),""))</f>
        <v/>
      </c>
      <c r="I445" t="str">
        <f>IF(G445="","",IFERROR(AVERAGEIFS(DATOS!$K$2:$K$20000,DATOS!$A$2:$A$20000,G445,DATOS!$G$2:$G$20000,CONFIG_METADATA!$B$4,DATOS!$I$2:$I$20000,"Coro"),""))</f>
        <v/>
      </c>
      <c r="J445" t="str">
        <f>IF(G445="","",IFERROR(AVERAGEIFS(DATOS!$K$2:$K$20000,DATOS!$A$2:$A$20000,G445,DATOS!$G$2:$G$20000,CONFIG_METADATA!$B$4,DATOS!$I$2:$I$20000,"Conjunto"),""))</f>
        <v/>
      </c>
      <c r="K445" t="str" cm="1">
        <f t="array" ref="K445">IF(G445="","",IFERROR(AVERAGE(IF((DATOS!$A$2:$A$20000=G445)*(DATOS!$G$2:$G$20000=CONFIG_METADATA!$B$4)*(DATOS!$I$2:$I$20000&lt;&gt;"Lenguaje Musical")*(DATOS!$I$2:$I$20000&lt;&gt;"Coro")*(DATOS!$I$2:$I$20000&lt;&gt;"Conjunto"),DATOS!$K$2:$K$20000)),""))</f>
        <v/>
      </c>
      <c r="N445" t="str">
        <f>IF(M445="","",IFERROR(AVERAGEIFS(DATOS!$K$2:$K$20000,DATOS!$A$2:$A$20000,M445,DATOS!$G$2:$G$20000,CONFIG_METADATA!$B$4,DATOS!$I$2:$I$20000,"Lenguaje Musical"),""))</f>
        <v/>
      </c>
      <c r="O445" t="str">
        <f>IF(M445="","",IFERROR(AVERAGEIFS(DATOS!$K$2:$K$20000,DATOS!$A$2:$A$20000,M445,DATOS!$G$2:$G$20000,CONFIG_METADATA!$B$4,DATOS!$I$2:$I$20000,"Coro"),""))</f>
        <v/>
      </c>
      <c r="P445" t="str">
        <f>IF(M445="","",IFERROR(AVERAGEIFS(DATOS!$K$2:$K$20000,DATOS!$A$2:$A$20000,M445,DATOS!$G$2:$G$20000,CONFIG_METADATA!$B$4,DATOS!$I$2:$I$20000,"Conjunto"),""))</f>
        <v/>
      </c>
      <c r="Q445" t="str">
        <f>IF(M445="","",IFERROR(AVERAGEIFS(DATOS!$K$2:$K$20000,DATOS!$A$2:$A$20000,M445,DATOS!$G$2:$G$20000,CONFIG_METADATA!$B$4,DATOS!$I$2:$I$20000,"&lt;&gt;Lenguaje Musical",DATOS!$I$2:$I$20000,"&lt;&gt;Coro",DATOS!$I$2:$I$20000,"&lt;&gt;Conjunto"),""))</f>
        <v/>
      </c>
      <c r="T445" t="str">
        <f>IF(S445="","",IFERROR(AVERAGEIFS(DATOS!$K$2:$K$20000,DATOS!$A$2:$A$20000,S445,DATOS!$G$2:$G$20000,CONFIG_METADATA!$B$4,DATOS!$I$2:$I$20000,"Lenguaje Musical"),""))</f>
        <v/>
      </c>
      <c r="U445" t="str">
        <f>IF(S445="","",IFERROR(AVERAGEIFS(DATOS!$K$2:$K$20000,DATOS!$A$2:$A$20000,S445,DATOS!$G$2:$G$20000,CONFIG_METADATA!$B$4,DATOS!$I$2:$I$20000,"Coro"),""))</f>
        <v/>
      </c>
      <c r="V445" t="str">
        <f>IF(S445="","",IFERROR(AVERAGEIFS(DATOS!$K$2:$K$20000,DATOS!$A$2:$A$20000,S445,DATOS!$G$2:$G$20000,CONFIG_METADATA!$B$4,DATOS!$I$2:$I$20000,"Conjunto"),""))</f>
        <v/>
      </c>
      <c r="W445" t="str" cm="1">
        <f t="array" ref="W445">IF(S445="","",IFERROR(AVERAGE(IF((DATOS!$A$2:$A$20000=S445)*(DATOS!$G$2:$G$20000=CONFIG_METADATA!$B$4)*(DATOS!$I$2:$I$20000&lt;&gt;"Lenguaje Musical")*(DATOS!$I$2:$I$20000&lt;&gt;"Coro")*(DATOS!$I$2:$I$20000&lt;&gt;"Conjunto"),DATOS!$K$2:$K$20000)),""))</f>
        <v/>
      </c>
    </row>
    <row r="446" spans="2:23" x14ac:dyDescent="0.2">
      <c r="B446" t="str">
        <f>IF(A446="","",IFERROR(AVERAGEIFS(DATOS!$K$2:$K$20000,DATOS!$A$2:$A$20000,A446,DATOS!$G$2:$G$20000,CONFIG_METADATA!$B$4,DATOS!$I$2:$I$20000,"Lenguaje Musical"),""))</f>
        <v/>
      </c>
      <c r="C446" t="str">
        <f>IF(A446="","",IFERROR(AVERAGEIFS(DATOS!$K$2:$K$20000,DATOS!$A$2:$A$20000,A446,DATOS!$G$2:$G$20000,CONFIG_METADATA!$B$4,DATOS!$I$2:$I$20000,"Coro"),""))</f>
        <v/>
      </c>
      <c r="D446" t="str">
        <f>IF(A446="","",IFERROR(AVERAGEIFS(DATOS!$K$2:$K$20000,DATOS!$A$2:$A$20000,A446,DATOS!$G$2:$G$20000,CONFIG_METADATA!$B$4,DATOS!$I$2:$I$20000,"Conjunto"),""))</f>
        <v/>
      </c>
      <c r="E446" t="str">
        <f>IF(A446="","",IFERROR(AVERAGEIFS(DATOS!$K$2:$K$20000,DATOS!$A$2:$A$20000,A446,DATOS!$G$2:$G$20000,CONFIG_METADATA!$B$4,DATOS!$I$2:$I$20000,"&lt;&gt;Lenguaje Musical",DATOS!$I$2:$I$20000,"&lt;&gt;Coro",DATOS!$I$2:$I$20000,"&lt;&gt;Conjunto"),""))</f>
        <v/>
      </c>
      <c r="H446" t="str">
        <f>IF(G446="","",IFERROR(AVERAGEIFS(DATOS!$K$2:$K$20000,DATOS!$A$2:$A$20000,G446,DATOS!$G$2:$G$20000,CONFIG_METADATA!$B$4,DATOS!$I$2:$I$20000,"Lenguaje Musical"),""))</f>
        <v/>
      </c>
      <c r="I446" t="str">
        <f>IF(G446="","",IFERROR(AVERAGEIFS(DATOS!$K$2:$K$20000,DATOS!$A$2:$A$20000,G446,DATOS!$G$2:$G$20000,CONFIG_METADATA!$B$4,DATOS!$I$2:$I$20000,"Coro"),""))</f>
        <v/>
      </c>
      <c r="J446" t="str">
        <f>IF(G446="","",IFERROR(AVERAGEIFS(DATOS!$K$2:$K$20000,DATOS!$A$2:$A$20000,G446,DATOS!$G$2:$G$20000,CONFIG_METADATA!$B$4,DATOS!$I$2:$I$20000,"Conjunto"),""))</f>
        <v/>
      </c>
      <c r="K446" t="str" cm="1">
        <f t="array" ref="K446">IF(G446="","",IFERROR(AVERAGE(IF((DATOS!$A$2:$A$20000=G446)*(DATOS!$G$2:$G$20000=CONFIG_METADATA!$B$4)*(DATOS!$I$2:$I$20000&lt;&gt;"Lenguaje Musical")*(DATOS!$I$2:$I$20000&lt;&gt;"Coro")*(DATOS!$I$2:$I$20000&lt;&gt;"Conjunto"),DATOS!$K$2:$K$20000)),""))</f>
        <v/>
      </c>
      <c r="N446" t="str">
        <f>IF(M446="","",IFERROR(AVERAGEIFS(DATOS!$K$2:$K$20000,DATOS!$A$2:$A$20000,M446,DATOS!$G$2:$G$20000,CONFIG_METADATA!$B$4,DATOS!$I$2:$I$20000,"Lenguaje Musical"),""))</f>
        <v/>
      </c>
      <c r="O446" t="str">
        <f>IF(M446="","",IFERROR(AVERAGEIFS(DATOS!$K$2:$K$20000,DATOS!$A$2:$A$20000,M446,DATOS!$G$2:$G$20000,CONFIG_METADATA!$B$4,DATOS!$I$2:$I$20000,"Coro"),""))</f>
        <v/>
      </c>
      <c r="P446" t="str">
        <f>IF(M446="","",IFERROR(AVERAGEIFS(DATOS!$K$2:$K$20000,DATOS!$A$2:$A$20000,M446,DATOS!$G$2:$G$20000,CONFIG_METADATA!$B$4,DATOS!$I$2:$I$20000,"Conjunto"),""))</f>
        <v/>
      </c>
      <c r="Q446" t="str">
        <f>IF(M446="","",IFERROR(AVERAGEIFS(DATOS!$K$2:$K$20000,DATOS!$A$2:$A$20000,M446,DATOS!$G$2:$G$20000,CONFIG_METADATA!$B$4,DATOS!$I$2:$I$20000,"&lt;&gt;Lenguaje Musical",DATOS!$I$2:$I$20000,"&lt;&gt;Coro",DATOS!$I$2:$I$20000,"&lt;&gt;Conjunto"),""))</f>
        <v/>
      </c>
      <c r="T446" t="str">
        <f>IF(S446="","",IFERROR(AVERAGEIFS(DATOS!$K$2:$K$20000,DATOS!$A$2:$A$20000,S446,DATOS!$G$2:$G$20000,CONFIG_METADATA!$B$4,DATOS!$I$2:$I$20000,"Lenguaje Musical"),""))</f>
        <v/>
      </c>
      <c r="U446" t="str">
        <f>IF(S446="","",IFERROR(AVERAGEIFS(DATOS!$K$2:$K$20000,DATOS!$A$2:$A$20000,S446,DATOS!$G$2:$G$20000,CONFIG_METADATA!$B$4,DATOS!$I$2:$I$20000,"Coro"),""))</f>
        <v/>
      </c>
      <c r="V446" t="str">
        <f>IF(S446="","",IFERROR(AVERAGEIFS(DATOS!$K$2:$K$20000,DATOS!$A$2:$A$20000,S446,DATOS!$G$2:$G$20000,CONFIG_METADATA!$B$4,DATOS!$I$2:$I$20000,"Conjunto"),""))</f>
        <v/>
      </c>
      <c r="W446" t="str" cm="1">
        <f t="array" ref="W446">IF(S446="","",IFERROR(AVERAGE(IF((DATOS!$A$2:$A$20000=S446)*(DATOS!$G$2:$G$20000=CONFIG_METADATA!$B$4)*(DATOS!$I$2:$I$20000&lt;&gt;"Lenguaje Musical")*(DATOS!$I$2:$I$20000&lt;&gt;"Coro")*(DATOS!$I$2:$I$20000&lt;&gt;"Conjunto"),DATOS!$K$2:$K$20000)),""))</f>
        <v/>
      </c>
    </row>
    <row r="447" spans="2:23" x14ac:dyDescent="0.2">
      <c r="B447" t="str">
        <f>IF(A447="","",IFERROR(AVERAGEIFS(DATOS!$K$2:$K$20000,DATOS!$A$2:$A$20000,A447,DATOS!$G$2:$G$20000,CONFIG_METADATA!$B$4,DATOS!$I$2:$I$20000,"Lenguaje Musical"),""))</f>
        <v/>
      </c>
      <c r="C447" t="str">
        <f>IF(A447="","",IFERROR(AVERAGEIFS(DATOS!$K$2:$K$20000,DATOS!$A$2:$A$20000,A447,DATOS!$G$2:$G$20000,CONFIG_METADATA!$B$4,DATOS!$I$2:$I$20000,"Coro"),""))</f>
        <v/>
      </c>
      <c r="D447" t="str">
        <f>IF(A447="","",IFERROR(AVERAGEIFS(DATOS!$K$2:$K$20000,DATOS!$A$2:$A$20000,A447,DATOS!$G$2:$G$20000,CONFIG_METADATA!$B$4,DATOS!$I$2:$I$20000,"Conjunto"),""))</f>
        <v/>
      </c>
      <c r="E447" t="str">
        <f>IF(A447="","",IFERROR(AVERAGEIFS(DATOS!$K$2:$K$20000,DATOS!$A$2:$A$20000,A447,DATOS!$G$2:$G$20000,CONFIG_METADATA!$B$4,DATOS!$I$2:$I$20000,"&lt;&gt;Lenguaje Musical",DATOS!$I$2:$I$20000,"&lt;&gt;Coro",DATOS!$I$2:$I$20000,"&lt;&gt;Conjunto"),""))</f>
        <v/>
      </c>
      <c r="H447" t="str">
        <f>IF(G447="","",IFERROR(AVERAGEIFS(DATOS!$K$2:$K$20000,DATOS!$A$2:$A$20000,G447,DATOS!$G$2:$G$20000,CONFIG_METADATA!$B$4,DATOS!$I$2:$I$20000,"Lenguaje Musical"),""))</f>
        <v/>
      </c>
      <c r="I447" t="str">
        <f>IF(G447="","",IFERROR(AVERAGEIFS(DATOS!$K$2:$K$20000,DATOS!$A$2:$A$20000,G447,DATOS!$G$2:$G$20000,CONFIG_METADATA!$B$4,DATOS!$I$2:$I$20000,"Coro"),""))</f>
        <v/>
      </c>
      <c r="J447" t="str">
        <f>IF(G447="","",IFERROR(AVERAGEIFS(DATOS!$K$2:$K$20000,DATOS!$A$2:$A$20000,G447,DATOS!$G$2:$G$20000,CONFIG_METADATA!$B$4,DATOS!$I$2:$I$20000,"Conjunto"),""))</f>
        <v/>
      </c>
      <c r="K447" t="str" cm="1">
        <f t="array" ref="K447">IF(G447="","",IFERROR(AVERAGE(IF((DATOS!$A$2:$A$20000=G447)*(DATOS!$G$2:$G$20000=CONFIG_METADATA!$B$4)*(DATOS!$I$2:$I$20000&lt;&gt;"Lenguaje Musical")*(DATOS!$I$2:$I$20000&lt;&gt;"Coro")*(DATOS!$I$2:$I$20000&lt;&gt;"Conjunto"),DATOS!$K$2:$K$20000)),""))</f>
        <v/>
      </c>
      <c r="N447" t="str">
        <f>IF(M447="","",IFERROR(AVERAGEIFS(DATOS!$K$2:$K$20000,DATOS!$A$2:$A$20000,M447,DATOS!$G$2:$G$20000,CONFIG_METADATA!$B$4,DATOS!$I$2:$I$20000,"Lenguaje Musical"),""))</f>
        <v/>
      </c>
      <c r="O447" t="str">
        <f>IF(M447="","",IFERROR(AVERAGEIFS(DATOS!$K$2:$K$20000,DATOS!$A$2:$A$20000,M447,DATOS!$G$2:$G$20000,CONFIG_METADATA!$B$4,DATOS!$I$2:$I$20000,"Coro"),""))</f>
        <v/>
      </c>
      <c r="P447" t="str">
        <f>IF(M447="","",IFERROR(AVERAGEIFS(DATOS!$K$2:$K$20000,DATOS!$A$2:$A$20000,M447,DATOS!$G$2:$G$20000,CONFIG_METADATA!$B$4,DATOS!$I$2:$I$20000,"Conjunto"),""))</f>
        <v/>
      </c>
      <c r="Q447" t="str">
        <f>IF(M447="","",IFERROR(AVERAGEIFS(DATOS!$K$2:$K$20000,DATOS!$A$2:$A$20000,M447,DATOS!$G$2:$G$20000,CONFIG_METADATA!$B$4,DATOS!$I$2:$I$20000,"&lt;&gt;Lenguaje Musical",DATOS!$I$2:$I$20000,"&lt;&gt;Coro",DATOS!$I$2:$I$20000,"&lt;&gt;Conjunto"),""))</f>
        <v/>
      </c>
      <c r="T447" t="str">
        <f>IF(S447="","",IFERROR(AVERAGEIFS(DATOS!$K$2:$K$20000,DATOS!$A$2:$A$20000,S447,DATOS!$G$2:$G$20000,CONFIG_METADATA!$B$4,DATOS!$I$2:$I$20000,"Lenguaje Musical"),""))</f>
        <v/>
      </c>
      <c r="U447" t="str">
        <f>IF(S447="","",IFERROR(AVERAGEIFS(DATOS!$K$2:$K$20000,DATOS!$A$2:$A$20000,S447,DATOS!$G$2:$G$20000,CONFIG_METADATA!$B$4,DATOS!$I$2:$I$20000,"Coro"),""))</f>
        <v/>
      </c>
      <c r="V447" t="str">
        <f>IF(S447="","",IFERROR(AVERAGEIFS(DATOS!$K$2:$K$20000,DATOS!$A$2:$A$20000,S447,DATOS!$G$2:$G$20000,CONFIG_METADATA!$B$4,DATOS!$I$2:$I$20000,"Conjunto"),""))</f>
        <v/>
      </c>
      <c r="W447" t="str" cm="1">
        <f t="array" ref="W447">IF(S447="","",IFERROR(AVERAGE(IF((DATOS!$A$2:$A$20000=S447)*(DATOS!$G$2:$G$20000=CONFIG_METADATA!$B$4)*(DATOS!$I$2:$I$20000&lt;&gt;"Lenguaje Musical")*(DATOS!$I$2:$I$20000&lt;&gt;"Coro")*(DATOS!$I$2:$I$20000&lt;&gt;"Conjunto"),DATOS!$K$2:$K$20000)),""))</f>
        <v/>
      </c>
    </row>
    <row r="448" spans="2:23" x14ac:dyDescent="0.2">
      <c r="B448" t="str">
        <f>IF(A448="","",IFERROR(AVERAGEIFS(DATOS!$K$2:$K$20000,DATOS!$A$2:$A$20000,A448,DATOS!$G$2:$G$20000,CONFIG_METADATA!$B$4,DATOS!$I$2:$I$20000,"Lenguaje Musical"),""))</f>
        <v/>
      </c>
      <c r="C448" t="str">
        <f>IF(A448="","",IFERROR(AVERAGEIFS(DATOS!$K$2:$K$20000,DATOS!$A$2:$A$20000,A448,DATOS!$G$2:$G$20000,CONFIG_METADATA!$B$4,DATOS!$I$2:$I$20000,"Coro"),""))</f>
        <v/>
      </c>
      <c r="D448" t="str">
        <f>IF(A448="","",IFERROR(AVERAGEIFS(DATOS!$K$2:$K$20000,DATOS!$A$2:$A$20000,A448,DATOS!$G$2:$G$20000,CONFIG_METADATA!$B$4,DATOS!$I$2:$I$20000,"Conjunto"),""))</f>
        <v/>
      </c>
      <c r="E448" t="str">
        <f>IF(A448="","",IFERROR(AVERAGEIFS(DATOS!$K$2:$K$20000,DATOS!$A$2:$A$20000,A448,DATOS!$G$2:$G$20000,CONFIG_METADATA!$B$4,DATOS!$I$2:$I$20000,"&lt;&gt;Lenguaje Musical",DATOS!$I$2:$I$20000,"&lt;&gt;Coro",DATOS!$I$2:$I$20000,"&lt;&gt;Conjunto"),""))</f>
        <v/>
      </c>
      <c r="H448" t="str">
        <f>IF(G448="","",IFERROR(AVERAGEIFS(DATOS!$K$2:$K$20000,DATOS!$A$2:$A$20000,G448,DATOS!$G$2:$G$20000,CONFIG_METADATA!$B$4,DATOS!$I$2:$I$20000,"Lenguaje Musical"),""))</f>
        <v/>
      </c>
      <c r="I448" t="str">
        <f>IF(G448="","",IFERROR(AVERAGEIFS(DATOS!$K$2:$K$20000,DATOS!$A$2:$A$20000,G448,DATOS!$G$2:$G$20000,CONFIG_METADATA!$B$4,DATOS!$I$2:$I$20000,"Coro"),""))</f>
        <v/>
      </c>
      <c r="J448" t="str">
        <f>IF(G448="","",IFERROR(AVERAGEIFS(DATOS!$K$2:$K$20000,DATOS!$A$2:$A$20000,G448,DATOS!$G$2:$G$20000,CONFIG_METADATA!$B$4,DATOS!$I$2:$I$20000,"Conjunto"),""))</f>
        <v/>
      </c>
      <c r="K448" t="str" cm="1">
        <f t="array" ref="K448">IF(G448="","",IFERROR(AVERAGE(IF((DATOS!$A$2:$A$20000=G448)*(DATOS!$G$2:$G$20000=CONFIG_METADATA!$B$4)*(DATOS!$I$2:$I$20000&lt;&gt;"Lenguaje Musical")*(DATOS!$I$2:$I$20000&lt;&gt;"Coro")*(DATOS!$I$2:$I$20000&lt;&gt;"Conjunto"),DATOS!$K$2:$K$20000)),""))</f>
        <v/>
      </c>
      <c r="N448" t="str">
        <f>IF(M448="","",IFERROR(AVERAGEIFS(DATOS!$K$2:$K$20000,DATOS!$A$2:$A$20000,M448,DATOS!$G$2:$G$20000,CONFIG_METADATA!$B$4,DATOS!$I$2:$I$20000,"Lenguaje Musical"),""))</f>
        <v/>
      </c>
      <c r="O448" t="str">
        <f>IF(M448="","",IFERROR(AVERAGEIFS(DATOS!$K$2:$K$20000,DATOS!$A$2:$A$20000,M448,DATOS!$G$2:$G$20000,CONFIG_METADATA!$B$4,DATOS!$I$2:$I$20000,"Coro"),""))</f>
        <v/>
      </c>
      <c r="P448" t="str">
        <f>IF(M448="","",IFERROR(AVERAGEIFS(DATOS!$K$2:$K$20000,DATOS!$A$2:$A$20000,M448,DATOS!$G$2:$G$20000,CONFIG_METADATA!$B$4,DATOS!$I$2:$I$20000,"Conjunto"),""))</f>
        <v/>
      </c>
      <c r="Q448" t="str">
        <f>IF(M448="","",IFERROR(AVERAGEIFS(DATOS!$K$2:$K$20000,DATOS!$A$2:$A$20000,M448,DATOS!$G$2:$G$20000,CONFIG_METADATA!$B$4,DATOS!$I$2:$I$20000,"&lt;&gt;Lenguaje Musical",DATOS!$I$2:$I$20000,"&lt;&gt;Coro",DATOS!$I$2:$I$20000,"&lt;&gt;Conjunto"),""))</f>
        <v/>
      </c>
      <c r="T448" t="str">
        <f>IF(S448="","",IFERROR(AVERAGEIFS(DATOS!$K$2:$K$20000,DATOS!$A$2:$A$20000,S448,DATOS!$G$2:$G$20000,CONFIG_METADATA!$B$4,DATOS!$I$2:$I$20000,"Lenguaje Musical"),""))</f>
        <v/>
      </c>
      <c r="U448" t="str">
        <f>IF(S448="","",IFERROR(AVERAGEIFS(DATOS!$K$2:$K$20000,DATOS!$A$2:$A$20000,S448,DATOS!$G$2:$G$20000,CONFIG_METADATA!$B$4,DATOS!$I$2:$I$20000,"Coro"),""))</f>
        <v/>
      </c>
      <c r="V448" t="str">
        <f>IF(S448="","",IFERROR(AVERAGEIFS(DATOS!$K$2:$K$20000,DATOS!$A$2:$A$20000,S448,DATOS!$G$2:$G$20000,CONFIG_METADATA!$B$4,DATOS!$I$2:$I$20000,"Conjunto"),""))</f>
        <v/>
      </c>
      <c r="W448" t="str" cm="1">
        <f t="array" ref="W448">IF(S448="","",IFERROR(AVERAGE(IF((DATOS!$A$2:$A$20000=S448)*(DATOS!$G$2:$G$20000=CONFIG_METADATA!$B$4)*(DATOS!$I$2:$I$20000&lt;&gt;"Lenguaje Musical")*(DATOS!$I$2:$I$20000&lt;&gt;"Coro")*(DATOS!$I$2:$I$20000&lt;&gt;"Conjunto"),DATOS!$K$2:$K$20000)),""))</f>
        <v/>
      </c>
    </row>
    <row r="449" spans="2:23" x14ac:dyDescent="0.2">
      <c r="B449" t="str">
        <f>IF(A449="","",IFERROR(AVERAGEIFS(DATOS!$K$2:$K$20000,DATOS!$A$2:$A$20000,A449,DATOS!$G$2:$G$20000,CONFIG_METADATA!$B$4,DATOS!$I$2:$I$20000,"Lenguaje Musical"),""))</f>
        <v/>
      </c>
      <c r="C449" t="str">
        <f>IF(A449="","",IFERROR(AVERAGEIFS(DATOS!$K$2:$K$20000,DATOS!$A$2:$A$20000,A449,DATOS!$G$2:$G$20000,CONFIG_METADATA!$B$4,DATOS!$I$2:$I$20000,"Coro"),""))</f>
        <v/>
      </c>
      <c r="D449" t="str">
        <f>IF(A449="","",IFERROR(AVERAGEIFS(DATOS!$K$2:$K$20000,DATOS!$A$2:$A$20000,A449,DATOS!$G$2:$G$20000,CONFIG_METADATA!$B$4,DATOS!$I$2:$I$20000,"Conjunto"),""))</f>
        <v/>
      </c>
      <c r="E449" t="str">
        <f>IF(A449="","",IFERROR(AVERAGEIFS(DATOS!$K$2:$K$20000,DATOS!$A$2:$A$20000,A449,DATOS!$G$2:$G$20000,CONFIG_METADATA!$B$4,DATOS!$I$2:$I$20000,"&lt;&gt;Lenguaje Musical",DATOS!$I$2:$I$20000,"&lt;&gt;Coro",DATOS!$I$2:$I$20000,"&lt;&gt;Conjunto"),""))</f>
        <v/>
      </c>
      <c r="H449" t="str">
        <f>IF(G449="","",IFERROR(AVERAGEIFS(DATOS!$K$2:$K$20000,DATOS!$A$2:$A$20000,G449,DATOS!$G$2:$G$20000,CONFIG_METADATA!$B$4,DATOS!$I$2:$I$20000,"Lenguaje Musical"),""))</f>
        <v/>
      </c>
      <c r="I449" t="str">
        <f>IF(G449="","",IFERROR(AVERAGEIFS(DATOS!$K$2:$K$20000,DATOS!$A$2:$A$20000,G449,DATOS!$G$2:$G$20000,CONFIG_METADATA!$B$4,DATOS!$I$2:$I$20000,"Coro"),""))</f>
        <v/>
      </c>
      <c r="J449" t="str">
        <f>IF(G449="","",IFERROR(AVERAGEIFS(DATOS!$K$2:$K$20000,DATOS!$A$2:$A$20000,G449,DATOS!$G$2:$G$20000,CONFIG_METADATA!$B$4,DATOS!$I$2:$I$20000,"Conjunto"),""))</f>
        <v/>
      </c>
      <c r="K449" t="str" cm="1">
        <f t="array" ref="K449">IF(G449="","",IFERROR(AVERAGE(IF((DATOS!$A$2:$A$20000=G449)*(DATOS!$G$2:$G$20000=CONFIG_METADATA!$B$4)*(DATOS!$I$2:$I$20000&lt;&gt;"Lenguaje Musical")*(DATOS!$I$2:$I$20000&lt;&gt;"Coro")*(DATOS!$I$2:$I$20000&lt;&gt;"Conjunto"),DATOS!$K$2:$K$20000)),""))</f>
        <v/>
      </c>
      <c r="N449" t="str">
        <f>IF(M449="","",IFERROR(AVERAGEIFS(DATOS!$K$2:$K$20000,DATOS!$A$2:$A$20000,M449,DATOS!$G$2:$G$20000,CONFIG_METADATA!$B$4,DATOS!$I$2:$I$20000,"Lenguaje Musical"),""))</f>
        <v/>
      </c>
      <c r="O449" t="str">
        <f>IF(M449="","",IFERROR(AVERAGEIFS(DATOS!$K$2:$K$20000,DATOS!$A$2:$A$20000,M449,DATOS!$G$2:$G$20000,CONFIG_METADATA!$B$4,DATOS!$I$2:$I$20000,"Coro"),""))</f>
        <v/>
      </c>
      <c r="P449" t="str">
        <f>IF(M449="","",IFERROR(AVERAGEIFS(DATOS!$K$2:$K$20000,DATOS!$A$2:$A$20000,M449,DATOS!$G$2:$G$20000,CONFIG_METADATA!$B$4,DATOS!$I$2:$I$20000,"Conjunto"),""))</f>
        <v/>
      </c>
      <c r="Q449" t="str">
        <f>IF(M449="","",IFERROR(AVERAGEIFS(DATOS!$K$2:$K$20000,DATOS!$A$2:$A$20000,M449,DATOS!$G$2:$G$20000,CONFIG_METADATA!$B$4,DATOS!$I$2:$I$20000,"&lt;&gt;Lenguaje Musical",DATOS!$I$2:$I$20000,"&lt;&gt;Coro",DATOS!$I$2:$I$20000,"&lt;&gt;Conjunto"),""))</f>
        <v/>
      </c>
      <c r="T449" t="str">
        <f>IF(S449="","",IFERROR(AVERAGEIFS(DATOS!$K$2:$K$20000,DATOS!$A$2:$A$20000,S449,DATOS!$G$2:$G$20000,CONFIG_METADATA!$B$4,DATOS!$I$2:$I$20000,"Lenguaje Musical"),""))</f>
        <v/>
      </c>
      <c r="U449" t="str">
        <f>IF(S449="","",IFERROR(AVERAGEIFS(DATOS!$K$2:$K$20000,DATOS!$A$2:$A$20000,S449,DATOS!$G$2:$G$20000,CONFIG_METADATA!$B$4,DATOS!$I$2:$I$20000,"Coro"),""))</f>
        <v/>
      </c>
      <c r="V449" t="str">
        <f>IF(S449="","",IFERROR(AVERAGEIFS(DATOS!$K$2:$K$20000,DATOS!$A$2:$A$20000,S449,DATOS!$G$2:$G$20000,CONFIG_METADATA!$B$4,DATOS!$I$2:$I$20000,"Conjunto"),""))</f>
        <v/>
      </c>
      <c r="W449" t="str" cm="1">
        <f t="array" ref="W449">IF(S449="","",IFERROR(AVERAGE(IF((DATOS!$A$2:$A$20000=S449)*(DATOS!$G$2:$G$20000=CONFIG_METADATA!$B$4)*(DATOS!$I$2:$I$20000&lt;&gt;"Lenguaje Musical")*(DATOS!$I$2:$I$20000&lt;&gt;"Coro")*(DATOS!$I$2:$I$20000&lt;&gt;"Conjunto"),DATOS!$K$2:$K$20000)),""))</f>
        <v/>
      </c>
    </row>
    <row r="450" spans="2:23" x14ac:dyDescent="0.2">
      <c r="B450" t="str">
        <f>IF(A450="","",IFERROR(AVERAGEIFS(DATOS!$K$2:$K$20000,DATOS!$A$2:$A$20000,A450,DATOS!$G$2:$G$20000,CONFIG_METADATA!$B$4,DATOS!$I$2:$I$20000,"Lenguaje Musical"),""))</f>
        <v/>
      </c>
      <c r="C450" t="str">
        <f>IF(A450="","",IFERROR(AVERAGEIFS(DATOS!$K$2:$K$20000,DATOS!$A$2:$A$20000,A450,DATOS!$G$2:$G$20000,CONFIG_METADATA!$B$4,DATOS!$I$2:$I$20000,"Coro"),""))</f>
        <v/>
      </c>
      <c r="D450" t="str">
        <f>IF(A450="","",IFERROR(AVERAGEIFS(DATOS!$K$2:$K$20000,DATOS!$A$2:$A$20000,A450,DATOS!$G$2:$G$20000,CONFIG_METADATA!$B$4,DATOS!$I$2:$I$20000,"Conjunto"),""))</f>
        <v/>
      </c>
      <c r="E450" t="str">
        <f>IF(A450="","",IFERROR(AVERAGEIFS(DATOS!$K$2:$K$20000,DATOS!$A$2:$A$20000,A450,DATOS!$G$2:$G$20000,CONFIG_METADATA!$B$4,DATOS!$I$2:$I$20000,"&lt;&gt;Lenguaje Musical",DATOS!$I$2:$I$20000,"&lt;&gt;Coro",DATOS!$I$2:$I$20000,"&lt;&gt;Conjunto"),""))</f>
        <v/>
      </c>
      <c r="H450" t="str">
        <f>IF(G450="","",IFERROR(AVERAGEIFS(DATOS!$K$2:$K$20000,DATOS!$A$2:$A$20000,G450,DATOS!$G$2:$G$20000,CONFIG_METADATA!$B$4,DATOS!$I$2:$I$20000,"Lenguaje Musical"),""))</f>
        <v/>
      </c>
      <c r="I450" t="str">
        <f>IF(G450="","",IFERROR(AVERAGEIFS(DATOS!$K$2:$K$20000,DATOS!$A$2:$A$20000,G450,DATOS!$G$2:$G$20000,CONFIG_METADATA!$B$4,DATOS!$I$2:$I$20000,"Coro"),""))</f>
        <v/>
      </c>
      <c r="J450" t="str">
        <f>IF(G450="","",IFERROR(AVERAGEIFS(DATOS!$K$2:$K$20000,DATOS!$A$2:$A$20000,G450,DATOS!$G$2:$G$20000,CONFIG_METADATA!$B$4,DATOS!$I$2:$I$20000,"Conjunto"),""))</f>
        <v/>
      </c>
      <c r="K450" t="str" cm="1">
        <f t="array" ref="K450">IF(G450="","",IFERROR(AVERAGE(IF((DATOS!$A$2:$A$20000=G450)*(DATOS!$G$2:$G$20000=CONFIG_METADATA!$B$4)*(DATOS!$I$2:$I$20000&lt;&gt;"Lenguaje Musical")*(DATOS!$I$2:$I$20000&lt;&gt;"Coro")*(DATOS!$I$2:$I$20000&lt;&gt;"Conjunto"),DATOS!$K$2:$K$20000)),""))</f>
        <v/>
      </c>
      <c r="N450" t="str">
        <f>IF(M450="","",IFERROR(AVERAGEIFS(DATOS!$K$2:$K$20000,DATOS!$A$2:$A$20000,M450,DATOS!$G$2:$G$20000,CONFIG_METADATA!$B$4,DATOS!$I$2:$I$20000,"Lenguaje Musical"),""))</f>
        <v/>
      </c>
      <c r="O450" t="str">
        <f>IF(M450="","",IFERROR(AVERAGEIFS(DATOS!$K$2:$K$20000,DATOS!$A$2:$A$20000,M450,DATOS!$G$2:$G$20000,CONFIG_METADATA!$B$4,DATOS!$I$2:$I$20000,"Coro"),""))</f>
        <v/>
      </c>
      <c r="P450" t="str">
        <f>IF(M450="","",IFERROR(AVERAGEIFS(DATOS!$K$2:$K$20000,DATOS!$A$2:$A$20000,M450,DATOS!$G$2:$G$20000,CONFIG_METADATA!$B$4,DATOS!$I$2:$I$20000,"Conjunto"),""))</f>
        <v/>
      </c>
      <c r="Q450" t="str">
        <f>IF(M450="","",IFERROR(AVERAGEIFS(DATOS!$K$2:$K$20000,DATOS!$A$2:$A$20000,M450,DATOS!$G$2:$G$20000,CONFIG_METADATA!$B$4,DATOS!$I$2:$I$20000,"&lt;&gt;Lenguaje Musical",DATOS!$I$2:$I$20000,"&lt;&gt;Coro",DATOS!$I$2:$I$20000,"&lt;&gt;Conjunto"),""))</f>
        <v/>
      </c>
      <c r="T450" t="str">
        <f>IF(S450="","",IFERROR(AVERAGEIFS(DATOS!$K$2:$K$20000,DATOS!$A$2:$A$20000,S450,DATOS!$G$2:$G$20000,CONFIG_METADATA!$B$4,DATOS!$I$2:$I$20000,"Lenguaje Musical"),""))</f>
        <v/>
      </c>
      <c r="U450" t="str">
        <f>IF(S450="","",IFERROR(AVERAGEIFS(DATOS!$K$2:$K$20000,DATOS!$A$2:$A$20000,S450,DATOS!$G$2:$G$20000,CONFIG_METADATA!$B$4,DATOS!$I$2:$I$20000,"Coro"),""))</f>
        <v/>
      </c>
      <c r="V450" t="str">
        <f>IF(S450="","",IFERROR(AVERAGEIFS(DATOS!$K$2:$K$20000,DATOS!$A$2:$A$20000,S450,DATOS!$G$2:$G$20000,CONFIG_METADATA!$B$4,DATOS!$I$2:$I$20000,"Conjunto"),""))</f>
        <v/>
      </c>
      <c r="W450" t="str" cm="1">
        <f t="array" ref="W450">IF(S450="","",IFERROR(AVERAGE(IF((DATOS!$A$2:$A$20000=S450)*(DATOS!$G$2:$G$20000=CONFIG_METADATA!$B$4)*(DATOS!$I$2:$I$20000&lt;&gt;"Lenguaje Musical")*(DATOS!$I$2:$I$20000&lt;&gt;"Coro")*(DATOS!$I$2:$I$20000&lt;&gt;"Conjunto"),DATOS!$K$2:$K$20000)),""))</f>
        <v/>
      </c>
    </row>
    <row r="451" spans="2:23" x14ac:dyDescent="0.2">
      <c r="B451" t="str">
        <f>IF(A451="","",IFERROR(AVERAGEIFS(DATOS!$K$2:$K$20000,DATOS!$A$2:$A$20000,A451,DATOS!$G$2:$G$20000,CONFIG_METADATA!$B$4,DATOS!$I$2:$I$20000,"Lenguaje Musical"),""))</f>
        <v/>
      </c>
      <c r="C451" t="str">
        <f>IF(A451="","",IFERROR(AVERAGEIFS(DATOS!$K$2:$K$20000,DATOS!$A$2:$A$20000,A451,DATOS!$G$2:$G$20000,CONFIG_METADATA!$B$4,DATOS!$I$2:$I$20000,"Coro"),""))</f>
        <v/>
      </c>
      <c r="D451" t="str">
        <f>IF(A451="","",IFERROR(AVERAGEIFS(DATOS!$K$2:$K$20000,DATOS!$A$2:$A$20000,A451,DATOS!$G$2:$G$20000,CONFIG_METADATA!$B$4,DATOS!$I$2:$I$20000,"Conjunto"),""))</f>
        <v/>
      </c>
      <c r="E451" t="str">
        <f>IF(A451="","",IFERROR(AVERAGEIFS(DATOS!$K$2:$K$20000,DATOS!$A$2:$A$20000,A451,DATOS!$G$2:$G$20000,CONFIG_METADATA!$B$4,DATOS!$I$2:$I$20000,"&lt;&gt;Lenguaje Musical",DATOS!$I$2:$I$20000,"&lt;&gt;Coro",DATOS!$I$2:$I$20000,"&lt;&gt;Conjunto"),""))</f>
        <v/>
      </c>
      <c r="H451" t="str">
        <f>IF(G451="","",IFERROR(AVERAGEIFS(DATOS!$K$2:$K$20000,DATOS!$A$2:$A$20000,G451,DATOS!$G$2:$G$20000,CONFIG_METADATA!$B$4,DATOS!$I$2:$I$20000,"Lenguaje Musical"),""))</f>
        <v/>
      </c>
      <c r="I451" t="str">
        <f>IF(G451="","",IFERROR(AVERAGEIFS(DATOS!$K$2:$K$20000,DATOS!$A$2:$A$20000,G451,DATOS!$G$2:$G$20000,CONFIG_METADATA!$B$4,DATOS!$I$2:$I$20000,"Coro"),""))</f>
        <v/>
      </c>
      <c r="J451" t="str">
        <f>IF(G451="","",IFERROR(AVERAGEIFS(DATOS!$K$2:$K$20000,DATOS!$A$2:$A$20000,G451,DATOS!$G$2:$G$20000,CONFIG_METADATA!$B$4,DATOS!$I$2:$I$20000,"Conjunto"),""))</f>
        <v/>
      </c>
      <c r="K451" t="str" cm="1">
        <f t="array" ref="K451">IF(G451="","",IFERROR(AVERAGE(IF((DATOS!$A$2:$A$20000=G451)*(DATOS!$G$2:$G$20000=CONFIG_METADATA!$B$4)*(DATOS!$I$2:$I$20000&lt;&gt;"Lenguaje Musical")*(DATOS!$I$2:$I$20000&lt;&gt;"Coro")*(DATOS!$I$2:$I$20000&lt;&gt;"Conjunto"),DATOS!$K$2:$K$20000)),""))</f>
        <v/>
      </c>
      <c r="N451" t="str">
        <f>IF(M451="","",IFERROR(AVERAGEIFS(DATOS!$K$2:$K$20000,DATOS!$A$2:$A$20000,M451,DATOS!$G$2:$G$20000,CONFIG_METADATA!$B$4,DATOS!$I$2:$I$20000,"Lenguaje Musical"),""))</f>
        <v/>
      </c>
      <c r="O451" t="str">
        <f>IF(M451="","",IFERROR(AVERAGEIFS(DATOS!$K$2:$K$20000,DATOS!$A$2:$A$20000,M451,DATOS!$G$2:$G$20000,CONFIG_METADATA!$B$4,DATOS!$I$2:$I$20000,"Coro"),""))</f>
        <v/>
      </c>
      <c r="P451" t="str">
        <f>IF(M451="","",IFERROR(AVERAGEIFS(DATOS!$K$2:$K$20000,DATOS!$A$2:$A$20000,M451,DATOS!$G$2:$G$20000,CONFIG_METADATA!$B$4,DATOS!$I$2:$I$20000,"Conjunto"),""))</f>
        <v/>
      </c>
      <c r="Q451" t="str">
        <f>IF(M451="","",IFERROR(AVERAGEIFS(DATOS!$K$2:$K$20000,DATOS!$A$2:$A$20000,M451,DATOS!$G$2:$G$20000,CONFIG_METADATA!$B$4,DATOS!$I$2:$I$20000,"&lt;&gt;Lenguaje Musical",DATOS!$I$2:$I$20000,"&lt;&gt;Coro",DATOS!$I$2:$I$20000,"&lt;&gt;Conjunto"),""))</f>
        <v/>
      </c>
      <c r="T451" t="str">
        <f>IF(S451="","",IFERROR(AVERAGEIFS(DATOS!$K$2:$K$20000,DATOS!$A$2:$A$20000,S451,DATOS!$G$2:$G$20000,CONFIG_METADATA!$B$4,DATOS!$I$2:$I$20000,"Lenguaje Musical"),""))</f>
        <v/>
      </c>
      <c r="U451" t="str">
        <f>IF(S451="","",IFERROR(AVERAGEIFS(DATOS!$K$2:$K$20000,DATOS!$A$2:$A$20000,S451,DATOS!$G$2:$G$20000,CONFIG_METADATA!$B$4,DATOS!$I$2:$I$20000,"Coro"),""))</f>
        <v/>
      </c>
      <c r="V451" t="str">
        <f>IF(S451="","",IFERROR(AVERAGEIFS(DATOS!$K$2:$K$20000,DATOS!$A$2:$A$20000,S451,DATOS!$G$2:$G$20000,CONFIG_METADATA!$B$4,DATOS!$I$2:$I$20000,"Conjunto"),""))</f>
        <v/>
      </c>
      <c r="W451" t="str" cm="1">
        <f t="array" ref="W451">IF(S451="","",IFERROR(AVERAGE(IF((DATOS!$A$2:$A$20000=S451)*(DATOS!$G$2:$G$20000=CONFIG_METADATA!$B$4)*(DATOS!$I$2:$I$20000&lt;&gt;"Lenguaje Musical")*(DATOS!$I$2:$I$20000&lt;&gt;"Coro")*(DATOS!$I$2:$I$20000&lt;&gt;"Conjunto"),DATOS!$K$2:$K$20000)),""))</f>
        <v/>
      </c>
    </row>
    <row r="452" spans="2:23" x14ac:dyDescent="0.2">
      <c r="B452" t="str">
        <f>IF(A452="","",IFERROR(AVERAGEIFS(DATOS!$K$2:$K$20000,DATOS!$A$2:$A$20000,A452,DATOS!$G$2:$G$20000,CONFIG_METADATA!$B$4,DATOS!$I$2:$I$20000,"Lenguaje Musical"),""))</f>
        <v/>
      </c>
      <c r="C452" t="str">
        <f>IF(A452="","",IFERROR(AVERAGEIFS(DATOS!$K$2:$K$20000,DATOS!$A$2:$A$20000,A452,DATOS!$G$2:$G$20000,CONFIG_METADATA!$B$4,DATOS!$I$2:$I$20000,"Coro"),""))</f>
        <v/>
      </c>
      <c r="D452" t="str">
        <f>IF(A452="","",IFERROR(AVERAGEIFS(DATOS!$K$2:$K$20000,DATOS!$A$2:$A$20000,A452,DATOS!$G$2:$G$20000,CONFIG_METADATA!$B$4,DATOS!$I$2:$I$20000,"Conjunto"),""))</f>
        <v/>
      </c>
      <c r="E452" t="str">
        <f>IF(A452="","",IFERROR(AVERAGEIFS(DATOS!$K$2:$K$20000,DATOS!$A$2:$A$20000,A452,DATOS!$G$2:$G$20000,CONFIG_METADATA!$B$4,DATOS!$I$2:$I$20000,"&lt;&gt;Lenguaje Musical",DATOS!$I$2:$I$20000,"&lt;&gt;Coro",DATOS!$I$2:$I$20000,"&lt;&gt;Conjunto"),""))</f>
        <v/>
      </c>
      <c r="H452" t="str">
        <f>IF(G452="","",IFERROR(AVERAGEIFS(DATOS!$K$2:$K$20000,DATOS!$A$2:$A$20000,G452,DATOS!$G$2:$G$20000,CONFIG_METADATA!$B$4,DATOS!$I$2:$I$20000,"Lenguaje Musical"),""))</f>
        <v/>
      </c>
      <c r="I452" t="str">
        <f>IF(G452="","",IFERROR(AVERAGEIFS(DATOS!$K$2:$K$20000,DATOS!$A$2:$A$20000,G452,DATOS!$G$2:$G$20000,CONFIG_METADATA!$B$4,DATOS!$I$2:$I$20000,"Coro"),""))</f>
        <v/>
      </c>
      <c r="J452" t="str">
        <f>IF(G452="","",IFERROR(AVERAGEIFS(DATOS!$K$2:$K$20000,DATOS!$A$2:$A$20000,G452,DATOS!$G$2:$G$20000,CONFIG_METADATA!$B$4,DATOS!$I$2:$I$20000,"Conjunto"),""))</f>
        <v/>
      </c>
      <c r="K452" t="str" cm="1">
        <f t="array" ref="K452">IF(G452="","",IFERROR(AVERAGE(IF((DATOS!$A$2:$A$20000=G452)*(DATOS!$G$2:$G$20000=CONFIG_METADATA!$B$4)*(DATOS!$I$2:$I$20000&lt;&gt;"Lenguaje Musical")*(DATOS!$I$2:$I$20000&lt;&gt;"Coro")*(DATOS!$I$2:$I$20000&lt;&gt;"Conjunto"),DATOS!$K$2:$K$20000)),""))</f>
        <v/>
      </c>
      <c r="N452" t="str">
        <f>IF(M452="","",IFERROR(AVERAGEIFS(DATOS!$K$2:$K$20000,DATOS!$A$2:$A$20000,M452,DATOS!$G$2:$G$20000,CONFIG_METADATA!$B$4,DATOS!$I$2:$I$20000,"Lenguaje Musical"),""))</f>
        <v/>
      </c>
      <c r="O452" t="str">
        <f>IF(M452="","",IFERROR(AVERAGEIFS(DATOS!$K$2:$K$20000,DATOS!$A$2:$A$20000,M452,DATOS!$G$2:$G$20000,CONFIG_METADATA!$B$4,DATOS!$I$2:$I$20000,"Coro"),""))</f>
        <v/>
      </c>
      <c r="P452" t="str">
        <f>IF(M452="","",IFERROR(AVERAGEIFS(DATOS!$K$2:$K$20000,DATOS!$A$2:$A$20000,M452,DATOS!$G$2:$G$20000,CONFIG_METADATA!$B$4,DATOS!$I$2:$I$20000,"Conjunto"),""))</f>
        <v/>
      </c>
      <c r="Q452" t="str">
        <f>IF(M452="","",IFERROR(AVERAGEIFS(DATOS!$K$2:$K$20000,DATOS!$A$2:$A$20000,M452,DATOS!$G$2:$G$20000,CONFIG_METADATA!$B$4,DATOS!$I$2:$I$20000,"&lt;&gt;Lenguaje Musical",DATOS!$I$2:$I$20000,"&lt;&gt;Coro",DATOS!$I$2:$I$20000,"&lt;&gt;Conjunto"),""))</f>
        <v/>
      </c>
      <c r="T452" t="str">
        <f>IF(S452="","",IFERROR(AVERAGEIFS(DATOS!$K$2:$K$20000,DATOS!$A$2:$A$20000,S452,DATOS!$G$2:$G$20000,CONFIG_METADATA!$B$4,DATOS!$I$2:$I$20000,"Lenguaje Musical"),""))</f>
        <v/>
      </c>
      <c r="U452" t="str">
        <f>IF(S452="","",IFERROR(AVERAGEIFS(DATOS!$K$2:$K$20000,DATOS!$A$2:$A$20000,S452,DATOS!$G$2:$G$20000,CONFIG_METADATA!$B$4,DATOS!$I$2:$I$20000,"Coro"),""))</f>
        <v/>
      </c>
      <c r="V452" t="str">
        <f>IF(S452="","",IFERROR(AVERAGEIFS(DATOS!$K$2:$K$20000,DATOS!$A$2:$A$20000,S452,DATOS!$G$2:$G$20000,CONFIG_METADATA!$B$4,DATOS!$I$2:$I$20000,"Conjunto"),""))</f>
        <v/>
      </c>
      <c r="W452" t="str" cm="1">
        <f t="array" ref="W452">IF(S452="","",IFERROR(AVERAGE(IF((DATOS!$A$2:$A$20000=S452)*(DATOS!$G$2:$G$20000=CONFIG_METADATA!$B$4)*(DATOS!$I$2:$I$20000&lt;&gt;"Lenguaje Musical")*(DATOS!$I$2:$I$20000&lt;&gt;"Coro")*(DATOS!$I$2:$I$20000&lt;&gt;"Conjunto"),DATOS!$K$2:$K$20000)),""))</f>
        <v/>
      </c>
    </row>
    <row r="453" spans="2:23" x14ac:dyDescent="0.2">
      <c r="B453" t="str">
        <f>IF(A453="","",IFERROR(AVERAGEIFS(DATOS!$K$2:$K$20000,DATOS!$A$2:$A$20000,A453,DATOS!$G$2:$G$20000,CONFIG_METADATA!$B$4,DATOS!$I$2:$I$20000,"Lenguaje Musical"),""))</f>
        <v/>
      </c>
      <c r="C453" t="str">
        <f>IF(A453="","",IFERROR(AVERAGEIFS(DATOS!$K$2:$K$20000,DATOS!$A$2:$A$20000,A453,DATOS!$G$2:$G$20000,CONFIG_METADATA!$B$4,DATOS!$I$2:$I$20000,"Coro"),""))</f>
        <v/>
      </c>
      <c r="D453" t="str">
        <f>IF(A453="","",IFERROR(AVERAGEIFS(DATOS!$K$2:$K$20000,DATOS!$A$2:$A$20000,A453,DATOS!$G$2:$G$20000,CONFIG_METADATA!$B$4,DATOS!$I$2:$I$20000,"Conjunto"),""))</f>
        <v/>
      </c>
      <c r="E453" t="str">
        <f>IF(A453="","",IFERROR(AVERAGEIFS(DATOS!$K$2:$K$20000,DATOS!$A$2:$A$20000,A453,DATOS!$G$2:$G$20000,CONFIG_METADATA!$B$4,DATOS!$I$2:$I$20000,"&lt;&gt;Lenguaje Musical",DATOS!$I$2:$I$20000,"&lt;&gt;Coro",DATOS!$I$2:$I$20000,"&lt;&gt;Conjunto"),""))</f>
        <v/>
      </c>
      <c r="H453" t="str">
        <f>IF(G453="","",IFERROR(AVERAGEIFS(DATOS!$K$2:$K$20000,DATOS!$A$2:$A$20000,G453,DATOS!$G$2:$G$20000,CONFIG_METADATA!$B$4,DATOS!$I$2:$I$20000,"Lenguaje Musical"),""))</f>
        <v/>
      </c>
      <c r="I453" t="str">
        <f>IF(G453="","",IFERROR(AVERAGEIFS(DATOS!$K$2:$K$20000,DATOS!$A$2:$A$20000,G453,DATOS!$G$2:$G$20000,CONFIG_METADATA!$B$4,DATOS!$I$2:$I$20000,"Coro"),""))</f>
        <v/>
      </c>
      <c r="J453" t="str">
        <f>IF(G453="","",IFERROR(AVERAGEIFS(DATOS!$K$2:$K$20000,DATOS!$A$2:$A$20000,G453,DATOS!$G$2:$G$20000,CONFIG_METADATA!$B$4,DATOS!$I$2:$I$20000,"Conjunto"),""))</f>
        <v/>
      </c>
      <c r="K453" t="str" cm="1">
        <f t="array" ref="K453">IF(G453="","",IFERROR(AVERAGE(IF((DATOS!$A$2:$A$20000=G453)*(DATOS!$G$2:$G$20000=CONFIG_METADATA!$B$4)*(DATOS!$I$2:$I$20000&lt;&gt;"Lenguaje Musical")*(DATOS!$I$2:$I$20000&lt;&gt;"Coro")*(DATOS!$I$2:$I$20000&lt;&gt;"Conjunto"),DATOS!$K$2:$K$20000)),""))</f>
        <v/>
      </c>
      <c r="N453" t="str">
        <f>IF(M453="","",IFERROR(AVERAGEIFS(DATOS!$K$2:$K$20000,DATOS!$A$2:$A$20000,M453,DATOS!$G$2:$G$20000,CONFIG_METADATA!$B$4,DATOS!$I$2:$I$20000,"Lenguaje Musical"),""))</f>
        <v/>
      </c>
      <c r="O453" t="str">
        <f>IF(M453="","",IFERROR(AVERAGEIFS(DATOS!$K$2:$K$20000,DATOS!$A$2:$A$20000,M453,DATOS!$G$2:$G$20000,CONFIG_METADATA!$B$4,DATOS!$I$2:$I$20000,"Coro"),""))</f>
        <v/>
      </c>
      <c r="P453" t="str">
        <f>IF(M453="","",IFERROR(AVERAGEIFS(DATOS!$K$2:$K$20000,DATOS!$A$2:$A$20000,M453,DATOS!$G$2:$G$20000,CONFIG_METADATA!$B$4,DATOS!$I$2:$I$20000,"Conjunto"),""))</f>
        <v/>
      </c>
      <c r="Q453" t="str">
        <f>IF(M453="","",IFERROR(AVERAGEIFS(DATOS!$K$2:$K$20000,DATOS!$A$2:$A$20000,M453,DATOS!$G$2:$G$20000,CONFIG_METADATA!$B$4,DATOS!$I$2:$I$20000,"&lt;&gt;Lenguaje Musical",DATOS!$I$2:$I$20000,"&lt;&gt;Coro",DATOS!$I$2:$I$20000,"&lt;&gt;Conjunto"),""))</f>
        <v/>
      </c>
      <c r="T453" t="str">
        <f>IF(S453="","",IFERROR(AVERAGEIFS(DATOS!$K$2:$K$20000,DATOS!$A$2:$A$20000,S453,DATOS!$G$2:$G$20000,CONFIG_METADATA!$B$4,DATOS!$I$2:$I$20000,"Lenguaje Musical"),""))</f>
        <v/>
      </c>
      <c r="U453" t="str">
        <f>IF(S453="","",IFERROR(AVERAGEIFS(DATOS!$K$2:$K$20000,DATOS!$A$2:$A$20000,S453,DATOS!$G$2:$G$20000,CONFIG_METADATA!$B$4,DATOS!$I$2:$I$20000,"Coro"),""))</f>
        <v/>
      </c>
      <c r="V453" t="str">
        <f>IF(S453="","",IFERROR(AVERAGEIFS(DATOS!$K$2:$K$20000,DATOS!$A$2:$A$20000,S453,DATOS!$G$2:$G$20000,CONFIG_METADATA!$B$4,DATOS!$I$2:$I$20000,"Conjunto"),""))</f>
        <v/>
      </c>
      <c r="W453" t="str" cm="1">
        <f t="array" ref="W453">IF(S453="","",IFERROR(AVERAGE(IF((DATOS!$A$2:$A$20000=S453)*(DATOS!$G$2:$G$20000=CONFIG_METADATA!$B$4)*(DATOS!$I$2:$I$20000&lt;&gt;"Lenguaje Musical")*(DATOS!$I$2:$I$20000&lt;&gt;"Coro")*(DATOS!$I$2:$I$20000&lt;&gt;"Conjunto"),DATOS!$K$2:$K$20000)),""))</f>
        <v/>
      </c>
    </row>
    <row r="454" spans="2:23" x14ac:dyDescent="0.2">
      <c r="B454" t="str">
        <f>IF(A454="","",IFERROR(AVERAGEIFS(DATOS!$K$2:$K$20000,DATOS!$A$2:$A$20000,A454,DATOS!$G$2:$G$20000,CONFIG_METADATA!$B$4,DATOS!$I$2:$I$20000,"Lenguaje Musical"),""))</f>
        <v/>
      </c>
      <c r="C454" t="str">
        <f>IF(A454="","",IFERROR(AVERAGEIFS(DATOS!$K$2:$K$20000,DATOS!$A$2:$A$20000,A454,DATOS!$G$2:$G$20000,CONFIG_METADATA!$B$4,DATOS!$I$2:$I$20000,"Coro"),""))</f>
        <v/>
      </c>
      <c r="D454" t="str">
        <f>IF(A454="","",IFERROR(AVERAGEIFS(DATOS!$K$2:$K$20000,DATOS!$A$2:$A$20000,A454,DATOS!$G$2:$G$20000,CONFIG_METADATA!$B$4,DATOS!$I$2:$I$20000,"Conjunto"),""))</f>
        <v/>
      </c>
      <c r="E454" t="str">
        <f>IF(A454="","",IFERROR(AVERAGEIFS(DATOS!$K$2:$K$20000,DATOS!$A$2:$A$20000,A454,DATOS!$G$2:$G$20000,CONFIG_METADATA!$B$4,DATOS!$I$2:$I$20000,"&lt;&gt;Lenguaje Musical",DATOS!$I$2:$I$20000,"&lt;&gt;Coro",DATOS!$I$2:$I$20000,"&lt;&gt;Conjunto"),""))</f>
        <v/>
      </c>
      <c r="H454" t="str">
        <f>IF(G454="","",IFERROR(AVERAGEIFS(DATOS!$K$2:$K$20000,DATOS!$A$2:$A$20000,G454,DATOS!$G$2:$G$20000,CONFIG_METADATA!$B$4,DATOS!$I$2:$I$20000,"Lenguaje Musical"),""))</f>
        <v/>
      </c>
      <c r="I454" t="str">
        <f>IF(G454="","",IFERROR(AVERAGEIFS(DATOS!$K$2:$K$20000,DATOS!$A$2:$A$20000,G454,DATOS!$G$2:$G$20000,CONFIG_METADATA!$B$4,DATOS!$I$2:$I$20000,"Coro"),""))</f>
        <v/>
      </c>
      <c r="J454" t="str">
        <f>IF(G454="","",IFERROR(AVERAGEIFS(DATOS!$K$2:$K$20000,DATOS!$A$2:$A$20000,G454,DATOS!$G$2:$G$20000,CONFIG_METADATA!$B$4,DATOS!$I$2:$I$20000,"Conjunto"),""))</f>
        <v/>
      </c>
      <c r="K454" t="str" cm="1">
        <f t="array" ref="K454">IF(G454="","",IFERROR(AVERAGE(IF((DATOS!$A$2:$A$20000=G454)*(DATOS!$G$2:$G$20000=CONFIG_METADATA!$B$4)*(DATOS!$I$2:$I$20000&lt;&gt;"Lenguaje Musical")*(DATOS!$I$2:$I$20000&lt;&gt;"Coro")*(DATOS!$I$2:$I$20000&lt;&gt;"Conjunto"),DATOS!$K$2:$K$20000)),""))</f>
        <v/>
      </c>
      <c r="N454" t="str">
        <f>IF(M454="","",IFERROR(AVERAGEIFS(DATOS!$K$2:$K$20000,DATOS!$A$2:$A$20000,M454,DATOS!$G$2:$G$20000,CONFIG_METADATA!$B$4,DATOS!$I$2:$I$20000,"Lenguaje Musical"),""))</f>
        <v/>
      </c>
      <c r="O454" t="str">
        <f>IF(M454="","",IFERROR(AVERAGEIFS(DATOS!$K$2:$K$20000,DATOS!$A$2:$A$20000,M454,DATOS!$G$2:$G$20000,CONFIG_METADATA!$B$4,DATOS!$I$2:$I$20000,"Coro"),""))</f>
        <v/>
      </c>
      <c r="P454" t="str">
        <f>IF(M454="","",IFERROR(AVERAGEIFS(DATOS!$K$2:$K$20000,DATOS!$A$2:$A$20000,M454,DATOS!$G$2:$G$20000,CONFIG_METADATA!$B$4,DATOS!$I$2:$I$20000,"Conjunto"),""))</f>
        <v/>
      </c>
      <c r="Q454" t="str">
        <f>IF(M454="","",IFERROR(AVERAGEIFS(DATOS!$K$2:$K$20000,DATOS!$A$2:$A$20000,M454,DATOS!$G$2:$G$20000,CONFIG_METADATA!$B$4,DATOS!$I$2:$I$20000,"&lt;&gt;Lenguaje Musical",DATOS!$I$2:$I$20000,"&lt;&gt;Coro",DATOS!$I$2:$I$20000,"&lt;&gt;Conjunto"),""))</f>
        <v/>
      </c>
      <c r="T454" t="str">
        <f>IF(S454="","",IFERROR(AVERAGEIFS(DATOS!$K$2:$K$20000,DATOS!$A$2:$A$20000,S454,DATOS!$G$2:$G$20000,CONFIG_METADATA!$B$4,DATOS!$I$2:$I$20000,"Lenguaje Musical"),""))</f>
        <v/>
      </c>
      <c r="U454" t="str">
        <f>IF(S454="","",IFERROR(AVERAGEIFS(DATOS!$K$2:$K$20000,DATOS!$A$2:$A$20000,S454,DATOS!$G$2:$G$20000,CONFIG_METADATA!$B$4,DATOS!$I$2:$I$20000,"Coro"),""))</f>
        <v/>
      </c>
      <c r="V454" t="str">
        <f>IF(S454="","",IFERROR(AVERAGEIFS(DATOS!$K$2:$K$20000,DATOS!$A$2:$A$20000,S454,DATOS!$G$2:$G$20000,CONFIG_METADATA!$B$4,DATOS!$I$2:$I$20000,"Conjunto"),""))</f>
        <v/>
      </c>
      <c r="W454" t="str" cm="1">
        <f t="array" ref="W454">IF(S454="","",IFERROR(AVERAGE(IF((DATOS!$A$2:$A$20000=S454)*(DATOS!$G$2:$G$20000=CONFIG_METADATA!$B$4)*(DATOS!$I$2:$I$20000&lt;&gt;"Lenguaje Musical")*(DATOS!$I$2:$I$20000&lt;&gt;"Coro")*(DATOS!$I$2:$I$20000&lt;&gt;"Conjunto"),DATOS!$K$2:$K$20000)),""))</f>
        <v/>
      </c>
    </row>
    <row r="455" spans="2:23" x14ac:dyDescent="0.2">
      <c r="B455" t="str">
        <f>IF(A455="","",IFERROR(AVERAGEIFS(DATOS!$K$2:$K$20000,DATOS!$A$2:$A$20000,A455,DATOS!$G$2:$G$20000,CONFIG_METADATA!$B$4,DATOS!$I$2:$I$20000,"Lenguaje Musical"),""))</f>
        <v/>
      </c>
      <c r="C455" t="str">
        <f>IF(A455="","",IFERROR(AVERAGEIFS(DATOS!$K$2:$K$20000,DATOS!$A$2:$A$20000,A455,DATOS!$G$2:$G$20000,CONFIG_METADATA!$B$4,DATOS!$I$2:$I$20000,"Coro"),""))</f>
        <v/>
      </c>
      <c r="D455" t="str">
        <f>IF(A455="","",IFERROR(AVERAGEIFS(DATOS!$K$2:$K$20000,DATOS!$A$2:$A$20000,A455,DATOS!$G$2:$G$20000,CONFIG_METADATA!$B$4,DATOS!$I$2:$I$20000,"Conjunto"),""))</f>
        <v/>
      </c>
      <c r="E455" t="str">
        <f>IF(A455="","",IFERROR(AVERAGEIFS(DATOS!$K$2:$K$20000,DATOS!$A$2:$A$20000,A455,DATOS!$G$2:$G$20000,CONFIG_METADATA!$B$4,DATOS!$I$2:$I$20000,"&lt;&gt;Lenguaje Musical",DATOS!$I$2:$I$20000,"&lt;&gt;Coro",DATOS!$I$2:$I$20000,"&lt;&gt;Conjunto"),""))</f>
        <v/>
      </c>
      <c r="H455" t="str">
        <f>IF(G455="","",IFERROR(AVERAGEIFS(DATOS!$K$2:$K$20000,DATOS!$A$2:$A$20000,G455,DATOS!$G$2:$G$20000,CONFIG_METADATA!$B$4,DATOS!$I$2:$I$20000,"Lenguaje Musical"),""))</f>
        <v/>
      </c>
      <c r="I455" t="str">
        <f>IF(G455="","",IFERROR(AVERAGEIFS(DATOS!$K$2:$K$20000,DATOS!$A$2:$A$20000,G455,DATOS!$G$2:$G$20000,CONFIG_METADATA!$B$4,DATOS!$I$2:$I$20000,"Coro"),""))</f>
        <v/>
      </c>
      <c r="J455" t="str">
        <f>IF(G455="","",IFERROR(AVERAGEIFS(DATOS!$K$2:$K$20000,DATOS!$A$2:$A$20000,G455,DATOS!$G$2:$G$20000,CONFIG_METADATA!$B$4,DATOS!$I$2:$I$20000,"Conjunto"),""))</f>
        <v/>
      </c>
      <c r="K455" t="str" cm="1">
        <f t="array" ref="K455">IF(G455="","",IFERROR(AVERAGE(IF((DATOS!$A$2:$A$20000=G455)*(DATOS!$G$2:$G$20000=CONFIG_METADATA!$B$4)*(DATOS!$I$2:$I$20000&lt;&gt;"Lenguaje Musical")*(DATOS!$I$2:$I$20000&lt;&gt;"Coro")*(DATOS!$I$2:$I$20000&lt;&gt;"Conjunto"),DATOS!$K$2:$K$20000)),""))</f>
        <v/>
      </c>
      <c r="N455" t="str">
        <f>IF(M455="","",IFERROR(AVERAGEIFS(DATOS!$K$2:$K$20000,DATOS!$A$2:$A$20000,M455,DATOS!$G$2:$G$20000,CONFIG_METADATA!$B$4,DATOS!$I$2:$I$20000,"Lenguaje Musical"),""))</f>
        <v/>
      </c>
      <c r="O455" t="str">
        <f>IF(M455="","",IFERROR(AVERAGEIFS(DATOS!$K$2:$K$20000,DATOS!$A$2:$A$20000,M455,DATOS!$G$2:$G$20000,CONFIG_METADATA!$B$4,DATOS!$I$2:$I$20000,"Coro"),""))</f>
        <v/>
      </c>
      <c r="P455" t="str">
        <f>IF(M455="","",IFERROR(AVERAGEIFS(DATOS!$K$2:$K$20000,DATOS!$A$2:$A$20000,M455,DATOS!$G$2:$G$20000,CONFIG_METADATA!$B$4,DATOS!$I$2:$I$20000,"Conjunto"),""))</f>
        <v/>
      </c>
      <c r="Q455" t="str">
        <f>IF(M455="","",IFERROR(AVERAGEIFS(DATOS!$K$2:$K$20000,DATOS!$A$2:$A$20000,M455,DATOS!$G$2:$G$20000,CONFIG_METADATA!$B$4,DATOS!$I$2:$I$20000,"&lt;&gt;Lenguaje Musical",DATOS!$I$2:$I$20000,"&lt;&gt;Coro",DATOS!$I$2:$I$20000,"&lt;&gt;Conjunto"),""))</f>
        <v/>
      </c>
      <c r="T455" t="str">
        <f>IF(S455="","",IFERROR(AVERAGEIFS(DATOS!$K$2:$K$20000,DATOS!$A$2:$A$20000,S455,DATOS!$G$2:$G$20000,CONFIG_METADATA!$B$4,DATOS!$I$2:$I$20000,"Lenguaje Musical"),""))</f>
        <v/>
      </c>
      <c r="U455" t="str">
        <f>IF(S455="","",IFERROR(AVERAGEIFS(DATOS!$K$2:$K$20000,DATOS!$A$2:$A$20000,S455,DATOS!$G$2:$G$20000,CONFIG_METADATA!$B$4,DATOS!$I$2:$I$20000,"Coro"),""))</f>
        <v/>
      </c>
      <c r="V455" t="str">
        <f>IF(S455="","",IFERROR(AVERAGEIFS(DATOS!$K$2:$K$20000,DATOS!$A$2:$A$20000,S455,DATOS!$G$2:$G$20000,CONFIG_METADATA!$B$4,DATOS!$I$2:$I$20000,"Conjunto"),""))</f>
        <v/>
      </c>
      <c r="W455" t="str" cm="1">
        <f t="array" ref="W455">IF(S455="","",IFERROR(AVERAGE(IF((DATOS!$A$2:$A$20000=S455)*(DATOS!$G$2:$G$20000=CONFIG_METADATA!$B$4)*(DATOS!$I$2:$I$20000&lt;&gt;"Lenguaje Musical")*(DATOS!$I$2:$I$20000&lt;&gt;"Coro")*(DATOS!$I$2:$I$20000&lt;&gt;"Conjunto"),DATOS!$K$2:$K$20000)),""))</f>
        <v/>
      </c>
    </row>
    <row r="456" spans="2:23" x14ac:dyDescent="0.2">
      <c r="B456" t="str">
        <f>IF(A456="","",IFERROR(AVERAGEIFS(DATOS!$K$2:$K$20000,DATOS!$A$2:$A$20000,A456,DATOS!$G$2:$G$20000,CONFIG_METADATA!$B$4,DATOS!$I$2:$I$20000,"Lenguaje Musical"),""))</f>
        <v/>
      </c>
      <c r="C456" t="str">
        <f>IF(A456="","",IFERROR(AVERAGEIFS(DATOS!$K$2:$K$20000,DATOS!$A$2:$A$20000,A456,DATOS!$G$2:$G$20000,CONFIG_METADATA!$B$4,DATOS!$I$2:$I$20000,"Coro"),""))</f>
        <v/>
      </c>
      <c r="D456" t="str">
        <f>IF(A456="","",IFERROR(AVERAGEIFS(DATOS!$K$2:$K$20000,DATOS!$A$2:$A$20000,A456,DATOS!$G$2:$G$20000,CONFIG_METADATA!$B$4,DATOS!$I$2:$I$20000,"Conjunto"),""))</f>
        <v/>
      </c>
      <c r="E456" t="str">
        <f>IF(A456="","",IFERROR(AVERAGEIFS(DATOS!$K$2:$K$20000,DATOS!$A$2:$A$20000,A456,DATOS!$G$2:$G$20000,CONFIG_METADATA!$B$4,DATOS!$I$2:$I$20000,"&lt;&gt;Lenguaje Musical",DATOS!$I$2:$I$20000,"&lt;&gt;Coro",DATOS!$I$2:$I$20000,"&lt;&gt;Conjunto"),""))</f>
        <v/>
      </c>
      <c r="H456" t="str">
        <f>IF(G456="","",IFERROR(AVERAGEIFS(DATOS!$K$2:$K$20000,DATOS!$A$2:$A$20000,G456,DATOS!$G$2:$G$20000,CONFIG_METADATA!$B$4,DATOS!$I$2:$I$20000,"Lenguaje Musical"),""))</f>
        <v/>
      </c>
      <c r="I456" t="str">
        <f>IF(G456="","",IFERROR(AVERAGEIFS(DATOS!$K$2:$K$20000,DATOS!$A$2:$A$20000,G456,DATOS!$G$2:$G$20000,CONFIG_METADATA!$B$4,DATOS!$I$2:$I$20000,"Coro"),""))</f>
        <v/>
      </c>
      <c r="J456" t="str">
        <f>IF(G456="","",IFERROR(AVERAGEIFS(DATOS!$K$2:$K$20000,DATOS!$A$2:$A$20000,G456,DATOS!$G$2:$G$20000,CONFIG_METADATA!$B$4,DATOS!$I$2:$I$20000,"Conjunto"),""))</f>
        <v/>
      </c>
      <c r="K456" t="str" cm="1">
        <f t="array" ref="K456">IF(G456="","",IFERROR(AVERAGE(IF((DATOS!$A$2:$A$20000=G456)*(DATOS!$G$2:$G$20000=CONFIG_METADATA!$B$4)*(DATOS!$I$2:$I$20000&lt;&gt;"Lenguaje Musical")*(DATOS!$I$2:$I$20000&lt;&gt;"Coro")*(DATOS!$I$2:$I$20000&lt;&gt;"Conjunto"),DATOS!$K$2:$K$20000)),""))</f>
        <v/>
      </c>
      <c r="N456" t="str">
        <f>IF(M456="","",IFERROR(AVERAGEIFS(DATOS!$K$2:$K$20000,DATOS!$A$2:$A$20000,M456,DATOS!$G$2:$G$20000,CONFIG_METADATA!$B$4,DATOS!$I$2:$I$20000,"Lenguaje Musical"),""))</f>
        <v/>
      </c>
      <c r="O456" t="str">
        <f>IF(M456="","",IFERROR(AVERAGEIFS(DATOS!$K$2:$K$20000,DATOS!$A$2:$A$20000,M456,DATOS!$G$2:$G$20000,CONFIG_METADATA!$B$4,DATOS!$I$2:$I$20000,"Coro"),""))</f>
        <v/>
      </c>
      <c r="P456" t="str">
        <f>IF(M456="","",IFERROR(AVERAGEIFS(DATOS!$K$2:$K$20000,DATOS!$A$2:$A$20000,M456,DATOS!$G$2:$G$20000,CONFIG_METADATA!$B$4,DATOS!$I$2:$I$20000,"Conjunto"),""))</f>
        <v/>
      </c>
      <c r="Q456" t="str">
        <f>IF(M456="","",IFERROR(AVERAGEIFS(DATOS!$K$2:$K$20000,DATOS!$A$2:$A$20000,M456,DATOS!$G$2:$G$20000,CONFIG_METADATA!$B$4,DATOS!$I$2:$I$20000,"&lt;&gt;Lenguaje Musical",DATOS!$I$2:$I$20000,"&lt;&gt;Coro",DATOS!$I$2:$I$20000,"&lt;&gt;Conjunto"),""))</f>
        <v/>
      </c>
      <c r="T456" t="str">
        <f>IF(S456="","",IFERROR(AVERAGEIFS(DATOS!$K$2:$K$20000,DATOS!$A$2:$A$20000,S456,DATOS!$G$2:$G$20000,CONFIG_METADATA!$B$4,DATOS!$I$2:$I$20000,"Lenguaje Musical"),""))</f>
        <v/>
      </c>
      <c r="U456" t="str">
        <f>IF(S456="","",IFERROR(AVERAGEIFS(DATOS!$K$2:$K$20000,DATOS!$A$2:$A$20000,S456,DATOS!$G$2:$G$20000,CONFIG_METADATA!$B$4,DATOS!$I$2:$I$20000,"Coro"),""))</f>
        <v/>
      </c>
      <c r="V456" t="str">
        <f>IF(S456="","",IFERROR(AVERAGEIFS(DATOS!$K$2:$K$20000,DATOS!$A$2:$A$20000,S456,DATOS!$G$2:$G$20000,CONFIG_METADATA!$B$4,DATOS!$I$2:$I$20000,"Conjunto"),""))</f>
        <v/>
      </c>
      <c r="W456" t="str" cm="1">
        <f t="array" ref="W456">IF(S456="","",IFERROR(AVERAGE(IF((DATOS!$A$2:$A$20000=S456)*(DATOS!$G$2:$G$20000=CONFIG_METADATA!$B$4)*(DATOS!$I$2:$I$20000&lt;&gt;"Lenguaje Musical")*(DATOS!$I$2:$I$20000&lt;&gt;"Coro")*(DATOS!$I$2:$I$20000&lt;&gt;"Conjunto"),DATOS!$K$2:$K$20000)),""))</f>
        <v/>
      </c>
    </row>
    <row r="457" spans="2:23" x14ac:dyDescent="0.2">
      <c r="B457" t="str">
        <f>IF(A457="","",IFERROR(AVERAGEIFS(DATOS!$K$2:$K$20000,DATOS!$A$2:$A$20000,A457,DATOS!$G$2:$G$20000,CONFIG_METADATA!$B$4,DATOS!$I$2:$I$20000,"Lenguaje Musical"),""))</f>
        <v/>
      </c>
      <c r="C457" t="str">
        <f>IF(A457="","",IFERROR(AVERAGEIFS(DATOS!$K$2:$K$20000,DATOS!$A$2:$A$20000,A457,DATOS!$G$2:$G$20000,CONFIG_METADATA!$B$4,DATOS!$I$2:$I$20000,"Coro"),""))</f>
        <v/>
      </c>
      <c r="D457" t="str">
        <f>IF(A457="","",IFERROR(AVERAGEIFS(DATOS!$K$2:$K$20000,DATOS!$A$2:$A$20000,A457,DATOS!$G$2:$G$20000,CONFIG_METADATA!$B$4,DATOS!$I$2:$I$20000,"Conjunto"),""))</f>
        <v/>
      </c>
      <c r="E457" t="str">
        <f>IF(A457="","",IFERROR(AVERAGEIFS(DATOS!$K$2:$K$20000,DATOS!$A$2:$A$20000,A457,DATOS!$G$2:$G$20000,CONFIG_METADATA!$B$4,DATOS!$I$2:$I$20000,"&lt;&gt;Lenguaje Musical",DATOS!$I$2:$I$20000,"&lt;&gt;Coro",DATOS!$I$2:$I$20000,"&lt;&gt;Conjunto"),""))</f>
        <v/>
      </c>
      <c r="H457" t="str">
        <f>IF(G457="","",IFERROR(AVERAGEIFS(DATOS!$K$2:$K$20000,DATOS!$A$2:$A$20000,G457,DATOS!$G$2:$G$20000,CONFIG_METADATA!$B$4,DATOS!$I$2:$I$20000,"Lenguaje Musical"),""))</f>
        <v/>
      </c>
      <c r="I457" t="str">
        <f>IF(G457="","",IFERROR(AVERAGEIFS(DATOS!$K$2:$K$20000,DATOS!$A$2:$A$20000,G457,DATOS!$G$2:$G$20000,CONFIG_METADATA!$B$4,DATOS!$I$2:$I$20000,"Coro"),""))</f>
        <v/>
      </c>
      <c r="J457" t="str">
        <f>IF(G457="","",IFERROR(AVERAGEIFS(DATOS!$K$2:$K$20000,DATOS!$A$2:$A$20000,G457,DATOS!$G$2:$G$20000,CONFIG_METADATA!$B$4,DATOS!$I$2:$I$20000,"Conjunto"),""))</f>
        <v/>
      </c>
      <c r="K457" t="str" cm="1">
        <f t="array" ref="K457">IF(G457="","",IFERROR(AVERAGE(IF((DATOS!$A$2:$A$20000=G457)*(DATOS!$G$2:$G$20000=CONFIG_METADATA!$B$4)*(DATOS!$I$2:$I$20000&lt;&gt;"Lenguaje Musical")*(DATOS!$I$2:$I$20000&lt;&gt;"Coro")*(DATOS!$I$2:$I$20000&lt;&gt;"Conjunto"),DATOS!$K$2:$K$20000)),""))</f>
        <v/>
      </c>
      <c r="N457" t="str">
        <f>IF(M457="","",IFERROR(AVERAGEIFS(DATOS!$K$2:$K$20000,DATOS!$A$2:$A$20000,M457,DATOS!$G$2:$G$20000,CONFIG_METADATA!$B$4,DATOS!$I$2:$I$20000,"Lenguaje Musical"),""))</f>
        <v/>
      </c>
      <c r="O457" t="str">
        <f>IF(M457="","",IFERROR(AVERAGEIFS(DATOS!$K$2:$K$20000,DATOS!$A$2:$A$20000,M457,DATOS!$G$2:$G$20000,CONFIG_METADATA!$B$4,DATOS!$I$2:$I$20000,"Coro"),""))</f>
        <v/>
      </c>
      <c r="P457" t="str">
        <f>IF(M457="","",IFERROR(AVERAGEIFS(DATOS!$K$2:$K$20000,DATOS!$A$2:$A$20000,M457,DATOS!$G$2:$G$20000,CONFIG_METADATA!$B$4,DATOS!$I$2:$I$20000,"Conjunto"),""))</f>
        <v/>
      </c>
      <c r="Q457" t="str">
        <f>IF(M457="","",IFERROR(AVERAGEIFS(DATOS!$K$2:$K$20000,DATOS!$A$2:$A$20000,M457,DATOS!$G$2:$G$20000,CONFIG_METADATA!$B$4,DATOS!$I$2:$I$20000,"&lt;&gt;Lenguaje Musical",DATOS!$I$2:$I$20000,"&lt;&gt;Coro",DATOS!$I$2:$I$20000,"&lt;&gt;Conjunto"),""))</f>
        <v/>
      </c>
      <c r="T457" t="str">
        <f>IF(S457="","",IFERROR(AVERAGEIFS(DATOS!$K$2:$K$20000,DATOS!$A$2:$A$20000,S457,DATOS!$G$2:$G$20000,CONFIG_METADATA!$B$4,DATOS!$I$2:$I$20000,"Lenguaje Musical"),""))</f>
        <v/>
      </c>
      <c r="U457" t="str">
        <f>IF(S457="","",IFERROR(AVERAGEIFS(DATOS!$K$2:$K$20000,DATOS!$A$2:$A$20000,S457,DATOS!$G$2:$G$20000,CONFIG_METADATA!$B$4,DATOS!$I$2:$I$20000,"Coro"),""))</f>
        <v/>
      </c>
      <c r="V457" t="str">
        <f>IF(S457="","",IFERROR(AVERAGEIFS(DATOS!$K$2:$K$20000,DATOS!$A$2:$A$20000,S457,DATOS!$G$2:$G$20000,CONFIG_METADATA!$B$4,DATOS!$I$2:$I$20000,"Conjunto"),""))</f>
        <v/>
      </c>
      <c r="W457" t="str" cm="1">
        <f t="array" ref="W457">IF(S457="","",IFERROR(AVERAGE(IF((DATOS!$A$2:$A$20000=S457)*(DATOS!$G$2:$G$20000=CONFIG_METADATA!$B$4)*(DATOS!$I$2:$I$20000&lt;&gt;"Lenguaje Musical")*(DATOS!$I$2:$I$20000&lt;&gt;"Coro")*(DATOS!$I$2:$I$20000&lt;&gt;"Conjunto"),DATOS!$K$2:$K$20000)),""))</f>
        <v/>
      </c>
    </row>
    <row r="458" spans="2:23" x14ac:dyDescent="0.2">
      <c r="B458" t="str">
        <f>IF(A458="","",IFERROR(AVERAGEIFS(DATOS!$K$2:$K$20000,DATOS!$A$2:$A$20000,A458,DATOS!$G$2:$G$20000,CONFIG_METADATA!$B$4,DATOS!$I$2:$I$20000,"Lenguaje Musical"),""))</f>
        <v/>
      </c>
      <c r="C458" t="str">
        <f>IF(A458="","",IFERROR(AVERAGEIFS(DATOS!$K$2:$K$20000,DATOS!$A$2:$A$20000,A458,DATOS!$G$2:$G$20000,CONFIG_METADATA!$B$4,DATOS!$I$2:$I$20000,"Coro"),""))</f>
        <v/>
      </c>
      <c r="D458" t="str">
        <f>IF(A458="","",IFERROR(AVERAGEIFS(DATOS!$K$2:$K$20000,DATOS!$A$2:$A$20000,A458,DATOS!$G$2:$G$20000,CONFIG_METADATA!$B$4,DATOS!$I$2:$I$20000,"Conjunto"),""))</f>
        <v/>
      </c>
      <c r="E458" t="str">
        <f>IF(A458="","",IFERROR(AVERAGEIFS(DATOS!$K$2:$K$20000,DATOS!$A$2:$A$20000,A458,DATOS!$G$2:$G$20000,CONFIG_METADATA!$B$4,DATOS!$I$2:$I$20000,"&lt;&gt;Lenguaje Musical",DATOS!$I$2:$I$20000,"&lt;&gt;Coro",DATOS!$I$2:$I$20000,"&lt;&gt;Conjunto"),""))</f>
        <v/>
      </c>
      <c r="H458" t="str">
        <f>IF(G458="","",IFERROR(AVERAGEIFS(DATOS!$K$2:$K$20000,DATOS!$A$2:$A$20000,G458,DATOS!$G$2:$G$20000,CONFIG_METADATA!$B$4,DATOS!$I$2:$I$20000,"Lenguaje Musical"),""))</f>
        <v/>
      </c>
      <c r="I458" t="str">
        <f>IF(G458="","",IFERROR(AVERAGEIFS(DATOS!$K$2:$K$20000,DATOS!$A$2:$A$20000,G458,DATOS!$G$2:$G$20000,CONFIG_METADATA!$B$4,DATOS!$I$2:$I$20000,"Coro"),""))</f>
        <v/>
      </c>
      <c r="J458" t="str">
        <f>IF(G458="","",IFERROR(AVERAGEIFS(DATOS!$K$2:$K$20000,DATOS!$A$2:$A$20000,G458,DATOS!$G$2:$G$20000,CONFIG_METADATA!$B$4,DATOS!$I$2:$I$20000,"Conjunto"),""))</f>
        <v/>
      </c>
      <c r="K458" t="str" cm="1">
        <f t="array" ref="K458">IF(G458="","",IFERROR(AVERAGE(IF((DATOS!$A$2:$A$20000=G458)*(DATOS!$G$2:$G$20000=CONFIG_METADATA!$B$4)*(DATOS!$I$2:$I$20000&lt;&gt;"Lenguaje Musical")*(DATOS!$I$2:$I$20000&lt;&gt;"Coro")*(DATOS!$I$2:$I$20000&lt;&gt;"Conjunto"),DATOS!$K$2:$K$20000)),""))</f>
        <v/>
      </c>
      <c r="N458" t="str">
        <f>IF(M458="","",IFERROR(AVERAGEIFS(DATOS!$K$2:$K$20000,DATOS!$A$2:$A$20000,M458,DATOS!$G$2:$G$20000,CONFIG_METADATA!$B$4,DATOS!$I$2:$I$20000,"Lenguaje Musical"),""))</f>
        <v/>
      </c>
      <c r="O458" t="str">
        <f>IF(M458="","",IFERROR(AVERAGEIFS(DATOS!$K$2:$K$20000,DATOS!$A$2:$A$20000,M458,DATOS!$G$2:$G$20000,CONFIG_METADATA!$B$4,DATOS!$I$2:$I$20000,"Coro"),""))</f>
        <v/>
      </c>
      <c r="P458" t="str">
        <f>IF(M458="","",IFERROR(AVERAGEIFS(DATOS!$K$2:$K$20000,DATOS!$A$2:$A$20000,M458,DATOS!$G$2:$G$20000,CONFIG_METADATA!$B$4,DATOS!$I$2:$I$20000,"Conjunto"),""))</f>
        <v/>
      </c>
      <c r="Q458" t="str">
        <f>IF(M458="","",IFERROR(AVERAGEIFS(DATOS!$K$2:$K$20000,DATOS!$A$2:$A$20000,M458,DATOS!$G$2:$G$20000,CONFIG_METADATA!$B$4,DATOS!$I$2:$I$20000,"&lt;&gt;Lenguaje Musical",DATOS!$I$2:$I$20000,"&lt;&gt;Coro",DATOS!$I$2:$I$20000,"&lt;&gt;Conjunto"),""))</f>
        <v/>
      </c>
      <c r="T458" t="str">
        <f>IF(S458="","",IFERROR(AVERAGEIFS(DATOS!$K$2:$K$20000,DATOS!$A$2:$A$20000,S458,DATOS!$G$2:$G$20000,CONFIG_METADATA!$B$4,DATOS!$I$2:$I$20000,"Lenguaje Musical"),""))</f>
        <v/>
      </c>
      <c r="U458" t="str">
        <f>IF(S458="","",IFERROR(AVERAGEIFS(DATOS!$K$2:$K$20000,DATOS!$A$2:$A$20000,S458,DATOS!$G$2:$G$20000,CONFIG_METADATA!$B$4,DATOS!$I$2:$I$20000,"Coro"),""))</f>
        <v/>
      </c>
      <c r="V458" t="str">
        <f>IF(S458="","",IFERROR(AVERAGEIFS(DATOS!$K$2:$K$20000,DATOS!$A$2:$A$20000,S458,DATOS!$G$2:$G$20000,CONFIG_METADATA!$B$4,DATOS!$I$2:$I$20000,"Conjunto"),""))</f>
        <v/>
      </c>
      <c r="W458" t="str" cm="1">
        <f t="array" ref="W458">IF(S458="","",IFERROR(AVERAGE(IF((DATOS!$A$2:$A$20000=S458)*(DATOS!$G$2:$G$20000=CONFIG_METADATA!$B$4)*(DATOS!$I$2:$I$20000&lt;&gt;"Lenguaje Musical")*(DATOS!$I$2:$I$20000&lt;&gt;"Coro")*(DATOS!$I$2:$I$20000&lt;&gt;"Conjunto"),DATOS!$K$2:$K$20000)),""))</f>
        <v/>
      </c>
    </row>
    <row r="459" spans="2:23" x14ac:dyDescent="0.2">
      <c r="B459" t="str">
        <f>IF(A459="","",IFERROR(AVERAGEIFS(DATOS!$K$2:$K$20000,DATOS!$A$2:$A$20000,A459,DATOS!$G$2:$G$20000,CONFIG_METADATA!$B$4,DATOS!$I$2:$I$20000,"Lenguaje Musical"),""))</f>
        <v/>
      </c>
      <c r="C459" t="str">
        <f>IF(A459="","",IFERROR(AVERAGEIFS(DATOS!$K$2:$K$20000,DATOS!$A$2:$A$20000,A459,DATOS!$G$2:$G$20000,CONFIG_METADATA!$B$4,DATOS!$I$2:$I$20000,"Coro"),""))</f>
        <v/>
      </c>
      <c r="D459" t="str">
        <f>IF(A459="","",IFERROR(AVERAGEIFS(DATOS!$K$2:$K$20000,DATOS!$A$2:$A$20000,A459,DATOS!$G$2:$G$20000,CONFIG_METADATA!$B$4,DATOS!$I$2:$I$20000,"Conjunto"),""))</f>
        <v/>
      </c>
      <c r="E459" t="str">
        <f>IF(A459="","",IFERROR(AVERAGEIFS(DATOS!$K$2:$K$20000,DATOS!$A$2:$A$20000,A459,DATOS!$G$2:$G$20000,CONFIG_METADATA!$B$4,DATOS!$I$2:$I$20000,"&lt;&gt;Lenguaje Musical",DATOS!$I$2:$I$20000,"&lt;&gt;Coro",DATOS!$I$2:$I$20000,"&lt;&gt;Conjunto"),""))</f>
        <v/>
      </c>
      <c r="H459" t="str">
        <f>IF(G459="","",IFERROR(AVERAGEIFS(DATOS!$K$2:$K$20000,DATOS!$A$2:$A$20000,G459,DATOS!$G$2:$G$20000,CONFIG_METADATA!$B$4,DATOS!$I$2:$I$20000,"Lenguaje Musical"),""))</f>
        <v/>
      </c>
      <c r="I459" t="str">
        <f>IF(G459="","",IFERROR(AVERAGEIFS(DATOS!$K$2:$K$20000,DATOS!$A$2:$A$20000,G459,DATOS!$G$2:$G$20000,CONFIG_METADATA!$B$4,DATOS!$I$2:$I$20000,"Coro"),""))</f>
        <v/>
      </c>
      <c r="J459" t="str">
        <f>IF(G459="","",IFERROR(AVERAGEIFS(DATOS!$K$2:$K$20000,DATOS!$A$2:$A$20000,G459,DATOS!$G$2:$G$20000,CONFIG_METADATA!$B$4,DATOS!$I$2:$I$20000,"Conjunto"),""))</f>
        <v/>
      </c>
      <c r="K459" t="str" cm="1">
        <f t="array" ref="K459">IF(G459="","",IFERROR(AVERAGE(IF((DATOS!$A$2:$A$20000=G459)*(DATOS!$G$2:$G$20000=CONFIG_METADATA!$B$4)*(DATOS!$I$2:$I$20000&lt;&gt;"Lenguaje Musical")*(DATOS!$I$2:$I$20000&lt;&gt;"Coro")*(DATOS!$I$2:$I$20000&lt;&gt;"Conjunto"),DATOS!$K$2:$K$20000)),""))</f>
        <v/>
      </c>
      <c r="N459" t="str">
        <f>IF(M459="","",IFERROR(AVERAGEIFS(DATOS!$K$2:$K$20000,DATOS!$A$2:$A$20000,M459,DATOS!$G$2:$G$20000,CONFIG_METADATA!$B$4,DATOS!$I$2:$I$20000,"Lenguaje Musical"),""))</f>
        <v/>
      </c>
      <c r="O459" t="str">
        <f>IF(M459="","",IFERROR(AVERAGEIFS(DATOS!$K$2:$K$20000,DATOS!$A$2:$A$20000,M459,DATOS!$G$2:$G$20000,CONFIG_METADATA!$B$4,DATOS!$I$2:$I$20000,"Coro"),""))</f>
        <v/>
      </c>
      <c r="P459" t="str">
        <f>IF(M459="","",IFERROR(AVERAGEIFS(DATOS!$K$2:$K$20000,DATOS!$A$2:$A$20000,M459,DATOS!$G$2:$G$20000,CONFIG_METADATA!$B$4,DATOS!$I$2:$I$20000,"Conjunto"),""))</f>
        <v/>
      </c>
      <c r="Q459" t="str">
        <f>IF(M459="","",IFERROR(AVERAGEIFS(DATOS!$K$2:$K$20000,DATOS!$A$2:$A$20000,M459,DATOS!$G$2:$G$20000,CONFIG_METADATA!$B$4,DATOS!$I$2:$I$20000,"&lt;&gt;Lenguaje Musical",DATOS!$I$2:$I$20000,"&lt;&gt;Coro",DATOS!$I$2:$I$20000,"&lt;&gt;Conjunto"),""))</f>
        <v/>
      </c>
      <c r="T459" t="str">
        <f>IF(S459="","",IFERROR(AVERAGEIFS(DATOS!$K$2:$K$20000,DATOS!$A$2:$A$20000,S459,DATOS!$G$2:$G$20000,CONFIG_METADATA!$B$4,DATOS!$I$2:$I$20000,"Lenguaje Musical"),""))</f>
        <v/>
      </c>
      <c r="U459" t="str">
        <f>IF(S459="","",IFERROR(AVERAGEIFS(DATOS!$K$2:$K$20000,DATOS!$A$2:$A$20000,S459,DATOS!$G$2:$G$20000,CONFIG_METADATA!$B$4,DATOS!$I$2:$I$20000,"Coro"),""))</f>
        <v/>
      </c>
      <c r="V459" t="str">
        <f>IF(S459="","",IFERROR(AVERAGEIFS(DATOS!$K$2:$K$20000,DATOS!$A$2:$A$20000,S459,DATOS!$G$2:$G$20000,CONFIG_METADATA!$B$4,DATOS!$I$2:$I$20000,"Conjunto"),""))</f>
        <v/>
      </c>
      <c r="W459" t="str" cm="1">
        <f t="array" ref="W459">IF(S459="","",IFERROR(AVERAGE(IF((DATOS!$A$2:$A$20000=S459)*(DATOS!$G$2:$G$20000=CONFIG_METADATA!$B$4)*(DATOS!$I$2:$I$20000&lt;&gt;"Lenguaje Musical")*(DATOS!$I$2:$I$20000&lt;&gt;"Coro")*(DATOS!$I$2:$I$20000&lt;&gt;"Conjunto"),DATOS!$K$2:$K$20000)),""))</f>
        <v/>
      </c>
    </row>
    <row r="460" spans="2:23" x14ac:dyDescent="0.2">
      <c r="B460" t="str">
        <f>IF(A460="","",IFERROR(AVERAGEIFS(DATOS!$K$2:$K$20000,DATOS!$A$2:$A$20000,A460,DATOS!$G$2:$G$20000,CONFIG_METADATA!$B$4,DATOS!$I$2:$I$20000,"Lenguaje Musical"),""))</f>
        <v/>
      </c>
      <c r="C460" t="str">
        <f>IF(A460="","",IFERROR(AVERAGEIFS(DATOS!$K$2:$K$20000,DATOS!$A$2:$A$20000,A460,DATOS!$G$2:$G$20000,CONFIG_METADATA!$B$4,DATOS!$I$2:$I$20000,"Coro"),""))</f>
        <v/>
      </c>
      <c r="D460" t="str">
        <f>IF(A460="","",IFERROR(AVERAGEIFS(DATOS!$K$2:$K$20000,DATOS!$A$2:$A$20000,A460,DATOS!$G$2:$G$20000,CONFIG_METADATA!$B$4,DATOS!$I$2:$I$20000,"Conjunto"),""))</f>
        <v/>
      </c>
      <c r="E460" t="str">
        <f>IF(A460="","",IFERROR(AVERAGEIFS(DATOS!$K$2:$K$20000,DATOS!$A$2:$A$20000,A460,DATOS!$G$2:$G$20000,CONFIG_METADATA!$B$4,DATOS!$I$2:$I$20000,"&lt;&gt;Lenguaje Musical",DATOS!$I$2:$I$20000,"&lt;&gt;Coro",DATOS!$I$2:$I$20000,"&lt;&gt;Conjunto"),""))</f>
        <v/>
      </c>
      <c r="H460" t="str">
        <f>IF(G460="","",IFERROR(AVERAGEIFS(DATOS!$K$2:$K$20000,DATOS!$A$2:$A$20000,G460,DATOS!$G$2:$G$20000,CONFIG_METADATA!$B$4,DATOS!$I$2:$I$20000,"Lenguaje Musical"),""))</f>
        <v/>
      </c>
      <c r="I460" t="str">
        <f>IF(G460="","",IFERROR(AVERAGEIFS(DATOS!$K$2:$K$20000,DATOS!$A$2:$A$20000,G460,DATOS!$G$2:$G$20000,CONFIG_METADATA!$B$4,DATOS!$I$2:$I$20000,"Coro"),""))</f>
        <v/>
      </c>
      <c r="J460" t="str">
        <f>IF(G460="","",IFERROR(AVERAGEIFS(DATOS!$K$2:$K$20000,DATOS!$A$2:$A$20000,G460,DATOS!$G$2:$G$20000,CONFIG_METADATA!$B$4,DATOS!$I$2:$I$20000,"Conjunto"),""))</f>
        <v/>
      </c>
      <c r="K460" t="str" cm="1">
        <f t="array" ref="K460">IF(G460="","",IFERROR(AVERAGE(IF((DATOS!$A$2:$A$20000=G460)*(DATOS!$G$2:$G$20000=CONFIG_METADATA!$B$4)*(DATOS!$I$2:$I$20000&lt;&gt;"Lenguaje Musical")*(DATOS!$I$2:$I$20000&lt;&gt;"Coro")*(DATOS!$I$2:$I$20000&lt;&gt;"Conjunto"),DATOS!$K$2:$K$20000)),""))</f>
        <v/>
      </c>
      <c r="N460" t="str">
        <f>IF(M460="","",IFERROR(AVERAGEIFS(DATOS!$K$2:$K$20000,DATOS!$A$2:$A$20000,M460,DATOS!$G$2:$G$20000,CONFIG_METADATA!$B$4,DATOS!$I$2:$I$20000,"Lenguaje Musical"),""))</f>
        <v/>
      </c>
      <c r="O460" t="str">
        <f>IF(M460="","",IFERROR(AVERAGEIFS(DATOS!$K$2:$K$20000,DATOS!$A$2:$A$20000,M460,DATOS!$G$2:$G$20000,CONFIG_METADATA!$B$4,DATOS!$I$2:$I$20000,"Coro"),""))</f>
        <v/>
      </c>
      <c r="P460" t="str">
        <f>IF(M460="","",IFERROR(AVERAGEIFS(DATOS!$K$2:$K$20000,DATOS!$A$2:$A$20000,M460,DATOS!$G$2:$G$20000,CONFIG_METADATA!$B$4,DATOS!$I$2:$I$20000,"Conjunto"),""))</f>
        <v/>
      </c>
      <c r="Q460" t="str">
        <f>IF(M460="","",IFERROR(AVERAGEIFS(DATOS!$K$2:$K$20000,DATOS!$A$2:$A$20000,M460,DATOS!$G$2:$G$20000,CONFIG_METADATA!$B$4,DATOS!$I$2:$I$20000,"&lt;&gt;Lenguaje Musical",DATOS!$I$2:$I$20000,"&lt;&gt;Coro",DATOS!$I$2:$I$20000,"&lt;&gt;Conjunto"),""))</f>
        <v/>
      </c>
      <c r="T460" t="str">
        <f>IF(S460="","",IFERROR(AVERAGEIFS(DATOS!$K$2:$K$20000,DATOS!$A$2:$A$20000,S460,DATOS!$G$2:$G$20000,CONFIG_METADATA!$B$4,DATOS!$I$2:$I$20000,"Lenguaje Musical"),""))</f>
        <v/>
      </c>
      <c r="U460" t="str">
        <f>IF(S460="","",IFERROR(AVERAGEIFS(DATOS!$K$2:$K$20000,DATOS!$A$2:$A$20000,S460,DATOS!$G$2:$G$20000,CONFIG_METADATA!$B$4,DATOS!$I$2:$I$20000,"Coro"),""))</f>
        <v/>
      </c>
      <c r="V460" t="str">
        <f>IF(S460="","",IFERROR(AVERAGEIFS(DATOS!$K$2:$K$20000,DATOS!$A$2:$A$20000,S460,DATOS!$G$2:$G$20000,CONFIG_METADATA!$B$4,DATOS!$I$2:$I$20000,"Conjunto"),""))</f>
        <v/>
      </c>
      <c r="W460" t="str" cm="1">
        <f t="array" ref="W460">IF(S460="","",IFERROR(AVERAGE(IF((DATOS!$A$2:$A$20000=S460)*(DATOS!$G$2:$G$20000=CONFIG_METADATA!$B$4)*(DATOS!$I$2:$I$20000&lt;&gt;"Lenguaje Musical")*(DATOS!$I$2:$I$20000&lt;&gt;"Coro")*(DATOS!$I$2:$I$20000&lt;&gt;"Conjunto"),DATOS!$K$2:$K$20000)),""))</f>
        <v/>
      </c>
    </row>
    <row r="461" spans="2:23" x14ac:dyDescent="0.2">
      <c r="B461" t="str">
        <f>IF(A461="","",IFERROR(AVERAGEIFS(DATOS!$K$2:$K$20000,DATOS!$A$2:$A$20000,A461,DATOS!$G$2:$G$20000,CONFIG_METADATA!$B$4,DATOS!$I$2:$I$20000,"Lenguaje Musical"),""))</f>
        <v/>
      </c>
      <c r="C461" t="str">
        <f>IF(A461="","",IFERROR(AVERAGEIFS(DATOS!$K$2:$K$20000,DATOS!$A$2:$A$20000,A461,DATOS!$G$2:$G$20000,CONFIG_METADATA!$B$4,DATOS!$I$2:$I$20000,"Coro"),""))</f>
        <v/>
      </c>
      <c r="D461" t="str">
        <f>IF(A461="","",IFERROR(AVERAGEIFS(DATOS!$K$2:$K$20000,DATOS!$A$2:$A$20000,A461,DATOS!$G$2:$G$20000,CONFIG_METADATA!$B$4,DATOS!$I$2:$I$20000,"Conjunto"),""))</f>
        <v/>
      </c>
      <c r="E461" t="str">
        <f>IF(A461="","",IFERROR(AVERAGEIFS(DATOS!$K$2:$K$20000,DATOS!$A$2:$A$20000,A461,DATOS!$G$2:$G$20000,CONFIG_METADATA!$B$4,DATOS!$I$2:$I$20000,"&lt;&gt;Lenguaje Musical",DATOS!$I$2:$I$20000,"&lt;&gt;Coro",DATOS!$I$2:$I$20000,"&lt;&gt;Conjunto"),""))</f>
        <v/>
      </c>
      <c r="H461" t="str">
        <f>IF(G461="","",IFERROR(AVERAGEIFS(DATOS!$K$2:$K$20000,DATOS!$A$2:$A$20000,G461,DATOS!$G$2:$G$20000,CONFIG_METADATA!$B$4,DATOS!$I$2:$I$20000,"Lenguaje Musical"),""))</f>
        <v/>
      </c>
      <c r="I461" t="str">
        <f>IF(G461="","",IFERROR(AVERAGEIFS(DATOS!$K$2:$K$20000,DATOS!$A$2:$A$20000,G461,DATOS!$G$2:$G$20000,CONFIG_METADATA!$B$4,DATOS!$I$2:$I$20000,"Coro"),""))</f>
        <v/>
      </c>
      <c r="J461" t="str">
        <f>IF(G461="","",IFERROR(AVERAGEIFS(DATOS!$K$2:$K$20000,DATOS!$A$2:$A$20000,G461,DATOS!$G$2:$G$20000,CONFIG_METADATA!$B$4,DATOS!$I$2:$I$20000,"Conjunto"),""))</f>
        <v/>
      </c>
      <c r="K461" t="str" cm="1">
        <f t="array" ref="K461">IF(G461="","",IFERROR(AVERAGE(IF((DATOS!$A$2:$A$20000=G461)*(DATOS!$G$2:$G$20000=CONFIG_METADATA!$B$4)*(DATOS!$I$2:$I$20000&lt;&gt;"Lenguaje Musical")*(DATOS!$I$2:$I$20000&lt;&gt;"Coro")*(DATOS!$I$2:$I$20000&lt;&gt;"Conjunto"),DATOS!$K$2:$K$20000)),""))</f>
        <v/>
      </c>
      <c r="N461" t="str">
        <f>IF(M461="","",IFERROR(AVERAGEIFS(DATOS!$K$2:$K$20000,DATOS!$A$2:$A$20000,M461,DATOS!$G$2:$G$20000,CONFIG_METADATA!$B$4,DATOS!$I$2:$I$20000,"Lenguaje Musical"),""))</f>
        <v/>
      </c>
      <c r="O461" t="str">
        <f>IF(M461="","",IFERROR(AVERAGEIFS(DATOS!$K$2:$K$20000,DATOS!$A$2:$A$20000,M461,DATOS!$G$2:$G$20000,CONFIG_METADATA!$B$4,DATOS!$I$2:$I$20000,"Coro"),""))</f>
        <v/>
      </c>
      <c r="P461" t="str">
        <f>IF(M461="","",IFERROR(AVERAGEIFS(DATOS!$K$2:$K$20000,DATOS!$A$2:$A$20000,M461,DATOS!$G$2:$G$20000,CONFIG_METADATA!$B$4,DATOS!$I$2:$I$20000,"Conjunto"),""))</f>
        <v/>
      </c>
      <c r="Q461" t="str">
        <f>IF(M461="","",IFERROR(AVERAGEIFS(DATOS!$K$2:$K$20000,DATOS!$A$2:$A$20000,M461,DATOS!$G$2:$G$20000,CONFIG_METADATA!$B$4,DATOS!$I$2:$I$20000,"&lt;&gt;Lenguaje Musical",DATOS!$I$2:$I$20000,"&lt;&gt;Coro",DATOS!$I$2:$I$20000,"&lt;&gt;Conjunto"),""))</f>
        <v/>
      </c>
      <c r="T461" t="str">
        <f>IF(S461="","",IFERROR(AVERAGEIFS(DATOS!$K$2:$K$20000,DATOS!$A$2:$A$20000,S461,DATOS!$G$2:$G$20000,CONFIG_METADATA!$B$4,DATOS!$I$2:$I$20000,"Lenguaje Musical"),""))</f>
        <v/>
      </c>
      <c r="U461" t="str">
        <f>IF(S461="","",IFERROR(AVERAGEIFS(DATOS!$K$2:$K$20000,DATOS!$A$2:$A$20000,S461,DATOS!$G$2:$G$20000,CONFIG_METADATA!$B$4,DATOS!$I$2:$I$20000,"Coro"),""))</f>
        <v/>
      </c>
      <c r="V461" t="str">
        <f>IF(S461="","",IFERROR(AVERAGEIFS(DATOS!$K$2:$K$20000,DATOS!$A$2:$A$20000,S461,DATOS!$G$2:$G$20000,CONFIG_METADATA!$B$4,DATOS!$I$2:$I$20000,"Conjunto"),""))</f>
        <v/>
      </c>
      <c r="W461" t="str" cm="1">
        <f t="array" ref="W461">IF(S461="","",IFERROR(AVERAGE(IF((DATOS!$A$2:$A$20000=S461)*(DATOS!$G$2:$G$20000=CONFIG_METADATA!$B$4)*(DATOS!$I$2:$I$20000&lt;&gt;"Lenguaje Musical")*(DATOS!$I$2:$I$20000&lt;&gt;"Coro")*(DATOS!$I$2:$I$20000&lt;&gt;"Conjunto"),DATOS!$K$2:$K$20000)),""))</f>
        <v/>
      </c>
    </row>
    <row r="462" spans="2:23" x14ac:dyDescent="0.2">
      <c r="B462" t="str">
        <f>IF(A462="","",IFERROR(AVERAGEIFS(DATOS!$K$2:$K$20000,DATOS!$A$2:$A$20000,A462,DATOS!$G$2:$G$20000,CONFIG_METADATA!$B$4,DATOS!$I$2:$I$20000,"Lenguaje Musical"),""))</f>
        <v/>
      </c>
      <c r="C462" t="str">
        <f>IF(A462="","",IFERROR(AVERAGEIFS(DATOS!$K$2:$K$20000,DATOS!$A$2:$A$20000,A462,DATOS!$G$2:$G$20000,CONFIG_METADATA!$B$4,DATOS!$I$2:$I$20000,"Coro"),""))</f>
        <v/>
      </c>
      <c r="D462" t="str">
        <f>IF(A462="","",IFERROR(AVERAGEIFS(DATOS!$K$2:$K$20000,DATOS!$A$2:$A$20000,A462,DATOS!$G$2:$G$20000,CONFIG_METADATA!$B$4,DATOS!$I$2:$I$20000,"Conjunto"),""))</f>
        <v/>
      </c>
      <c r="E462" t="str">
        <f>IF(A462="","",IFERROR(AVERAGEIFS(DATOS!$K$2:$K$20000,DATOS!$A$2:$A$20000,A462,DATOS!$G$2:$G$20000,CONFIG_METADATA!$B$4,DATOS!$I$2:$I$20000,"&lt;&gt;Lenguaje Musical",DATOS!$I$2:$I$20000,"&lt;&gt;Coro",DATOS!$I$2:$I$20000,"&lt;&gt;Conjunto"),""))</f>
        <v/>
      </c>
      <c r="H462" t="str">
        <f>IF(G462="","",IFERROR(AVERAGEIFS(DATOS!$K$2:$K$20000,DATOS!$A$2:$A$20000,G462,DATOS!$G$2:$G$20000,CONFIG_METADATA!$B$4,DATOS!$I$2:$I$20000,"Lenguaje Musical"),""))</f>
        <v/>
      </c>
      <c r="I462" t="str">
        <f>IF(G462="","",IFERROR(AVERAGEIFS(DATOS!$K$2:$K$20000,DATOS!$A$2:$A$20000,G462,DATOS!$G$2:$G$20000,CONFIG_METADATA!$B$4,DATOS!$I$2:$I$20000,"Coro"),""))</f>
        <v/>
      </c>
      <c r="J462" t="str">
        <f>IF(G462="","",IFERROR(AVERAGEIFS(DATOS!$K$2:$K$20000,DATOS!$A$2:$A$20000,G462,DATOS!$G$2:$G$20000,CONFIG_METADATA!$B$4,DATOS!$I$2:$I$20000,"Conjunto"),""))</f>
        <v/>
      </c>
      <c r="K462" t="str" cm="1">
        <f t="array" ref="K462">IF(G462="","",IFERROR(AVERAGE(IF((DATOS!$A$2:$A$20000=G462)*(DATOS!$G$2:$G$20000=CONFIG_METADATA!$B$4)*(DATOS!$I$2:$I$20000&lt;&gt;"Lenguaje Musical")*(DATOS!$I$2:$I$20000&lt;&gt;"Coro")*(DATOS!$I$2:$I$20000&lt;&gt;"Conjunto"),DATOS!$K$2:$K$20000)),""))</f>
        <v/>
      </c>
      <c r="N462" t="str">
        <f>IF(M462="","",IFERROR(AVERAGEIFS(DATOS!$K$2:$K$20000,DATOS!$A$2:$A$20000,M462,DATOS!$G$2:$G$20000,CONFIG_METADATA!$B$4,DATOS!$I$2:$I$20000,"Lenguaje Musical"),""))</f>
        <v/>
      </c>
      <c r="O462" t="str">
        <f>IF(M462="","",IFERROR(AVERAGEIFS(DATOS!$K$2:$K$20000,DATOS!$A$2:$A$20000,M462,DATOS!$G$2:$G$20000,CONFIG_METADATA!$B$4,DATOS!$I$2:$I$20000,"Coro"),""))</f>
        <v/>
      </c>
      <c r="P462" t="str">
        <f>IF(M462="","",IFERROR(AVERAGEIFS(DATOS!$K$2:$K$20000,DATOS!$A$2:$A$20000,M462,DATOS!$G$2:$G$20000,CONFIG_METADATA!$B$4,DATOS!$I$2:$I$20000,"Conjunto"),""))</f>
        <v/>
      </c>
      <c r="Q462" t="str">
        <f>IF(M462="","",IFERROR(AVERAGEIFS(DATOS!$K$2:$K$20000,DATOS!$A$2:$A$20000,M462,DATOS!$G$2:$G$20000,CONFIG_METADATA!$B$4,DATOS!$I$2:$I$20000,"&lt;&gt;Lenguaje Musical",DATOS!$I$2:$I$20000,"&lt;&gt;Coro",DATOS!$I$2:$I$20000,"&lt;&gt;Conjunto"),""))</f>
        <v/>
      </c>
      <c r="T462" t="str">
        <f>IF(S462="","",IFERROR(AVERAGEIFS(DATOS!$K$2:$K$20000,DATOS!$A$2:$A$20000,S462,DATOS!$G$2:$G$20000,CONFIG_METADATA!$B$4,DATOS!$I$2:$I$20000,"Lenguaje Musical"),""))</f>
        <v/>
      </c>
      <c r="U462" t="str">
        <f>IF(S462="","",IFERROR(AVERAGEIFS(DATOS!$K$2:$K$20000,DATOS!$A$2:$A$20000,S462,DATOS!$G$2:$G$20000,CONFIG_METADATA!$B$4,DATOS!$I$2:$I$20000,"Coro"),""))</f>
        <v/>
      </c>
      <c r="V462" t="str">
        <f>IF(S462="","",IFERROR(AVERAGEIFS(DATOS!$K$2:$K$20000,DATOS!$A$2:$A$20000,S462,DATOS!$G$2:$G$20000,CONFIG_METADATA!$B$4,DATOS!$I$2:$I$20000,"Conjunto"),""))</f>
        <v/>
      </c>
      <c r="W462" t="str" cm="1">
        <f t="array" ref="W462">IF(S462="","",IFERROR(AVERAGE(IF((DATOS!$A$2:$A$20000=S462)*(DATOS!$G$2:$G$20000=CONFIG_METADATA!$B$4)*(DATOS!$I$2:$I$20000&lt;&gt;"Lenguaje Musical")*(DATOS!$I$2:$I$20000&lt;&gt;"Coro")*(DATOS!$I$2:$I$20000&lt;&gt;"Conjunto"),DATOS!$K$2:$K$20000)),""))</f>
        <v/>
      </c>
    </row>
    <row r="463" spans="2:23" x14ac:dyDescent="0.2">
      <c r="B463" t="str">
        <f>IF(A463="","",IFERROR(AVERAGEIFS(DATOS!$K$2:$K$20000,DATOS!$A$2:$A$20000,A463,DATOS!$G$2:$G$20000,CONFIG_METADATA!$B$4,DATOS!$I$2:$I$20000,"Lenguaje Musical"),""))</f>
        <v/>
      </c>
      <c r="C463" t="str">
        <f>IF(A463="","",IFERROR(AVERAGEIFS(DATOS!$K$2:$K$20000,DATOS!$A$2:$A$20000,A463,DATOS!$G$2:$G$20000,CONFIG_METADATA!$B$4,DATOS!$I$2:$I$20000,"Coro"),""))</f>
        <v/>
      </c>
      <c r="D463" t="str">
        <f>IF(A463="","",IFERROR(AVERAGEIFS(DATOS!$K$2:$K$20000,DATOS!$A$2:$A$20000,A463,DATOS!$G$2:$G$20000,CONFIG_METADATA!$B$4,DATOS!$I$2:$I$20000,"Conjunto"),""))</f>
        <v/>
      </c>
      <c r="E463" t="str">
        <f>IF(A463="","",IFERROR(AVERAGEIFS(DATOS!$K$2:$K$20000,DATOS!$A$2:$A$20000,A463,DATOS!$G$2:$G$20000,CONFIG_METADATA!$B$4,DATOS!$I$2:$I$20000,"&lt;&gt;Lenguaje Musical",DATOS!$I$2:$I$20000,"&lt;&gt;Coro",DATOS!$I$2:$I$20000,"&lt;&gt;Conjunto"),""))</f>
        <v/>
      </c>
      <c r="H463" t="str">
        <f>IF(G463="","",IFERROR(AVERAGEIFS(DATOS!$K$2:$K$20000,DATOS!$A$2:$A$20000,G463,DATOS!$G$2:$G$20000,CONFIG_METADATA!$B$4,DATOS!$I$2:$I$20000,"Lenguaje Musical"),""))</f>
        <v/>
      </c>
      <c r="I463" t="str">
        <f>IF(G463="","",IFERROR(AVERAGEIFS(DATOS!$K$2:$K$20000,DATOS!$A$2:$A$20000,G463,DATOS!$G$2:$G$20000,CONFIG_METADATA!$B$4,DATOS!$I$2:$I$20000,"Coro"),""))</f>
        <v/>
      </c>
      <c r="J463" t="str">
        <f>IF(G463="","",IFERROR(AVERAGEIFS(DATOS!$K$2:$K$20000,DATOS!$A$2:$A$20000,G463,DATOS!$G$2:$G$20000,CONFIG_METADATA!$B$4,DATOS!$I$2:$I$20000,"Conjunto"),""))</f>
        <v/>
      </c>
      <c r="K463" t="str" cm="1">
        <f t="array" ref="K463">IF(G463="","",IFERROR(AVERAGE(IF((DATOS!$A$2:$A$20000=G463)*(DATOS!$G$2:$G$20000=CONFIG_METADATA!$B$4)*(DATOS!$I$2:$I$20000&lt;&gt;"Lenguaje Musical")*(DATOS!$I$2:$I$20000&lt;&gt;"Coro")*(DATOS!$I$2:$I$20000&lt;&gt;"Conjunto"),DATOS!$K$2:$K$20000)),""))</f>
        <v/>
      </c>
      <c r="N463" t="str">
        <f>IF(M463="","",IFERROR(AVERAGEIFS(DATOS!$K$2:$K$20000,DATOS!$A$2:$A$20000,M463,DATOS!$G$2:$G$20000,CONFIG_METADATA!$B$4,DATOS!$I$2:$I$20000,"Lenguaje Musical"),""))</f>
        <v/>
      </c>
      <c r="O463" t="str">
        <f>IF(M463="","",IFERROR(AVERAGEIFS(DATOS!$K$2:$K$20000,DATOS!$A$2:$A$20000,M463,DATOS!$G$2:$G$20000,CONFIG_METADATA!$B$4,DATOS!$I$2:$I$20000,"Coro"),""))</f>
        <v/>
      </c>
      <c r="P463" t="str">
        <f>IF(M463="","",IFERROR(AVERAGEIFS(DATOS!$K$2:$K$20000,DATOS!$A$2:$A$20000,M463,DATOS!$G$2:$G$20000,CONFIG_METADATA!$B$4,DATOS!$I$2:$I$20000,"Conjunto"),""))</f>
        <v/>
      </c>
      <c r="Q463" t="str">
        <f>IF(M463="","",IFERROR(AVERAGEIFS(DATOS!$K$2:$K$20000,DATOS!$A$2:$A$20000,M463,DATOS!$G$2:$G$20000,CONFIG_METADATA!$B$4,DATOS!$I$2:$I$20000,"&lt;&gt;Lenguaje Musical",DATOS!$I$2:$I$20000,"&lt;&gt;Coro",DATOS!$I$2:$I$20000,"&lt;&gt;Conjunto"),""))</f>
        <v/>
      </c>
      <c r="T463" t="str">
        <f>IF(S463="","",IFERROR(AVERAGEIFS(DATOS!$K$2:$K$20000,DATOS!$A$2:$A$20000,S463,DATOS!$G$2:$G$20000,CONFIG_METADATA!$B$4,DATOS!$I$2:$I$20000,"Lenguaje Musical"),""))</f>
        <v/>
      </c>
      <c r="U463" t="str">
        <f>IF(S463="","",IFERROR(AVERAGEIFS(DATOS!$K$2:$K$20000,DATOS!$A$2:$A$20000,S463,DATOS!$G$2:$G$20000,CONFIG_METADATA!$B$4,DATOS!$I$2:$I$20000,"Coro"),""))</f>
        <v/>
      </c>
      <c r="V463" t="str">
        <f>IF(S463="","",IFERROR(AVERAGEIFS(DATOS!$K$2:$K$20000,DATOS!$A$2:$A$20000,S463,DATOS!$G$2:$G$20000,CONFIG_METADATA!$B$4,DATOS!$I$2:$I$20000,"Conjunto"),""))</f>
        <v/>
      </c>
      <c r="W463" t="str" cm="1">
        <f t="array" ref="W463">IF(S463="","",IFERROR(AVERAGE(IF((DATOS!$A$2:$A$20000=S463)*(DATOS!$G$2:$G$20000=CONFIG_METADATA!$B$4)*(DATOS!$I$2:$I$20000&lt;&gt;"Lenguaje Musical")*(DATOS!$I$2:$I$20000&lt;&gt;"Coro")*(DATOS!$I$2:$I$20000&lt;&gt;"Conjunto"),DATOS!$K$2:$K$20000)),""))</f>
        <v/>
      </c>
    </row>
    <row r="464" spans="2:23" x14ac:dyDescent="0.2">
      <c r="B464" t="str">
        <f>IF(A464="","",IFERROR(AVERAGEIFS(DATOS!$K$2:$K$20000,DATOS!$A$2:$A$20000,A464,DATOS!$G$2:$G$20000,CONFIG_METADATA!$B$4,DATOS!$I$2:$I$20000,"Lenguaje Musical"),""))</f>
        <v/>
      </c>
      <c r="C464" t="str">
        <f>IF(A464="","",IFERROR(AVERAGEIFS(DATOS!$K$2:$K$20000,DATOS!$A$2:$A$20000,A464,DATOS!$G$2:$G$20000,CONFIG_METADATA!$B$4,DATOS!$I$2:$I$20000,"Coro"),""))</f>
        <v/>
      </c>
      <c r="D464" t="str">
        <f>IF(A464="","",IFERROR(AVERAGEIFS(DATOS!$K$2:$K$20000,DATOS!$A$2:$A$20000,A464,DATOS!$G$2:$G$20000,CONFIG_METADATA!$B$4,DATOS!$I$2:$I$20000,"Conjunto"),""))</f>
        <v/>
      </c>
      <c r="E464" t="str">
        <f>IF(A464="","",IFERROR(AVERAGEIFS(DATOS!$K$2:$K$20000,DATOS!$A$2:$A$20000,A464,DATOS!$G$2:$G$20000,CONFIG_METADATA!$B$4,DATOS!$I$2:$I$20000,"&lt;&gt;Lenguaje Musical",DATOS!$I$2:$I$20000,"&lt;&gt;Coro",DATOS!$I$2:$I$20000,"&lt;&gt;Conjunto"),""))</f>
        <v/>
      </c>
      <c r="H464" t="str">
        <f>IF(G464="","",IFERROR(AVERAGEIFS(DATOS!$K$2:$K$20000,DATOS!$A$2:$A$20000,G464,DATOS!$G$2:$G$20000,CONFIG_METADATA!$B$4,DATOS!$I$2:$I$20000,"Lenguaje Musical"),""))</f>
        <v/>
      </c>
      <c r="I464" t="str">
        <f>IF(G464="","",IFERROR(AVERAGEIFS(DATOS!$K$2:$K$20000,DATOS!$A$2:$A$20000,G464,DATOS!$G$2:$G$20000,CONFIG_METADATA!$B$4,DATOS!$I$2:$I$20000,"Coro"),""))</f>
        <v/>
      </c>
      <c r="J464" t="str">
        <f>IF(G464="","",IFERROR(AVERAGEIFS(DATOS!$K$2:$K$20000,DATOS!$A$2:$A$20000,G464,DATOS!$G$2:$G$20000,CONFIG_METADATA!$B$4,DATOS!$I$2:$I$20000,"Conjunto"),""))</f>
        <v/>
      </c>
      <c r="K464" t="str" cm="1">
        <f t="array" ref="K464">IF(G464="","",IFERROR(AVERAGE(IF((DATOS!$A$2:$A$20000=G464)*(DATOS!$G$2:$G$20000=CONFIG_METADATA!$B$4)*(DATOS!$I$2:$I$20000&lt;&gt;"Lenguaje Musical")*(DATOS!$I$2:$I$20000&lt;&gt;"Coro")*(DATOS!$I$2:$I$20000&lt;&gt;"Conjunto"),DATOS!$K$2:$K$20000)),""))</f>
        <v/>
      </c>
      <c r="N464" t="str">
        <f>IF(M464="","",IFERROR(AVERAGEIFS(DATOS!$K$2:$K$20000,DATOS!$A$2:$A$20000,M464,DATOS!$G$2:$G$20000,CONFIG_METADATA!$B$4,DATOS!$I$2:$I$20000,"Lenguaje Musical"),""))</f>
        <v/>
      </c>
      <c r="O464" t="str">
        <f>IF(M464="","",IFERROR(AVERAGEIFS(DATOS!$K$2:$K$20000,DATOS!$A$2:$A$20000,M464,DATOS!$G$2:$G$20000,CONFIG_METADATA!$B$4,DATOS!$I$2:$I$20000,"Coro"),""))</f>
        <v/>
      </c>
      <c r="P464" t="str">
        <f>IF(M464="","",IFERROR(AVERAGEIFS(DATOS!$K$2:$K$20000,DATOS!$A$2:$A$20000,M464,DATOS!$G$2:$G$20000,CONFIG_METADATA!$B$4,DATOS!$I$2:$I$20000,"Conjunto"),""))</f>
        <v/>
      </c>
      <c r="Q464" t="str">
        <f>IF(M464="","",IFERROR(AVERAGEIFS(DATOS!$K$2:$K$20000,DATOS!$A$2:$A$20000,M464,DATOS!$G$2:$G$20000,CONFIG_METADATA!$B$4,DATOS!$I$2:$I$20000,"&lt;&gt;Lenguaje Musical",DATOS!$I$2:$I$20000,"&lt;&gt;Coro",DATOS!$I$2:$I$20000,"&lt;&gt;Conjunto"),""))</f>
        <v/>
      </c>
      <c r="T464" t="str">
        <f>IF(S464="","",IFERROR(AVERAGEIFS(DATOS!$K$2:$K$20000,DATOS!$A$2:$A$20000,S464,DATOS!$G$2:$G$20000,CONFIG_METADATA!$B$4,DATOS!$I$2:$I$20000,"Lenguaje Musical"),""))</f>
        <v/>
      </c>
      <c r="U464" t="str">
        <f>IF(S464="","",IFERROR(AVERAGEIFS(DATOS!$K$2:$K$20000,DATOS!$A$2:$A$20000,S464,DATOS!$G$2:$G$20000,CONFIG_METADATA!$B$4,DATOS!$I$2:$I$20000,"Coro"),""))</f>
        <v/>
      </c>
      <c r="V464" t="str">
        <f>IF(S464="","",IFERROR(AVERAGEIFS(DATOS!$K$2:$K$20000,DATOS!$A$2:$A$20000,S464,DATOS!$G$2:$G$20000,CONFIG_METADATA!$B$4,DATOS!$I$2:$I$20000,"Conjunto"),""))</f>
        <v/>
      </c>
      <c r="W464" t="str" cm="1">
        <f t="array" ref="W464">IF(S464="","",IFERROR(AVERAGE(IF((DATOS!$A$2:$A$20000=S464)*(DATOS!$G$2:$G$20000=CONFIG_METADATA!$B$4)*(DATOS!$I$2:$I$20000&lt;&gt;"Lenguaje Musical")*(DATOS!$I$2:$I$20000&lt;&gt;"Coro")*(DATOS!$I$2:$I$20000&lt;&gt;"Conjunto"),DATOS!$K$2:$K$20000)),""))</f>
        <v/>
      </c>
    </row>
    <row r="465" spans="2:23" x14ac:dyDescent="0.2">
      <c r="B465" t="str">
        <f>IF(A465="","",IFERROR(AVERAGEIFS(DATOS!$K$2:$K$20000,DATOS!$A$2:$A$20000,A465,DATOS!$G$2:$G$20000,CONFIG_METADATA!$B$4,DATOS!$I$2:$I$20000,"Lenguaje Musical"),""))</f>
        <v/>
      </c>
      <c r="C465" t="str">
        <f>IF(A465="","",IFERROR(AVERAGEIFS(DATOS!$K$2:$K$20000,DATOS!$A$2:$A$20000,A465,DATOS!$G$2:$G$20000,CONFIG_METADATA!$B$4,DATOS!$I$2:$I$20000,"Coro"),""))</f>
        <v/>
      </c>
      <c r="D465" t="str">
        <f>IF(A465="","",IFERROR(AVERAGEIFS(DATOS!$K$2:$K$20000,DATOS!$A$2:$A$20000,A465,DATOS!$G$2:$G$20000,CONFIG_METADATA!$B$4,DATOS!$I$2:$I$20000,"Conjunto"),""))</f>
        <v/>
      </c>
      <c r="E465" t="str">
        <f>IF(A465="","",IFERROR(AVERAGEIFS(DATOS!$K$2:$K$20000,DATOS!$A$2:$A$20000,A465,DATOS!$G$2:$G$20000,CONFIG_METADATA!$B$4,DATOS!$I$2:$I$20000,"&lt;&gt;Lenguaje Musical",DATOS!$I$2:$I$20000,"&lt;&gt;Coro",DATOS!$I$2:$I$20000,"&lt;&gt;Conjunto"),""))</f>
        <v/>
      </c>
      <c r="H465" t="str">
        <f>IF(G465="","",IFERROR(AVERAGEIFS(DATOS!$K$2:$K$20000,DATOS!$A$2:$A$20000,G465,DATOS!$G$2:$G$20000,CONFIG_METADATA!$B$4,DATOS!$I$2:$I$20000,"Lenguaje Musical"),""))</f>
        <v/>
      </c>
      <c r="I465" t="str">
        <f>IF(G465="","",IFERROR(AVERAGEIFS(DATOS!$K$2:$K$20000,DATOS!$A$2:$A$20000,G465,DATOS!$G$2:$G$20000,CONFIG_METADATA!$B$4,DATOS!$I$2:$I$20000,"Coro"),""))</f>
        <v/>
      </c>
      <c r="J465" t="str">
        <f>IF(G465="","",IFERROR(AVERAGEIFS(DATOS!$K$2:$K$20000,DATOS!$A$2:$A$20000,G465,DATOS!$G$2:$G$20000,CONFIG_METADATA!$B$4,DATOS!$I$2:$I$20000,"Conjunto"),""))</f>
        <v/>
      </c>
      <c r="K465" t="str" cm="1">
        <f t="array" ref="K465">IF(G465="","",IFERROR(AVERAGE(IF((DATOS!$A$2:$A$20000=G465)*(DATOS!$G$2:$G$20000=CONFIG_METADATA!$B$4)*(DATOS!$I$2:$I$20000&lt;&gt;"Lenguaje Musical")*(DATOS!$I$2:$I$20000&lt;&gt;"Coro")*(DATOS!$I$2:$I$20000&lt;&gt;"Conjunto"),DATOS!$K$2:$K$20000)),""))</f>
        <v/>
      </c>
      <c r="N465" t="str">
        <f>IF(M465="","",IFERROR(AVERAGEIFS(DATOS!$K$2:$K$20000,DATOS!$A$2:$A$20000,M465,DATOS!$G$2:$G$20000,CONFIG_METADATA!$B$4,DATOS!$I$2:$I$20000,"Lenguaje Musical"),""))</f>
        <v/>
      </c>
      <c r="O465" t="str">
        <f>IF(M465="","",IFERROR(AVERAGEIFS(DATOS!$K$2:$K$20000,DATOS!$A$2:$A$20000,M465,DATOS!$G$2:$G$20000,CONFIG_METADATA!$B$4,DATOS!$I$2:$I$20000,"Coro"),""))</f>
        <v/>
      </c>
      <c r="P465" t="str">
        <f>IF(M465="","",IFERROR(AVERAGEIFS(DATOS!$K$2:$K$20000,DATOS!$A$2:$A$20000,M465,DATOS!$G$2:$G$20000,CONFIG_METADATA!$B$4,DATOS!$I$2:$I$20000,"Conjunto"),""))</f>
        <v/>
      </c>
      <c r="Q465" t="str">
        <f>IF(M465="","",IFERROR(AVERAGEIFS(DATOS!$K$2:$K$20000,DATOS!$A$2:$A$20000,M465,DATOS!$G$2:$G$20000,CONFIG_METADATA!$B$4,DATOS!$I$2:$I$20000,"&lt;&gt;Lenguaje Musical",DATOS!$I$2:$I$20000,"&lt;&gt;Coro",DATOS!$I$2:$I$20000,"&lt;&gt;Conjunto"),""))</f>
        <v/>
      </c>
      <c r="T465" t="str">
        <f>IF(S465="","",IFERROR(AVERAGEIFS(DATOS!$K$2:$K$20000,DATOS!$A$2:$A$20000,S465,DATOS!$G$2:$G$20000,CONFIG_METADATA!$B$4,DATOS!$I$2:$I$20000,"Lenguaje Musical"),""))</f>
        <v/>
      </c>
      <c r="U465" t="str">
        <f>IF(S465="","",IFERROR(AVERAGEIFS(DATOS!$K$2:$K$20000,DATOS!$A$2:$A$20000,S465,DATOS!$G$2:$G$20000,CONFIG_METADATA!$B$4,DATOS!$I$2:$I$20000,"Coro"),""))</f>
        <v/>
      </c>
      <c r="V465" t="str">
        <f>IF(S465="","",IFERROR(AVERAGEIFS(DATOS!$K$2:$K$20000,DATOS!$A$2:$A$20000,S465,DATOS!$G$2:$G$20000,CONFIG_METADATA!$B$4,DATOS!$I$2:$I$20000,"Conjunto"),""))</f>
        <v/>
      </c>
      <c r="W465" t="str" cm="1">
        <f t="array" ref="W465">IF(S465="","",IFERROR(AVERAGE(IF((DATOS!$A$2:$A$20000=S465)*(DATOS!$G$2:$G$20000=CONFIG_METADATA!$B$4)*(DATOS!$I$2:$I$20000&lt;&gt;"Lenguaje Musical")*(DATOS!$I$2:$I$20000&lt;&gt;"Coro")*(DATOS!$I$2:$I$20000&lt;&gt;"Conjunto"),DATOS!$K$2:$K$20000)),""))</f>
        <v/>
      </c>
    </row>
    <row r="466" spans="2:23" x14ac:dyDescent="0.2">
      <c r="B466" t="str">
        <f>IF(A466="","",IFERROR(AVERAGEIFS(DATOS!$K$2:$K$20000,DATOS!$A$2:$A$20000,A466,DATOS!$G$2:$G$20000,CONFIG_METADATA!$B$4,DATOS!$I$2:$I$20000,"Lenguaje Musical"),""))</f>
        <v/>
      </c>
      <c r="C466" t="str">
        <f>IF(A466="","",IFERROR(AVERAGEIFS(DATOS!$K$2:$K$20000,DATOS!$A$2:$A$20000,A466,DATOS!$G$2:$G$20000,CONFIG_METADATA!$B$4,DATOS!$I$2:$I$20000,"Coro"),""))</f>
        <v/>
      </c>
      <c r="D466" t="str">
        <f>IF(A466="","",IFERROR(AVERAGEIFS(DATOS!$K$2:$K$20000,DATOS!$A$2:$A$20000,A466,DATOS!$G$2:$G$20000,CONFIG_METADATA!$B$4,DATOS!$I$2:$I$20000,"Conjunto"),""))</f>
        <v/>
      </c>
      <c r="E466" t="str">
        <f>IF(A466="","",IFERROR(AVERAGEIFS(DATOS!$K$2:$K$20000,DATOS!$A$2:$A$20000,A466,DATOS!$G$2:$G$20000,CONFIG_METADATA!$B$4,DATOS!$I$2:$I$20000,"&lt;&gt;Lenguaje Musical",DATOS!$I$2:$I$20000,"&lt;&gt;Coro",DATOS!$I$2:$I$20000,"&lt;&gt;Conjunto"),""))</f>
        <v/>
      </c>
      <c r="H466" t="str">
        <f>IF(G466="","",IFERROR(AVERAGEIFS(DATOS!$K$2:$K$20000,DATOS!$A$2:$A$20000,G466,DATOS!$G$2:$G$20000,CONFIG_METADATA!$B$4,DATOS!$I$2:$I$20000,"Lenguaje Musical"),""))</f>
        <v/>
      </c>
      <c r="I466" t="str">
        <f>IF(G466="","",IFERROR(AVERAGEIFS(DATOS!$K$2:$K$20000,DATOS!$A$2:$A$20000,G466,DATOS!$G$2:$G$20000,CONFIG_METADATA!$B$4,DATOS!$I$2:$I$20000,"Coro"),""))</f>
        <v/>
      </c>
      <c r="J466" t="str">
        <f>IF(G466="","",IFERROR(AVERAGEIFS(DATOS!$K$2:$K$20000,DATOS!$A$2:$A$20000,G466,DATOS!$G$2:$G$20000,CONFIG_METADATA!$B$4,DATOS!$I$2:$I$20000,"Conjunto"),""))</f>
        <v/>
      </c>
      <c r="K466" t="str" cm="1">
        <f t="array" ref="K466">IF(G466="","",IFERROR(AVERAGE(IF((DATOS!$A$2:$A$20000=G466)*(DATOS!$G$2:$G$20000=CONFIG_METADATA!$B$4)*(DATOS!$I$2:$I$20000&lt;&gt;"Lenguaje Musical")*(DATOS!$I$2:$I$20000&lt;&gt;"Coro")*(DATOS!$I$2:$I$20000&lt;&gt;"Conjunto"),DATOS!$K$2:$K$20000)),""))</f>
        <v/>
      </c>
      <c r="N466" t="str">
        <f>IF(M466="","",IFERROR(AVERAGEIFS(DATOS!$K$2:$K$20000,DATOS!$A$2:$A$20000,M466,DATOS!$G$2:$G$20000,CONFIG_METADATA!$B$4,DATOS!$I$2:$I$20000,"Lenguaje Musical"),""))</f>
        <v/>
      </c>
      <c r="O466" t="str">
        <f>IF(M466="","",IFERROR(AVERAGEIFS(DATOS!$K$2:$K$20000,DATOS!$A$2:$A$20000,M466,DATOS!$G$2:$G$20000,CONFIG_METADATA!$B$4,DATOS!$I$2:$I$20000,"Coro"),""))</f>
        <v/>
      </c>
      <c r="P466" t="str">
        <f>IF(M466="","",IFERROR(AVERAGEIFS(DATOS!$K$2:$K$20000,DATOS!$A$2:$A$20000,M466,DATOS!$G$2:$G$20000,CONFIG_METADATA!$B$4,DATOS!$I$2:$I$20000,"Conjunto"),""))</f>
        <v/>
      </c>
      <c r="Q466" t="str">
        <f>IF(M466="","",IFERROR(AVERAGEIFS(DATOS!$K$2:$K$20000,DATOS!$A$2:$A$20000,M466,DATOS!$G$2:$G$20000,CONFIG_METADATA!$B$4,DATOS!$I$2:$I$20000,"&lt;&gt;Lenguaje Musical",DATOS!$I$2:$I$20000,"&lt;&gt;Coro",DATOS!$I$2:$I$20000,"&lt;&gt;Conjunto"),""))</f>
        <v/>
      </c>
      <c r="T466" t="str">
        <f>IF(S466="","",IFERROR(AVERAGEIFS(DATOS!$K$2:$K$20000,DATOS!$A$2:$A$20000,S466,DATOS!$G$2:$G$20000,CONFIG_METADATA!$B$4,DATOS!$I$2:$I$20000,"Lenguaje Musical"),""))</f>
        <v/>
      </c>
      <c r="U466" t="str">
        <f>IF(S466="","",IFERROR(AVERAGEIFS(DATOS!$K$2:$K$20000,DATOS!$A$2:$A$20000,S466,DATOS!$G$2:$G$20000,CONFIG_METADATA!$B$4,DATOS!$I$2:$I$20000,"Coro"),""))</f>
        <v/>
      </c>
      <c r="V466" t="str">
        <f>IF(S466="","",IFERROR(AVERAGEIFS(DATOS!$K$2:$K$20000,DATOS!$A$2:$A$20000,S466,DATOS!$G$2:$G$20000,CONFIG_METADATA!$B$4,DATOS!$I$2:$I$20000,"Conjunto"),""))</f>
        <v/>
      </c>
      <c r="W466" t="str" cm="1">
        <f t="array" ref="W466">IF(S466="","",IFERROR(AVERAGE(IF((DATOS!$A$2:$A$20000=S466)*(DATOS!$G$2:$G$20000=CONFIG_METADATA!$B$4)*(DATOS!$I$2:$I$20000&lt;&gt;"Lenguaje Musical")*(DATOS!$I$2:$I$20000&lt;&gt;"Coro")*(DATOS!$I$2:$I$20000&lt;&gt;"Conjunto"),DATOS!$K$2:$K$20000)),""))</f>
        <v/>
      </c>
    </row>
    <row r="467" spans="2:23" x14ac:dyDescent="0.2">
      <c r="B467" t="str">
        <f>IF(A467="","",IFERROR(AVERAGEIFS(DATOS!$K$2:$K$20000,DATOS!$A$2:$A$20000,A467,DATOS!$G$2:$G$20000,CONFIG_METADATA!$B$4,DATOS!$I$2:$I$20000,"Lenguaje Musical"),""))</f>
        <v/>
      </c>
      <c r="C467" t="str">
        <f>IF(A467="","",IFERROR(AVERAGEIFS(DATOS!$K$2:$K$20000,DATOS!$A$2:$A$20000,A467,DATOS!$G$2:$G$20000,CONFIG_METADATA!$B$4,DATOS!$I$2:$I$20000,"Coro"),""))</f>
        <v/>
      </c>
      <c r="D467" t="str">
        <f>IF(A467="","",IFERROR(AVERAGEIFS(DATOS!$K$2:$K$20000,DATOS!$A$2:$A$20000,A467,DATOS!$G$2:$G$20000,CONFIG_METADATA!$B$4,DATOS!$I$2:$I$20000,"Conjunto"),""))</f>
        <v/>
      </c>
      <c r="E467" t="str">
        <f>IF(A467="","",IFERROR(AVERAGEIFS(DATOS!$K$2:$K$20000,DATOS!$A$2:$A$20000,A467,DATOS!$G$2:$G$20000,CONFIG_METADATA!$B$4,DATOS!$I$2:$I$20000,"&lt;&gt;Lenguaje Musical",DATOS!$I$2:$I$20000,"&lt;&gt;Coro",DATOS!$I$2:$I$20000,"&lt;&gt;Conjunto"),""))</f>
        <v/>
      </c>
      <c r="H467" t="str">
        <f>IF(G467="","",IFERROR(AVERAGEIFS(DATOS!$K$2:$K$20000,DATOS!$A$2:$A$20000,G467,DATOS!$G$2:$G$20000,CONFIG_METADATA!$B$4,DATOS!$I$2:$I$20000,"Lenguaje Musical"),""))</f>
        <v/>
      </c>
      <c r="I467" t="str">
        <f>IF(G467="","",IFERROR(AVERAGEIFS(DATOS!$K$2:$K$20000,DATOS!$A$2:$A$20000,G467,DATOS!$G$2:$G$20000,CONFIG_METADATA!$B$4,DATOS!$I$2:$I$20000,"Coro"),""))</f>
        <v/>
      </c>
      <c r="J467" t="str">
        <f>IF(G467="","",IFERROR(AVERAGEIFS(DATOS!$K$2:$K$20000,DATOS!$A$2:$A$20000,G467,DATOS!$G$2:$G$20000,CONFIG_METADATA!$B$4,DATOS!$I$2:$I$20000,"Conjunto"),""))</f>
        <v/>
      </c>
      <c r="K467" t="str" cm="1">
        <f t="array" ref="K467">IF(G467="","",IFERROR(AVERAGE(IF((DATOS!$A$2:$A$20000=G467)*(DATOS!$G$2:$G$20000=CONFIG_METADATA!$B$4)*(DATOS!$I$2:$I$20000&lt;&gt;"Lenguaje Musical")*(DATOS!$I$2:$I$20000&lt;&gt;"Coro")*(DATOS!$I$2:$I$20000&lt;&gt;"Conjunto"),DATOS!$K$2:$K$20000)),""))</f>
        <v/>
      </c>
      <c r="N467" t="str">
        <f>IF(M467="","",IFERROR(AVERAGEIFS(DATOS!$K$2:$K$20000,DATOS!$A$2:$A$20000,M467,DATOS!$G$2:$G$20000,CONFIG_METADATA!$B$4,DATOS!$I$2:$I$20000,"Lenguaje Musical"),""))</f>
        <v/>
      </c>
      <c r="O467" t="str">
        <f>IF(M467="","",IFERROR(AVERAGEIFS(DATOS!$K$2:$K$20000,DATOS!$A$2:$A$20000,M467,DATOS!$G$2:$G$20000,CONFIG_METADATA!$B$4,DATOS!$I$2:$I$20000,"Coro"),""))</f>
        <v/>
      </c>
      <c r="P467" t="str">
        <f>IF(M467="","",IFERROR(AVERAGEIFS(DATOS!$K$2:$K$20000,DATOS!$A$2:$A$20000,M467,DATOS!$G$2:$G$20000,CONFIG_METADATA!$B$4,DATOS!$I$2:$I$20000,"Conjunto"),""))</f>
        <v/>
      </c>
      <c r="Q467" t="str">
        <f>IF(M467="","",IFERROR(AVERAGEIFS(DATOS!$K$2:$K$20000,DATOS!$A$2:$A$20000,M467,DATOS!$G$2:$G$20000,CONFIG_METADATA!$B$4,DATOS!$I$2:$I$20000,"&lt;&gt;Lenguaje Musical",DATOS!$I$2:$I$20000,"&lt;&gt;Coro",DATOS!$I$2:$I$20000,"&lt;&gt;Conjunto"),""))</f>
        <v/>
      </c>
      <c r="T467" t="str">
        <f>IF(S467="","",IFERROR(AVERAGEIFS(DATOS!$K$2:$K$20000,DATOS!$A$2:$A$20000,S467,DATOS!$G$2:$G$20000,CONFIG_METADATA!$B$4,DATOS!$I$2:$I$20000,"Lenguaje Musical"),""))</f>
        <v/>
      </c>
      <c r="U467" t="str">
        <f>IF(S467="","",IFERROR(AVERAGEIFS(DATOS!$K$2:$K$20000,DATOS!$A$2:$A$20000,S467,DATOS!$G$2:$G$20000,CONFIG_METADATA!$B$4,DATOS!$I$2:$I$20000,"Coro"),""))</f>
        <v/>
      </c>
      <c r="V467" t="str">
        <f>IF(S467="","",IFERROR(AVERAGEIFS(DATOS!$K$2:$K$20000,DATOS!$A$2:$A$20000,S467,DATOS!$G$2:$G$20000,CONFIG_METADATA!$B$4,DATOS!$I$2:$I$20000,"Conjunto"),""))</f>
        <v/>
      </c>
      <c r="W467" t="str" cm="1">
        <f t="array" ref="W467">IF(S467="","",IFERROR(AVERAGE(IF((DATOS!$A$2:$A$20000=S467)*(DATOS!$G$2:$G$20000=CONFIG_METADATA!$B$4)*(DATOS!$I$2:$I$20000&lt;&gt;"Lenguaje Musical")*(DATOS!$I$2:$I$20000&lt;&gt;"Coro")*(DATOS!$I$2:$I$20000&lt;&gt;"Conjunto"),DATOS!$K$2:$K$20000)),""))</f>
        <v/>
      </c>
    </row>
    <row r="468" spans="2:23" x14ac:dyDescent="0.2">
      <c r="B468" t="str">
        <f>IF(A468="","",IFERROR(AVERAGEIFS(DATOS!$K$2:$K$20000,DATOS!$A$2:$A$20000,A468,DATOS!$G$2:$G$20000,CONFIG_METADATA!$B$4,DATOS!$I$2:$I$20000,"Lenguaje Musical"),""))</f>
        <v/>
      </c>
      <c r="C468" t="str">
        <f>IF(A468="","",IFERROR(AVERAGEIFS(DATOS!$K$2:$K$20000,DATOS!$A$2:$A$20000,A468,DATOS!$G$2:$G$20000,CONFIG_METADATA!$B$4,DATOS!$I$2:$I$20000,"Coro"),""))</f>
        <v/>
      </c>
      <c r="D468" t="str">
        <f>IF(A468="","",IFERROR(AVERAGEIFS(DATOS!$K$2:$K$20000,DATOS!$A$2:$A$20000,A468,DATOS!$G$2:$G$20000,CONFIG_METADATA!$B$4,DATOS!$I$2:$I$20000,"Conjunto"),""))</f>
        <v/>
      </c>
      <c r="E468" t="str">
        <f>IF(A468="","",IFERROR(AVERAGEIFS(DATOS!$K$2:$K$20000,DATOS!$A$2:$A$20000,A468,DATOS!$G$2:$G$20000,CONFIG_METADATA!$B$4,DATOS!$I$2:$I$20000,"&lt;&gt;Lenguaje Musical",DATOS!$I$2:$I$20000,"&lt;&gt;Coro",DATOS!$I$2:$I$20000,"&lt;&gt;Conjunto"),""))</f>
        <v/>
      </c>
      <c r="H468" t="str">
        <f>IF(G468="","",IFERROR(AVERAGEIFS(DATOS!$K$2:$K$20000,DATOS!$A$2:$A$20000,G468,DATOS!$G$2:$G$20000,CONFIG_METADATA!$B$4,DATOS!$I$2:$I$20000,"Lenguaje Musical"),""))</f>
        <v/>
      </c>
      <c r="I468" t="str">
        <f>IF(G468="","",IFERROR(AVERAGEIFS(DATOS!$K$2:$K$20000,DATOS!$A$2:$A$20000,G468,DATOS!$G$2:$G$20000,CONFIG_METADATA!$B$4,DATOS!$I$2:$I$20000,"Coro"),""))</f>
        <v/>
      </c>
      <c r="J468" t="str">
        <f>IF(G468="","",IFERROR(AVERAGEIFS(DATOS!$K$2:$K$20000,DATOS!$A$2:$A$20000,G468,DATOS!$G$2:$G$20000,CONFIG_METADATA!$B$4,DATOS!$I$2:$I$20000,"Conjunto"),""))</f>
        <v/>
      </c>
      <c r="K468" t="str" cm="1">
        <f t="array" ref="K468">IF(G468="","",IFERROR(AVERAGE(IF((DATOS!$A$2:$A$20000=G468)*(DATOS!$G$2:$G$20000=CONFIG_METADATA!$B$4)*(DATOS!$I$2:$I$20000&lt;&gt;"Lenguaje Musical")*(DATOS!$I$2:$I$20000&lt;&gt;"Coro")*(DATOS!$I$2:$I$20000&lt;&gt;"Conjunto"),DATOS!$K$2:$K$20000)),""))</f>
        <v/>
      </c>
      <c r="N468" t="str">
        <f>IF(M468="","",IFERROR(AVERAGEIFS(DATOS!$K$2:$K$20000,DATOS!$A$2:$A$20000,M468,DATOS!$G$2:$G$20000,CONFIG_METADATA!$B$4,DATOS!$I$2:$I$20000,"Lenguaje Musical"),""))</f>
        <v/>
      </c>
      <c r="O468" t="str">
        <f>IF(M468="","",IFERROR(AVERAGEIFS(DATOS!$K$2:$K$20000,DATOS!$A$2:$A$20000,M468,DATOS!$G$2:$G$20000,CONFIG_METADATA!$B$4,DATOS!$I$2:$I$20000,"Coro"),""))</f>
        <v/>
      </c>
      <c r="P468" t="str">
        <f>IF(M468="","",IFERROR(AVERAGEIFS(DATOS!$K$2:$K$20000,DATOS!$A$2:$A$20000,M468,DATOS!$G$2:$G$20000,CONFIG_METADATA!$B$4,DATOS!$I$2:$I$20000,"Conjunto"),""))</f>
        <v/>
      </c>
      <c r="Q468" t="str">
        <f>IF(M468="","",IFERROR(AVERAGEIFS(DATOS!$K$2:$K$20000,DATOS!$A$2:$A$20000,M468,DATOS!$G$2:$G$20000,CONFIG_METADATA!$B$4,DATOS!$I$2:$I$20000,"&lt;&gt;Lenguaje Musical",DATOS!$I$2:$I$20000,"&lt;&gt;Coro",DATOS!$I$2:$I$20000,"&lt;&gt;Conjunto"),""))</f>
        <v/>
      </c>
      <c r="T468" t="str">
        <f>IF(S468="","",IFERROR(AVERAGEIFS(DATOS!$K$2:$K$20000,DATOS!$A$2:$A$20000,S468,DATOS!$G$2:$G$20000,CONFIG_METADATA!$B$4,DATOS!$I$2:$I$20000,"Lenguaje Musical"),""))</f>
        <v/>
      </c>
      <c r="U468" t="str">
        <f>IF(S468="","",IFERROR(AVERAGEIFS(DATOS!$K$2:$K$20000,DATOS!$A$2:$A$20000,S468,DATOS!$G$2:$G$20000,CONFIG_METADATA!$B$4,DATOS!$I$2:$I$20000,"Coro"),""))</f>
        <v/>
      </c>
      <c r="V468" t="str">
        <f>IF(S468="","",IFERROR(AVERAGEIFS(DATOS!$K$2:$K$20000,DATOS!$A$2:$A$20000,S468,DATOS!$G$2:$G$20000,CONFIG_METADATA!$B$4,DATOS!$I$2:$I$20000,"Conjunto"),""))</f>
        <v/>
      </c>
      <c r="W468" t="str" cm="1">
        <f t="array" ref="W468">IF(S468="","",IFERROR(AVERAGE(IF((DATOS!$A$2:$A$20000=S468)*(DATOS!$G$2:$G$20000=CONFIG_METADATA!$B$4)*(DATOS!$I$2:$I$20000&lt;&gt;"Lenguaje Musical")*(DATOS!$I$2:$I$20000&lt;&gt;"Coro")*(DATOS!$I$2:$I$20000&lt;&gt;"Conjunto"),DATOS!$K$2:$K$20000)),""))</f>
        <v/>
      </c>
    </row>
    <row r="469" spans="2:23" x14ac:dyDescent="0.2">
      <c r="B469" t="str">
        <f>IF(A469="","",IFERROR(AVERAGEIFS(DATOS!$K$2:$K$20000,DATOS!$A$2:$A$20000,A469,DATOS!$G$2:$G$20000,CONFIG_METADATA!$B$4,DATOS!$I$2:$I$20000,"Lenguaje Musical"),""))</f>
        <v/>
      </c>
      <c r="C469" t="str">
        <f>IF(A469="","",IFERROR(AVERAGEIFS(DATOS!$K$2:$K$20000,DATOS!$A$2:$A$20000,A469,DATOS!$G$2:$G$20000,CONFIG_METADATA!$B$4,DATOS!$I$2:$I$20000,"Coro"),""))</f>
        <v/>
      </c>
      <c r="D469" t="str">
        <f>IF(A469="","",IFERROR(AVERAGEIFS(DATOS!$K$2:$K$20000,DATOS!$A$2:$A$20000,A469,DATOS!$G$2:$G$20000,CONFIG_METADATA!$B$4,DATOS!$I$2:$I$20000,"Conjunto"),""))</f>
        <v/>
      </c>
      <c r="E469" t="str">
        <f>IF(A469="","",IFERROR(AVERAGEIFS(DATOS!$K$2:$K$20000,DATOS!$A$2:$A$20000,A469,DATOS!$G$2:$G$20000,CONFIG_METADATA!$B$4,DATOS!$I$2:$I$20000,"&lt;&gt;Lenguaje Musical",DATOS!$I$2:$I$20000,"&lt;&gt;Coro",DATOS!$I$2:$I$20000,"&lt;&gt;Conjunto"),""))</f>
        <v/>
      </c>
      <c r="H469" t="str">
        <f>IF(G469="","",IFERROR(AVERAGEIFS(DATOS!$K$2:$K$20000,DATOS!$A$2:$A$20000,G469,DATOS!$G$2:$G$20000,CONFIG_METADATA!$B$4,DATOS!$I$2:$I$20000,"Lenguaje Musical"),""))</f>
        <v/>
      </c>
      <c r="I469" t="str">
        <f>IF(G469="","",IFERROR(AVERAGEIFS(DATOS!$K$2:$K$20000,DATOS!$A$2:$A$20000,G469,DATOS!$G$2:$G$20000,CONFIG_METADATA!$B$4,DATOS!$I$2:$I$20000,"Coro"),""))</f>
        <v/>
      </c>
      <c r="J469" t="str">
        <f>IF(G469="","",IFERROR(AVERAGEIFS(DATOS!$K$2:$K$20000,DATOS!$A$2:$A$20000,G469,DATOS!$G$2:$G$20000,CONFIG_METADATA!$B$4,DATOS!$I$2:$I$20000,"Conjunto"),""))</f>
        <v/>
      </c>
      <c r="K469" t="str" cm="1">
        <f t="array" ref="K469">IF(G469="","",IFERROR(AVERAGE(IF((DATOS!$A$2:$A$20000=G469)*(DATOS!$G$2:$G$20000=CONFIG_METADATA!$B$4)*(DATOS!$I$2:$I$20000&lt;&gt;"Lenguaje Musical")*(DATOS!$I$2:$I$20000&lt;&gt;"Coro")*(DATOS!$I$2:$I$20000&lt;&gt;"Conjunto"),DATOS!$K$2:$K$20000)),""))</f>
        <v/>
      </c>
      <c r="N469" t="str">
        <f>IF(M469="","",IFERROR(AVERAGEIFS(DATOS!$K$2:$K$20000,DATOS!$A$2:$A$20000,M469,DATOS!$G$2:$G$20000,CONFIG_METADATA!$B$4,DATOS!$I$2:$I$20000,"Lenguaje Musical"),""))</f>
        <v/>
      </c>
      <c r="O469" t="str">
        <f>IF(M469="","",IFERROR(AVERAGEIFS(DATOS!$K$2:$K$20000,DATOS!$A$2:$A$20000,M469,DATOS!$G$2:$G$20000,CONFIG_METADATA!$B$4,DATOS!$I$2:$I$20000,"Coro"),""))</f>
        <v/>
      </c>
      <c r="P469" t="str">
        <f>IF(M469="","",IFERROR(AVERAGEIFS(DATOS!$K$2:$K$20000,DATOS!$A$2:$A$20000,M469,DATOS!$G$2:$G$20000,CONFIG_METADATA!$B$4,DATOS!$I$2:$I$20000,"Conjunto"),""))</f>
        <v/>
      </c>
      <c r="Q469" t="str">
        <f>IF(M469="","",IFERROR(AVERAGEIFS(DATOS!$K$2:$K$20000,DATOS!$A$2:$A$20000,M469,DATOS!$G$2:$G$20000,CONFIG_METADATA!$B$4,DATOS!$I$2:$I$20000,"&lt;&gt;Lenguaje Musical",DATOS!$I$2:$I$20000,"&lt;&gt;Coro",DATOS!$I$2:$I$20000,"&lt;&gt;Conjunto"),""))</f>
        <v/>
      </c>
      <c r="T469" t="str">
        <f>IF(S469="","",IFERROR(AVERAGEIFS(DATOS!$K$2:$K$20000,DATOS!$A$2:$A$20000,S469,DATOS!$G$2:$G$20000,CONFIG_METADATA!$B$4,DATOS!$I$2:$I$20000,"Lenguaje Musical"),""))</f>
        <v/>
      </c>
      <c r="U469" t="str">
        <f>IF(S469="","",IFERROR(AVERAGEIFS(DATOS!$K$2:$K$20000,DATOS!$A$2:$A$20000,S469,DATOS!$G$2:$G$20000,CONFIG_METADATA!$B$4,DATOS!$I$2:$I$20000,"Coro"),""))</f>
        <v/>
      </c>
      <c r="V469" t="str">
        <f>IF(S469="","",IFERROR(AVERAGEIFS(DATOS!$K$2:$K$20000,DATOS!$A$2:$A$20000,S469,DATOS!$G$2:$G$20000,CONFIG_METADATA!$B$4,DATOS!$I$2:$I$20000,"Conjunto"),""))</f>
        <v/>
      </c>
      <c r="W469" t="str" cm="1">
        <f t="array" ref="W469">IF(S469="","",IFERROR(AVERAGE(IF((DATOS!$A$2:$A$20000=S469)*(DATOS!$G$2:$G$20000=CONFIG_METADATA!$B$4)*(DATOS!$I$2:$I$20000&lt;&gt;"Lenguaje Musical")*(DATOS!$I$2:$I$20000&lt;&gt;"Coro")*(DATOS!$I$2:$I$20000&lt;&gt;"Conjunto"),DATOS!$K$2:$K$20000)),""))</f>
        <v/>
      </c>
    </row>
    <row r="470" spans="2:23" x14ac:dyDescent="0.2">
      <c r="B470" t="str">
        <f>IF(A470="","",IFERROR(AVERAGEIFS(DATOS!$K$2:$K$20000,DATOS!$A$2:$A$20000,A470,DATOS!$G$2:$G$20000,CONFIG_METADATA!$B$4,DATOS!$I$2:$I$20000,"Lenguaje Musical"),""))</f>
        <v/>
      </c>
      <c r="C470" t="str">
        <f>IF(A470="","",IFERROR(AVERAGEIFS(DATOS!$K$2:$K$20000,DATOS!$A$2:$A$20000,A470,DATOS!$G$2:$G$20000,CONFIG_METADATA!$B$4,DATOS!$I$2:$I$20000,"Coro"),""))</f>
        <v/>
      </c>
      <c r="D470" t="str">
        <f>IF(A470="","",IFERROR(AVERAGEIFS(DATOS!$K$2:$K$20000,DATOS!$A$2:$A$20000,A470,DATOS!$G$2:$G$20000,CONFIG_METADATA!$B$4,DATOS!$I$2:$I$20000,"Conjunto"),""))</f>
        <v/>
      </c>
      <c r="E470" t="str">
        <f>IF(A470="","",IFERROR(AVERAGEIFS(DATOS!$K$2:$K$20000,DATOS!$A$2:$A$20000,A470,DATOS!$G$2:$G$20000,CONFIG_METADATA!$B$4,DATOS!$I$2:$I$20000,"&lt;&gt;Lenguaje Musical",DATOS!$I$2:$I$20000,"&lt;&gt;Coro",DATOS!$I$2:$I$20000,"&lt;&gt;Conjunto"),""))</f>
        <v/>
      </c>
      <c r="H470" t="str">
        <f>IF(G470="","",IFERROR(AVERAGEIFS(DATOS!$K$2:$K$20000,DATOS!$A$2:$A$20000,G470,DATOS!$G$2:$G$20000,CONFIG_METADATA!$B$4,DATOS!$I$2:$I$20000,"Lenguaje Musical"),""))</f>
        <v/>
      </c>
      <c r="I470" t="str">
        <f>IF(G470="","",IFERROR(AVERAGEIFS(DATOS!$K$2:$K$20000,DATOS!$A$2:$A$20000,G470,DATOS!$G$2:$G$20000,CONFIG_METADATA!$B$4,DATOS!$I$2:$I$20000,"Coro"),""))</f>
        <v/>
      </c>
      <c r="J470" t="str">
        <f>IF(G470="","",IFERROR(AVERAGEIFS(DATOS!$K$2:$K$20000,DATOS!$A$2:$A$20000,G470,DATOS!$G$2:$G$20000,CONFIG_METADATA!$B$4,DATOS!$I$2:$I$20000,"Conjunto"),""))</f>
        <v/>
      </c>
      <c r="K470" t="str" cm="1">
        <f t="array" ref="K470">IF(G470="","",IFERROR(AVERAGE(IF((DATOS!$A$2:$A$20000=G470)*(DATOS!$G$2:$G$20000=CONFIG_METADATA!$B$4)*(DATOS!$I$2:$I$20000&lt;&gt;"Lenguaje Musical")*(DATOS!$I$2:$I$20000&lt;&gt;"Coro")*(DATOS!$I$2:$I$20000&lt;&gt;"Conjunto"),DATOS!$K$2:$K$20000)),""))</f>
        <v/>
      </c>
      <c r="N470" t="str">
        <f>IF(M470="","",IFERROR(AVERAGEIFS(DATOS!$K$2:$K$20000,DATOS!$A$2:$A$20000,M470,DATOS!$G$2:$G$20000,CONFIG_METADATA!$B$4,DATOS!$I$2:$I$20000,"Lenguaje Musical"),""))</f>
        <v/>
      </c>
      <c r="O470" t="str">
        <f>IF(M470="","",IFERROR(AVERAGEIFS(DATOS!$K$2:$K$20000,DATOS!$A$2:$A$20000,M470,DATOS!$G$2:$G$20000,CONFIG_METADATA!$B$4,DATOS!$I$2:$I$20000,"Coro"),""))</f>
        <v/>
      </c>
      <c r="P470" t="str">
        <f>IF(M470="","",IFERROR(AVERAGEIFS(DATOS!$K$2:$K$20000,DATOS!$A$2:$A$20000,M470,DATOS!$G$2:$G$20000,CONFIG_METADATA!$B$4,DATOS!$I$2:$I$20000,"Conjunto"),""))</f>
        <v/>
      </c>
      <c r="Q470" t="str">
        <f>IF(M470="","",IFERROR(AVERAGEIFS(DATOS!$K$2:$K$20000,DATOS!$A$2:$A$20000,M470,DATOS!$G$2:$G$20000,CONFIG_METADATA!$B$4,DATOS!$I$2:$I$20000,"&lt;&gt;Lenguaje Musical",DATOS!$I$2:$I$20000,"&lt;&gt;Coro",DATOS!$I$2:$I$20000,"&lt;&gt;Conjunto"),""))</f>
        <v/>
      </c>
      <c r="T470" t="str">
        <f>IF(S470="","",IFERROR(AVERAGEIFS(DATOS!$K$2:$K$20000,DATOS!$A$2:$A$20000,S470,DATOS!$G$2:$G$20000,CONFIG_METADATA!$B$4,DATOS!$I$2:$I$20000,"Lenguaje Musical"),""))</f>
        <v/>
      </c>
      <c r="U470" t="str">
        <f>IF(S470="","",IFERROR(AVERAGEIFS(DATOS!$K$2:$K$20000,DATOS!$A$2:$A$20000,S470,DATOS!$G$2:$G$20000,CONFIG_METADATA!$B$4,DATOS!$I$2:$I$20000,"Coro"),""))</f>
        <v/>
      </c>
      <c r="V470" t="str">
        <f>IF(S470="","",IFERROR(AVERAGEIFS(DATOS!$K$2:$K$20000,DATOS!$A$2:$A$20000,S470,DATOS!$G$2:$G$20000,CONFIG_METADATA!$B$4,DATOS!$I$2:$I$20000,"Conjunto"),""))</f>
        <v/>
      </c>
      <c r="W470" t="str" cm="1">
        <f t="array" ref="W470">IF(S470="","",IFERROR(AVERAGE(IF((DATOS!$A$2:$A$20000=S470)*(DATOS!$G$2:$G$20000=CONFIG_METADATA!$B$4)*(DATOS!$I$2:$I$20000&lt;&gt;"Lenguaje Musical")*(DATOS!$I$2:$I$20000&lt;&gt;"Coro")*(DATOS!$I$2:$I$20000&lt;&gt;"Conjunto"),DATOS!$K$2:$K$20000)),""))</f>
        <v/>
      </c>
    </row>
    <row r="471" spans="2:23" x14ac:dyDescent="0.2">
      <c r="B471" t="str">
        <f>IF(A471="","",IFERROR(AVERAGEIFS(DATOS!$K$2:$K$20000,DATOS!$A$2:$A$20000,A471,DATOS!$G$2:$G$20000,CONFIG_METADATA!$B$4,DATOS!$I$2:$I$20000,"Lenguaje Musical"),""))</f>
        <v/>
      </c>
      <c r="C471" t="str">
        <f>IF(A471="","",IFERROR(AVERAGEIFS(DATOS!$K$2:$K$20000,DATOS!$A$2:$A$20000,A471,DATOS!$G$2:$G$20000,CONFIG_METADATA!$B$4,DATOS!$I$2:$I$20000,"Coro"),""))</f>
        <v/>
      </c>
      <c r="D471" t="str">
        <f>IF(A471="","",IFERROR(AVERAGEIFS(DATOS!$K$2:$K$20000,DATOS!$A$2:$A$20000,A471,DATOS!$G$2:$G$20000,CONFIG_METADATA!$B$4,DATOS!$I$2:$I$20000,"Conjunto"),""))</f>
        <v/>
      </c>
      <c r="E471" t="str">
        <f>IF(A471="","",IFERROR(AVERAGEIFS(DATOS!$K$2:$K$20000,DATOS!$A$2:$A$20000,A471,DATOS!$G$2:$G$20000,CONFIG_METADATA!$B$4,DATOS!$I$2:$I$20000,"&lt;&gt;Lenguaje Musical",DATOS!$I$2:$I$20000,"&lt;&gt;Coro",DATOS!$I$2:$I$20000,"&lt;&gt;Conjunto"),""))</f>
        <v/>
      </c>
      <c r="H471" t="str">
        <f>IF(G471="","",IFERROR(AVERAGEIFS(DATOS!$K$2:$K$20000,DATOS!$A$2:$A$20000,G471,DATOS!$G$2:$G$20000,CONFIG_METADATA!$B$4,DATOS!$I$2:$I$20000,"Lenguaje Musical"),""))</f>
        <v/>
      </c>
      <c r="I471" t="str">
        <f>IF(G471="","",IFERROR(AVERAGEIFS(DATOS!$K$2:$K$20000,DATOS!$A$2:$A$20000,G471,DATOS!$G$2:$G$20000,CONFIG_METADATA!$B$4,DATOS!$I$2:$I$20000,"Coro"),""))</f>
        <v/>
      </c>
      <c r="J471" t="str">
        <f>IF(G471="","",IFERROR(AVERAGEIFS(DATOS!$K$2:$K$20000,DATOS!$A$2:$A$20000,G471,DATOS!$G$2:$G$20000,CONFIG_METADATA!$B$4,DATOS!$I$2:$I$20000,"Conjunto"),""))</f>
        <v/>
      </c>
      <c r="K471" t="str" cm="1">
        <f t="array" ref="K471">IF(G471="","",IFERROR(AVERAGE(IF((DATOS!$A$2:$A$20000=G471)*(DATOS!$G$2:$G$20000=CONFIG_METADATA!$B$4)*(DATOS!$I$2:$I$20000&lt;&gt;"Lenguaje Musical")*(DATOS!$I$2:$I$20000&lt;&gt;"Coro")*(DATOS!$I$2:$I$20000&lt;&gt;"Conjunto"),DATOS!$K$2:$K$20000)),""))</f>
        <v/>
      </c>
      <c r="N471" t="str">
        <f>IF(M471="","",IFERROR(AVERAGEIFS(DATOS!$K$2:$K$20000,DATOS!$A$2:$A$20000,M471,DATOS!$G$2:$G$20000,CONFIG_METADATA!$B$4,DATOS!$I$2:$I$20000,"Lenguaje Musical"),""))</f>
        <v/>
      </c>
      <c r="O471" t="str">
        <f>IF(M471="","",IFERROR(AVERAGEIFS(DATOS!$K$2:$K$20000,DATOS!$A$2:$A$20000,M471,DATOS!$G$2:$G$20000,CONFIG_METADATA!$B$4,DATOS!$I$2:$I$20000,"Coro"),""))</f>
        <v/>
      </c>
      <c r="P471" t="str">
        <f>IF(M471="","",IFERROR(AVERAGEIFS(DATOS!$K$2:$K$20000,DATOS!$A$2:$A$20000,M471,DATOS!$G$2:$G$20000,CONFIG_METADATA!$B$4,DATOS!$I$2:$I$20000,"Conjunto"),""))</f>
        <v/>
      </c>
      <c r="Q471" t="str">
        <f>IF(M471="","",IFERROR(AVERAGEIFS(DATOS!$K$2:$K$20000,DATOS!$A$2:$A$20000,M471,DATOS!$G$2:$G$20000,CONFIG_METADATA!$B$4,DATOS!$I$2:$I$20000,"&lt;&gt;Lenguaje Musical",DATOS!$I$2:$I$20000,"&lt;&gt;Coro",DATOS!$I$2:$I$20000,"&lt;&gt;Conjunto"),""))</f>
        <v/>
      </c>
      <c r="T471" t="str">
        <f>IF(S471="","",IFERROR(AVERAGEIFS(DATOS!$K$2:$K$20000,DATOS!$A$2:$A$20000,S471,DATOS!$G$2:$G$20000,CONFIG_METADATA!$B$4,DATOS!$I$2:$I$20000,"Lenguaje Musical"),""))</f>
        <v/>
      </c>
      <c r="U471" t="str">
        <f>IF(S471="","",IFERROR(AVERAGEIFS(DATOS!$K$2:$K$20000,DATOS!$A$2:$A$20000,S471,DATOS!$G$2:$G$20000,CONFIG_METADATA!$B$4,DATOS!$I$2:$I$20000,"Coro"),""))</f>
        <v/>
      </c>
      <c r="V471" t="str">
        <f>IF(S471="","",IFERROR(AVERAGEIFS(DATOS!$K$2:$K$20000,DATOS!$A$2:$A$20000,S471,DATOS!$G$2:$G$20000,CONFIG_METADATA!$B$4,DATOS!$I$2:$I$20000,"Conjunto"),""))</f>
        <v/>
      </c>
      <c r="W471" t="str" cm="1">
        <f t="array" ref="W471">IF(S471="","",IFERROR(AVERAGE(IF((DATOS!$A$2:$A$20000=S471)*(DATOS!$G$2:$G$20000=CONFIG_METADATA!$B$4)*(DATOS!$I$2:$I$20000&lt;&gt;"Lenguaje Musical")*(DATOS!$I$2:$I$20000&lt;&gt;"Coro")*(DATOS!$I$2:$I$20000&lt;&gt;"Conjunto"),DATOS!$K$2:$K$20000)),""))</f>
        <v/>
      </c>
    </row>
    <row r="472" spans="2:23" x14ac:dyDescent="0.2">
      <c r="B472" t="str">
        <f>IF(A472="","",IFERROR(AVERAGEIFS(DATOS!$K$2:$K$20000,DATOS!$A$2:$A$20000,A472,DATOS!$G$2:$G$20000,CONFIG_METADATA!$B$4,DATOS!$I$2:$I$20000,"Lenguaje Musical"),""))</f>
        <v/>
      </c>
      <c r="C472" t="str">
        <f>IF(A472="","",IFERROR(AVERAGEIFS(DATOS!$K$2:$K$20000,DATOS!$A$2:$A$20000,A472,DATOS!$G$2:$G$20000,CONFIG_METADATA!$B$4,DATOS!$I$2:$I$20000,"Coro"),""))</f>
        <v/>
      </c>
      <c r="D472" t="str">
        <f>IF(A472="","",IFERROR(AVERAGEIFS(DATOS!$K$2:$K$20000,DATOS!$A$2:$A$20000,A472,DATOS!$G$2:$G$20000,CONFIG_METADATA!$B$4,DATOS!$I$2:$I$20000,"Conjunto"),""))</f>
        <v/>
      </c>
      <c r="E472" t="str">
        <f>IF(A472="","",IFERROR(AVERAGEIFS(DATOS!$K$2:$K$20000,DATOS!$A$2:$A$20000,A472,DATOS!$G$2:$G$20000,CONFIG_METADATA!$B$4,DATOS!$I$2:$I$20000,"&lt;&gt;Lenguaje Musical",DATOS!$I$2:$I$20000,"&lt;&gt;Coro",DATOS!$I$2:$I$20000,"&lt;&gt;Conjunto"),""))</f>
        <v/>
      </c>
      <c r="H472" t="str">
        <f>IF(G472="","",IFERROR(AVERAGEIFS(DATOS!$K$2:$K$20000,DATOS!$A$2:$A$20000,G472,DATOS!$G$2:$G$20000,CONFIG_METADATA!$B$4,DATOS!$I$2:$I$20000,"Lenguaje Musical"),""))</f>
        <v/>
      </c>
      <c r="I472" t="str">
        <f>IF(G472="","",IFERROR(AVERAGEIFS(DATOS!$K$2:$K$20000,DATOS!$A$2:$A$20000,G472,DATOS!$G$2:$G$20000,CONFIG_METADATA!$B$4,DATOS!$I$2:$I$20000,"Coro"),""))</f>
        <v/>
      </c>
      <c r="J472" t="str">
        <f>IF(G472="","",IFERROR(AVERAGEIFS(DATOS!$K$2:$K$20000,DATOS!$A$2:$A$20000,G472,DATOS!$G$2:$G$20000,CONFIG_METADATA!$B$4,DATOS!$I$2:$I$20000,"Conjunto"),""))</f>
        <v/>
      </c>
      <c r="K472" t="str" cm="1">
        <f t="array" ref="K472">IF(G472="","",IFERROR(AVERAGE(IF((DATOS!$A$2:$A$20000=G472)*(DATOS!$G$2:$G$20000=CONFIG_METADATA!$B$4)*(DATOS!$I$2:$I$20000&lt;&gt;"Lenguaje Musical")*(DATOS!$I$2:$I$20000&lt;&gt;"Coro")*(DATOS!$I$2:$I$20000&lt;&gt;"Conjunto"),DATOS!$K$2:$K$20000)),""))</f>
        <v/>
      </c>
      <c r="N472" t="str">
        <f>IF(M472="","",IFERROR(AVERAGEIFS(DATOS!$K$2:$K$20000,DATOS!$A$2:$A$20000,M472,DATOS!$G$2:$G$20000,CONFIG_METADATA!$B$4,DATOS!$I$2:$I$20000,"Lenguaje Musical"),""))</f>
        <v/>
      </c>
      <c r="O472" t="str">
        <f>IF(M472="","",IFERROR(AVERAGEIFS(DATOS!$K$2:$K$20000,DATOS!$A$2:$A$20000,M472,DATOS!$G$2:$G$20000,CONFIG_METADATA!$B$4,DATOS!$I$2:$I$20000,"Coro"),""))</f>
        <v/>
      </c>
      <c r="P472" t="str">
        <f>IF(M472="","",IFERROR(AVERAGEIFS(DATOS!$K$2:$K$20000,DATOS!$A$2:$A$20000,M472,DATOS!$G$2:$G$20000,CONFIG_METADATA!$B$4,DATOS!$I$2:$I$20000,"Conjunto"),""))</f>
        <v/>
      </c>
      <c r="Q472" t="str">
        <f>IF(M472="","",IFERROR(AVERAGEIFS(DATOS!$K$2:$K$20000,DATOS!$A$2:$A$20000,M472,DATOS!$G$2:$G$20000,CONFIG_METADATA!$B$4,DATOS!$I$2:$I$20000,"&lt;&gt;Lenguaje Musical",DATOS!$I$2:$I$20000,"&lt;&gt;Coro",DATOS!$I$2:$I$20000,"&lt;&gt;Conjunto"),""))</f>
        <v/>
      </c>
      <c r="T472" t="str">
        <f>IF(S472="","",IFERROR(AVERAGEIFS(DATOS!$K$2:$K$20000,DATOS!$A$2:$A$20000,S472,DATOS!$G$2:$G$20000,CONFIG_METADATA!$B$4,DATOS!$I$2:$I$20000,"Lenguaje Musical"),""))</f>
        <v/>
      </c>
      <c r="U472" t="str">
        <f>IF(S472="","",IFERROR(AVERAGEIFS(DATOS!$K$2:$K$20000,DATOS!$A$2:$A$20000,S472,DATOS!$G$2:$G$20000,CONFIG_METADATA!$B$4,DATOS!$I$2:$I$20000,"Coro"),""))</f>
        <v/>
      </c>
      <c r="V472" t="str">
        <f>IF(S472="","",IFERROR(AVERAGEIFS(DATOS!$K$2:$K$20000,DATOS!$A$2:$A$20000,S472,DATOS!$G$2:$G$20000,CONFIG_METADATA!$B$4,DATOS!$I$2:$I$20000,"Conjunto"),""))</f>
        <v/>
      </c>
      <c r="W472" t="str" cm="1">
        <f t="array" ref="W472">IF(S472="","",IFERROR(AVERAGE(IF((DATOS!$A$2:$A$20000=S472)*(DATOS!$G$2:$G$20000=CONFIG_METADATA!$B$4)*(DATOS!$I$2:$I$20000&lt;&gt;"Lenguaje Musical")*(DATOS!$I$2:$I$20000&lt;&gt;"Coro")*(DATOS!$I$2:$I$20000&lt;&gt;"Conjunto"),DATOS!$K$2:$K$20000)),""))</f>
        <v/>
      </c>
    </row>
    <row r="473" spans="2:23" x14ac:dyDescent="0.2">
      <c r="B473" t="str">
        <f>IF(A473="","",IFERROR(AVERAGEIFS(DATOS!$K$2:$K$20000,DATOS!$A$2:$A$20000,A473,DATOS!$G$2:$G$20000,CONFIG_METADATA!$B$4,DATOS!$I$2:$I$20000,"Lenguaje Musical"),""))</f>
        <v/>
      </c>
      <c r="C473" t="str">
        <f>IF(A473="","",IFERROR(AVERAGEIFS(DATOS!$K$2:$K$20000,DATOS!$A$2:$A$20000,A473,DATOS!$G$2:$G$20000,CONFIG_METADATA!$B$4,DATOS!$I$2:$I$20000,"Coro"),""))</f>
        <v/>
      </c>
      <c r="D473" t="str">
        <f>IF(A473="","",IFERROR(AVERAGEIFS(DATOS!$K$2:$K$20000,DATOS!$A$2:$A$20000,A473,DATOS!$G$2:$G$20000,CONFIG_METADATA!$B$4,DATOS!$I$2:$I$20000,"Conjunto"),""))</f>
        <v/>
      </c>
      <c r="E473" t="str">
        <f>IF(A473="","",IFERROR(AVERAGEIFS(DATOS!$K$2:$K$20000,DATOS!$A$2:$A$20000,A473,DATOS!$G$2:$G$20000,CONFIG_METADATA!$B$4,DATOS!$I$2:$I$20000,"&lt;&gt;Lenguaje Musical",DATOS!$I$2:$I$20000,"&lt;&gt;Coro",DATOS!$I$2:$I$20000,"&lt;&gt;Conjunto"),""))</f>
        <v/>
      </c>
      <c r="H473" t="str">
        <f>IF(G473="","",IFERROR(AVERAGEIFS(DATOS!$K$2:$K$20000,DATOS!$A$2:$A$20000,G473,DATOS!$G$2:$G$20000,CONFIG_METADATA!$B$4,DATOS!$I$2:$I$20000,"Lenguaje Musical"),""))</f>
        <v/>
      </c>
      <c r="I473" t="str">
        <f>IF(G473="","",IFERROR(AVERAGEIFS(DATOS!$K$2:$K$20000,DATOS!$A$2:$A$20000,G473,DATOS!$G$2:$G$20000,CONFIG_METADATA!$B$4,DATOS!$I$2:$I$20000,"Coro"),""))</f>
        <v/>
      </c>
      <c r="J473" t="str">
        <f>IF(G473="","",IFERROR(AVERAGEIFS(DATOS!$K$2:$K$20000,DATOS!$A$2:$A$20000,G473,DATOS!$G$2:$G$20000,CONFIG_METADATA!$B$4,DATOS!$I$2:$I$20000,"Conjunto"),""))</f>
        <v/>
      </c>
      <c r="K473" t="str" cm="1">
        <f t="array" ref="K473">IF(G473="","",IFERROR(AVERAGE(IF((DATOS!$A$2:$A$20000=G473)*(DATOS!$G$2:$G$20000=CONFIG_METADATA!$B$4)*(DATOS!$I$2:$I$20000&lt;&gt;"Lenguaje Musical")*(DATOS!$I$2:$I$20000&lt;&gt;"Coro")*(DATOS!$I$2:$I$20000&lt;&gt;"Conjunto"),DATOS!$K$2:$K$20000)),""))</f>
        <v/>
      </c>
      <c r="N473" t="str">
        <f>IF(M473="","",IFERROR(AVERAGEIFS(DATOS!$K$2:$K$20000,DATOS!$A$2:$A$20000,M473,DATOS!$G$2:$G$20000,CONFIG_METADATA!$B$4,DATOS!$I$2:$I$20000,"Lenguaje Musical"),""))</f>
        <v/>
      </c>
      <c r="O473" t="str">
        <f>IF(M473="","",IFERROR(AVERAGEIFS(DATOS!$K$2:$K$20000,DATOS!$A$2:$A$20000,M473,DATOS!$G$2:$G$20000,CONFIG_METADATA!$B$4,DATOS!$I$2:$I$20000,"Coro"),""))</f>
        <v/>
      </c>
      <c r="P473" t="str">
        <f>IF(M473="","",IFERROR(AVERAGEIFS(DATOS!$K$2:$K$20000,DATOS!$A$2:$A$20000,M473,DATOS!$G$2:$G$20000,CONFIG_METADATA!$B$4,DATOS!$I$2:$I$20000,"Conjunto"),""))</f>
        <v/>
      </c>
      <c r="Q473" t="str">
        <f>IF(M473="","",IFERROR(AVERAGEIFS(DATOS!$K$2:$K$20000,DATOS!$A$2:$A$20000,M473,DATOS!$G$2:$G$20000,CONFIG_METADATA!$B$4,DATOS!$I$2:$I$20000,"&lt;&gt;Lenguaje Musical",DATOS!$I$2:$I$20000,"&lt;&gt;Coro",DATOS!$I$2:$I$20000,"&lt;&gt;Conjunto"),""))</f>
        <v/>
      </c>
      <c r="T473" t="str">
        <f>IF(S473="","",IFERROR(AVERAGEIFS(DATOS!$K$2:$K$20000,DATOS!$A$2:$A$20000,S473,DATOS!$G$2:$G$20000,CONFIG_METADATA!$B$4,DATOS!$I$2:$I$20000,"Lenguaje Musical"),""))</f>
        <v/>
      </c>
      <c r="U473" t="str">
        <f>IF(S473="","",IFERROR(AVERAGEIFS(DATOS!$K$2:$K$20000,DATOS!$A$2:$A$20000,S473,DATOS!$G$2:$G$20000,CONFIG_METADATA!$B$4,DATOS!$I$2:$I$20000,"Coro"),""))</f>
        <v/>
      </c>
      <c r="V473" t="str">
        <f>IF(S473="","",IFERROR(AVERAGEIFS(DATOS!$K$2:$K$20000,DATOS!$A$2:$A$20000,S473,DATOS!$G$2:$G$20000,CONFIG_METADATA!$B$4,DATOS!$I$2:$I$20000,"Conjunto"),""))</f>
        <v/>
      </c>
      <c r="W473" t="str" cm="1">
        <f t="array" ref="W473">IF(S473="","",IFERROR(AVERAGE(IF((DATOS!$A$2:$A$20000=S473)*(DATOS!$G$2:$G$20000=CONFIG_METADATA!$B$4)*(DATOS!$I$2:$I$20000&lt;&gt;"Lenguaje Musical")*(DATOS!$I$2:$I$20000&lt;&gt;"Coro")*(DATOS!$I$2:$I$20000&lt;&gt;"Conjunto"),DATOS!$K$2:$K$20000)),""))</f>
        <v/>
      </c>
    </row>
    <row r="474" spans="2:23" x14ac:dyDescent="0.2">
      <c r="B474" t="str">
        <f>IF(A474="","",IFERROR(AVERAGEIFS(DATOS!$K$2:$K$20000,DATOS!$A$2:$A$20000,A474,DATOS!$G$2:$G$20000,CONFIG_METADATA!$B$4,DATOS!$I$2:$I$20000,"Lenguaje Musical"),""))</f>
        <v/>
      </c>
      <c r="C474" t="str">
        <f>IF(A474="","",IFERROR(AVERAGEIFS(DATOS!$K$2:$K$20000,DATOS!$A$2:$A$20000,A474,DATOS!$G$2:$G$20000,CONFIG_METADATA!$B$4,DATOS!$I$2:$I$20000,"Coro"),""))</f>
        <v/>
      </c>
      <c r="D474" t="str">
        <f>IF(A474="","",IFERROR(AVERAGEIFS(DATOS!$K$2:$K$20000,DATOS!$A$2:$A$20000,A474,DATOS!$G$2:$G$20000,CONFIG_METADATA!$B$4,DATOS!$I$2:$I$20000,"Conjunto"),""))</f>
        <v/>
      </c>
      <c r="E474" t="str">
        <f>IF(A474="","",IFERROR(AVERAGEIFS(DATOS!$K$2:$K$20000,DATOS!$A$2:$A$20000,A474,DATOS!$G$2:$G$20000,CONFIG_METADATA!$B$4,DATOS!$I$2:$I$20000,"&lt;&gt;Lenguaje Musical",DATOS!$I$2:$I$20000,"&lt;&gt;Coro",DATOS!$I$2:$I$20000,"&lt;&gt;Conjunto"),""))</f>
        <v/>
      </c>
      <c r="H474" t="str">
        <f>IF(G474="","",IFERROR(AVERAGEIFS(DATOS!$K$2:$K$20000,DATOS!$A$2:$A$20000,G474,DATOS!$G$2:$G$20000,CONFIG_METADATA!$B$4,DATOS!$I$2:$I$20000,"Lenguaje Musical"),""))</f>
        <v/>
      </c>
      <c r="I474" t="str">
        <f>IF(G474="","",IFERROR(AVERAGEIFS(DATOS!$K$2:$K$20000,DATOS!$A$2:$A$20000,G474,DATOS!$G$2:$G$20000,CONFIG_METADATA!$B$4,DATOS!$I$2:$I$20000,"Coro"),""))</f>
        <v/>
      </c>
      <c r="J474" t="str">
        <f>IF(G474="","",IFERROR(AVERAGEIFS(DATOS!$K$2:$K$20000,DATOS!$A$2:$A$20000,G474,DATOS!$G$2:$G$20000,CONFIG_METADATA!$B$4,DATOS!$I$2:$I$20000,"Conjunto"),""))</f>
        <v/>
      </c>
      <c r="K474" t="str" cm="1">
        <f t="array" ref="K474">IF(G474="","",IFERROR(AVERAGE(IF((DATOS!$A$2:$A$20000=G474)*(DATOS!$G$2:$G$20000=CONFIG_METADATA!$B$4)*(DATOS!$I$2:$I$20000&lt;&gt;"Lenguaje Musical")*(DATOS!$I$2:$I$20000&lt;&gt;"Coro")*(DATOS!$I$2:$I$20000&lt;&gt;"Conjunto"),DATOS!$K$2:$K$20000)),""))</f>
        <v/>
      </c>
      <c r="N474" t="str">
        <f>IF(M474="","",IFERROR(AVERAGEIFS(DATOS!$K$2:$K$20000,DATOS!$A$2:$A$20000,M474,DATOS!$G$2:$G$20000,CONFIG_METADATA!$B$4,DATOS!$I$2:$I$20000,"Lenguaje Musical"),""))</f>
        <v/>
      </c>
      <c r="O474" t="str">
        <f>IF(M474="","",IFERROR(AVERAGEIFS(DATOS!$K$2:$K$20000,DATOS!$A$2:$A$20000,M474,DATOS!$G$2:$G$20000,CONFIG_METADATA!$B$4,DATOS!$I$2:$I$20000,"Coro"),""))</f>
        <v/>
      </c>
      <c r="P474" t="str">
        <f>IF(M474="","",IFERROR(AVERAGEIFS(DATOS!$K$2:$K$20000,DATOS!$A$2:$A$20000,M474,DATOS!$G$2:$G$20000,CONFIG_METADATA!$B$4,DATOS!$I$2:$I$20000,"Conjunto"),""))</f>
        <v/>
      </c>
      <c r="Q474" t="str">
        <f>IF(M474="","",IFERROR(AVERAGEIFS(DATOS!$K$2:$K$20000,DATOS!$A$2:$A$20000,M474,DATOS!$G$2:$G$20000,CONFIG_METADATA!$B$4,DATOS!$I$2:$I$20000,"&lt;&gt;Lenguaje Musical",DATOS!$I$2:$I$20000,"&lt;&gt;Coro",DATOS!$I$2:$I$20000,"&lt;&gt;Conjunto"),""))</f>
        <v/>
      </c>
      <c r="T474" t="str">
        <f>IF(S474="","",IFERROR(AVERAGEIFS(DATOS!$K$2:$K$20000,DATOS!$A$2:$A$20000,S474,DATOS!$G$2:$G$20000,CONFIG_METADATA!$B$4,DATOS!$I$2:$I$20000,"Lenguaje Musical"),""))</f>
        <v/>
      </c>
      <c r="U474" t="str">
        <f>IF(S474="","",IFERROR(AVERAGEIFS(DATOS!$K$2:$K$20000,DATOS!$A$2:$A$20000,S474,DATOS!$G$2:$G$20000,CONFIG_METADATA!$B$4,DATOS!$I$2:$I$20000,"Coro"),""))</f>
        <v/>
      </c>
      <c r="V474" t="str">
        <f>IF(S474="","",IFERROR(AVERAGEIFS(DATOS!$K$2:$K$20000,DATOS!$A$2:$A$20000,S474,DATOS!$G$2:$G$20000,CONFIG_METADATA!$B$4,DATOS!$I$2:$I$20000,"Conjunto"),""))</f>
        <v/>
      </c>
      <c r="W474" t="str" cm="1">
        <f t="array" ref="W474">IF(S474="","",IFERROR(AVERAGE(IF((DATOS!$A$2:$A$20000=S474)*(DATOS!$G$2:$G$20000=CONFIG_METADATA!$B$4)*(DATOS!$I$2:$I$20000&lt;&gt;"Lenguaje Musical")*(DATOS!$I$2:$I$20000&lt;&gt;"Coro")*(DATOS!$I$2:$I$20000&lt;&gt;"Conjunto"),DATOS!$K$2:$K$20000)),""))</f>
        <v/>
      </c>
    </row>
    <row r="475" spans="2:23" x14ac:dyDescent="0.2">
      <c r="B475" t="str">
        <f>IF(A475="","",IFERROR(AVERAGEIFS(DATOS!$K$2:$K$20000,DATOS!$A$2:$A$20000,A475,DATOS!$G$2:$G$20000,CONFIG_METADATA!$B$4,DATOS!$I$2:$I$20000,"Lenguaje Musical"),""))</f>
        <v/>
      </c>
      <c r="C475" t="str">
        <f>IF(A475="","",IFERROR(AVERAGEIFS(DATOS!$K$2:$K$20000,DATOS!$A$2:$A$20000,A475,DATOS!$G$2:$G$20000,CONFIG_METADATA!$B$4,DATOS!$I$2:$I$20000,"Coro"),""))</f>
        <v/>
      </c>
      <c r="D475" t="str">
        <f>IF(A475="","",IFERROR(AVERAGEIFS(DATOS!$K$2:$K$20000,DATOS!$A$2:$A$20000,A475,DATOS!$G$2:$G$20000,CONFIG_METADATA!$B$4,DATOS!$I$2:$I$20000,"Conjunto"),""))</f>
        <v/>
      </c>
      <c r="E475" t="str">
        <f>IF(A475="","",IFERROR(AVERAGEIFS(DATOS!$K$2:$K$20000,DATOS!$A$2:$A$20000,A475,DATOS!$G$2:$G$20000,CONFIG_METADATA!$B$4,DATOS!$I$2:$I$20000,"&lt;&gt;Lenguaje Musical",DATOS!$I$2:$I$20000,"&lt;&gt;Coro",DATOS!$I$2:$I$20000,"&lt;&gt;Conjunto"),""))</f>
        <v/>
      </c>
      <c r="H475" t="str">
        <f>IF(G475="","",IFERROR(AVERAGEIFS(DATOS!$K$2:$K$20000,DATOS!$A$2:$A$20000,G475,DATOS!$G$2:$G$20000,CONFIG_METADATA!$B$4,DATOS!$I$2:$I$20000,"Lenguaje Musical"),""))</f>
        <v/>
      </c>
      <c r="I475" t="str">
        <f>IF(G475="","",IFERROR(AVERAGEIFS(DATOS!$K$2:$K$20000,DATOS!$A$2:$A$20000,G475,DATOS!$G$2:$G$20000,CONFIG_METADATA!$B$4,DATOS!$I$2:$I$20000,"Coro"),""))</f>
        <v/>
      </c>
      <c r="J475" t="str">
        <f>IF(G475="","",IFERROR(AVERAGEIFS(DATOS!$K$2:$K$20000,DATOS!$A$2:$A$20000,G475,DATOS!$G$2:$G$20000,CONFIG_METADATA!$B$4,DATOS!$I$2:$I$20000,"Conjunto"),""))</f>
        <v/>
      </c>
      <c r="K475" t="str" cm="1">
        <f t="array" ref="K475">IF(G475="","",IFERROR(AVERAGE(IF((DATOS!$A$2:$A$20000=G475)*(DATOS!$G$2:$G$20000=CONFIG_METADATA!$B$4)*(DATOS!$I$2:$I$20000&lt;&gt;"Lenguaje Musical")*(DATOS!$I$2:$I$20000&lt;&gt;"Coro")*(DATOS!$I$2:$I$20000&lt;&gt;"Conjunto"),DATOS!$K$2:$K$20000)),""))</f>
        <v/>
      </c>
      <c r="N475" t="str">
        <f>IF(M475="","",IFERROR(AVERAGEIFS(DATOS!$K$2:$K$20000,DATOS!$A$2:$A$20000,M475,DATOS!$G$2:$G$20000,CONFIG_METADATA!$B$4,DATOS!$I$2:$I$20000,"Lenguaje Musical"),""))</f>
        <v/>
      </c>
      <c r="O475" t="str">
        <f>IF(M475="","",IFERROR(AVERAGEIFS(DATOS!$K$2:$K$20000,DATOS!$A$2:$A$20000,M475,DATOS!$G$2:$G$20000,CONFIG_METADATA!$B$4,DATOS!$I$2:$I$20000,"Coro"),""))</f>
        <v/>
      </c>
      <c r="P475" t="str">
        <f>IF(M475="","",IFERROR(AVERAGEIFS(DATOS!$K$2:$K$20000,DATOS!$A$2:$A$20000,M475,DATOS!$G$2:$G$20000,CONFIG_METADATA!$B$4,DATOS!$I$2:$I$20000,"Conjunto"),""))</f>
        <v/>
      </c>
      <c r="Q475" t="str">
        <f>IF(M475="","",IFERROR(AVERAGEIFS(DATOS!$K$2:$K$20000,DATOS!$A$2:$A$20000,M475,DATOS!$G$2:$G$20000,CONFIG_METADATA!$B$4,DATOS!$I$2:$I$20000,"&lt;&gt;Lenguaje Musical",DATOS!$I$2:$I$20000,"&lt;&gt;Coro",DATOS!$I$2:$I$20000,"&lt;&gt;Conjunto"),""))</f>
        <v/>
      </c>
      <c r="T475" t="str">
        <f>IF(S475="","",IFERROR(AVERAGEIFS(DATOS!$K$2:$K$20000,DATOS!$A$2:$A$20000,S475,DATOS!$G$2:$G$20000,CONFIG_METADATA!$B$4,DATOS!$I$2:$I$20000,"Lenguaje Musical"),""))</f>
        <v/>
      </c>
      <c r="U475" t="str">
        <f>IF(S475="","",IFERROR(AVERAGEIFS(DATOS!$K$2:$K$20000,DATOS!$A$2:$A$20000,S475,DATOS!$G$2:$G$20000,CONFIG_METADATA!$B$4,DATOS!$I$2:$I$20000,"Coro"),""))</f>
        <v/>
      </c>
      <c r="V475" t="str">
        <f>IF(S475="","",IFERROR(AVERAGEIFS(DATOS!$K$2:$K$20000,DATOS!$A$2:$A$20000,S475,DATOS!$G$2:$G$20000,CONFIG_METADATA!$B$4,DATOS!$I$2:$I$20000,"Conjunto"),""))</f>
        <v/>
      </c>
      <c r="W475" t="str" cm="1">
        <f t="array" ref="W475">IF(S475="","",IFERROR(AVERAGE(IF((DATOS!$A$2:$A$20000=S475)*(DATOS!$G$2:$G$20000=CONFIG_METADATA!$B$4)*(DATOS!$I$2:$I$20000&lt;&gt;"Lenguaje Musical")*(DATOS!$I$2:$I$20000&lt;&gt;"Coro")*(DATOS!$I$2:$I$20000&lt;&gt;"Conjunto"),DATOS!$K$2:$K$20000)),""))</f>
        <v/>
      </c>
    </row>
    <row r="476" spans="2:23" x14ac:dyDescent="0.2">
      <c r="B476" t="str">
        <f>IF(A476="","",IFERROR(AVERAGEIFS(DATOS!$K$2:$K$20000,DATOS!$A$2:$A$20000,A476,DATOS!$G$2:$G$20000,CONFIG_METADATA!$B$4,DATOS!$I$2:$I$20000,"Lenguaje Musical"),""))</f>
        <v/>
      </c>
      <c r="C476" t="str">
        <f>IF(A476="","",IFERROR(AVERAGEIFS(DATOS!$K$2:$K$20000,DATOS!$A$2:$A$20000,A476,DATOS!$G$2:$G$20000,CONFIG_METADATA!$B$4,DATOS!$I$2:$I$20000,"Coro"),""))</f>
        <v/>
      </c>
      <c r="D476" t="str">
        <f>IF(A476="","",IFERROR(AVERAGEIFS(DATOS!$K$2:$K$20000,DATOS!$A$2:$A$20000,A476,DATOS!$G$2:$G$20000,CONFIG_METADATA!$B$4,DATOS!$I$2:$I$20000,"Conjunto"),""))</f>
        <v/>
      </c>
      <c r="E476" t="str">
        <f>IF(A476="","",IFERROR(AVERAGEIFS(DATOS!$K$2:$K$20000,DATOS!$A$2:$A$20000,A476,DATOS!$G$2:$G$20000,CONFIG_METADATA!$B$4,DATOS!$I$2:$I$20000,"&lt;&gt;Lenguaje Musical",DATOS!$I$2:$I$20000,"&lt;&gt;Coro",DATOS!$I$2:$I$20000,"&lt;&gt;Conjunto"),""))</f>
        <v/>
      </c>
      <c r="H476" t="str">
        <f>IF(G476="","",IFERROR(AVERAGEIFS(DATOS!$K$2:$K$20000,DATOS!$A$2:$A$20000,G476,DATOS!$G$2:$G$20000,CONFIG_METADATA!$B$4,DATOS!$I$2:$I$20000,"Lenguaje Musical"),""))</f>
        <v/>
      </c>
      <c r="I476" t="str">
        <f>IF(G476="","",IFERROR(AVERAGEIFS(DATOS!$K$2:$K$20000,DATOS!$A$2:$A$20000,G476,DATOS!$G$2:$G$20000,CONFIG_METADATA!$B$4,DATOS!$I$2:$I$20000,"Coro"),""))</f>
        <v/>
      </c>
      <c r="J476" t="str">
        <f>IF(G476="","",IFERROR(AVERAGEIFS(DATOS!$K$2:$K$20000,DATOS!$A$2:$A$20000,G476,DATOS!$G$2:$G$20000,CONFIG_METADATA!$B$4,DATOS!$I$2:$I$20000,"Conjunto"),""))</f>
        <v/>
      </c>
      <c r="K476" t="str" cm="1">
        <f t="array" ref="K476">IF(G476="","",IFERROR(AVERAGE(IF((DATOS!$A$2:$A$20000=G476)*(DATOS!$G$2:$G$20000=CONFIG_METADATA!$B$4)*(DATOS!$I$2:$I$20000&lt;&gt;"Lenguaje Musical")*(DATOS!$I$2:$I$20000&lt;&gt;"Coro")*(DATOS!$I$2:$I$20000&lt;&gt;"Conjunto"),DATOS!$K$2:$K$20000)),""))</f>
        <v/>
      </c>
      <c r="N476" t="str">
        <f>IF(M476="","",IFERROR(AVERAGEIFS(DATOS!$K$2:$K$20000,DATOS!$A$2:$A$20000,M476,DATOS!$G$2:$G$20000,CONFIG_METADATA!$B$4,DATOS!$I$2:$I$20000,"Lenguaje Musical"),""))</f>
        <v/>
      </c>
      <c r="O476" t="str">
        <f>IF(M476="","",IFERROR(AVERAGEIFS(DATOS!$K$2:$K$20000,DATOS!$A$2:$A$20000,M476,DATOS!$G$2:$G$20000,CONFIG_METADATA!$B$4,DATOS!$I$2:$I$20000,"Coro"),""))</f>
        <v/>
      </c>
      <c r="P476" t="str">
        <f>IF(M476="","",IFERROR(AVERAGEIFS(DATOS!$K$2:$K$20000,DATOS!$A$2:$A$20000,M476,DATOS!$G$2:$G$20000,CONFIG_METADATA!$B$4,DATOS!$I$2:$I$20000,"Conjunto"),""))</f>
        <v/>
      </c>
      <c r="Q476" t="str">
        <f>IF(M476="","",IFERROR(AVERAGEIFS(DATOS!$K$2:$K$20000,DATOS!$A$2:$A$20000,M476,DATOS!$G$2:$G$20000,CONFIG_METADATA!$B$4,DATOS!$I$2:$I$20000,"&lt;&gt;Lenguaje Musical",DATOS!$I$2:$I$20000,"&lt;&gt;Coro",DATOS!$I$2:$I$20000,"&lt;&gt;Conjunto"),""))</f>
        <v/>
      </c>
      <c r="T476" t="str">
        <f>IF(S476="","",IFERROR(AVERAGEIFS(DATOS!$K$2:$K$20000,DATOS!$A$2:$A$20000,S476,DATOS!$G$2:$G$20000,CONFIG_METADATA!$B$4,DATOS!$I$2:$I$20000,"Lenguaje Musical"),""))</f>
        <v/>
      </c>
      <c r="U476" t="str">
        <f>IF(S476="","",IFERROR(AVERAGEIFS(DATOS!$K$2:$K$20000,DATOS!$A$2:$A$20000,S476,DATOS!$G$2:$G$20000,CONFIG_METADATA!$B$4,DATOS!$I$2:$I$20000,"Coro"),""))</f>
        <v/>
      </c>
      <c r="V476" t="str">
        <f>IF(S476="","",IFERROR(AVERAGEIFS(DATOS!$K$2:$K$20000,DATOS!$A$2:$A$20000,S476,DATOS!$G$2:$G$20000,CONFIG_METADATA!$B$4,DATOS!$I$2:$I$20000,"Conjunto"),""))</f>
        <v/>
      </c>
      <c r="W476" t="str" cm="1">
        <f t="array" ref="W476">IF(S476="","",IFERROR(AVERAGE(IF((DATOS!$A$2:$A$20000=S476)*(DATOS!$G$2:$G$20000=CONFIG_METADATA!$B$4)*(DATOS!$I$2:$I$20000&lt;&gt;"Lenguaje Musical")*(DATOS!$I$2:$I$20000&lt;&gt;"Coro")*(DATOS!$I$2:$I$20000&lt;&gt;"Conjunto"),DATOS!$K$2:$K$20000)),""))</f>
        <v/>
      </c>
    </row>
    <row r="477" spans="2:23" x14ac:dyDescent="0.2">
      <c r="B477" t="str">
        <f>IF(A477="","",IFERROR(AVERAGEIFS(DATOS!$K$2:$K$20000,DATOS!$A$2:$A$20000,A477,DATOS!$G$2:$G$20000,CONFIG_METADATA!$B$4,DATOS!$I$2:$I$20000,"Lenguaje Musical"),""))</f>
        <v/>
      </c>
      <c r="C477" t="str">
        <f>IF(A477="","",IFERROR(AVERAGEIFS(DATOS!$K$2:$K$20000,DATOS!$A$2:$A$20000,A477,DATOS!$G$2:$G$20000,CONFIG_METADATA!$B$4,DATOS!$I$2:$I$20000,"Coro"),""))</f>
        <v/>
      </c>
      <c r="D477" t="str">
        <f>IF(A477="","",IFERROR(AVERAGEIFS(DATOS!$K$2:$K$20000,DATOS!$A$2:$A$20000,A477,DATOS!$G$2:$G$20000,CONFIG_METADATA!$B$4,DATOS!$I$2:$I$20000,"Conjunto"),""))</f>
        <v/>
      </c>
      <c r="E477" t="str">
        <f>IF(A477="","",IFERROR(AVERAGEIFS(DATOS!$K$2:$K$20000,DATOS!$A$2:$A$20000,A477,DATOS!$G$2:$G$20000,CONFIG_METADATA!$B$4,DATOS!$I$2:$I$20000,"&lt;&gt;Lenguaje Musical",DATOS!$I$2:$I$20000,"&lt;&gt;Coro",DATOS!$I$2:$I$20000,"&lt;&gt;Conjunto"),""))</f>
        <v/>
      </c>
      <c r="H477" t="str">
        <f>IF(G477="","",IFERROR(AVERAGEIFS(DATOS!$K$2:$K$20000,DATOS!$A$2:$A$20000,G477,DATOS!$G$2:$G$20000,CONFIG_METADATA!$B$4,DATOS!$I$2:$I$20000,"Lenguaje Musical"),""))</f>
        <v/>
      </c>
      <c r="I477" t="str">
        <f>IF(G477="","",IFERROR(AVERAGEIFS(DATOS!$K$2:$K$20000,DATOS!$A$2:$A$20000,G477,DATOS!$G$2:$G$20000,CONFIG_METADATA!$B$4,DATOS!$I$2:$I$20000,"Coro"),""))</f>
        <v/>
      </c>
      <c r="J477" t="str">
        <f>IF(G477="","",IFERROR(AVERAGEIFS(DATOS!$K$2:$K$20000,DATOS!$A$2:$A$20000,G477,DATOS!$G$2:$G$20000,CONFIG_METADATA!$B$4,DATOS!$I$2:$I$20000,"Conjunto"),""))</f>
        <v/>
      </c>
      <c r="K477" t="str" cm="1">
        <f t="array" ref="K477">IF(G477="","",IFERROR(AVERAGE(IF((DATOS!$A$2:$A$20000=G477)*(DATOS!$G$2:$G$20000=CONFIG_METADATA!$B$4)*(DATOS!$I$2:$I$20000&lt;&gt;"Lenguaje Musical")*(DATOS!$I$2:$I$20000&lt;&gt;"Coro")*(DATOS!$I$2:$I$20000&lt;&gt;"Conjunto"),DATOS!$K$2:$K$20000)),""))</f>
        <v/>
      </c>
      <c r="N477" t="str">
        <f>IF(M477="","",IFERROR(AVERAGEIFS(DATOS!$K$2:$K$20000,DATOS!$A$2:$A$20000,M477,DATOS!$G$2:$G$20000,CONFIG_METADATA!$B$4,DATOS!$I$2:$I$20000,"Lenguaje Musical"),""))</f>
        <v/>
      </c>
      <c r="O477" t="str">
        <f>IF(M477="","",IFERROR(AVERAGEIFS(DATOS!$K$2:$K$20000,DATOS!$A$2:$A$20000,M477,DATOS!$G$2:$G$20000,CONFIG_METADATA!$B$4,DATOS!$I$2:$I$20000,"Coro"),""))</f>
        <v/>
      </c>
      <c r="P477" t="str">
        <f>IF(M477="","",IFERROR(AVERAGEIFS(DATOS!$K$2:$K$20000,DATOS!$A$2:$A$20000,M477,DATOS!$G$2:$G$20000,CONFIG_METADATA!$B$4,DATOS!$I$2:$I$20000,"Conjunto"),""))</f>
        <v/>
      </c>
      <c r="Q477" t="str">
        <f>IF(M477="","",IFERROR(AVERAGEIFS(DATOS!$K$2:$K$20000,DATOS!$A$2:$A$20000,M477,DATOS!$G$2:$G$20000,CONFIG_METADATA!$B$4,DATOS!$I$2:$I$20000,"&lt;&gt;Lenguaje Musical",DATOS!$I$2:$I$20000,"&lt;&gt;Coro",DATOS!$I$2:$I$20000,"&lt;&gt;Conjunto"),""))</f>
        <v/>
      </c>
      <c r="T477" t="str">
        <f>IF(S477="","",IFERROR(AVERAGEIFS(DATOS!$K$2:$K$20000,DATOS!$A$2:$A$20000,S477,DATOS!$G$2:$G$20000,CONFIG_METADATA!$B$4,DATOS!$I$2:$I$20000,"Lenguaje Musical"),""))</f>
        <v/>
      </c>
      <c r="U477" t="str">
        <f>IF(S477="","",IFERROR(AVERAGEIFS(DATOS!$K$2:$K$20000,DATOS!$A$2:$A$20000,S477,DATOS!$G$2:$G$20000,CONFIG_METADATA!$B$4,DATOS!$I$2:$I$20000,"Coro"),""))</f>
        <v/>
      </c>
      <c r="V477" t="str">
        <f>IF(S477="","",IFERROR(AVERAGEIFS(DATOS!$K$2:$K$20000,DATOS!$A$2:$A$20000,S477,DATOS!$G$2:$G$20000,CONFIG_METADATA!$B$4,DATOS!$I$2:$I$20000,"Conjunto"),""))</f>
        <v/>
      </c>
      <c r="W477" t="str" cm="1">
        <f t="array" ref="W477">IF(S477="","",IFERROR(AVERAGE(IF((DATOS!$A$2:$A$20000=S477)*(DATOS!$G$2:$G$20000=CONFIG_METADATA!$B$4)*(DATOS!$I$2:$I$20000&lt;&gt;"Lenguaje Musical")*(DATOS!$I$2:$I$20000&lt;&gt;"Coro")*(DATOS!$I$2:$I$20000&lt;&gt;"Conjunto"),DATOS!$K$2:$K$20000)),""))</f>
        <v/>
      </c>
    </row>
    <row r="478" spans="2:23" x14ac:dyDescent="0.2">
      <c r="B478" t="str">
        <f>IF(A478="","",IFERROR(AVERAGEIFS(DATOS!$K$2:$K$20000,DATOS!$A$2:$A$20000,A478,DATOS!$G$2:$G$20000,CONFIG_METADATA!$B$4,DATOS!$I$2:$I$20000,"Lenguaje Musical"),""))</f>
        <v/>
      </c>
      <c r="C478" t="str">
        <f>IF(A478="","",IFERROR(AVERAGEIFS(DATOS!$K$2:$K$20000,DATOS!$A$2:$A$20000,A478,DATOS!$G$2:$G$20000,CONFIG_METADATA!$B$4,DATOS!$I$2:$I$20000,"Coro"),""))</f>
        <v/>
      </c>
      <c r="D478" t="str">
        <f>IF(A478="","",IFERROR(AVERAGEIFS(DATOS!$K$2:$K$20000,DATOS!$A$2:$A$20000,A478,DATOS!$G$2:$G$20000,CONFIG_METADATA!$B$4,DATOS!$I$2:$I$20000,"Conjunto"),""))</f>
        <v/>
      </c>
      <c r="E478" t="str">
        <f>IF(A478="","",IFERROR(AVERAGEIFS(DATOS!$K$2:$K$20000,DATOS!$A$2:$A$20000,A478,DATOS!$G$2:$G$20000,CONFIG_METADATA!$B$4,DATOS!$I$2:$I$20000,"&lt;&gt;Lenguaje Musical",DATOS!$I$2:$I$20000,"&lt;&gt;Coro",DATOS!$I$2:$I$20000,"&lt;&gt;Conjunto"),""))</f>
        <v/>
      </c>
      <c r="H478" t="str">
        <f>IF(G478="","",IFERROR(AVERAGEIFS(DATOS!$K$2:$K$20000,DATOS!$A$2:$A$20000,G478,DATOS!$G$2:$G$20000,CONFIG_METADATA!$B$4,DATOS!$I$2:$I$20000,"Lenguaje Musical"),""))</f>
        <v/>
      </c>
      <c r="I478" t="str">
        <f>IF(G478="","",IFERROR(AVERAGEIFS(DATOS!$K$2:$K$20000,DATOS!$A$2:$A$20000,G478,DATOS!$G$2:$G$20000,CONFIG_METADATA!$B$4,DATOS!$I$2:$I$20000,"Coro"),""))</f>
        <v/>
      </c>
      <c r="J478" t="str">
        <f>IF(G478="","",IFERROR(AVERAGEIFS(DATOS!$K$2:$K$20000,DATOS!$A$2:$A$20000,G478,DATOS!$G$2:$G$20000,CONFIG_METADATA!$B$4,DATOS!$I$2:$I$20000,"Conjunto"),""))</f>
        <v/>
      </c>
      <c r="K478" t="str" cm="1">
        <f t="array" ref="K478">IF(G478="","",IFERROR(AVERAGE(IF((DATOS!$A$2:$A$20000=G478)*(DATOS!$G$2:$G$20000=CONFIG_METADATA!$B$4)*(DATOS!$I$2:$I$20000&lt;&gt;"Lenguaje Musical")*(DATOS!$I$2:$I$20000&lt;&gt;"Coro")*(DATOS!$I$2:$I$20000&lt;&gt;"Conjunto"),DATOS!$K$2:$K$20000)),""))</f>
        <v/>
      </c>
      <c r="N478" t="str">
        <f>IF(M478="","",IFERROR(AVERAGEIFS(DATOS!$K$2:$K$20000,DATOS!$A$2:$A$20000,M478,DATOS!$G$2:$G$20000,CONFIG_METADATA!$B$4,DATOS!$I$2:$I$20000,"Lenguaje Musical"),""))</f>
        <v/>
      </c>
      <c r="O478" t="str">
        <f>IF(M478="","",IFERROR(AVERAGEIFS(DATOS!$K$2:$K$20000,DATOS!$A$2:$A$20000,M478,DATOS!$G$2:$G$20000,CONFIG_METADATA!$B$4,DATOS!$I$2:$I$20000,"Coro"),""))</f>
        <v/>
      </c>
      <c r="P478" t="str">
        <f>IF(M478="","",IFERROR(AVERAGEIFS(DATOS!$K$2:$K$20000,DATOS!$A$2:$A$20000,M478,DATOS!$G$2:$G$20000,CONFIG_METADATA!$B$4,DATOS!$I$2:$I$20000,"Conjunto"),""))</f>
        <v/>
      </c>
      <c r="Q478" t="str">
        <f>IF(M478="","",IFERROR(AVERAGEIFS(DATOS!$K$2:$K$20000,DATOS!$A$2:$A$20000,M478,DATOS!$G$2:$G$20000,CONFIG_METADATA!$B$4,DATOS!$I$2:$I$20000,"&lt;&gt;Lenguaje Musical",DATOS!$I$2:$I$20000,"&lt;&gt;Coro",DATOS!$I$2:$I$20000,"&lt;&gt;Conjunto"),""))</f>
        <v/>
      </c>
      <c r="T478" t="str">
        <f>IF(S478="","",IFERROR(AVERAGEIFS(DATOS!$K$2:$K$20000,DATOS!$A$2:$A$20000,S478,DATOS!$G$2:$G$20000,CONFIG_METADATA!$B$4,DATOS!$I$2:$I$20000,"Lenguaje Musical"),""))</f>
        <v/>
      </c>
      <c r="U478" t="str">
        <f>IF(S478="","",IFERROR(AVERAGEIFS(DATOS!$K$2:$K$20000,DATOS!$A$2:$A$20000,S478,DATOS!$G$2:$G$20000,CONFIG_METADATA!$B$4,DATOS!$I$2:$I$20000,"Coro"),""))</f>
        <v/>
      </c>
      <c r="V478" t="str">
        <f>IF(S478="","",IFERROR(AVERAGEIFS(DATOS!$K$2:$K$20000,DATOS!$A$2:$A$20000,S478,DATOS!$G$2:$G$20000,CONFIG_METADATA!$B$4,DATOS!$I$2:$I$20000,"Conjunto"),""))</f>
        <v/>
      </c>
      <c r="W478" t="str" cm="1">
        <f t="array" ref="W478">IF(S478="","",IFERROR(AVERAGE(IF((DATOS!$A$2:$A$20000=S478)*(DATOS!$G$2:$G$20000=CONFIG_METADATA!$B$4)*(DATOS!$I$2:$I$20000&lt;&gt;"Lenguaje Musical")*(DATOS!$I$2:$I$20000&lt;&gt;"Coro")*(DATOS!$I$2:$I$20000&lt;&gt;"Conjunto"),DATOS!$K$2:$K$20000)),""))</f>
        <v/>
      </c>
    </row>
    <row r="479" spans="2:23" x14ac:dyDescent="0.2">
      <c r="B479" t="str">
        <f>IF(A479="","",IFERROR(AVERAGEIFS(DATOS!$K$2:$K$20000,DATOS!$A$2:$A$20000,A479,DATOS!$G$2:$G$20000,CONFIG_METADATA!$B$4,DATOS!$I$2:$I$20000,"Lenguaje Musical"),""))</f>
        <v/>
      </c>
      <c r="C479" t="str">
        <f>IF(A479="","",IFERROR(AVERAGEIFS(DATOS!$K$2:$K$20000,DATOS!$A$2:$A$20000,A479,DATOS!$G$2:$G$20000,CONFIG_METADATA!$B$4,DATOS!$I$2:$I$20000,"Coro"),""))</f>
        <v/>
      </c>
      <c r="D479" t="str">
        <f>IF(A479="","",IFERROR(AVERAGEIFS(DATOS!$K$2:$K$20000,DATOS!$A$2:$A$20000,A479,DATOS!$G$2:$G$20000,CONFIG_METADATA!$B$4,DATOS!$I$2:$I$20000,"Conjunto"),""))</f>
        <v/>
      </c>
      <c r="E479" t="str">
        <f>IF(A479="","",IFERROR(AVERAGEIFS(DATOS!$K$2:$K$20000,DATOS!$A$2:$A$20000,A479,DATOS!$G$2:$G$20000,CONFIG_METADATA!$B$4,DATOS!$I$2:$I$20000,"&lt;&gt;Lenguaje Musical",DATOS!$I$2:$I$20000,"&lt;&gt;Coro",DATOS!$I$2:$I$20000,"&lt;&gt;Conjunto"),""))</f>
        <v/>
      </c>
      <c r="H479" t="str">
        <f>IF(G479="","",IFERROR(AVERAGEIFS(DATOS!$K$2:$K$20000,DATOS!$A$2:$A$20000,G479,DATOS!$G$2:$G$20000,CONFIG_METADATA!$B$4,DATOS!$I$2:$I$20000,"Lenguaje Musical"),""))</f>
        <v/>
      </c>
      <c r="I479" t="str">
        <f>IF(G479="","",IFERROR(AVERAGEIFS(DATOS!$K$2:$K$20000,DATOS!$A$2:$A$20000,G479,DATOS!$G$2:$G$20000,CONFIG_METADATA!$B$4,DATOS!$I$2:$I$20000,"Coro"),""))</f>
        <v/>
      </c>
      <c r="J479" t="str">
        <f>IF(G479="","",IFERROR(AVERAGEIFS(DATOS!$K$2:$K$20000,DATOS!$A$2:$A$20000,G479,DATOS!$G$2:$G$20000,CONFIG_METADATA!$B$4,DATOS!$I$2:$I$20000,"Conjunto"),""))</f>
        <v/>
      </c>
      <c r="K479" t="str" cm="1">
        <f t="array" ref="K479">IF(G479="","",IFERROR(AVERAGE(IF((DATOS!$A$2:$A$20000=G479)*(DATOS!$G$2:$G$20000=CONFIG_METADATA!$B$4)*(DATOS!$I$2:$I$20000&lt;&gt;"Lenguaje Musical")*(DATOS!$I$2:$I$20000&lt;&gt;"Coro")*(DATOS!$I$2:$I$20000&lt;&gt;"Conjunto"),DATOS!$K$2:$K$20000)),""))</f>
        <v/>
      </c>
      <c r="N479" t="str">
        <f>IF(M479="","",IFERROR(AVERAGEIFS(DATOS!$K$2:$K$20000,DATOS!$A$2:$A$20000,M479,DATOS!$G$2:$G$20000,CONFIG_METADATA!$B$4,DATOS!$I$2:$I$20000,"Lenguaje Musical"),""))</f>
        <v/>
      </c>
      <c r="O479" t="str">
        <f>IF(M479="","",IFERROR(AVERAGEIFS(DATOS!$K$2:$K$20000,DATOS!$A$2:$A$20000,M479,DATOS!$G$2:$G$20000,CONFIG_METADATA!$B$4,DATOS!$I$2:$I$20000,"Coro"),""))</f>
        <v/>
      </c>
      <c r="P479" t="str">
        <f>IF(M479="","",IFERROR(AVERAGEIFS(DATOS!$K$2:$K$20000,DATOS!$A$2:$A$20000,M479,DATOS!$G$2:$G$20000,CONFIG_METADATA!$B$4,DATOS!$I$2:$I$20000,"Conjunto"),""))</f>
        <v/>
      </c>
      <c r="Q479" t="str">
        <f>IF(M479="","",IFERROR(AVERAGEIFS(DATOS!$K$2:$K$20000,DATOS!$A$2:$A$20000,M479,DATOS!$G$2:$G$20000,CONFIG_METADATA!$B$4,DATOS!$I$2:$I$20000,"&lt;&gt;Lenguaje Musical",DATOS!$I$2:$I$20000,"&lt;&gt;Coro",DATOS!$I$2:$I$20000,"&lt;&gt;Conjunto"),""))</f>
        <v/>
      </c>
      <c r="T479" t="str">
        <f>IF(S479="","",IFERROR(AVERAGEIFS(DATOS!$K$2:$K$20000,DATOS!$A$2:$A$20000,S479,DATOS!$G$2:$G$20000,CONFIG_METADATA!$B$4,DATOS!$I$2:$I$20000,"Lenguaje Musical"),""))</f>
        <v/>
      </c>
      <c r="U479" t="str">
        <f>IF(S479="","",IFERROR(AVERAGEIFS(DATOS!$K$2:$K$20000,DATOS!$A$2:$A$20000,S479,DATOS!$G$2:$G$20000,CONFIG_METADATA!$B$4,DATOS!$I$2:$I$20000,"Coro"),""))</f>
        <v/>
      </c>
      <c r="V479" t="str">
        <f>IF(S479="","",IFERROR(AVERAGEIFS(DATOS!$K$2:$K$20000,DATOS!$A$2:$A$20000,S479,DATOS!$G$2:$G$20000,CONFIG_METADATA!$B$4,DATOS!$I$2:$I$20000,"Conjunto"),""))</f>
        <v/>
      </c>
      <c r="W479" t="str" cm="1">
        <f t="array" ref="W479">IF(S479="","",IFERROR(AVERAGE(IF((DATOS!$A$2:$A$20000=S479)*(DATOS!$G$2:$G$20000=CONFIG_METADATA!$B$4)*(DATOS!$I$2:$I$20000&lt;&gt;"Lenguaje Musical")*(DATOS!$I$2:$I$20000&lt;&gt;"Coro")*(DATOS!$I$2:$I$20000&lt;&gt;"Conjunto"),DATOS!$K$2:$K$20000)),""))</f>
        <v/>
      </c>
    </row>
    <row r="480" spans="2:23" x14ac:dyDescent="0.2">
      <c r="B480" t="str">
        <f>IF(A480="","",IFERROR(AVERAGEIFS(DATOS!$K$2:$K$20000,DATOS!$A$2:$A$20000,A480,DATOS!$G$2:$G$20000,CONFIG_METADATA!$B$4,DATOS!$I$2:$I$20000,"Lenguaje Musical"),""))</f>
        <v/>
      </c>
      <c r="C480" t="str">
        <f>IF(A480="","",IFERROR(AVERAGEIFS(DATOS!$K$2:$K$20000,DATOS!$A$2:$A$20000,A480,DATOS!$G$2:$G$20000,CONFIG_METADATA!$B$4,DATOS!$I$2:$I$20000,"Coro"),""))</f>
        <v/>
      </c>
      <c r="D480" t="str">
        <f>IF(A480="","",IFERROR(AVERAGEIFS(DATOS!$K$2:$K$20000,DATOS!$A$2:$A$20000,A480,DATOS!$G$2:$G$20000,CONFIG_METADATA!$B$4,DATOS!$I$2:$I$20000,"Conjunto"),""))</f>
        <v/>
      </c>
      <c r="E480" t="str">
        <f>IF(A480="","",IFERROR(AVERAGEIFS(DATOS!$K$2:$K$20000,DATOS!$A$2:$A$20000,A480,DATOS!$G$2:$G$20000,CONFIG_METADATA!$B$4,DATOS!$I$2:$I$20000,"&lt;&gt;Lenguaje Musical",DATOS!$I$2:$I$20000,"&lt;&gt;Coro",DATOS!$I$2:$I$20000,"&lt;&gt;Conjunto"),""))</f>
        <v/>
      </c>
      <c r="H480" t="str">
        <f>IF(G480="","",IFERROR(AVERAGEIFS(DATOS!$K$2:$K$20000,DATOS!$A$2:$A$20000,G480,DATOS!$G$2:$G$20000,CONFIG_METADATA!$B$4,DATOS!$I$2:$I$20000,"Lenguaje Musical"),""))</f>
        <v/>
      </c>
      <c r="I480" t="str">
        <f>IF(G480="","",IFERROR(AVERAGEIFS(DATOS!$K$2:$K$20000,DATOS!$A$2:$A$20000,G480,DATOS!$G$2:$G$20000,CONFIG_METADATA!$B$4,DATOS!$I$2:$I$20000,"Coro"),""))</f>
        <v/>
      </c>
      <c r="J480" t="str">
        <f>IF(G480="","",IFERROR(AVERAGEIFS(DATOS!$K$2:$K$20000,DATOS!$A$2:$A$20000,G480,DATOS!$G$2:$G$20000,CONFIG_METADATA!$B$4,DATOS!$I$2:$I$20000,"Conjunto"),""))</f>
        <v/>
      </c>
      <c r="K480" t="str" cm="1">
        <f t="array" ref="K480">IF(G480="","",IFERROR(AVERAGE(IF((DATOS!$A$2:$A$20000=G480)*(DATOS!$G$2:$G$20000=CONFIG_METADATA!$B$4)*(DATOS!$I$2:$I$20000&lt;&gt;"Lenguaje Musical")*(DATOS!$I$2:$I$20000&lt;&gt;"Coro")*(DATOS!$I$2:$I$20000&lt;&gt;"Conjunto"),DATOS!$K$2:$K$20000)),""))</f>
        <v/>
      </c>
      <c r="N480" t="str">
        <f>IF(M480="","",IFERROR(AVERAGEIFS(DATOS!$K$2:$K$20000,DATOS!$A$2:$A$20000,M480,DATOS!$G$2:$G$20000,CONFIG_METADATA!$B$4,DATOS!$I$2:$I$20000,"Lenguaje Musical"),""))</f>
        <v/>
      </c>
      <c r="O480" t="str">
        <f>IF(M480="","",IFERROR(AVERAGEIFS(DATOS!$K$2:$K$20000,DATOS!$A$2:$A$20000,M480,DATOS!$G$2:$G$20000,CONFIG_METADATA!$B$4,DATOS!$I$2:$I$20000,"Coro"),""))</f>
        <v/>
      </c>
      <c r="P480" t="str">
        <f>IF(M480="","",IFERROR(AVERAGEIFS(DATOS!$K$2:$K$20000,DATOS!$A$2:$A$20000,M480,DATOS!$G$2:$G$20000,CONFIG_METADATA!$B$4,DATOS!$I$2:$I$20000,"Conjunto"),""))</f>
        <v/>
      </c>
      <c r="Q480" t="str">
        <f>IF(M480="","",IFERROR(AVERAGEIFS(DATOS!$K$2:$K$20000,DATOS!$A$2:$A$20000,M480,DATOS!$G$2:$G$20000,CONFIG_METADATA!$B$4,DATOS!$I$2:$I$20000,"&lt;&gt;Lenguaje Musical",DATOS!$I$2:$I$20000,"&lt;&gt;Coro",DATOS!$I$2:$I$20000,"&lt;&gt;Conjunto"),""))</f>
        <v/>
      </c>
      <c r="T480" t="str">
        <f>IF(S480="","",IFERROR(AVERAGEIFS(DATOS!$K$2:$K$20000,DATOS!$A$2:$A$20000,S480,DATOS!$G$2:$G$20000,CONFIG_METADATA!$B$4,DATOS!$I$2:$I$20000,"Lenguaje Musical"),""))</f>
        <v/>
      </c>
      <c r="U480" t="str">
        <f>IF(S480="","",IFERROR(AVERAGEIFS(DATOS!$K$2:$K$20000,DATOS!$A$2:$A$20000,S480,DATOS!$G$2:$G$20000,CONFIG_METADATA!$B$4,DATOS!$I$2:$I$20000,"Coro"),""))</f>
        <v/>
      </c>
      <c r="V480" t="str">
        <f>IF(S480="","",IFERROR(AVERAGEIFS(DATOS!$K$2:$K$20000,DATOS!$A$2:$A$20000,S480,DATOS!$G$2:$G$20000,CONFIG_METADATA!$B$4,DATOS!$I$2:$I$20000,"Conjunto"),""))</f>
        <v/>
      </c>
      <c r="W480" t="str" cm="1">
        <f t="array" ref="W480">IF(S480="","",IFERROR(AVERAGE(IF((DATOS!$A$2:$A$20000=S480)*(DATOS!$G$2:$G$20000=CONFIG_METADATA!$B$4)*(DATOS!$I$2:$I$20000&lt;&gt;"Lenguaje Musical")*(DATOS!$I$2:$I$20000&lt;&gt;"Coro")*(DATOS!$I$2:$I$20000&lt;&gt;"Conjunto"),DATOS!$K$2:$K$20000)),""))</f>
        <v/>
      </c>
    </row>
    <row r="481" spans="2:23" x14ac:dyDescent="0.2">
      <c r="B481" t="str">
        <f>IF(A481="","",IFERROR(AVERAGEIFS(DATOS!$K$2:$K$20000,DATOS!$A$2:$A$20000,A481,DATOS!$G$2:$G$20000,CONFIG_METADATA!$B$4,DATOS!$I$2:$I$20000,"Lenguaje Musical"),""))</f>
        <v/>
      </c>
      <c r="C481" t="str">
        <f>IF(A481="","",IFERROR(AVERAGEIFS(DATOS!$K$2:$K$20000,DATOS!$A$2:$A$20000,A481,DATOS!$G$2:$G$20000,CONFIG_METADATA!$B$4,DATOS!$I$2:$I$20000,"Coro"),""))</f>
        <v/>
      </c>
      <c r="D481" t="str">
        <f>IF(A481="","",IFERROR(AVERAGEIFS(DATOS!$K$2:$K$20000,DATOS!$A$2:$A$20000,A481,DATOS!$G$2:$G$20000,CONFIG_METADATA!$B$4,DATOS!$I$2:$I$20000,"Conjunto"),""))</f>
        <v/>
      </c>
      <c r="E481" t="str">
        <f>IF(A481="","",IFERROR(AVERAGEIFS(DATOS!$K$2:$K$20000,DATOS!$A$2:$A$20000,A481,DATOS!$G$2:$G$20000,CONFIG_METADATA!$B$4,DATOS!$I$2:$I$20000,"&lt;&gt;Lenguaje Musical",DATOS!$I$2:$I$20000,"&lt;&gt;Coro",DATOS!$I$2:$I$20000,"&lt;&gt;Conjunto"),""))</f>
        <v/>
      </c>
      <c r="H481" t="str">
        <f>IF(G481="","",IFERROR(AVERAGEIFS(DATOS!$K$2:$K$20000,DATOS!$A$2:$A$20000,G481,DATOS!$G$2:$G$20000,CONFIG_METADATA!$B$4,DATOS!$I$2:$I$20000,"Lenguaje Musical"),""))</f>
        <v/>
      </c>
      <c r="I481" t="str">
        <f>IF(G481="","",IFERROR(AVERAGEIFS(DATOS!$K$2:$K$20000,DATOS!$A$2:$A$20000,G481,DATOS!$G$2:$G$20000,CONFIG_METADATA!$B$4,DATOS!$I$2:$I$20000,"Coro"),""))</f>
        <v/>
      </c>
      <c r="J481" t="str">
        <f>IF(G481="","",IFERROR(AVERAGEIFS(DATOS!$K$2:$K$20000,DATOS!$A$2:$A$20000,G481,DATOS!$G$2:$G$20000,CONFIG_METADATA!$B$4,DATOS!$I$2:$I$20000,"Conjunto"),""))</f>
        <v/>
      </c>
      <c r="K481" t="str" cm="1">
        <f t="array" ref="K481">IF(G481="","",IFERROR(AVERAGE(IF((DATOS!$A$2:$A$20000=G481)*(DATOS!$G$2:$G$20000=CONFIG_METADATA!$B$4)*(DATOS!$I$2:$I$20000&lt;&gt;"Lenguaje Musical")*(DATOS!$I$2:$I$20000&lt;&gt;"Coro")*(DATOS!$I$2:$I$20000&lt;&gt;"Conjunto"),DATOS!$K$2:$K$20000)),""))</f>
        <v/>
      </c>
      <c r="N481" t="str">
        <f>IF(M481="","",IFERROR(AVERAGEIFS(DATOS!$K$2:$K$20000,DATOS!$A$2:$A$20000,M481,DATOS!$G$2:$G$20000,CONFIG_METADATA!$B$4,DATOS!$I$2:$I$20000,"Lenguaje Musical"),""))</f>
        <v/>
      </c>
      <c r="O481" t="str">
        <f>IF(M481="","",IFERROR(AVERAGEIFS(DATOS!$K$2:$K$20000,DATOS!$A$2:$A$20000,M481,DATOS!$G$2:$G$20000,CONFIG_METADATA!$B$4,DATOS!$I$2:$I$20000,"Coro"),""))</f>
        <v/>
      </c>
      <c r="P481" t="str">
        <f>IF(M481="","",IFERROR(AVERAGEIFS(DATOS!$K$2:$K$20000,DATOS!$A$2:$A$20000,M481,DATOS!$G$2:$G$20000,CONFIG_METADATA!$B$4,DATOS!$I$2:$I$20000,"Conjunto"),""))</f>
        <v/>
      </c>
      <c r="Q481" t="str">
        <f>IF(M481="","",IFERROR(AVERAGEIFS(DATOS!$K$2:$K$20000,DATOS!$A$2:$A$20000,M481,DATOS!$G$2:$G$20000,CONFIG_METADATA!$B$4,DATOS!$I$2:$I$20000,"&lt;&gt;Lenguaje Musical",DATOS!$I$2:$I$20000,"&lt;&gt;Coro",DATOS!$I$2:$I$20000,"&lt;&gt;Conjunto"),""))</f>
        <v/>
      </c>
      <c r="T481" t="str">
        <f>IF(S481="","",IFERROR(AVERAGEIFS(DATOS!$K$2:$K$20000,DATOS!$A$2:$A$20000,S481,DATOS!$G$2:$G$20000,CONFIG_METADATA!$B$4,DATOS!$I$2:$I$20000,"Lenguaje Musical"),""))</f>
        <v/>
      </c>
      <c r="U481" t="str">
        <f>IF(S481="","",IFERROR(AVERAGEIFS(DATOS!$K$2:$K$20000,DATOS!$A$2:$A$20000,S481,DATOS!$G$2:$G$20000,CONFIG_METADATA!$B$4,DATOS!$I$2:$I$20000,"Coro"),""))</f>
        <v/>
      </c>
      <c r="V481" t="str">
        <f>IF(S481="","",IFERROR(AVERAGEIFS(DATOS!$K$2:$K$20000,DATOS!$A$2:$A$20000,S481,DATOS!$G$2:$G$20000,CONFIG_METADATA!$B$4,DATOS!$I$2:$I$20000,"Conjunto"),""))</f>
        <v/>
      </c>
      <c r="W481" t="str" cm="1">
        <f t="array" ref="W481">IF(S481="","",IFERROR(AVERAGE(IF((DATOS!$A$2:$A$20000=S481)*(DATOS!$G$2:$G$20000=CONFIG_METADATA!$B$4)*(DATOS!$I$2:$I$20000&lt;&gt;"Lenguaje Musical")*(DATOS!$I$2:$I$20000&lt;&gt;"Coro")*(DATOS!$I$2:$I$20000&lt;&gt;"Conjunto"),DATOS!$K$2:$K$20000)),""))</f>
        <v/>
      </c>
    </row>
    <row r="482" spans="2:23" x14ac:dyDescent="0.2">
      <c r="B482" t="str">
        <f>IF(A482="","",IFERROR(AVERAGEIFS(DATOS!$K$2:$K$20000,DATOS!$A$2:$A$20000,A482,DATOS!$G$2:$G$20000,CONFIG_METADATA!$B$4,DATOS!$I$2:$I$20000,"Lenguaje Musical"),""))</f>
        <v/>
      </c>
      <c r="C482" t="str">
        <f>IF(A482="","",IFERROR(AVERAGEIFS(DATOS!$K$2:$K$20000,DATOS!$A$2:$A$20000,A482,DATOS!$G$2:$G$20000,CONFIG_METADATA!$B$4,DATOS!$I$2:$I$20000,"Coro"),""))</f>
        <v/>
      </c>
      <c r="D482" t="str">
        <f>IF(A482="","",IFERROR(AVERAGEIFS(DATOS!$K$2:$K$20000,DATOS!$A$2:$A$20000,A482,DATOS!$G$2:$G$20000,CONFIG_METADATA!$B$4,DATOS!$I$2:$I$20000,"Conjunto"),""))</f>
        <v/>
      </c>
      <c r="E482" t="str">
        <f>IF(A482="","",IFERROR(AVERAGEIFS(DATOS!$K$2:$K$20000,DATOS!$A$2:$A$20000,A482,DATOS!$G$2:$G$20000,CONFIG_METADATA!$B$4,DATOS!$I$2:$I$20000,"&lt;&gt;Lenguaje Musical",DATOS!$I$2:$I$20000,"&lt;&gt;Coro",DATOS!$I$2:$I$20000,"&lt;&gt;Conjunto"),""))</f>
        <v/>
      </c>
      <c r="H482" t="str">
        <f>IF(G482="","",IFERROR(AVERAGEIFS(DATOS!$K$2:$K$20000,DATOS!$A$2:$A$20000,G482,DATOS!$G$2:$G$20000,CONFIG_METADATA!$B$4,DATOS!$I$2:$I$20000,"Lenguaje Musical"),""))</f>
        <v/>
      </c>
      <c r="I482" t="str">
        <f>IF(G482="","",IFERROR(AVERAGEIFS(DATOS!$K$2:$K$20000,DATOS!$A$2:$A$20000,G482,DATOS!$G$2:$G$20000,CONFIG_METADATA!$B$4,DATOS!$I$2:$I$20000,"Coro"),""))</f>
        <v/>
      </c>
      <c r="J482" t="str">
        <f>IF(G482="","",IFERROR(AVERAGEIFS(DATOS!$K$2:$K$20000,DATOS!$A$2:$A$20000,G482,DATOS!$G$2:$G$20000,CONFIG_METADATA!$B$4,DATOS!$I$2:$I$20000,"Conjunto"),""))</f>
        <v/>
      </c>
      <c r="K482" t="str" cm="1">
        <f t="array" ref="K482">IF(G482="","",IFERROR(AVERAGE(IF((DATOS!$A$2:$A$20000=G482)*(DATOS!$G$2:$G$20000=CONFIG_METADATA!$B$4)*(DATOS!$I$2:$I$20000&lt;&gt;"Lenguaje Musical")*(DATOS!$I$2:$I$20000&lt;&gt;"Coro")*(DATOS!$I$2:$I$20000&lt;&gt;"Conjunto"),DATOS!$K$2:$K$20000)),""))</f>
        <v/>
      </c>
      <c r="N482" t="str">
        <f>IF(M482="","",IFERROR(AVERAGEIFS(DATOS!$K$2:$K$20000,DATOS!$A$2:$A$20000,M482,DATOS!$G$2:$G$20000,CONFIG_METADATA!$B$4,DATOS!$I$2:$I$20000,"Lenguaje Musical"),""))</f>
        <v/>
      </c>
      <c r="O482" t="str">
        <f>IF(M482="","",IFERROR(AVERAGEIFS(DATOS!$K$2:$K$20000,DATOS!$A$2:$A$20000,M482,DATOS!$G$2:$G$20000,CONFIG_METADATA!$B$4,DATOS!$I$2:$I$20000,"Coro"),""))</f>
        <v/>
      </c>
      <c r="P482" t="str">
        <f>IF(M482="","",IFERROR(AVERAGEIFS(DATOS!$K$2:$K$20000,DATOS!$A$2:$A$20000,M482,DATOS!$G$2:$G$20000,CONFIG_METADATA!$B$4,DATOS!$I$2:$I$20000,"Conjunto"),""))</f>
        <v/>
      </c>
      <c r="Q482" t="str">
        <f>IF(M482="","",IFERROR(AVERAGEIFS(DATOS!$K$2:$K$20000,DATOS!$A$2:$A$20000,M482,DATOS!$G$2:$G$20000,CONFIG_METADATA!$B$4,DATOS!$I$2:$I$20000,"&lt;&gt;Lenguaje Musical",DATOS!$I$2:$I$20000,"&lt;&gt;Coro",DATOS!$I$2:$I$20000,"&lt;&gt;Conjunto"),""))</f>
        <v/>
      </c>
      <c r="T482" t="str">
        <f>IF(S482="","",IFERROR(AVERAGEIFS(DATOS!$K$2:$K$20000,DATOS!$A$2:$A$20000,S482,DATOS!$G$2:$G$20000,CONFIG_METADATA!$B$4,DATOS!$I$2:$I$20000,"Lenguaje Musical"),""))</f>
        <v/>
      </c>
      <c r="U482" t="str">
        <f>IF(S482="","",IFERROR(AVERAGEIFS(DATOS!$K$2:$K$20000,DATOS!$A$2:$A$20000,S482,DATOS!$G$2:$G$20000,CONFIG_METADATA!$B$4,DATOS!$I$2:$I$20000,"Coro"),""))</f>
        <v/>
      </c>
      <c r="V482" t="str">
        <f>IF(S482="","",IFERROR(AVERAGEIFS(DATOS!$K$2:$K$20000,DATOS!$A$2:$A$20000,S482,DATOS!$G$2:$G$20000,CONFIG_METADATA!$B$4,DATOS!$I$2:$I$20000,"Conjunto"),""))</f>
        <v/>
      </c>
      <c r="W482" t="str" cm="1">
        <f t="array" ref="W482">IF(S482="","",IFERROR(AVERAGE(IF((DATOS!$A$2:$A$20000=S482)*(DATOS!$G$2:$G$20000=CONFIG_METADATA!$B$4)*(DATOS!$I$2:$I$20000&lt;&gt;"Lenguaje Musical")*(DATOS!$I$2:$I$20000&lt;&gt;"Coro")*(DATOS!$I$2:$I$20000&lt;&gt;"Conjunto"),DATOS!$K$2:$K$20000)),""))</f>
        <v/>
      </c>
    </row>
    <row r="483" spans="2:23" x14ac:dyDescent="0.2">
      <c r="B483" t="str">
        <f>IF(A483="","",IFERROR(AVERAGEIFS(DATOS!$K$2:$K$20000,DATOS!$A$2:$A$20000,A483,DATOS!$G$2:$G$20000,CONFIG_METADATA!$B$4,DATOS!$I$2:$I$20000,"Lenguaje Musical"),""))</f>
        <v/>
      </c>
      <c r="C483" t="str">
        <f>IF(A483="","",IFERROR(AVERAGEIFS(DATOS!$K$2:$K$20000,DATOS!$A$2:$A$20000,A483,DATOS!$G$2:$G$20000,CONFIG_METADATA!$B$4,DATOS!$I$2:$I$20000,"Coro"),""))</f>
        <v/>
      </c>
      <c r="D483" t="str">
        <f>IF(A483="","",IFERROR(AVERAGEIFS(DATOS!$K$2:$K$20000,DATOS!$A$2:$A$20000,A483,DATOS!$G$2:$G$20000,CONFIG_METADATA!$B$4,DATOS!$I$2:$I$20000,"Conjunto"),""))</f>
        <v/>
      </c>
      <c r="E483" t="str">
        <f>IF(A483="","",IFERROR(AVERAGEIFS(DATOS!$K$2:$K$20000,DATOS!$A$2:$A$20000,A483,DATOS!$G$2:$G$20000,CONFIG_METADATA!$B$4,DATOS!$I$2:$I$20000,"&lt;&gt;Lenguaje Musical",DATOS!$I$2:$I$20000,"&lt;&gt;Coro",DATOS!$I$2:$I$20000,"&lt;&gt;Conjunto"),""))</f>
        <v/>
      </c>
      <c r="H483" t="str">
        <f>IF(G483="","",IFERROR(AVERAGEIFS(DATOS!$K$2:$K$20000,DATOS!$A$2:$A$20000,G483,DATOS!$G$2:$G$20000,CONFIG_METADATA!$B$4,DATOS!$I$2:$I$20000,"Lenguaje Musical"),""))</f>
        <v/>
      </c>
      <c r="I483" t="str">
        <f>IF(G483="","",IFERROR(AVERAGEIFS(DATOS!$K$2:$K$20000,DATOS!$A$2:$A$20000,G483,DATOS!$G$2:$G$20000,CONFIG_METADATA!$B$4,DATOS!$I$2:$I$20000,"Coro"),""))</f>
        <v/>
      </c>
      <c r="J483" t="str">
        <f>IF(G483="","",IFERROR(AVERAGEIFS(DATOS!$K$2:$K$20000,DATOS!$A$2:$A$20000,G483,DATOS!$G$2:$G$20000,CONFIG_METADATA!$B$4,DATOS!$I$2:$I$20000,"Conjunto"),""))</f>
        <v/>
      </c>
      <c r="K483" t="str" cm="1">
        <f t="array" ref="K483">IF(G483="","",IFERROR(AVERAGE(IF((DATOS!$A$2:$A$20000=G483)*(DATOS!$G$2:$G$20000=CONFIG_METADATA!$B$4)*(DATOS!$I$2:$I$20000&lt;&gt;"Lenguaje Musical")*(DATOS!$I$2:$I$20000&lt;&gt;"Coro")*(DATOS!$I$2:$I$20000&lt;&gt;"Conjunto"),DATOS!$K$2:$K$20000)),""))</f>
        <v/>
      </c>
      <c r="N483" t="str">
        <f>IF(M483="","",IFERROR(AVERAGEIFS(DATOS!$K$2:$K$20000,DATOS!$A$2:$A$20000,M483,DATOS!$G$2:$G$20000,CONFIG_METADATA!$B$4,DATOS!$I$2:$I$20000,"Lenguaje Musical"),""))</f>
        <v/>
      </c>
      <c r="O483" t="str">
        <f>IF(M483="","",IFERROR(AVERAGEIFS(DATOS!$K$2:$K$20000,DATOS!$A$2:$A$20000,M483,DATOS!$G$2:$G$20000,CONFIG_METADATA!$B$4,DATOS!$I$2:$I$20000,"Coro"),""))</f>
        <v/>
      </c>
      <c r="P483" t="str">
        <f>IF(M483="","",IFERROR(AVERAGEIFS(DATOS!$K$2:$K$20000,DATOS!$A$2:$A$20000,M483,DATOS!$G$2:$G$20000,CONFIG_METADATA!$B$4,DATOS!$I$2:$I$20000,"Conjunto"),""))</f>
        <v/>
      </c>
      <c r="Q483" t="str">
        <f>IF(M483="","",IFERROR(AVERAGEIFS(DATOS!$K$2:$K$20000,DATOS!$A$2:$A$20000,M483,DATOS!$G$2:$G$20000,CONFIG_METADATA!$B$4,DATOS!$I$2:$I$20000,"&lt;&gt;Lenguaje Musical",DATOS!$I$2:$I$20000,"&lt;&gt;Coro",DATOS!$I$2:$I$20000,"&lt;&gt;Conjunto"),""))</f>
        <v/>
      </c>
      <c r="T483" t="str">
        <f>IF(S483="","",IFERROR(AVERAGEIFS(DATOS!$K$2:$K$20000,DATOS!$A$2:$A$20000,S483,DATOS!$G$2:$G$20000,CONFIG_METADATA!$B$4,DATOS!$I$2:$I$20000,"Lenguaje Musical"),""))</f>
        <v/>
      </c>
      <c r="U483" t="str">
        <f>IF(S483="","",IFERROR(AVERAGEIFS(DATOS!$K$2:$K$20000,DATOS!$A$2:$A$20000,S483,DATOS!$G$2:$G$20000,CONFIG_METADATA!$B$4,DATOS!$I$2:$I$20000,"Coro"),""))</f>
        <v/>
      </c>
      <c r="V483" t="str">
        <f>IF(S483="","",IFERROR(AVERAGEIFS(DATOS!$K$2:$K$20000,DATOS!$A$2:$A$20000,S483,DATOS!$G$2:$G$20000,CONFIG_METADATA!$B$4,DATOS!$I$2:$I$20000,"Conjunto"),""))</f>
        <v/>
      </c>
      <c r="W483" t="str" cm="1">
        <f t="array" ref="W483">IF(S483="","",IFERROR(AVERAGE(IF((DATOS!$A$2:$A$20000=S483)*(DATOS!$G$2:$G$20000=CONFIG_METADATA!$B$4)*(DATOS!$I$2:$I$20000&lt;&gt;"Lenguaje Musical")*(DATOS!$I$2:$I$20000&lt;&gt;"Coro")*(DATOS!$I$2:$I$20000&lt;&gt;"Conjunto"),DATOS!$K$2:$K$20000)),""))</f>
        <v/>
      </c>
    </row>
    <row r="484" spans="2:23" x14ac:dyDescent="0.2">
      <c r="B484" t="str">
        <f>IF(A484="","",IFERROR(AVERAGEIFS(DATOS!$K$2:$K$20000,DATOS!$A$2:$A$20000,A484,DATOS!$G$2:$G$20000,CONFIG_METADATA!$B$4,DATOS!$I$2:$I$20000,"Lenguaje Musical"),""))</f>
        <v/>
      </c>
      <c r="C484" t="str">
        <f>IF(A484="","",IFERROR(AVERAGEIFS(DATOS!$K$2:$K$20000,DATOS!$A$2:$A$20000,A484,DATOS!$G$2:$G$20000,CONFIG_METADATA!$B$4,DATOS!$I$2:$I$20000,"Coro"),""))</f>
        <v/>
      </c>
      <c r="D484" t="str">
        <f>IF(A484="","",IFERROR(AVERAGEIFS(DATOS!$K$2:$K$20000,DATOS!$A$2:$A$20000,A484,DATOS!$G$2:$G$20000,CONFIG_METADATA!$B$4,DATOS!$I$2:$I$20000,"Conjunto"),""))</f>
        <v/>
      </c>
      <c r="E484" t="str">
        <f>IF(A484="","",IFERROR(AVERAGEIFS(DATOS!$K$2:$K$20000,DATOS!$A$2:$A$20000,A484,DATOS!$G$2:$G$20000,CONFIG_METADATA!$B$4,DATOS!$I$2:$I$20000,"&lt;&gt;Lenguaje Musical",DATOS!$I$2:$I$20000,"&lt;&gt;Coro",DATOS!$I$2:$I$20000,"&lt;&gt;Conjunto"),""))</f>
        <v/>
      </c>
      <c r="H484" t="str">
        <f>IF(G484="","",IFERROR(AVERAGEIFS(DATOS!$K$2:$K$20000,DATOS!$A$2:$A$20000,G484,DATOS!$G$2:$G$20000,CONFIG_METADATA!$B$4,DATOS!$I$2:$I$20000,"Lenguaje Musical"),""))</f>
        <v/>
      </c>
      <c r="I484" t="str">
        <f>IF(G484="","",IFERROR(AVERAGEIFS(DATOS!$K$2:$K$20000,DATOS!$A$2:$A$20000,G484,DATOS!$G$2:$G$20000,CONFIG_METADATA!$B$4,DATOS!$I$2:$I$20000,"Coro"),""))</f>
        <v/>
      </c>
      <c r="J484" t="str">
        <f>IF(G484="","",IFERROR(AVERAGEIFS(DATOS!$K$2:$K$20000,DATOS!$A$2:$A$20000,G484,DATOS!$G$2:$G$20000,CONFIG_METADATA!$B$4,DATOS!$I$2:$I$20000,"Conjunto"),""))</f>
        <v/>
      </c>
      <c r="K484" t="str" cm="1">
        <f t="array" ref="K484">IF(G484="","",IFERROR(AVERAGE(IF((DATOS!$A$2:$A$20000=G484)*(DATOS!$G$2:$G$20000=CONFIG_METADATA!$B$4)*(DATOS!$I$2:$I$20000&lt;&gt;"Lenguaje Musical")*(DATOS!$I$2:$I$20000&lt;&gt;"Coro")*(DATOS!$I$2:$I$20000&lt;&gt;"Conjunto"),DATOS!$K$2:$K$20000)),""))</f>
        <v/>
      </c>
      <c r="N484" t="str">
        <f>IF(M484="","",IFERROR(AVERAGEIFS(DATOS!$K$2:$K$20000,DATOS!$A$2:$A$20000,M484,DATOS!$G$2:$G$20000,CONFIG_METADATA!$B$4,DATOS!$I$2:$I$20000,"Lenguaje Musical"),""))</f>
        <v/>
      </c>
      <c r="O484" t="str">
        <f>IF(M484="","",IFERROR(AVERAGEIFS(DATOS!$K$2:$K$20000,DATOS!$A$2:$A$20000,M484,DATOS!$G$2:$G$20000,CONFIG_METADATA!$B$4,DATOS!$I$2:$I$20000,"Coro"),""))</f>
        <v/>
      </c>
      <c r="P484" t="str">
        <f>IF(M484="","",IFERROR(AVERAGEIFS(DATOS!$K$2:$K$20000,DATOS!$A$2:$A$20000,M484,DATOS!$G$2:$G$20000,CONFIG_METADATA!$B$4,DATOS!$I$2:$I$20000,"Conjunto"),""))</f>
        <v/>
      </c>
      <c r="Q484" t="str">
        <f>IF(M484="","",IFERROR(AVERAGEIFS(DATOS!$K$2:$K$20000,DATOS!$A$2:$A$20000,M484,DATOS!$G$2:$G$20000,CONFIG_METADATA!$B$4,DATOS!$I$2:$I$20000,"&lt;&gt;Lenguaje Musical",DATOS!$I$2:$I$20000,"&lt;&gt;Coro",DATOS!$I$2:$I$20000,"&lt;&gt;Conjunto"),""))</f>
        <v/>
      </c>
      <c r="T484" t="str">
        <f>IF(S484="","",IFERROR(AVERAGEIFS(DATOS!$K$2:$K$20000,DATOS!$A$2:$A$20000,S484,DATOS!$G$2:$G$20000,CONFIG_METADATA!$B$4,DATOS!$I$2:$I$20000,"Lenguaje Musical"),""))</f>
        <v/>
      </c>
      <c r="U484" t="str">
        <f>IF(S484="","",IFERROR(AVERAGEIFS(DATOS!$K$2:$K$20000,DATOS!$A$2:$A$20000,S484,DATOS!$G$2:$G$20000,CONFIG_METADATA!$B$4,DATOS!$I$2:$I$20000,"Coro"),""))</f>
        <v/>
      </c>
      <c r="V484" t="str">
        <f>IF(S484="","",IFERROR(AVERAGEIFS(DATOS!$K$2:$K$20000,DATOS!$A$2:$A$20000,S484,DATOS!$G$2:$G$20000,CONFIG_METADATA!$B$4,DATOS!$I$2:$I$20000,"Conjunto"),""))</f>
        <v/>
      </c>
      <c r="W484" t="str" cm="1">
        <f t="array" ref="W484">IF(S484="","",IFERROR(AVERAGE(IF((DATOS!$A$2:$A$20000=S484)*(DATOS!$G$2:$G$20000=CONFIG_METADATA!$B$4)*(DATOS!$I$2:$I$20000&lt;&gt;"Lenguaje Musical")*(DATOS!$I$2:$I$20000&lt;&gt;"Coro")*(DATOS!$I$2:$I$20000&lt;&gt;"Conjunto"),DATOS!$K$2:$K$20000)),""))</f>
        <v/>
      </c>
    </row>
    <row r="485" spans="2:23" x14ac:dyDescent="0.2">
      <c r="B485" t="str">
        <f>IF(A485="","",IFERROR(AVERAGEIFS(DATOS!$K$2:$K$20000,DATOS!$A$2:$A$20000,A485,DATOS!$G$2:$G$20000,CONFIG_METADATA!$B$4,DATOS!$I$2:$I$20000,"Lenguaje Musical"),""))</f>
        <v/>
      </c>
      <c r="C485" t="str">
        <f>IF(A485="","",IFERROR(AVERAGEIFS(DATOS!$K$2:$K$20000,DATOS!$A$2:$A$20000,A485,DATOS!$G$2:$G$20000,CONFIG_METADATA!$B$4,DATOS!$I$2:$I$20000,"Coro"),""))</f>
        <v/>
      </c>
      <c r="D485" t="str">
        <f>IF(A485="","",IFERROR(AVERAGEIFS(DATOS!$K$2:$K$20000,DATOS!$A$2:$A$20000,A485,DATOS!$G$2:$G$20000,CONFIG_METADATA!$B$4,DATOS!$I$2:$I$20000,"Conjunto"),""))</f>
        <v/>
      </c>
      <c r="E485" t="str">
        <f>IF(A485="","",IFERROR(AVERAGEIFS(DATOS!$K$2:$K$20000,DATOS!$A$2:$A$20000,A485,DATOS!$G$2:$G$20000,CONFIG_METADATA!$B$4,DATOS!$I$2:$I$20000,"&lt;&gt;Lenguaje Musical",DATOS!$I$2:$I$20000,"&lt;&gt;Coro",DATOS!$I$2:$I$20000,"&lt;&gt;Conjunto"),""))</f>
        <v/>
      </c>
      <c r="H485" t="str">
        <f>IF(G485="","",IFERROR(AVERAGEIFS(DATOS!$K$2:$K$20000,DATOS!$A$2:$A$20000,G485,DATOS!$G$2:$G$20000,CONFIG_METADATA!$B$4,DATOS!$I$2:$I$20000,"Lenguaje Musical"),""))</f>
        <v/>
      </c>
      <c r="I485" t="str">
        <f>IF(G485="","",IFERROR(AVERAGEIFS(DATOS!$K$2:$K$20000,DATOS!$A$2:$A$20000,G485,DATOS!$G$2:$G$20000,CONFIG_METADATA!$B$4,DATOS!$I$2:$I$20000,"Coro"),""))</f>
        <v/>
      </c>
      <c r="J485" t="str">
        <f>IF(G485="","",IFERROR(AVERAGEIFS(DATOS!$K$2:$K$20000,DATOS!$A$2:$A$20000,G485,DATOS!$G$2:$G$20000,CONFIG_METADATA!$B$4,DATOS!$I$2:$I$20000,"Conjunto"),""))</f>
        <v/>
      </c>
      <c r="K485" t="str" cm="1">
        <f t="array" ref="K485">IF(G485="","",IFERROR(AVERAGE(IF((DATOS!$A$2:$A$20000=G485)*(DATOS!$G$2:$G$20000=CONFIG_METADATA!$B$4)*(DATOS!$I$2:$I$20000&lt;&gt;"Lenguaje Musical")*(DATOS!$I$2:$I$20000&lt;&gt;"Coro")*(DATOS!$I$2:$I$20000&lt;&gt;"Conjunto"),DATOS!$K$2:$K$20000)),""))</f>
        <v/>
      </c>
      <c r="N485" t="str">
        <f>IF(M485="","",IFERROR(AVERAGEIFS(DATOS!$K$2:$K$20000,DATOS!$A$2:$A$20000,M485,DATOS!$G$2:$G$20000,CONFIG_METADATA!$B$4,DATOS!$I$2:$I$20000,"Lenguaje Musical"),""))</f>
        <v/>
      </c>
      <c r="O485" t="str">
        <f>IF(M485="","",IFERROR(AVERAGEIFS(DATOS!$K$2:$K$20000,DATOS!$A$2:$A$20000,M485,DATOS!$G$2:$G$20000,CONFIG_METADATA!$B$4,DATOS!$I$2:$I$20000,"Coro"),""))</f>
        <v/>
      </c>
      <c r="P485" t="str">
        <f>IF(M485="","",IFERROR(AVERAGEIFS(DATOS!$K$2:$K$20000,DATOS!$A$2:$A$20000,M485,DATOS!$G$2:$G$20000,CONFIG_METADATA!$B$4,DATOS!$I$2:$I$20000,"Conjunto"),""))</f>
        <v/>
      </c>
      <c r="Q485" t="str">
        <f>IF(M485="","",IFERROR(AVERAGEIFS(DATOS!$K$2:$K$20000,DATOS!$A$2:$A$20000,M485,DATOS!$G$2:$G$20000,CONFIG_METADATA!$B$4,DATOS!$I$2:$I$20000,"&lt;&gt;Lenguaje Musical",DATOS!$I$2:$I$20000,"&lt;&gt;Coro",DATOS!$I$2:$I$20000,"&lt;&gt;Conjunto"),""))</f>
        <v/>
      </c>
      <c r="T485" t="str">
        <f>IF(S485="","",IFERROR(AVERAGEIFS(DATOS!$K$2:$K$20000,DATOS!$A$2:$A$20000,S485,DATOS!$G$2:$G$20000,CONFIG_METADATA!$B$4,DATOS!$I$2:$I$20000,"Lenguaje Musical"),""))</f>
        <v/>
      </c>
      <c r="U485" t="str">
        <f>IF(S485="","",IFERROR(AVERAGEIFS(DATOS!$K$2:$K$20000,DATOS!$A$2:$A$20000,S485,DATOS!$G$2:$G$20000,CONFIG_METADATA!$B$4,DATOS!$I$2:$I$20000,"Coro"),""))</f>
        <v/>
      </c>
      <c r="V485" t="str">
        <f>IF(S485="","",IFERROR(AVERAGEIFS(DATOS!$K$2:$K$20000,DATOS!$A$2:$A$20000,S485,DATOS!$G$2:$G$20000,CONFIG_METADATA!$B$4,DATOS!$I$2:$I$20000,"Conjunto"),""))</f>
        <v/>
      </c>
      <c r="W485" t="str" cm="1">
        <f t="array" ref="W485">IF(S485="","",IFERROR(AVERAGE(IF((DATOS!$A$2:$A$20000=S485)*(DATOS!$G$2:$G$20000=CONFIG_METADATA!$B$4)*(DATOS!$I$2:$I$20000&lt;&gt;"Lenguaje Musical")*(DATOS!$I$2:$I$20000&lt;&gt;"Coro")*(DATOS!$I$2:$I$20000&lt;&gt;"Conjunto"),DATOS!$K$2:$K$20000)),""))</f>
        <v/>
      </c>
    </row>
    <row r="486" spans="2:23" x14ac:dyDescent="0.2">
      <c r="B486" t="str">
        <f>IF(A486="","",IFERROR(AVERAGEIFS(DATOS!$K$2:$K$20000,DATOS!$A$2:$A$20000,A486,DATOS!$G$2:$G$20000,CONFIG_METADATA!$B$4,DATOS!$I$2:$I$20000,"Lenguaje Musical"),""))</f>
        <v/>
      </c>
      <c r="C486" t="str">
        <f>IF(A486="","",IFERROR(AVERAGEIFS(DATOS!$K$2:$K$20000,DATOS!$A$2:$A$20000,A486,DATOS!$G$2:$G$20000,CONFIG_METADATA!$B$4,DATOS!$I$2:$I$20000,"Coro"),""))</f>
        <v/>
      </c>
      <c r="D486" t="str">
        <f>IF(A486="","",IFERROR(AVERAGEIFS(DATOS!$K$2:$K$20000,DATOS!$A$2:$A$20000,A486,DATOS!$G$2:$G$20000,CONFIG_METADATA!$B$4,DATOS!$I$2:$I$20000,"Conjunto"),""))</f>
        <v/>
      </c>
      <c r="E486" t="str">
        <f>IF(A486="","",IFERROR(AVERAGEIFS(DATOS!$K$2:$K$20000,DATOS!$A$2:$A$20000,A486,DATOS!$G$2:$G$20000,CONFIG_METADATA!$B$4,DATOS!$I$2:$I$20000,"&lt;&gt;Lenguaje Musical",DATOS!$I$2:$I$20000,"&lt;&gt;Coro",DATOS!$I$2:$I$20000,"&lt;&gt;Conjunto"),""))</f>
        <v/>
      </c>
      <c r="H486" t="str">
        <f>IF(G486="","",IFERROR(AVERAGEIFS(DATOS!$K$2:$K$20000,DATOS!$A$2:$A$20000,G486,DATOS!$G$2:$G$20000,CONFIG_METADATA!$B$4,DATOS!$I$2:$I$20000,"Lenguaje Musical"),""))</f>
        <v/>
      </c>
      <c r="I486" t="str">
        <f>IF(G486="","",IFERROR(AVERAGEIFS(DATOS!$K$2:$K$20000,DATOS!$A$2:$A$20000,G486,DATOS!$G$2:$G$20000,CONFIG_METADATA!$B$4,DATOS!$I$2:$I$20000,"Coro"),""))</f>
        <v/>
      </c>
      <c r="J486" t="str">
        <f>IF(G486="","",IFERROR(AVERAGEIFS(DATOS!$K$2:$K$20000,DATOS!$A$2:$A$20000,G486,DATOS!$G$2:$G$20000,CONFIG_METADATA!$B$4,DATOS!$I$2:$I$20000,"Conjunto"),""))</f>
        <v/>
      </c>
      <c r="K486" t="str" cm="1">
        <f t="array" ref="K486">IF(G486="","",IFERROR(AVERAGE(IF((DATOS!$A$2:$A$20000=G486)*(DATOS!$G$2:$G$20000=CONFIG_METADATA!$B$4)*(DATOS!$I$2:$I$20000&lt;&gt;"Lenguaje Musical")*(DATOS!$I$2:$I$20000&lt;&gt;"Coro")*(DATOS!$I$2:$I$20000&lt;&gt;"Conjunto"),DATOS!$K$2:$K$20000)),""))</f>
        <v/>
      </c>
      <c r="N486" t="str">
        <f>IF(M486="","",IFERROR(AVERAGEIFS(DATOS!$K$2:$K$20000,DATOS!$A$2:$A$20000,M486,DATOS!$G$2:$G$20000,CONFIG_METADATA!$B$4,DATOS!$I$2:$I$20000,"Lenguaje Musical"),""))</f>
        <v/>
      </c>
      <c r="O486" t="str">
        <f>IF(M486="","",IFERROR(AVERAGEIFS(DATOS!$K$2:$K$20000,DATOS!$A$2:$A$20000,M486,DATOS!$G$2:$G$20000,CONFIG_METADATA!$B$4,DATOS!$I$2:$I$20000,"Coro"),""))</f>
        <v/>
      </c>
      <c r="P486" t="str">
        <f>IF(M486="","",IFERROR(AVERAGEIFS(DATOS!$K$2:$K$20000,DATOS!$A$2:$A$20000,M486,DATOS!$G$2:$G$20000,CONFIG_METADATA!$B$4,DATOS!$I$2:$I$20000,"Conjunto"),""))</f>
        <v/>
      </c>
      <c r="Q486" t="str">
        <f>IF(M486="","",IFERROR(AVERAGEIFS(DATOS!$K$2:$K$20000,DATOS!$A$2:$A$20000,M486,DATOS!$G$2:$G$20000,CONFIG_METADATA!$B$4,DATOS!$I$2:$I$20000,"&lt;&gt;Lenguaje Musical",DATOS!$I$2:$I$20000,"&lt;&gt;Coro",DATOS!$I$2:$I$20000,"&lt;&gt;Conjunto"),""))</f>
        <v/>
      </c>
      <c r="T486" t="str">
        <f>IF(S486="","",IFERROR(AVERAGEIFS(DATOS!$K$2:$K$20000,DATOS!$A$2:$A$20000,S486,DATOS!$G$2:$G$20000,CONFIG_METADATA!$B$4,DATOS!$I$2:$I$20000,"Lenguaje Musical"),""))</f>
        <v/>
      </c>
      <c r="U486" t="str">
        <f>IF(S486="","",IFERROR(AVERAGEIFS(DATOS!$K$2:$K$20000,DATOS!$A$2:$A$20000,S486,DATOS!$G$2:$G$20000,CONFIG_METADATA!$B$4,DATOS!$I$2:$I$20000,"Coro"),""))</f>
        <v/>
      </c>
      <c r="V486" t="str">
        <f>IF(S486="","",IFERROR(AVERAGEIFS(DATOS!$K$2:$K$20000,DATOS!$A$2:$A$20000,S486,DATOS!$G$2:$G$20000,CONFIG_METADATA!$B$4,DATOS!$I$2:$I$20000,"Conjunto"),""))</f>
        <v/>
      </c>
      <c r="W486" t="str" cm="1">
        <f t="array" ref="W486">IF(S486="","",IFERROR(AVERAGE(IF((DATOS!$A$2:$A$20000=S486)*(DATOS!$G$2:$G$20000=CONFIG_METADATA!$B$4)*(DATOS!$I$2:$I$20000&lt;&gt;"Lenguaje Musical")*(DATOS!$I$2:$I$20000&lt;&gt;"Coro")*(DATOS!$I$2:$I$20000&lt;&gt;"Conjunto"),DATOS!$K$2:$K$20000)),""))</f>
        <v/>
      </c>
    </row>
    <row r="487" spans="2:23" x14ac:dyDescent="0.2">
      <c r="B487" t="str">
        <f>IF(A487="","",IFERROR(AVERAGEIFS(DATOS!$K$2:$K$20000,DATOS!$A$2:$A$20000,A487,DATOS!$G$2:$G$20000,CONFIG_METADATA!$B$4,DATOS!$I$2:$I$20000,"Lenguaje Musical"),""))</f>
        <v/>
      </c>
      <c r="C487" t="str">
        <f>IF(A487="","",IFERROR(AVERAGEIFS(DATOS!$K$2:$K$20000,DATOS!$A$2:$A$20000,A487,DATOS!$G$2:$G$20000,CONFIG_METADATA!$B$4,DATOS!$I$2:$I$20000,"Coro"),""))</f>
        <v/>
      </c>
      <c r="D487" t="str">
        <f>IF(A487="","",IFERROR(AVERAGEIFS(DATOS!$K$2:$K$20000,DATOS!$A$2:$A$20000,A487,DATOS!$G$2:$G$20000,CONFIG_METADATA!$B$4,DATOS!$I$2:$I$20000,"Conjunto"),""))</f>
        <v/>
      </c>
      <c r="E487" t="str">
        <f>IF(A487="","",IFERROR(AVERAGEIFS(DATOS!$K$2:$K$20000,DATOS!$A$2:$A$20000,A487,DATOS!$G$2:$G$20000,CONFIG_METADATA!$B$4,DATOS!$I$2:$I$20000,"&lt;&gt;Lenguaje Musical",DATOS!$I$2:$I$20000,"&lt;&gt;Coro",DATOS!$I$2:$I$20000,"&lt;&gt;Conjunto"),""))</f>
        <v/>
      </c>
      <c r="H487" t="str">
        <f>IF(G487="","",IFERROR(AVERAGEIFS(DATOS!$K$2:$K$20000,DATOS!$A$2:$A$20000,G487,DATOS!$G$2:$G$20000,CONFIG_METADATA!$B$4,DATOS!$I$2:$I$20000,"Lenguaje Musical"),""))</f>
        <v/>
      </c>
      <c r="I487" t="str">
        <f>IF(G487="","",IFERROR(AVERAGEIFS(DATOS!$K$2:$K$20000,DATOS!$A$2:$A$20000,G487,DATOS!$G$2:$G$20000,CONFIG_METADATA!$B$4,DATOS!$I$2:$I$20000,"Coro"),""))</f>
        <v/>
      </c>
      <c r="J487" t="str">
        <f>IF(G487="","",IFERROR(AVERAGEIFS(DATOS!$K$2:$K$20000,DATOS!$A$2:$A$20000,G487,DATOS!$G$2:$G$20000,CONFIG_METADATA!$B$4,DATOS!$I$2:$I$20000,"Conjunto"),""))</f>
        <v/>
      </c>
      <c r="K487" t="str" cm="1">
        <f t="array" ref="K487">IF(G487="","",IFERROR(AVERAGE(IF((DATOS!$A$2:$A$20000=G487)*(DATOS!$G$2:$G$20000=CONFIG_METADATA!$B$4)*(DATOS!$I$2:$I$20000&lt;&gt;"Lenguaje Musical")*(DATOS!$I$2:$I$20000&lt;&gt;"Coro")*(DATOS!$I$2:$I$20000&lt;&gt;"Conjunto"),DATOS!$K$2:$K$20000)),""))</f>
        <v/>
      </c>
      <c r="N487" t="str">
        <f>IF(M487="","",IFERROR(AVERAGEIFS(DATOS!$K$2:$K$20000,DATOS!$A$2:$A$20000,M487,DATOS!$G$2:$G$20000,CONFIG_METADATA!$B$4,DATOS!$I$2:$I$20000,"Lenguaje Musical"),""))</f>
        <v/>
      </c>
      <c r="O487" t="str">
        <f>IF(M487="","",IFERROR(AVERAGEIFS(DATOS!$K$2:$K$20000,DATOS!$A$2:$A$20000,M487,DATOS!$G$2:$G$20000,CONFIG_METADATA!$B$4,DATOS!$I$2:$I$20000,"Coro"),""))</f>
        <v/>
      </c>
      <c r="P487" t="str">
        <f>IF(M487="","",IFERROR(AVERAGEIFS(DATOS!$K$2:$K$20000,DATOS!$A$2:$A$20000,M487,DATOS!$G$2:$G$20000,CONFIG_METADATA!$B$4,DATOS!$I$2:$I$20000,"Conjunto"),""))</f>
        <v/>
      </c>
      <c r="Q487" t="str">
        <f>IF(M487="","",IFERROR(AVERAGEIFS(DATOS!$K$2:$K$20000,DATOS!$A$2:$A$20000,M487,DATOS!$G$2:$G$20000,CONFIG_METADATA!$B$4,DATOS!$I$2:$I$20000,"&lt;&gt;Lenguaje Musical",DATOS!$I$2:$I$20000,"&lt;&gt;Coro",DATOS!$I$2:$I$20000,"&lt;&gt;Conjunto"),""))</f>
        <v/>
      </c>
      <c r="T487" t="str">
        <f>IF(S487="","",IFERROR(AVERAGEIFS(DATOS!$K$2:$K$20000,DATOS!$A$2:$A$20000,S487,DATOS!$G$2:$G$20000,CONFIG_METADATA!$B$4,DATOS!$I$2:$I$20000,"Lenguaje Musical"),""))</f>
        <v/>
      </c>
      <c r="U487" t="str">
        <f>IF(S487="","",IFERROR(AVERAGEIFS(DATOS!$K$2:$K$20000,DATOS!$A$2:$A$20000,S487,DATOS!$G$2:$G$20000,CONFIG_METADATA!$B$4,DATOS!$I$2:$I$20000,"Coro"),""))</f>
        <v/>
      </c>
      <c r="V487" t="str">
        <f>IF(S487="","",IFERROR(AVERAGEIFS(DATOS!$K$2:$K$20000,DATOS!$A$2:$A$20000,S487,DATOS!$G$2:$G$20000,CONFIG_METADATA!$B$4,DATOS!$I$2:$I$20000,"Conjunto"),""))</f>
        <v/>
      </c>
      <c r="W487" t="str" cm="1">
        <f t="array" ref="W487">IF(S487="","",IFERROR(AVERAGE(IF((DATOS!$A$2:$A$20000=S487)*(DATOS!$G$2:$G$20000=CONFIG_METADATA!$B$4)*(DATOS!$I$2:$I$20000&lt;&gt;"Lenguaje Musical")*(DATOS!$I$2:$I$20000&lt;&gt;"Coro")*(DATOS!$I$2:$I$20000&lt;&gt;"Conjunto"),DATOS!$K$2:$K$20000)),""))</f>
        <v/>
      </c>
    </row>
    <row r="488" spans="2:23" x14ac:dyDescent="0.2">
      <c r="B488" t="str">
        <f>IF(A488="","",IFERROR(AVERAGEIFS(DATOS!$K$2:$K$20000,DATOS!$A$2:$A$20000,A488,DATOS!$G$2:$G$20000,CONFIG_METADATA!$B$4,DATOS!$I$2:$I$20000,"Lenguaje Musical"),""))</f>
        <v/>
      </c>
      <c r="C488" t="str">
        <f>IF(A488="","",IFERROR(AVERAGEIFS(DATOS!$K$2:$K$20000,DATOS!$A$2:$A$20000,A488,DATOS!$G$2:$G$20000,CONFIG_METADATA!$B$4,DATOS!$I$2:$I$20000,"Coro"),""))</f>
        <v/>
      </c>
      <c r="D488" t="str">
        <f>IF(A488="","",IFERROR(AVERAGEIFS(DATOS!$K$2:$K$20000,DATOS!$A$2:$A$20000,A488,DATOS!$G$2:$G$20000,CONFIG_METADATA!$B$4,DATOS!$I$2:$I$20000,"Conjunto"),""))</f>
        <v/>
      </c>
      <c r="E488" t="str">
        <f>IF(A488="","",IFERROR(AVERAGEIFS(DATOS!$K$2:$K$20000,DATOS!$A$2:$A$20000,A488,DATOS!$G$2:$G$20000,CONFIG_METADATA!$B$4,DATOS!$I$2:$I$20000,"&lt;&gt;Lenguaje Musical",DATOS!$I$2:$I$20000,"&lt;&gt;Coro",DATOS!$I$2:$I$20000,"&lt;&gt;Conjunto"),""))</f>
        <v/>
      </c>
      <c r="H488" t="str">
        <f>IF(G488="","",IFERROR(AVERAGEIFS(DATOS!$K$2:$K$20000,DATOS!$A$2:$A$20000,G488,DATOS!$G$2:$G$20000,CONFIG_METADATA!$B$4,DATOS!$I$2:$I$20000,"Lenguaje Musical"),""))</f>
        <v/>
      </c>
      <c r="I488" t="str">
        <f>IF(G488="","",IFERROR(AVERAGEIFS(DATOS!$K$2:$K$20000,DATOS!$A$2:$A$20000,G488,DATOS!$G$2:$G$20000,CONFIG_METADATA!$B$4,DATOS!$I$2:$I$20000,"Coro"),""))</f>
        <v/>
      </c>
      <c r="J488" t="str">
        <f>IF(G488="","",IFERROR(AVERAGEIFS(DATOS!$K$2:$K$20000,DATOS!$A$2:$A$20000,G488,DATOS!$G$2:$G$20000,CONFIG_METADATA!$B$4,DATOS!$I$2:$I$20000,"Conjunto"),""))</f>
        <v/>
      </c>
      <c r="K488" t="str" cm="1">
        <f t="array" ref="K488">IF(G488="","",IFERROR(AVERAGE(IF((DATOS!$A$2:$A$20000=G488)*(DATOS!$G$2:$G$20000=CONFIG_METADATA!$B$4)*(DATOS!$I$2:$I$20000&lt;&gt;"Lenguaje Musical")*(DATOS!$I$2:$I$20000&lt;&gt;"Coro")*(DATOS!$I$2:$I$20000&lt;&gt;"Conjunto"),DATOS!$K$2:$K$20000)),""))</f>
        <v/>
      </c>
      <c r="N488" t="str">
        <f>IF(M488="","",IFERROR(AVERAGEIFS(DATOS!$K$2:$K$20000,DATOS!$A$2:$A$20000,M488,DATOS!$G$2:$G$20000,CONFIG_METADATA!$B$4,DATOS!$I$2:$I$20000,"Lenguaje Musical"),""))</f>
        <v/>
      </c>
      <c r="O488" t="str">
        <f>IF(M488="","",IFERROR(AVERAGEIFS(DATOS!$K$2:$K$20000,DATOS!$A$2:$A$20000,M488,DATOS!$G$2:$G$20000,CONFIG_METADATA!$B$4,DATOS!$I$2:$I$20000,"Coro"),""))</f>
        <v/>
      </c>
      <c r="P488" t="str">
        <f>IF(M488="","",IFERROR(AVERAGEIFS(DATOS!$K$2:$K$20000,DATOS!$A$2:$A$20000,M488,DATOS!$G$2:$G$20000,CONFIG_METADATA!$B$4,DATOS!$I$2:$I$20000,"Conjunto"),""))</f>
        <v/>
      </c>
      <c r="Q488" t="str">
        <f>IF(M488="","",IFERROR(AVERAGEIFS(DATOS!$K$2:$K$20000,DATOS!$A$2:$A$20000,M488,DATOS!$G$2:$G$20000,CONFIG_METADATA!$B$4,DATOS!$I$2:$I$20000,"&lt;&gt;Lenguaje Musical",DATOS!$I$2:$I$20000,"&lt;&gt;Coro",DATOS!$I$2:$I$20000,"&lt;&gt;Conjunto"),""))</f>
        <v/>
      </c>
      <c r="T488" t="str">
        <f>IF(S488="","",IFERROR(AVERAGEIFS(DATOS!$K$2:$K$20000,DATOS!$A$2:$A$20000,S488,DATOS!$G$2:$G$20000,CONFIG_METADATA!$B$4,DATOS!$I$2:$I$20000,"Lenguaje Musical"),""))</f>
        <v/>
      </c>
      <c r="U488" t="str">
        <f>IF(S488="","",IFERROR(AVERAGEIFS(DATOS!$K$2:$K$20000,DATOS!$A$2:$A$20000,S488,DATOS!$G$2:$G$20000,CONFIG_METADATA!$B$4,DATOS!$I$2:$I$20000,"Coro"),""))</f>
        <v/>
      </c>
      <c r="V488" t="str">
        <f>IF(S488="","",IFERROR(AVERAGEIFS(DATOS!$K$2:$K$20000,DATOS!$A$2:$A$20000,S488,DATOS!$G$2:$G$20000,CONFIG_METADATA!$B$4,DATOS!$I$2:$I$20000,"Conjunto"),""))</f>
        <v/>
      </c>
      <c r="W488" t="str" cm="1">
        <f t="array" ref="W488">IF(S488="","",IFERROR(AVERAGE(IF((DATOS!$A$2:$A$20000=S488)*(DATOS!$G$2:$G$20000=CONFIG_METADATA!$B$4)*(DATOS!$I$2:$I$20000&lt;&gt;"Lenguaje Musical")*(DATOS!$I$2:$I$20000&lt;&gt;"Coro")*(DATOS!$I$2:$I$20000&lt;&gt;"Conjunto"),DATOS!$K$2:$K$20000)),""))</f>
        <v/>
      </c>
    </row>
    <row r="489" spans="2:23" x14ac:dyDescent="0.2">
      <c r="B489" t="str">
        <f>IF(A489="","",IFERROR(AVERAGEIFS(DATOS!$K$2:$K$20000,DATOS!$A$2:$A$20000,A489,DATOS!$G$2:$G$20000,CONFIG_METADATA!$B$4,DATOS!$I$2:$I$20000,"Lenguaje Musical"),""))</f>
        <v/>
      </c>
      <c r="C489" t="str">
        <f>IF(A489="","",IFERROR(AVERAGEIFS(DATOS!$K$2:$K$20000,DATOS!$A$2:$A$20000,A489,DATOS!$G$2:$G$20000,CONFIG_METADATA!$B$4,DATOS!$I$2:$I$20000,"Coro"),""))</f>
        <v/>
      </c>
      <c r="D489" t="str">
        <f>IF(A489="","",IFERROR(AVERAGEIFS(DATOS!$K$2:$K$20000,DATOS!$A$2:$A$20000,A489,DATOS!$G$2:$G$20000,CONFIG_METADATA!$B$4,DATOS!$I$2:$I$20000,"Conjunto"),""))</f>
        <v/>
      </c>
      <c r="E489" t="str">
        <f>IF(A489="","",IFERROR(AVERAGEIFS(DATOS!$K$2:$K$20000,DATOS!$A$2:$A$20000,A489,DATOS!$G$2:$G$20000,CONFIG_METADATA!$B$4,DATOS!$I$2:$I$20000,"&lt;&gt;Lenguaje Musical",DATOS!$I$2:$I$20000,"&lt;&gt;Coro",DATOS!$I$2:$I$20000,"&lt;&gt;Conjunto"),""))</f>
        <v/>
      </c>
      <c r="H489" t="str">
        <f>IF(G489="","",IFERROR(AVERAGEIFS(DATOS!$K$2:$K$20000,DATOS!$A$2:$A$20000,G489,DATOS!$G$2:$G$20000,CONFIG_METADATA!$B$4,DATOS!$I$2:$I$20000,"Lenguaje Musical"),""))</f>
        <v/>
      </c>
      <c r="I489" t="str">
        <f>IF(G489="","",IFERROR(AVERAGEIFS(DATOS!$K$2:$K$20000,DATOS!$A$2:$A$20000,G489,DATOS!$G$2:$G$20000,CONFIG_METADATA!$B$4,DATOS!$I$2:$I$20000,"Coro"),""))</f>
        <v/>
      </c>
      <c r="J489" t="str">
        <f>IF(G489="","",IFERROR(AVERAGEIFS(DATOS!$K$2:$K$20000,DATOS!$A$2:$A$20000,G489,DATOS!$G$2:$G$20000,CONFIG_METADATA!$B$4,DATOS!$I$2:$I$20000,"Conjunto"),""))</f>
        <v/>
      </c>
      <c r="K489" t="str" cm="1">
        <f t="array" ref="K489">IF(G489="","",IFERROR(AVERAGE(IF((DATOS!$A$2:$A$20000=G489)*(DATOS!$G$2:$G$20000=CONFIG_METADATA!$B$4)*(DATOS!$I$2:$I$20000&lt;&gt;"Lenguaje Musical")*(DATOS!$I$2:$I$20000&lt;&gt;"Coro")*(DATOS!$I$2:$I$20000&lt;&gt;"Conjunto"),DATOS!$K$2:$K$20000)),""))</f>
        <v/>
      </c>
      <c r="N489" t="str">
        <f>IF(M489="","",IFERROR(AVERAGEIFS(DATOS!$K$2:$K$20000,DATOS!$A$2:$A$20000,M489,DATOS!$G$2:$G$20000,CONFIG_METADATA!$B$4,DATOS!$I$2:$I$20000,"Lenguaje Musical"),""))</f>
        <v/>
      </c>
      <c r="O489" t="str">
        <f>IF(M489="","",IFERROR(AVERAGEIFS(DATOS!$K$2:$K$20000,DATOS!$A$2:$A$20000,M489,DATOS!$G$2:$G$20000,CONFIG_METADATA!$B$4,DATOS!$I$2:$I$20000,"Coro"),""))</f>
        <v/>
      </c>
      <c r="P489" t="str">
        <f>IF(M489="","",IFERROR(AVERAGEIFS(DATOS!$K$2:$K$20000,DATOS!$A$2:$A$20000,M489,DATOS!$G$2:$G$20000,CONFIG_METADATA!$B$4,DATOS!$I$2:$I$20000,"Conjunto"),""))</f>
        <v/>
      </c>
      <c r="Q489" t="str">
        <f>IF(M489="","",IFERROR(AVERAGEIFS(DATOS!$K$2:$K$20000,DATOS!$A$2:$A$20000,M489,DATOS!$G$2:$G$20000,CONFIG_METADATA!$B$4,DATOS!$I$2:$I$20000,"&lt;&gt;Lenguaje Musical",DATOS!$I$2:$I$20000,"&lt;&gt;Coro",DATOS!$I$2:$I$20000,"&lt;&gt;Conjunto"),""))</f>
        <v/>
      </c>
      <c r="T489" t="str">
        <f>IF(S489="","",IFERROR(AVERAGEIFS(DATOS!$K$2:$K$20000,DATOS!$A$2:$A$20000,S489,DATOS!$G$2:$G$20000,CONFIG_METADATA!$B$4,DATOS!$I$2:$I$20000,"Lenguaje Musical"),""))</f>
        <v/>
      </c>
      <c r="U489" t="str">
        <f>IF(S489="","",IFERROR(AVERAGEIFS(DATOS!$K$2:$K$20000,DATOS!$A$2:$A$20000,S489,DATOS!$G$2:$G$20000,CONFIG_METADATA!$B$4,DATOS!$I$2:$I$20000,"Coro"),""))</f>
        <v/>
      </c>
      <c r="V489" t="str">
        <f>IF(S489="","",IFERROR(AVERAGEIFS(DATOS!$K$2:$K$20000,DATOS!$A$2:$A$20000,S489,DATOS!$G$2:$G$20000,CONFIG_METADATA!$B$4,DATOS!$I$2:$I$20000,"Conjunto"),""))</f>
        <v/>
      </c>
      <c r="W489" t="str" cm="1">
        <f t="array" ref="W489">IF(S489="","",IFERROR(AVERAGE(IF((DATOS!$A$2:$A$20000=S489)*(DATOS!$G$2:$G$20000=CONFIG_METADATA!$B$4)*(DATOS!$I$2:$I$20000&lt;&gt;"Lenguaje Musical")*(DATOS!$I$2:$I$20000&lt;&gt;"Coro")*(DATOS!$I$2:$I$20000&lt;&gt;"Conjunto"),DATOS!$K$2:$K$20000)),""))</f>
        <v/>
      </c>
    </row>
    <row r="490" spans="2:23" x14ac:dyDescent="0.2">
      <c r="B490" t="str">
        <f>IF(A490="","",IFERROR(AVERAGEIFS(DATOS!$K$2:$K$20000,DATOS!$A$2:$A$20000,A490,DATOS!$G$2:$G$20000,CONFIG_METADATA!$B$4,DATOS!$I$2:$I$20000,"Lenguaje Musical"),""))</f>
        <v/>
      </c>
      <c r="C490" t="str">
        <f>IF(A490="","",IFERROR(AVERAGEIFS(DATOS!$K$2:$K$20000,DATOS!$A$2:$A$20000,A490,DATOS!$G$2:$G$20000,CONFIG_METADATA!$B$4,DATOS!$I$2:$I$20000,"Coro"),""))</f>
        <v/>
      </c>
      <c r="D490" t="str">
        <f>IF(A490="","",IFERROR(AVERAGEIFS(DATOS!$K$2:$K$20000,DATOS!$A$2:$A$20000,A490,DATOS!$G$2:$G$20000,CONFIG_METADATA!$B$4,DATOS!$I$2:$I$20000,"Conjunto"),""))</f>
        <v/>
      </c>
      <c r="E490" t="str">
        <f>IF(A490="","",IFERROR(AVERAGEIFS(DATOS!$K$2:$K$20000,DATOS!$A$2:$A$20000,A490,DATOS!$G$2:$G$20000,CONFIG_METADATA!$B$4,DATOS!$I$2:$I$20000,"&lt;&gt;Lenguaje Musical",DATOS!$I$2:$I$20000,"&lt;&gt;Coro",DATOS!$I$2:$I$20000,"&lt;&gt;Conjunto"),""))</f>
        <v/>
      </c>
      <c r="H490" t="str">
        <f>IF(G490="","",IFERROR(AVERAGEIFS(DATOS!$K$2:$K$20000,DATOS!$A$2:$A$20000,G490,DATOS!$G$2:$G$20000,CONFIG_METADATA!$B$4,DATOS!$I$2:$I$20000,"Lenguaje Musical"),""))</f>
        <v/>
      </c>
      <c r="I490" t="str">
        <f>IF(G490="","",IFERROR(AVERAGEIFS(DATOS!$K$2:$K$20000,DATOS!$A$2:$A$20000,G490,DATOS!$G$2:$G$20000,CONFIG_METADATA!$B$4,DATOS!$I$2:$I$20000,"Coro"),""))</f>
        <v/>
      </c>
      <c r="J490" t="str">
        <f>IF(G490="","",IFERROR(AVERAGEIFS(DATOS!$K$2:$K$20000,DATOS!$A$2:$A$20000,G490,DATOS!$G$2:$G$20000,CONFIG_METADATA!$B$4,DATOS!$I$2:$I$20000,"Conjunto"),""))</f>
        <v/>
      </c>
      <c r="K490" t="str" cm="1">
        <f t="array" ref="K490">IF(G490="","",IFERROR(AVERAGE(IF((DATOS!$A$2:$A$20000=G490)*(DATOS!$G$2:$G$20000=CONFIG_METADATA!$B$4)*(DATOS!$I$2:$I$20000&lt;&gt;"Lenguaje Musical")*(DATOS!$I$2:$I$20000&lt;&gt;"Coro")*(DATOS!$I$2:$I$20000&lt;&gt;"Conjunto"),DATOS!$K$2:$K$20000)),""))</f>
        <v/>
      </c>
      <c r="N490" t="str">
        <f>IF(M490="","",IFERROR(AVERAGEIFS(DATOS!$K$2:$K$20000,DATOS!$A$2:$A$20000,M490,DATOS!$G$2:$G$20000,CONFIG_METADATA!$B$4,DATOS!$I$2:$I$20000,"Lenguaje Musical"),""))</f>
        <v/>
      </c>
      <c r="O490" t="str">
        <f>IF(M490="","",IFERROR(AVERAGEIFS(DATOS!$K$2:$K$20000,DATOS!$A$2:$A$20000,M490,DATOS!$G$2:$G$20000,CONFIG_METADATA!$B$4,DATOS!$I$2:$I$20000,"Coro"),""))</f>
        <v/>
      </c>
      <c r="P490" t="str">
        <f>IF(M490="","",IFERROR(AVERAGEIFS(DATOS!$K$2:$K$20000,DATOS!$A$2:$A$20000,M490,DATOS!$G$2:$G$20000,CONFIG_METADATA!$B$4,DATOS!$I$2:$I$20000,"Conjunto"),""))</f>
        <v/>
      </c>
      <c r="Q490" t="str">
        <f>IF(M490="","",IFERROR(AVERAGEIFS(DATOS!$K$2:$K$20000,DATOS!$A$2:$A$20000,M490,DATOS!$G$2:$G$20000,CONFIG_METADATA!$B$4,DATOS!$I$2:$I$20000,"&lt;&gt;Lenguaje Musical",DATOS!$I$2:$I$20000,"&lt;&gt;Coro",DATOS!$I$2:$I$20000,"&lt;&gt;Conjunto"),""))</f>
        <v/>
      </c>
      <c r="T490" t="str">
        <f>IF(S490="","",IFERROR(AVERAGEIFS(DATOS!$K$2:$K$20000,DATOS!$A$2:$A$20000,S490,DATOS!$G$2:$G$20000,CONFIG_METADATA!$B$4,DATOS!$I$2:$I$20000,"Lenguaje Musical"),""))</f>
        <v/>
      </c>
      <c r="U490" t="str">
        <f>IF(S490="","",IFERROR(AVERAGEIFS(DATOS!$K$2:$K$20000,DATOS!$A$2:$A$20000,S490,DATOS!$G$2:$G$20000,CONFIG_METADATA!$B$4,DATOS!$I$2:$I$20000,"Coro"),""))</f>
        <v/>
      </c>
      <c r="V490" t="str">
        <f>IF(S490="","",IFERROR(AVERAGEIFS(DATOS!$K$2:$K$20000,DATOS!$A$2:$A$20000,S490,DATOS!$G$2:$G$20000,CONFIG_METADATA!$B$4,DATOS!$I$2:$I$20000,"Conjunto"),""))</f>
        <v/>
      </c>
      <c r="W490" t="str" cm="1">
        <f t="array" ref="W490">IF(S490="","",IFERROR(AVERAGE(IF((DATOS!$A$2:$A$20000=S490)*(DATOS!$G$2:$G$20000=CONFIG_METADATA!$B$4)*(DATOS!$I$2:$I$20000&lt;&gt;"Lenguaje Musical")*(DATOS!$I$2:$I$20000&lt;&gt;"Coro")*(DATOS!$I$2:$I$20000&lt;&gt;"Conjunto"),DATOS!$K$2:$K$20000)),""))</f>
        <v/>
      </c>
    </row>
    <row r="491" spans="2:23" x14ac:dyDescent="0.2">
      <c r="B491" t="str">
        <f>IF(A491="","",IFERROR(AVERAGEIFS(DATOS!$K$2:$K$20000,DATOS!$A$2:$A$20000,A491,DATOS!$G$2:$G$20000,CONFIG_METADATA!$B$4,DATOS!$I$2:$I$20000,"Lenguaje Musical"),""))</f>
        <v/>
      </c>
      <c r="C491" t="str">
        <f>IF(A491="","",IFERROR(AVERAGEIFS(DATOS!$K$2:$K$20000,DATOS!$A$2:$A$20000,A491,DATOS!$G$2:$G$20000,CONFIG_METADATA!$B$4,DATOS!$I$2:$I$20000,"Coro"),""))</f>
        <v/>
      </c>
      <c r="D491" t="str">
        <f>IF(A491="","",IFERROR(AVERAGEIFS(DATOS!$K$2:$K$20000,DATOS!$A$2:$A$20000,A491,DATOS!$G$2:$G$20000,CONFIG_METADATA!$B$4,DATOS!$I$2:$I$20000,"Conjunto"),""))</f>
        <v/>
      </c>
      <c r="E491" t="str">
        <f>IF(A491="","",IFERROR(AVERAGEIFS(DATOS!$K$2:$K$20000,DATOS!$A$2:$A$20000,A491,DATOS!$G$2:$G$20000,CONFIG_METADATA!$B$4,DATOS!$I$2:$I$20000,"&lt;&gt;Lenguaje Musical",DATOS!$I$2:$I$20000,"&lt;&gt;Coro",DATOS!$I$2:$I$20000,"&lt;&gt;Conjunto"),""))</f>
        <v/>
      </c>
      <c r="H491" t="str">
        <f>IF(G491="","",IFERROR(AVERAGEIFS(DATOS!$K$2:$K$20000,DATOS!$A$2:$A$20000,G491,DATOS!$G$2:$G$20000,CONFIG_METADATA!$B$4,DATOS!$I$2:$I$20000,"Lenguaje Musical"),""))</f>
        <v/>
      </c>
      <c r="I491" t="str">
        <f>IF(G491="","",IFERROR(AVERAGEIFS(DATOS!$K$2:$K$20000,DATOS!$A$2:$A$20000,G491,DATOS!$G$2:$G$20000,CONFIG_METADATA!$B$4,DATOS!$I$2:$I$20000,"Coro"),""))</f>
        <v/>
      </c>
      <c r="J491" t="str">
        <f>IF(G491="","",IFERROR(AVERAGEIFS(DATOS!$K$2:$K$20000,DATOS!$A$2:$A$20000,G491,DATOS!$G$2:$G$20000,CONFIG_METADATA!$B$4,DATOS!$I$2:$I$20000,"Conjunto"),""))</f>
        <v/>
      </c>
      <c r="K491" t="str" cm="1">
        <f t="array" ref="K491">IF(G491="","",IFERROR(AVERAGE(IF((DATOS!$A$2:$A$20000=G491)*(DATOS!$G$2:$G$20000=CONFIG_METADATA!$B$4)*(DATOS!$I$2:$I$20000&lt;&gt;"Lenguaje Musical")*(DATOS!$I$2:$I$20000&lt;&gt;"Coro")*(DATOS!$I$2:$I$20000&lt;&gt;"Conjunto"),DATOS!$K$2:$K$20000)),""))</f>
        <v/>
      </c>
      <c r="N491" t="str">
        <f>IF(M491="","",IFERROR(AVERAGEIFS(DATOS!$K$2:$K$20000,DATOS!$A$2:$A$20000,M491,DATOS!$G$2:$G$20000,CONFIG_METADATA!$B$4,DATOS!$I$2:$I$20000,"Lenguaje Musical"),""))</f>
        <v/>
      </c>
      <c r="O491" t="str">
        <f>IF(M491="","",IFERROR(AVERAGEIFS(DATOS!$K$2:$K$20000,DATOS!$A$2:$A$20000,M491,DATOS!$G$2:$G$20000,CONFIG_METADATA!$B$4,DATOS!$I$2:$I$20000,"Coro"),""))</f>
        <v/>
      </c>
      <c r="P491" t="str">
        <f>IF(M491="","",IFERROR(AVERAGEIFS(DATOS!$K$2:$K$20000,DATOS!$A$2:$A$20000,M491,DATOS!$G$2:$G$20000,CONFIG_METADATA!$B$4,DATOS!$I$2:$I$20000,"Conjunto"),""))</f>
        <v/>
      </c>
      <c r="Q491" t="str">
        <f>IF(M491="","",IFERROR(AVERAGEIFS(DATOS!$K$2:$K$20000,DATOS!$A$2:$A$20000,M491,DATOS!$G$2:$G$20000,CONFIG_METADATA!$B$4,DATOS!$I$2:$I$20000,"&lt;&gt;Lenguaje Musical",DATOS!$I$2:$I$20000,"&lt;&gt;Coro",DATOS!$I$2:$I$20000,"&lt;&gt;Conjunto"),""))</f>
        <v/>
      </c>
      <c r="T491" t="str">
        <f>IF(S491="","",IFERROR(AVERAGEIFS(DATOS!$K$2:$K$20000,DATOS!$A$2:$A$20000,S491,DATOS!$G$2:$G$20000,CONFIG_METADATA!$B$4,DATOS!$I$2:$I$20000,"Lenguaje Musical"),""))</f>
        <v/>
      </c>
      <c r="U491" t="str">
        <f>IF(S491="","",IFERROR(AVERAGEIFS(DATOS!$K$2:$K$20000,DATOS!$A$2:$A$20000,S491,DATOS!$G$2:$G$20000,CONFIG_METADATA!$B$4,DATOS!$I$2:$I$20000,"Coro"),""))</f>
        <v/>
      </c>
      <c r="V491" t="str">
        <f>IF(S491="","",IFERROR(AVERAGEIFS(DATOS!$K$2:$K$20000,DATOS!$A$2:$A$20000,S491,DATOS!$G$2:$G$20000,CONFIG_METADATA!$B$4,DATOS!$I$2:$I$20000,"Conjunto"),""))</f>
        <v/>
      </c>
      <c r="W491" t="str" cm="1">
        <f t="array" ref="W491">IF(S491="","",IFERROR(AVERAGE(IF((DATOS!$A$2:$A$20000=S491)*(DATOS!$G$2:$G$20000=CONFIG_METADATA!$B$4)*(DATOS!$I$2:$I$20000&lt;&gt;"Lenguaje Musical")*(DATOS!$I$2:$I$20000&lt;&gt;"Coro")*(DATOS!$I$2:$I$20000&lt;&gt;"Conjunto"),DATOS!$K$2:$K$20000)),""))</f>
        <v/>
      </c>
    </row>
    <row r="492" spans="2:23" x14ac:dyDescent="0.2">
      <c r="B492" t="str">
        <f>IF(A492="","",IFERROR(AVERAGEIFS(DATOS!$K$2:$K$20000,DATOS!$A$2:$A$20000,A492,DATOS!$G$2:$G$20000,CONFIG_METADATA!$B$4,DATOS!$I$2:$I$20000,"Lenguaje Musical"),""))</f>
        <v/>
      </c>
      <c r="C492" t="str">
        <f>IF(A492="","",IFERROR(AVERAGEIFS(DATOS!$K$2:$K$20000,DATOS!$A$2:$A$20000,A492,DATOS!$G$2:$G$20000,CONFIG_METADATA!$B$4,DATOS!$I$2:$I$20000,"Coro"),""))</f>
        <v/>
      </c>
      <c r="D492" t="str">
        <f>IF(A492="","",IFERROR(AVERAGEIFS(DATOS!$K$2:$K$20000,DATOS!$A$2:$A$20000,A492,DATOS!$G$2:$G$20000,CONFIG_METADATA!$B$4,DATOS!$I$2:$I$20000,"Conjunto"),""))</f>
        <v/>
      </c>
      <c r="E492" t="str">
        <f>IF(A492="","",IFERROR(AVERAGEIFS(DATOS!$K$2:$K$20000,DATOS!$A$2:$A$20000,A492,DATOS!$G$2:$G$20000,CONFIG_METADATA!$B$4,DATOS!$I$2:$I$20000,"&lt;&gt;Lenguaje Musical",DATOS!$I$2:$I$20000,"&lt;&gt;Coro",DATOS!$I$2:$I$20000,"&lt;&gt;Conjunto"),""))</f>
        <v/>
      </c>
      <c r="H492" t="str">
        <f>IF(G492="","",IFERROR(AVERAGEIFS(DATOS!$K$2:$K$20000,DATOS!$A$2:$A$20000,G492,DATOS!$G$2:$G$20000,CONFIG_METADATA!$B$4,DATOS!$I$2:$I$20000,"Lenguaje Musical"),""))</f>
        <v/>
      </c>
      <c r="I492" t="str">
        <f>IF(G492="","",IFERROR(AVERAGEIFS(DATOS!$K$2:$K$20000,DATOS!$A$2:$A$20000,G492,DATOS!$G$2:$G$20000,CONFIG_METADATA!$B$4,DATOS!$I$2:$I$20000,"Coro"),""))</f>
        <v/>
      </c>
      <c r="J492" t="str">
        <f>IF(G492="","",IFERROR(AVERAGEIFS(DATOS!$K$2:$K$20000,DATOS!$A$2:$A$20000,G492,DATOS!$G$2:$G$20000,CONFIG_METADATA!$B$4,DATOS!$I$2:$I$20000,"Conjunto"),""))</f>
        <v/>
      </c>
      <c r="K492" t="str" cm="1">
        <f t="array" ref="K492">IF(G492="","",IFERROR(AVERAGE(IF((DATOS!$A$2:$A$20000=G492)*(DATOS!$G$2:$G$20000=CONFIG_METADATA!$B$4)*(DATOS!$I$2:$I$20000&lt;&gt;"Lenguaje Musical")*(DATOS!$I$2:$I$20000&lt;&gt;"Coro")*(DATOS!$I$2:$I$20000&lt;&gt;"Conjunto"),DATOS!$K$2:$K$20000)),""))</f>
        <v/>
      </c>
      <c r="N492" t="str">
        <f>IF(M492="","",IFERROR(AVERAGEIFS(DATOS!$K$2:$K$20000,DATOS!$A$2:$A$20000,M492,DATOS!$G$2:$G$20000,CONFIG_METADATA!$B$4,DATOS!$I$2:$I$20000,"Lenguaje Musical"),""))</f>
        <v/>
      </c>
      <c r="O492" t="str">
        <f>IF(M492="","",IFERROR(AVERAGEIFS(DATOS!$K$2:$K$20000,DATOS!$A$2:$A$20000,M492,DATOS!$G$2:$G$20000,CONFIG_METADATA!$B$4,DATOS!$I$2:$I$20000,"Coro"),""))</f>
        <v/>
      </c>
      <c r="P492" t="str">
        <f>IF(M492="","",IFERROR(AVERAGEIFS(DATOS!$K$2:$K$20000,DATOS!$A$2:$A$20000,M492,DATOS!$G$2:$G$20000,CONFIG_METADATA!$B$4,DATOS!$I$2:$I$20000,"Conjunto"),""))</f>
        <v/>
      </c>
      <c r="Q492" t="str">
        <f>IF(M492="","",IFERROR(AVERAGEIFS(DATOS!$K$2:$K$20000,DATOS!$A$2:$A$20000,M492,DATOS!$G$2:$G$20000,CONFIG_METADATA!$B$4,DATOS!$I$2:$I$20000,"&lt;&gt;Lenguaje Musical",DATOS!$I$2:$I$20000,"&lt;&gt;Coro",DATOS!$I$2:$I$20000,"&lt;&gt;Conjunto"),""))</f>
        <v/>
      </c>
      <c r="T492" t="str">
        <f>IF(S492="","",IFERROR(AVERAGEIFS(DATOS!$K$2:$K$20000,DATOS!$A$2:$A$20000,S492,DATOS!$G$2:$G$20000,CONFIG_METADATA!$B$4,DATOS!$I$2:$I$20000,"Lenguaje Musical"),""))</f>
        <v/>
      </c>
      <c r="U492" t="str">
        <f>IF(S492="","",IFERROR(AVERAGEIFS(DATOS!$K$2:$K$20000,DATOS!$A$2:$A$20000,S492,DATOS!$G$2:$G$20000,CONFIG_METADATA!$B$4,DATOS!$I$2:$I$20000,"Coro"),""))</f>
        <v/>
      </c>
      <c r="V492" t="str">
        <f>IF(S492="","",IFERROR(AVERAGEIFS(DATOS!$K$2:$K$20000,DATOS!$A$2:$A$20000,S492,DATOS!$G$2:$G$20000,CONFIG_METADATA!$B$4,DATOS!$I$2:$I$20000,"Conjunto"),""))</f>
        <v/>
      </c>
      <c r="W492" t="str" cm="1">
        <f t="array" ref="W492">IF(S492="","",IFERROR(AVERAGE(IF((DATOS!$A$2:$A$20000=S492)*(DATOS!$G$2:$G$20000=CONFIG_METADATA!$B$4)*(DATOS!$I$2:$I$20000&lt;&gt;"Lenguaje Musical")*(DATOS!$I$2:$I$20000&lt;&gt;"Coro")*(DATOS!$I$2:$I$20000&lt;&gt;"Conjunto"),DATOS!$K$2:$K$20000)),""))</f>
        <v/>
      </c>
    </row>
    <row r="493" spans="2:23" x14ac:dyDescent="0.2">
      <c r="B493" t="str">
        <f>IF(A493="","",IFERROR(AVERAGEIFS(DATOS!$K$2:$K$20000,DATOS!$A$2:$A$20000,A493,DATOS!$G$2:$G$20000,CONFIG_METADATA!$B$4,DATOS!$I$2:$I$20000,"Lenguaje Musical"),""))</f>
        <v/>
      </c>
      <c r="C493" t="str">
        <f>IF(A493="","",IFERROR(AVERAGEIFS(DATOS!$K$2:$K$20000,DATOS!$A$2:$A$20000,A493,DATOS!$G$2:$G$20000,CONFIG_METADATA!$B$4,DATOS!$I$2:$I$20000,"Coro"),""))</f>
        <v/>
      </c>
      <c r="D493" t="str">
        <f>IF(A493="","",IFERROR(AVERAGEIFS(DATOS!$K$2:$K$20000,DATOS!$A$2:$A$20000,A493,DATOS!$G$2:$G$20000,CONFIG_METADATA!$B$4,DATOS!$I$2:$I$20000,"Conjunto"),""))</f>
        <v/>
      </c>
      <c r="E493" t="str">
        <f>IF(A493="","",IFERROR(AVERAGEIFS(DATOS!$K$2:$K$20000,DATOS!$A$2:$A$20000,A493,DATOS!$G$2:$G$20000,CONFIG_METADATA!$B$4,DATOS!$I$2:$I$20000,"&lt;&gt;Lenguaje Musical",DATOS!$I$2:$I$20000,"&lt;&gt;Coro",DATOS!$I$2:$I$20000,"&lt;&gt;Conjunto"),""))</f>
        <v/>
      </c>
      <c r="H493" t="str">
        <f>IF(G493="","",IFERROR(AVERAGEIFS(DATOS!$K$2:$K$20000,DATOS!$A$2:$A$20000,G493,DATOS!$G$2:$G$20000,CONFIG_METADATA!$B$4,DATOS!$I$2:$I$20000,"Lenguaje Musical"),""))</f>
        <v/>
      </c>
      <c r="I493" t="str">
        <f>IF(G493="","",IFERROR(AVERAGEIFS(DATOS!$K$2:$K$20000,DATOS!$A$2:$A$20000,G493,DATOS!$G$2:$G$20000,CONFIG_METADATA!$B$4,DATOS!$I$2:$I$20000,"Coro"),""))</f>
        <v/>
      </c>
      <c r="J493" t="str">
        <f>IF(G493="","",IFERROR(AVERAGEIFS(DATOS!$K$2:$K$20000,DATOS!$A$2:$A$20000,G493,DATOS!$G$2:$G$20000,CONFIG_METADATA!$B$4,DATOS!$I$2:$I$20000,"Conjunto"),""))</f>
        <v/>
      </c>
      <c r="K493" t="str" cm="1">
        <f t="array" ref="K493">IF(G493="","",IFERROR(AVERAGE(IF((DATOS!$A$2:$A$20000=G493)*(DATOS!$G$2:$G$20000=CONFIG_METADATA!$B$4)*(DATOS!$I$2:$I$20000&lt;&gt;"Lenguaje Musical")*(DATOS!$I$2:$I$20000&lt;&gt;"Coro")*(DATOS!$I$2:$I$20000&lt;&gt;"Conjunto"),DATOS!$K$2:$K$20000)),""))</f>
        <v/>
      </c>
      <c r="N493" t="str">
        <f>IF(M493="","",IFERROR(AVERAGEIFS(DATOS!$K$2:$K$20000,DATOS!$A$2:$A$20000,M493,DATOS!$G$2:$G$20000,CONFIG_METADATA!$B$4,DATOS!$I$2:$I$20000,"Lenguaje Musical"),""))</f>
        <v/>
      </c>
      <c r="O493" t="str">
        <f>IF(M493="","",IFERROR(AVERAGEIFS(DATOS!$K$2:$K$20000,DATOS!$A$2:$A$20000,M493,DATOS!$G$2:$G$20000,CONFIG_METADATA!$B$4,DATOS!$I$2:$I$20000,"Coro"),""))</f>
        <v/>
      </c>
      <c r="P493" t="str">
        <f>IF(M493="","",IFERROR(AVERAGEIFS(DATOS!$K$2:$K$20000,DATOS!$A$2:$A$20000,M493,DATOS!$G$2:$G$20000,CONFIG_METADATA!$B$4,DATOS!$I$2:$I$20000,"Conjunto"),""))</f>
        <v/>
      </c>
      <c r="Q493" t="str">
        <f>IF(M493="","",IFERROR(AVERAGEIFS(DATOS!$K$2:$K$20000,DATOS!$A$2:$A$20000,M493,DATOS!$G$2:$G$20000,CONFIG_METADATA!$B$4,DATOS!$I$2:$I$20000,"&lt;&gt;Lenguaje Musical",DATOS!$I$2:$I$20000,"&lt;&gt;Coro",DATOS!$I$2:$I$20000,"&lt;&gt;Conjunto"),""))</f>
        <v/>
      </c>
      <c r="T493" t="str">
        <f>IF(S493="","",IFERROR(AVERAGEIFS(DATOS!$K$2:$K$20000,DATOS!$A$2:$A$20000,S493,DATOS!$G$2:$G$20000,CONFIG_METADATA!$B$4,DATOS!$I$2:$I$20000,"Lenguaje Musical"),""))</f>
        <v/>
      </c>
      <c r="U493" t="str">
        <f>IF(S493="","",IFERROR(AVERAGEIFS(DATOS!$K$2:$K$20000,DATOS!$A$2:$A$20000,S493,DATOS!$G$2:$G$20000,CONFIG_METADATA!$B$4,DATOS!$I$2:$I$20000,"Coro"),""))</f>
        <v/>
      </c>
      <c r="V493" t="str">
        <f>IF(S493="","",IFERROR(AVERAGEIFS(DATOS!$K$2:$K$20000,DATOS!$A$2:$A$20000,S493,DATOS!$G$2:$G$20000,CONFIG_METADATA!$B$4,DATOS!$I$2:$I$20000,"Conjunto"),""))</f>
        <v/>
      </c>
      <c r="W493" t="str" cm="1">
        <f t="array" ref="W493">IF(S493="","",IFERROR(AVERAGE(IF((DATOS!$A$2:$A$20000=S493)*(DATOS!$G$2:$G$20000=CONFIG_METADATA!$B$4)*(DATOS!$I$2:$I$20000&lt;&gt;"Lenguaje Musical")*(DATOS!$I$2:$I$20000&lt;&gt;"Coro")*(DATOS!$I$2:$I$20000&lt;&gt;"Conjunto"),DATOS!$K$2:$K$20000)),""))</f>
        <v/>
      </c>
    </row>
    <row r="494" spans="2:23" x14ac:dyDescent="0.2">
      <c r="B494" t="str">
        <f>IF(A494="","",IFERROR(AVERAGEIFS(DATOS!$K$2:$K$20000,DATOS!$A$2:$A$20000,A494,DATOS!$G$2:$G$20000,CONFIG_METADATA!$B$4,DATOS!$I$2:$I$20000,"Lenguaje Musical"),""))</f>
        <v/>
      </c>
      <c r="C494" t="str">
        <f>IF(A494="","",IFERROR(AVERAGEIFS(DATOS!$K$2:$K$20000,DATOS!$A$2:$A$20000,A494,DATOS!$G$2:$G$20000,CONFIG_METADATA!$B$4,DATOS!$I$2:$I$20000,"Coro"),""))</f>
        <v/>
      </c>
      <c r="D494" t="str">
        <f>IF(A494="","",IFERROR(AVERAGEIFS(DATOS!$K$2:$K$20000,DATOS!$A$2:$A$20000,A494,DATOS!$G$2:$G$20000,CONFIG_METADATA!$B$4,DATOS!$I$2:$I$20000,"Conjunto"),""))</f>
        <v/>
      </c>
      <c r="E494" t="str">
        <f>IF(A494="","",IFERROR(AVERAGEIFS(DATOS!$K$2:$K$20000,DATOS!$A$2:$A$20000,A494,DATOS!$G$2:$G$20000,CONFIG_METADATA!$B$4,DATOS!$I$2:$I$20000,"&lt;&gt;Lenguaje Musical",DATOS!$I$2:$I$20000,"&lt;&gt;Coro",DATOS!$I$2:$I$20000,"&lt;&gt;Conjunto"),""))</f>
        <v/>
      </c>
      <c r="H494" t="str">
        <f>IF(G494="","",IFERROR(AVERAGEIFS(DATOS!$K$2:$K$20000,DATOS!$A$2:$A$20000,G494,DATOS!$G$2:$G$20000,CONFIG_METADATA!$B$4,DATOS!$I$2:$I$20000,"Lenguaje Musical"),""))</f>
        <v/>
      </c>
      <c r="I494" t="str">
        <f>IF(G494="","",IFERROR(AVERAGEIFS(DATOS!$K$2:$K$20000,DATOS!$A$2:$A$20000,G494,DATOS!$G$2:$G$20000,CONFIG_METADATA!$B$4,DATOS!$I$2:$I$20000,"Coro"),""))</f>
        <v/>
      </c>
      <c r="J494" t="str">
        <f>IF(G494="","",IFERROR(AVERAGEIFS(DATOS!$K$2:$K$20000,DATOS!$A$2:$A$20000,G494,DATOS!$G$2:$G$20000,CONFIG_METADATA!$B$4,DATOS!$I$2:$I$20000,"Conjunto"),""))</f>
        <v/>
      </c>
      <c r="K494" t="str" cm="1">
        <f t="array" ref="K494">IF(G494="","",IFERROR(AVERAGE(IF((DATOS!$A$2:$A$20000=G494)*(DATOS!$G$2:$G$20000=CONFIG_METADATA!$B$4)*(DATOS!$I$2:$I$20000&lt;&gt;"Lenguaje Musical")*(DATOS!$I$2:$I$20000&lt;&gt;"Coro")*(DATOS!$I$2:$I$20000&lt;&gt;"Conjunto"),DATOS!$K$2:$K$20000)),""))</f>
        <v/>
      </c>
      <c r="N494" t="str">
        <f>IF(M494="","",IFERROR(AVERAGEIFS(DATOS!$K$2:$K$20000,DATOS!$A$2:$A$20000,M494,DATOS!$G$2:$G$20000,CONFIG_METADATA!$B$4,DATOS!$I$2:$I$20000,"Lenguaje Musical"),""))</f>
        <v/>
      </c>
      <c r="O494" t="str">
        <f>IF(M494="","",IFERROR(AVERAGEIFS(DATOS!$K$2:$K$20000,DATOS!$A$2:$A$20000,M494,DATOS!$G$2:$G$20000,CONFIG_METADATA!$B$4,DATOS!$I$2:$I$20000,"Coro"),""))</f>
        <v/>
      </c>
      <c r="P494" t="str">
        <f>IF(M494="","",IFERROR(AVERAGEIFS(DATOS!$K$2:$K$20000,DATOS!$A$2:$A$20000,M494,DATOS!$G$2:$G$20000,CONFIG_METADATA!$B$4,DATOS!$I$2:$I$20000,"Conjunto"),""))</f>
        <v/>
      </c>
      <c r="Q494" t="str">
        <f>IF(M494="","",IFERROR(AVERAGEIFS(DATOS!$K$2:$K$20000,DATOS!$A$2:$A$20000,M494,DATOS!$G$2:$G$20000,CONFIG_METADATA!$B$4,DATOS!$I$2:$I$20000,"&lt;&gt;Lenguaje Musical",DATOS!$I$2:$I$20000,"&lt;&gt;Coro",DATOS!$I$2:$I$20000,"&lt;&gt;Conjunto"),""))</f>
        <v/>
      </c>
      <c r="T494" t="str">
        <f>IF(S494="","",IFERROR(AVERAGEIFS(DATOS!$K$2:$K$20000,DATOS!$A$2:$A$20000,S494,DATOS!$G$2:$G$20000,CONFIG_METADATA!$B$4,DATOS!$I$2:$I$20000,"Lenguaje Musical"),""))</f>
        <v/>
      </c>
      <c r="U494" t="str">
        <f>IF(S494="","",IFERROR(AVERAGEIFS(DATOS!$K$2:$K$20000,DATOS!$A$2:$A$20000,S494,DATOS!$G$2:$G$20000,CONFIG_METADATA!$B$4,DATOS!$I$2:$I$20000,"Coro"),""))</f>
        <v/>
      </c>
      <c r="V494" t="str">
        <f>IF(S494="","",IFERROR(AVERAGEIFS(DATOS!$K$2:$K$20000,DATOS!$A$2:$A$20000,S494,DATOS!$G$2:$G$20000,CONFIG_METADATA!$B$4,DATOS!$I$2:$I$20000,"Conjunto"),""))</f>
        <v/>
      </c>
      <c r="W494" t="str" cm="1">
        <f t="array" ref="W494">IF(S494="","",IFERROR(AVERAGE(IF((DATOS!$A$2:$A$20000=S494)*(DATOS!$G$2:$G$20000=CONFIG_METADATA!$B$4)*(DATOS!$I$2:$I$20000&lt;&gt;"Lenguaje Musical")*(DATOS!$I$2:$I$20000&lt;&gt;"Coro")*(DATOS!$I$2:$I$20000&lt;&gt;"Conjunto"),DATOS!$K$2:$K$20000)),""))</f>
        <v/>
      </c>
    </row>
    <row r="495" spans="2:23" x14ac:dyDescent="0.2">
      <c r="B495" t="str">
        <f>IF(A495="","",IFERROR(AVERAGEIFS(DATOS!$K$2:$K$20000,DATOS!$A$2:$A$20000,A495,DATOS!$G$2:$G$20000,CONFIG_METADATA!$B$4,DATOS!$I$2:$I$20000,"Lenguaje Musical"),""))</f>
        <v/>
      </c>
      <c r="C495" t="str">
        <f>IF(A495="","",IFERROR(AVERAGEIFS(DATOS!$K$2:$K$20000,DATOS!$A$2:$A$20000,A495,DATOS!$G$2:$G$20000,CONFIG_METADATA!$B$4,DATOS!$I$2:$I$20000,"Coro"),""))</f>
        <v/>
      </c>
      <c r="D495" t="str">
        <f>IF(A495="","",IFERROR(AVERAGEIFS(DATOS!$K$2:$K$20000,DATOS!$A$2:$A$20000,A495,DATOS!$G$2:$G$20000,CONFIG_METADATA!$B$4,DATOS!$I$2:$I$20000,"Conjunto"),""))</f>
        <v/>
      </c>
      <c r="E495" t="str">
        <f>IF(A495="","",IFERROR(AVERAGEIFS(DATOS!$K$2:$K$20000,DATOS!$A$2:$A$20000,A495,DATOS!$G$2:$G$20000,CONFIG_METADATA!$B$4,DATOS!$I$2:$I$20000,"&lt;&gt;Lenguaje Musical",DATOS!$I$2:$I$20000,"&lt;&gt;Coro",DATOS!$I$2:$I$20000,"&lt;&gt;Conjunto"),""))</f>
        <v/>
      </c>
      <c r="H495" t="str">
        <f>IF(G495="","",IFERROR(AVERAGEIFS(DATOS!$K$2:$K$20000,DATOS!$A$2:$A$20000,G495,DATOS!$G$2:$G$20000,CONFIG_METADATA!$B$4,DATOS!$I$2:$I$20000,"Lenguaje Musical"),""))</f>
        <v/>
      </c>
      <c r="I495" t="str">
        <f>IF(G495="","",IFERROR(AVERAGEIFS(DATOS!$K$2:$K$20000,DATOS!$A$2:$A$20000,G495,DATOS!$G$2:$G$20000,CONFIG_METADATA!$B$4,DATOS!$I$2:$I$20000,"Coro"),""))</f>
        <v/>
      </c>
      <c r="J495" t="str">
        <f>IF(G495="","",IFERROR(AVERAGEIFS(DATOS!$K$2:$K$20000,DATOS!$A$2:$A$20000,G495,DATOS!$G$2:$G$20000,CONFIG_METADATA!$B$4,DATOS!$I$2:$I$20000,"Conjunto"),""))</f>
        <v/>
      </c>
      <c r="K495" t="str" cm="1">
        <f t="array" ref="K495">IF(G495="","",IFERROR(AVERAGE(IF((DATOS!$A$2:$A$20000=G495)*(DATOS!$G$2:$G$20000=CONFIG_METADATA!$B$4)*(DATOS!$I$2:$I$20000&lt;&gt;"Lenguaje Musical")*(DATOS!$I$2:$I$20000&lt;&gt;"Coro")*(DATOS!$I$2:$I$20000&lt;&gt;"Conjunto"),DATOS!$K$2:$K$20000)),""))</f>
        <v/>
      </c>
      <c r="N495" t="str">
        <f>IF(M495="","",IFERROR(AVERAGEIFS(DATOS!$K$2:$K$20000,DATOS!$A$2:$A$20000,M495,DATOS!$G$2:$G$20000,CONFIG_METADATA!$B$4,DATOS!$I$2:$I$20000,"Lenguaje Musical"),""))</f>
        <v/>
      </c>
      <c r="O495" t="str">
        <f>IF(M495="","",IFERROR(AVERAGEIFS(DATOS!$K$2:$K$20000,DATOS!$A$2:$A$20000,M495,DATOS!$G$2:$G$20000,CONFIG_METADATA!$B$4,DATOS!$I$2:$I$20000,"Coro"),""))</f>
        <v/>
      </c>
      <c r="P495" t="str">
        <f>IF(M495="","",IFERROR(AVERAGEIFS(DATOS!$K$2:$K$20000,DATOS!$A$2:$A$20000,M495,DATOS!$G$2:$G$20000,CONFIG_METADATA!$B$4,DATOS!$I$2:$I$20000,"Conjunto"),""))</f>
        <v/>
      </c>
      <c r="Q495" t="str">
        <f>IF(M495="","",IFERROR(AVERAGEIFS(DATOS!$K$2:$K$20000,DATOS!$A$2:$A$20000,M495,DATOS!$G$2:$G$20000,CONFIG_METADATA!$B$4,DATOS!$I$2:$I$20000,"&lt;&gt;Lenguaje Musical",DATOS!$I$2:$I$20000,"&lt;&gt;Coro",DATOS!$I$2:$I$20000,"&lt;&gt;Conjunto"),""))</f>
        <v/>
      </c>
      <c r="T495" t="str">
        <f>IF(S495="","",IFERROR(AVERAGEIFS(DATOS!$K$2:$K$20000,DATOS!$A$2:$A$20000,S495,DATOS!$G$2:$G$20000,CONFIG_METADATA!$B$4,DATOS!$I$2:$I$20000,"Lenguaje Musical"),""))</f>
        <v/>
      </c>
      <c r="U495" t="str">
        <f>IF(S495="","",IFERROR(AVERAGEIFS(DATOS!$K$2:$K$20000,DATOS!$A$2:$A$20000,S495,DATOS!$G$2:$G$20000,CONFIG_METADATA!$B$4,DATOS!$I$2:$I$20000,"Coro"),""))</f>
        <v/>
      </c>
      <c r="V495" t="str">
        <f>IF(S495="","",IFERROR(AVERAGEIFS(DATOS!$K$2:$K$20000,DATOS!$A$2:$A$20000,S495,DATOS!$G$2:$G$20000,CONFIG_METADATA!$B$4,DATOS!$I$2:$I$20000,"Conjunto"),""))</f>
        <v/>
      </c>
      <c r="W495" t="str" cm="1">
        <f t="array" ref="W495">IF(S495="","",IFERROR(AVERAGE(IF((DATOS!$A$2:$A$20000=S495)*(DATOS!$G$2:$G$20000=CONFIG_METADATA!$B$4)*(DATOS!$I$2:$I$20000&lt;&gt;"Lenguaje Musical")*(DATOS!$I$2:$I$20000&lt;&gt;"Coro")*(DATOS!$I$2:$I$20000&lt;&gt;"Conjunto"),DATOS!$K$2:$K$20000)),""))</f>
        <v/>
      </c>
    </row>
    <row r="496" spans="2:23" x14ac:dyDescent="0.2">
      <c r="B496" t="str">
        <f>IF(A496="","",IFERROR(AVERAGEIFS(DATOS!$K$2:$K$20000,DATOS!$A$2:$A$20000,A496,DATOS!$G$2:$G$20000,CONFIG_METADATA!$B$4,DATOS!$I$2:$I$20000,"Lenguaje Musical"),""))</f>
        <v/>
      </c>
      <c r="C496" t="str">
        <f>IF(A496="","",IFERROR(AVERAGEIFS(DATOS!$K$2:$K$20000,DATOS!$A$2:$A$20000,A496,DATOS!$G$2:$G$20000,CONFIG_METADATA!$B$4,DATOS!$I$2:$I$20000,"Coro"),""))</f>
        <v/>
      </c>
      <c r="D496" t="str">
        <f>IF(A496="","",IFERROR(AVERAGEIFS(DATOS!$K$2:$K$20000,DATOS!$A$2:$A$20000,A496,DATOS!$G$2:$G$20000,CONFIG_METADATA!$B$4,DATOS!$I$2:$I$20000,"Conjunto"),""))</f>
        <v/>
      </c>
      <c r="E496" t="str">
        <f>IF(A496="","",IFERROR(AVERAGEIFS(DATOS!$K$2:$K$20000,DATOS!$A$2:$A$20000,A496,DATOS!$G$2:$G$20000,CONFIG_METADATA!$B$4,DATOS!$I$2:$I$20000,"&lt;&gt;Lenguaje Musical",DATOS!$I$2:$I$20000,"&lt;&gt;Coro",DATOS!$I$2:$I$20000,"&lt;&gt;Conjunto"),""))</f>
        <v/>
      </c>
      <c r="H496" t="str">
        <f>IF(G496="","",IFERROR(AVERAGEIFS(DATOS!$K$2:$K$20000,DATOS!$A$2:$A$20000,G496,DATOS!$G$2:$G$20000,CONFIG_METADATA!$B$4,DATOS!$I$2:$I$20000,"Lenguaje Musical"),""))</f>
        <v/>
      </c>
      <c r="I496" t="str">
        <f>IF(G496="","",IFERROR(AVERAGEIFS(DATOS!$K$2:$K$20000,DATOS!$A$2:$A$20000,G496,DATOS!$G$2:$G$20000,CONFIG_METADATA!$B$4,DATOS!$I$2:$I$20000,"Coro"),""))</f>
        <v/>
      </c>
      <c r="J496" t="str">
        <f>IF(G496="","",IFERROR(AVERAGEIFS(DATOS!$K$2:$K$20000,DATOS!$A$2:$A$20000,G496,DATOS!$G$2:$G$20000,CONFIG_METADATA!$B$4,DATOS!$I$2:$I$20000,"Conjunto"),""))</f>
        <v/>
      </c>
      <c r="K496" t="str" cm="1">
        <f t="array" ref="K496">IF(G496="","",IFERROR(AVERAGE(IF((DATOS!$A$2:$A$20000=G496)*(DATOS!$G$2:$G$20000=CONFIG_METADATA!$B$4)*(DATOS!$I$2:$I$20000&lt;&gt;"Lenguaje Musical")*(DATOS!$I$2:$I$20000&lt;&gt;"Coro")*(DATOS!$I$2:$I$20000&lt;&gt;"Conjunto"),DATOS!$K$2:$K$20000)),""))</f>
        <v/>
      </c>
      <c r="N496" t="str">
        <f>IF(M496="","",IFERROR(AVERAGEIFS(DATOS!$K$2:$K$20000,DATOS!$A$2:$A$20000,M496,DATOS!$G$2:$G$20000,CONFIG_METADATA!$B$4,DATOS!$I$2:$I$20000,"Lenguaje Musical"),""))</f>
        <v/>
      </c>
      <c r="O496" t="str">
        <f>IF(M496="","",IFERROR(AVERAGEIFS(DATOS!$K$2:$K$20000,DATOS!$A$2:$A$20000,M496,DATOS!$G$2:$G$20000,CONFIG_METADATA!$B$4,DATOS!$I$2:$I$20000,"Coro"),""))</f>
        <v/>
      </c>
      <c r="P496" t="str">
        <f>IF(M496="","",IFERROR(AVERAGEIFS(DATOS!$K$2:$K$20000,DATOS!$A$2:$A$20000,M496,DATOS!$G$2:$G$20000,CONFIG_METADATA!$B$4,DATOS!$I$2:$I$20000,"Conjunto"),""))</f>
        <v/>
      </c>
      <c r="Q496" t="str">
        <f>IF(M496="","",IFERROR(AVERAGEIFS(DATOS!$K$2:$K$20000,DATOS!$A$2:$A$20000,M496,DATOS!$G$2:$G$20000,CONFIG_METADATA!$B$4,DATOS!$I$2:$I$20000,"&lt;&gt;Lenguaje Musical",DATOS!$I$2:$I$20000,"&lt;&gt;Coro",DATOS!$I$2:$I$20000,"&lt;&gt;Conjunto"),""))</f>
        <v/>
      </c>
      <c r="T496" t="str">
        <f>IF(S496="","",IFERROR(AVERAGEIFS(DATOS!$K$2:$K$20000,DATOS!$A$2:$A$20000,S496,DATOS!$G$2:$G$20000,CONFIG_METADATA!$B$4,DATOS!$I$2:$I$20000,"Lenguaje Musical"),""))</f>
        <v/>
      </c>
      <c r="U496" t="str">
        <f>IF(S496="","",IFERROR(AVERAGEIFS(DATOS!$K$2:$K$20000,DATOS!$A$2:$A$20000,S496,DATOS!$G$2:$G$20000,CONFIG_METADATA!$B$4,DATOS!$I$2:$I$20000,"Coro"),""))</f>
        <v/>
      </c>
      <c r="V496" t="str">
        <f>IF(S496="","",IFERROR(AVERAGEIFS(DATOS!$K$2:$K$20000,DATOS!$A$2:$A$20000,S496,DATOS!$G$2:$G$20000,CONFIG_METADATA!$B$4,DATOS!$I$2:$I$20000,"Conjunto"),""))</f>
        <v/>
      </c>
      <c r="W496" t="str" cm="1">
        <f t="array" ref="W496">IF(S496="","",IFERROR(AVERAGE(IF((DATOS!$A$2:$A$20000=S496)*(DATOS!$G$2:$G$20000=CONFIG_METADATA!$B$4)*(DATOS!$I$2:$I$20000&lt;&gt;"Lenguaje Musical")*(DATOS!$I$2:$I$20000&lt;&gt;"Coro")*(DATOS!$I$2:$I$20000&lt;&gt;"Conjunto"),DATOS!$K$2:$K$20000)),""))</f>
        <v/>
      </c>
    </row>
    <row r="497" spans="2:23" x14ac:dyDescent="0.2">
      <c r="B497" t="str">
        <f>IF(A497="","",IFERROR(AVERAGEIFS(DATOS!$K$2:$K$20000,DATOS!$A$2:$A$20000,A497,DATOS!$G$2:$G$20000,CONFIG_METADATA!$B$4,DATOS!$I$2:$I$20000,"Lenguaje Musical"),""))</f>
        <v/>
      </c>
      <c r="C497" t="str">
        <f>IF(A497="","",IFERROR(AVERAGEIFS(DATOS!$K$2:$K$20000,DATOS!$A$2:$A$20000,A497,DATOS!$G$2:$G$20000,CONFIG_METADATA!$B$4,DATOS!$I$2:$I$20000,"Coro"),""))</f>
        <v/>
      </c>
      <c r="D497" t="str">
        <f>IF(A497="","",IFERROR(AVERAGEIFS(DATOS!$K$2:$K$20000,DATOS!$A$2:$A$20000,A497,DATOS!$G$2:$G$20000,CONFIG_METADATA!$B$4,DATOS!$I$2:$I$20000,"Conjunto"),""))</f>
        <v/>
      </c>
      <c r="E497" t="str">
        <f>IF(A497="","",IFERROR(AVERAGEIFS(DATOS!$K$2:$K$20000,DATOS!$A$2:$A$20000,A497,DATOS!$G$2:$G$20000,CONFIG_METADATA!$B$4,DATOS!$I$2:$I$20000,"&lt;&gt;Lenguaje Musical",DATOS!$I$2:$I$20000,"&lt;&gt;Coro",DATOS!$I$2:$I$20000,"&lt;&gt;Conjunto"),""))</f>
        <v/>
      </c>
      <c r="H497" t="str">
        <f>IF(G497="","",IFERROR(AVERAGEIFS(DATOS!$K$2:$K$20000,DATOS!$A$2:$A$20000,G497,DATOS!$G$2:$G$20000,CONFIG_METADATA!$B$4,DATOS!$I$2:$I$20000,"Lenguaje Musical"),""))</f>
        <v/>
      </c>
      <c r="I497" t="str">
        <f>IF(G497="","",IFERROR(AVERAGEIFS(DATOS!$K$2:$K$20000,DATOS!$A$2:$A$20000,G497,DATOS!$G$2:$G$20000,CONFIG_METADATA!$B$4,DATOS!$I$2:$I$20000,"Coro"),""))</f>
        <v/>
      </c>
      <c r="J497" t="str">
        <f>IF(G497="","",IFERROR(AVERAGEIFS(DATOS!$K$2:$K$20000,DATOS!$A$2:$A$20000,G497,DATOS!$G$2:$G$20000,CONFIG_METADATA!$B$4,DATOS!$I$2:$I$20000,"Conjunto"),""))</f>
        <v/>
      </c>
      <c r="K497" t="str" cm="1">
        <f t="array" ref="K497">IF(G497="","",IFERROR(AVERAGE(IF((DATOS!$A$2:$A$20000=G497)*(DATOS!$G$2:$G$20000=CONFIG_METADATA!$B$4)*(DATOS!$I$2:$I$20000&lt;&gt;"Lenguaje Musical")*(DATOS!$I$2:$I$20000&lt;&gt;"Coro")*(DATOS!$I$2:$I$20000&lt;&gt;"Conjunto"),DATOS!$K$2:$K$20000)),""))</f>
        <v/>
      </c>
      <c r="N497" t="str">
        <f>IF(M497="","",IFERROR(AVERAGEIFS(DATOS!$K$2:$K$20000,DATOS!$A$2:$A$20000,M497,DATOS!$G$2:$G$20000,CONFIG_METADATA!$B$4,DATOS!$I$2:$I$20000,"Lenguaje Musical"),""))</f>
        <v/>
      </c>
      <c r="O497" t="str">
        <f>IF(M497="","",IFERROR(AVERAGEIFS(DATOS!$K$2:$K$20000,DATOS!$A$2:$A$20000,M497,DATOS!$G$2:$G$20000,CONFIG_METADATA!$B$4,DATOS!$I$2:$I$20000,"Coro"),""))</f>
        <v/>
      </c>
      <c r="P497" t="str">
        <f>IF(M497="","",IFERROR(AVERAGEIFS(DATOS!$K$2:$K$20000,DATOS!$A$2:$A$20000,M497,DATOS!$G$2:$G$20000,CONFIG_METADATA!$B$4,DATOS!$I$2:$I$20000,"Conjunto"),""))</f>
        <v/>
      </c>
      <c r="Q497" t="str">
        <f>IF(M497="","",IFERROR(AVERAGEIFS(DATOS!$K$2:$K$20000,DATOS!$A$2:$A$20000,M497,DATOS!$G$2:$G$20000,CONFIG_METADATA!$B$4,DATOS!$I$2:$I$20000,"&lt;&gt;Lenguaje Musical",DATOS!$I$2:$I$20000,"&lt;&gt;Coro",DATOS!$I$2:$I$20000,"&lt;&gt;Conjunto"),""))</f>
        <v/>
      </c>
      <c r="T497" t="str">
        <f>IF(S497="","",IFERROR(AVERAGEIFS(DATOS!$K$2:$K$20000,DATOS!$A$2:$A$20000,S497,DATOS!$G$2:$G$20000,CONFIG_METADATA!$B$4,DATOS!$I$2:$I$20000,"Lenguaje Musical"),""))</f>
        <v/>
      </c>
      <c r="U497" t="str">
        <f>IF(S497="","",IFERROR(AVERAGEIFS(DATOS!$K$2:$K$20000,DATOS!$A$2:$A$20000,S497,DATOS!$G$2:$G$20000,CONFIG_METADATA!$B$4,DATOS!$I$2:$I$20000,"Coro"),""))</f>
        <v/>
      </c>
      <c r="V497" t="str">
        <f>IF(S497="","",IFERROR(AVERAGEIFS(DATOS!$K$2:$K$20000,DATOS!$A$2:$A$20000,S497,DATOS!$G$2:$G$20000,CONFIG_METADATA!$B$4,DATOS!$I$2:$I$20000,"Conjunto"),""))</f>
        <v/>
      </c>
      <c r="W497" t="str" cm="1">
        <f t="array" ref="W497">IF(S497="","",IFERROR(AVERAGE(IF((DATOS!$A$2:$A$20000=S497)*(DATOS!$G$2:$G$20000=CONFIG_METADATA!$B$4)*(DATOS!$I$2:$I$20000&lt;&gt;"Lenguaje Musical")*(DATOS!$I$2:$I$20000&lt;&gt;"Coro")*(DATOS!$I$2:$I$20000&lt;&gt;"Conjunto"),DATOS!$K$2:$K$20000)),""))</f>
        <v/>
      </c>
    </row>
    <row r="498" spans="2:23" x14ac:dyDescent="0.2">
      <c r="B498" t="str">
        <f>IF(A498="","",IFERROR(AVERAGEIFS(DATOS!$K$2:$K$20000,DATOS!$A$2:$A$20000,A498,DATOS!$G$2:$G$20000,CONFIG_METADATA!$B$4,DATOS!$I$2:$I$20000,"Lenguaje Musical"),""))</f>
        <v/>
      </c>
      <c r="C498" t="str">
        <f>IF(A498="","",IFERROR(AVERAGEIFS(DATOS!$K$2:$K$20000,DATOS!$A$2:$A$20000,A498,DATOS!$G$2:$G$20000,CONFIG_METADATA!$B$4,DATOS!$I$2:$I$20000,"Coro"),""))</f>
        <v/>
      </c>
      <c r="D498" t="str">
        <f>IF(A498="","",IFERROR(AVERAGEIFS(DATOS!$K$2:$K$20000,DATOS!$A$2:$A$20000,A498,DATOS!$G$2:$G$20000,CONFIG_METADATA!$B$4,DATOS!$I$2:$I$20000,"Conjunto"),""))</f>
        <v/>
      </c>
      <c r="E498" t="str">
        <f>IF(A498="","",IFERROR(AVERAGEIFS(DATOS!$K$2:$K$20000,DATOS!$A$2:$A$20000,A498,DATOS!$G$2:$G$20000,CONFIG_METADATA!$B$4,DATOS!$I$2:$I$20000,"&lt;&gt;Lenguaje Musical",DATOS!$I$2:$I$20000,"&lt;&gt;Coro",DATOS!$I$2:$I$20000,"&lt;&gt;Conjunto"),""))</f>
        <v/>
      </c>
      <c r="H498" t="str">
        <f>IF(G498="","",IFERROR(AVERAGEIFS(DATOS!$K$2:$K$20000,DATOS!$A$2:$A$20000,G498,DATOS!$G$2:$G$20000,CONFIG_METADATA!$B$4,DATOS!$I$2:$I$20000,"Lenguaje Musical"),""))</f>
        <v/>
      </c>
      <c r="I498" t="str">
        <f>IF(G498="","",IFERROR(AVERAGEIFS(DATOS!$K$2:$K$20000,DATOS!$A$2:$A$20000,G498,DATOS!$G$2:$G$20000,CONFIG_METADATA!$B$4,DATOS!$I$2:$I$20000,"Coro"),""))</f>
        <v/>
      </c>
      <c r="J498" t="str">
        <f>IF(G498="","",IFERROR(AVERAGEIFS(DATOS!$K$2:$K$20000,DATOS!$A$2:$A$20000,G498,DATOS!$G$2:$G$20000,CONFIG_METADATA!$B$4,DATOS!$I$2:$I$20000,"Conjunto"),""))</f>
        <v/>
      </c>
      <c r="K498" t="str" cm="1">
        <f t="array" ref="K498">IF(G498="","",IFERROR(AVERAGE(IF((DATOS!$A$2:$A$20000=G498)*(DATOS!$G$2:$G$20000=CONFIG_METADATA!$B$4)*(DATOS!$I$2:$I$20000&lt;&gt;"Lenguaje Musical")*(DATOS!$I$2:$I$20000&lt;&gt;"Coro")*(DATOS!$I$2:$I$20000&lt;&gt;"Conjunto"),DATOS!$K$2:$K$20000)),""))</f>
        <v/>
      </c>
      <c r="N498" t="str">
        <f>IF(M498="","",IFERROR(AVERAGEIFS(DATOS!$K$2:$K$20000,DATOS!$A$2:$A$20000,M498,DATOS!$G$2:$G$20000,CONFIG_METADATA!$B$4,DATOS!$I$2:$I$20000,"Lenguaje Musical"),""))</f>
        <v/>
      </c>
      <c r="O498" t="str">
        <f>IF(M498="","",IFERROR(AVERAGEIFS(DATOS!$K$2:$K$20000,DATOS!$A$2:$A$20000,M498,DATOS!$G$2:$G$20000,CONFIG_METADATA!$B$4,DATOS!$I$2:$I$20000,"Coro"),""))</f>
        <v/>
      </c>
      <c r="P498" t="str">
        <f>IF(M498="","",IFERROR(AVERAGEIFS(DATOS!$K$2:$K$20000,DATOS!$A$2:$A$20000,M498,DATOS!$G$2:$G$20000,CONFIG_METADATA!$B$4,DATOS!$I$2:$I$20000,"Conjunto"),""))</f>
        <v/>
      </c>
      <c r="Q498" t="str">
        <f>IF(M498="","",IFERROR(AVERAGEIFS(DATOS!$K$2:$K$20000,DATOS!$A$2:$A$20000,M498,DATOS!$G$2:$G$20000,CONFIG_METADATA!$B$4,DATOS!$I$2:$I$20000,"&lt;&gt;Lenguaje Musical",DATOS!$I$2:$I$20000,"&lt;&gt;Coro",DATOS!$I$2:$I$20000,"&lt;&gt;Conjunto"),""))</f>
        <v/>
      </c>
      <c r="T498" t="str">
        <f>IF(S498="","",IFERROR(AVERAGEIFS(DATOS!$K$2:$K$20000,DATOS!$A$2:$A$20000,S498,DATOS!$G$2:$G$20000,CONFIG_METADATA!$B$4,DATOS!$I$2:$I$20000,"Lenguaje Musical"),""))</f>
        <v/>
      </c>
      <c r="U498" t="str">
        <f>IF(S498="","",IFERROR(AVERAGEIFS(DATOS!$K$2:$K$20000,DATOS!$A$2:$A$20000,S498,DATOS!$G$2:$G$20000,CONFIG_METADATA!$B$4,DATOS!$I$2:$I$20000,"Coro"),""))</f>
        <v/>
      </c>
      <c r="V498" t="str">
        <f>IF(S498="","",IFERROR(AVERAGEIFS(DATOS!$K$2:$K$20000,DATOS!$A$2:$A$20000,S498,DATOS!$G$2:$G$20000,CONFIG_METADATA!$B$4,DATOS!$I$2:$I$20000,"Conjunto"),""))</f>
        <v/>
      </c>
      <c r="W498" t="str" cm="1">
        <f t="array" ref="W498">IF(S498="","",IFERROR(AVERAGE(IF((DATOS!$A$2:$A$20000=S498)*(DATOS!$G$2:$G$20000=CONFIG_METADATA!$B$4)*(DATOS!$I$2:$I$20000&lt;&gt;"Lenguaje Musical")*(DATOS!$I$2:$I$20000&lt;&gt;"Coro")*(DATOS!$I$2:$I$20000&lt;&gt;"Conjunto"),DATOS!$K$2:$K$20000)),""))</f>
        <v/>
      </c>
    </row>
    <row r="499" spans="2:23" x14ac:dyDescent="0.2">
      <c r="B499" t="str">
        <f>IF(A499="","",IFERROR(AVERAGEIFS(DATOS!$K$2:$K$20000,DATOS!$A$2:$A$20000,A499,DATOS!$G$2:$G$20000,CONFIG_METADATA!$B$4,DATOS!$I$2:$I$20000,"Lenguaje Musical"),""))</f>
        <v/>
      </c>
      <c r="C499" t="str">
        <f>IF(A499="","",IFERROR(AVERAGEIFS(DATOS!$K$2:$K$20000,DATOS!$A$2:$A$20000,A499,DATOS!$G$2:$G$20000,CONFIG_METADATA!$B$4,DATOS!$I$2:$I$20000,"Coro"),""))</f>
        <v/>
      </c>
      <c r="D499" t="str">
        <f>IF(A499="","",IFERROR(AVERAGEIFS(DATOS!$K$2:$K$20000,DATOS!$A$2:$A$20000,A499,DATOS!$G$2:$G$20000,CONFIG_METADATA!$B$4,DATOS!$I$2:$I$20000,"Conjunto"),""))</f>
        <v/>
      </c>
      <c r="E499" t="str">
        <f>IF(A499="","",IFERROR(AVERAGEIFS(DATOS!$K$2:$K$20000,DATOS!$A$2:$A$20000,A499,DATOS!$G$2:$G$20000,CONFIG_METADATA!$B$4,DATOS!$I$2:$I$20000,"&lt;&gt;Lenguaje Musical",DATOS!$I$2:$I$20000,"&lt;&gt;Coro",DATOS!$I$2:$I$20000,"&lt;&gt;Conjunto"),""))</f>
        <v/>
      </c>
      <c r="H499" t="str">
        <f>IF(G499="","",IFERROR(AVERAGEIFS(DATOS!$K$2:$K$20000,DATOS!$A$2:$A$20000,G499,DATOS!$G$2:$G$20000,CONFIG_METADATA!$B$4,DATOS!$I$2:$I$20000,"Lenguaje Musical"),""))</f>
        <v/>
      </c>
      <c r="I499" t="str">
        <f>IF(G499="","",IFERROR(AVERAGEIFS(DATOS!$K$2:$K$20000,DATOS!$A$2:$A$20000,G499,DATOS!$G$2:$G$20000,CONFIG_METADATA!$B$4,DATOS!$I$2:$I$20000,"Coro"),""))</f>
        <v/>
      </c>
      <c r="J499" t="str">
        <f>IF(G499="","",IFERROR(AVERAGEIFS(DATOS!$K$2:$K$20000,DATOS!$A$2:$A$20000,G499,DATOS!$G$2:$G$20000,CONFIG_METADATA!$B$4,DATOS!$I$2:$I$20000,"Conjunto"),""))</f>
        <v/>
      </c>
      <c r="K499" t="str" cm="1">
        <f t="array" ref="K499">IF(G499="","",IFERROR(AVERAGE(IF((DATOS!$A$2:$A$20000=G499)*(DATOS!$G$2:$G$20000=CONFIG_METADATA!$B$4)*(DATOS!$I$2:$I$20000&lt;&gt;"Lenguaje Musical")*(DATOS!$I$2:$I$20000&lt;&gt;"Coro")*(DATOS!$I$2:$I$20000&lt;&gt;"Conjunto"),DATOS!$K$2:$K$20000)),""))</f>
        <v/>
      </c>
      <c r="N499" t="str">
        <f>IF(M499="","",IFERROR(AVERAGEIFS(DATOS!$K$2:$K$20000,DATOS!$A$2:$A$20000,M499,DATOS!$G$2:$G$20000,CONFIG_METADATA!$B$4,DATOS!$I$2:$I$20000,"Lenguaje Musical"),""))</f>
        <v/>
      </c>
      <c r="O499" t="str">
        <f>IF(M499="","",IFERROR(AVERAGEIFS(DATOS!$K$2:$K$20000,DATOS!$A$2:$A$20000,M499,DATOS!$G$2:$G$20000,CONFIG_METADATA!$B$4,DATOS!$I$2:$I$20000,"Coro"),""))</f>
        <v/>
      </c>
      <c r="P499" t="str">
        <f>IF(M499="","",IFERROR(AVERAGEIFS(DATOS!$K$2:$K$20000,DATOS!$A$2:$A$20000,M499,DATOS!$G$2:$G$20000,CONFIG_METADATA!$B$4,DATOS!$I$2:$I$20000,"Conjunto"),""))</f>
        <v/>
      </c>
      <c r="Q499" t="str">
        <f>IF(M499="","",IFERROR(AVERAGEIFS(DATOS!$K$2:$K$20000,DATOS!$A$2:$A$20000,M499,DATOS!$G$2:$G$20000,CONFIG_METADATA!$B$4,DATOS!$I$2:$I$20000,"&lt;&gt;Lenguaje Musical",DATOS!$I$2:$I$20000,"&lt;&gt;Coro",DATOS!$I$2:$I$20000,"&lt;&gt;Conjunto"),""))</f>
        <v/>
      </c>
      <c r="T499" t="str">
        <f>IF(S499="","",IFERROR(AVERAGEIFS(DATOS!$K$2:$K$20000,DATOS!$A$2:$A$20000,S499,DATOS!$G$2:$G$20000,CONFIG_METADATA!$B$4,DATOS!$I$2:$I$20000,"Lenguaje Musical"),""))</f>
        <v/>
      </c>
      <c r="U499" t="str">
        <f>IF(S499="","",IFERROR(AVERAGEIFS(DATOS!$K$2:$K$20000,DATOS!$A$2:$A$20000,S499,DATOS!$G$2:$G$20000,CONFIG_METADATA!$B$4,DATOS!$I$2:$I$20000,"Coro"),""))</f>
        <v/>
      </c>
      <c r="V499" t="str">
        <f>IF(S499="","",IFERROR(AVERAGEIFS(DATOS!$K$2:$K$20000,DATOS!$A$2:$A$20000,S499,DATOS!$G$2:$G$20000,CONFIG_METADATA!$B$4,DATOS!$I$2:$I$20000,"Conjunto"),""))</f>
        <v/>
      </c>
      <c r="W499" t="str" cm="1">
        <f t="array" ref="W499">IF(S499="","",IFERROR(AVERAGE(IF((DATOS!$A$2:$A$20000=S499)*(DATOS!$G$2:$G$20000=CONFIG_METADATA!$B$4)*(DATOS!$I$2:$I$20000&lt;&gt;"Lenguaje Musical")*(DATOS!$I$2:$I$20000&lt;&gt;"Coro")*(DATOS!$I$2:$I$20000&lt;&gt;"Conjunto"),DATOS!$K$2:$K$20000)),""))</f>
        <v/>
      </c>
    </row>
    <row r="500" spans="2:23" x14ac:dyDescent="0.2">
      <c r="B500" t="str">
        <f>IF(A500="","",IFERROR(AVERAGEIFS(DATOS!$K$2:$K$20000,DATOS!$A$2:$A$20000,A500,DATOS!$G$2:$G$20000,CONFIG_METADATA!$B$4,DATOS!$I$2:$I$20000,"Lenguaje Musical"),""))</f>
        <v/>
      </c>
      <c r="C500" t="str">
        <f>IF(A500="","",IFERROR(AVERAGEIFS(DATOS!$K$2:$K$20000,DATOS!$A$2:$A$20000,A500,DATOS!$G$2:$G$20000,CONFIG_METADATA!$B$4,DATOS!$I$2:$I$20000,"Coro"),""))</f>
        <v/>
      </c>
      <c r="D500" t="str">
        <f>IF(A500="","",IFERROR(AVERAGEIFS(DATOS!$K$2:$K$20000,DATOS!$A$2:$A$20000,A500,DATOS!$G$2:$G$20000,CONFIG_METADATA!$B$4,DATOS!$I$2:$I$20000,"Conjunto"),""))</f>
        <v/>
      </c>
      <c r="E500" t="str">
        <f>IF(A500="","",IFERROR(AVERAGEIFS(DATOS!$K$2:$K$20000,DATOS!$A$2:$A$20000,A500,DATOS!$G$2:$G$20000,CONFIG_METADATA!$B$4,DATOS!$I$2:$I$20000,"&lt;&gt;Lenguaje Musical",DATOS!$I$2:$I$20000,"&lt;&gt;Coro",DATOS!$I$2:$I$20000,"&lt;&gt;Conjunto"),""))</f>
        <v/>
      </c>
      <c r="H500" t="str">
        <f>IF(G500="","",IFERROR(AVERAGEIFS(DATOS!$K$2:$K$20000,DATOS!$A$2:$A$20000,G500,DATOS!$G$2:$G$20000,CONFIG_METADATA!$B$4,DATOS!$I$2:$I$20000,"Lenguaje Musical"),""))</f>
        <v/>
      </c>
      <c r="I500" t="str">
        <f>IF(G500="","",IFERROR(AVERAGEIFS(DATOS!$K$2:$K$20000,DATOS!$A$2:$A$20000,G500,DATOS!$G$2:$G$20000,CONFIG_METADATA!$B$4,DATOS!$I$2:$I$20000,"Coro"),""))</f>
        <v/>
      </c>
      <c r="J500" t="str">
        <f>IF(G500="","",IFERROR(AVERAGEIFS(DATOS!$K$2:$K$20000,DATOS!$A$2:$A$20000,G500,DATOS!$G$2:$G$20000,CONFIG_METADATA!$B$4,DATOS!$I$2:$I$20000,"Conjunto"),""))</f>
        <v/>
      </c>
      <c r="K500" t="str" cm="1">
        <f t="array" ref="K500">IF(G500="","",IFERROR(AVERAGE(IF((DATOS!$A$2:$A$20000=G500)*(DATOS!$G$2:$G$20000=CONFIG_METADATA!$B$4)*(DATOS!$I$2:$I$20000&lt;&gt;"Lenguaje Musical")*(DATOS!$I$2:$I$20000&lt;&gt;"Coro")*(DATOS!$I$2:$I$20000&lt;&gt;"Conjunto"),DATOS!$K$2:$K$20000)),""))</f>
        <v/>
      </c>
      <c r="N500" t="str">
        <f>IF(M500="","",IFERROR(AVERAGEIFS(DATOS!$K$2:$K$20000,DATOS!$A$2:$A$20000,M500,DATOS!$G$2:$G$20000,CONFIG_METADATA!$B$4,DATOS!$I$2:$I$20000,"Lenguaje Musical"),""))</f>
        <v/>
      </c>
      <c r="O500" t="str">
        <f>IF(M500="","",IFERROR(AVERAGEIFS(DATOS!$K$2:$K$20000,DATOS!$A$2:$A$20000,M500,DATOS!$G$2:$G$20000,CONFIG_METADATA!$B$4,DATOS!$I$2:$I$20000,"Coro"),""))</f>
        <v/>
      </c>
      <c r="P500" t="str">
        <f>IF(M500="","",IFERROR(AVERAGEIFS(DATOS!$K$2:$K$20000,DATOS!$A$2:$A$20000,M500,DATOS!$G$2:$G$20000,CONFIG_METADATA!$B$4,DATOS!$I$2:$I$20000,"Conjunto"),""))</f>
        <v/>
      </c>
      <c r="Q500" t="str">
        <f>IF(M500="","",IFERROR(AVERAGEIFS(DATOS!$K$2:$K$20000,DATOS!$A$2:$A$20000,M500,DATOS!$G$2:$G$20000,CONFIG_METADATA!$B$4,DATOS!$I$2:$I$20000,"&lt;&gt;Lenguaje Musical",DATOS!$I$2:$I$20000,"&lt;&gt;Coro",DATOS!$I$2:$I$20000,"&lt;&gt;Conjunto"),""))</f>
        <v/>
      </c>
      <c r="T500" t="str">
        <f>IF(S500="","",IFERROR(AVERAGEIFS(DATOS!$K$2:$K$20000,DATOS!$A$2:$A$20000,S500,DATOS!$G$2:$G$20000,CONFIG_METADATA!$B$4,DATOS!$I$2:$I$20000,"Lenguaje Musical"),""))</f>
        <v/>
      </c>
      <c r="U500" t="str">
        <f>IF(S500="","",IFERROR(AVERAGEIFS(DATOS!$K$2:$K$20000,DATOS!$A$2:$A$20000,S500,DATOS!$G$2:$G$20000,CONFIG_METADATA!$B$4,DATOS!$I$2:$I$20000,"Coro"),""))</f>
        <v/>
      </c>
      <c r="V500" t="str">
        <f>IF(S500="","",IFERROR(AVERAGEIFS(DATOS!$K$2:$K$20000,DATOS!$A$2:$A$20000,S500,DATOS!$G$2:$G$20000,CONFIG_METADATA!$B$4,DATOS!$I$2:$I$20000,"Conjunto"),""))</f>
        <v/>
      </c>
      <c r="W500" t="str" cm="1">
        <f t="array" ref="W500">IF(S500="","",IFERROR(AVERAGE(IF((DATOS!$A$2:$A$20000=S500)*(DATOS!$G$2:$G$20000=CONFIG_METADATA!$B$4)*(DATOS!$I$2:$I$20000&lt;&gt;"Lenguaje Musical")*(DATOS!$I$2:$I$20000&lt;&gt;"Coro")*(DATOS!$I$2:$I$20000&lt;&gt;"Conjunto"),DATOS!$K$2:$K$20000)),""))</f>
        <v/>
      </c>
    </row>
    <row r="501" spans="2:23" x14ac:dyDescent="0.2">
      <c r="B501" t="str">
        <f>IF(A501="","",IFERROR(AVERAGEIFS(DATOS!$K$2:$K$20000,DATOS!$A$2:$A$20000,A501,DATOS!$G$2:$G$20000,CONFIG_METADATA!$B$4,DATOS!$I$2:$I$20000,"Lenguaje Musical"),""))</f>
        <v/>
      </c>
      <c r="C501" t="str">
        <f>IF(A501="","",IFERROR(AVERAGEIFS(DATOS!$K$2:$K$20000,DATOS!$A$2:$A$20000,A501,DATOS!$G$2:$G$20000,CONFIG_METADATA!$B$4,DATOS!$I$2:$I$20000,"Coro"),""))</f>
        <v/>
      </c>
      <c r="D501" t="str">
        <f>IF(A501="","",IFERROR(AVERAGEIFS(DATOS!$K$2:$K$20000,DATOS!$A$2:$A$20000,A501,DATOS!$G$2:$G$20000,CONFIG_METADATA!$B$4,DATOS!$I$2:$I$20000,"Conjunto"),""))</f>
        <v/>
      </c>
      <c r="E501" t="str">
        <f>IF(A501="","",IFERROR(AVERAGEIFS(DATOS!$K$2:$K$20000,DATOS!$A$2:$A$20000,A501,DATOS!$G$2:$G$20000,CONFIG_METADATA!$B$4,DATOS!$I$2:$I$20000,"&lt;&gt;Lenguaje Musical",DATOS!$I$2:$I$20000,"&lt;&gt;Coro",DATOS!$I$2:$I$20000,"&lt;&gt;Conjunto"),""))</f>
        <v/>
      </c>
      <c r="H501" t="str">
        <f>IF(G501="","",IFERROR(AVERAGEIFS(DATOS!$K$2:$K$20000,DATOS!$A$2:$A$20000,G501,DATOS!$G$2:$G$20000,CONFIG_METADATA!$B$4,DATOS!$I$2:$I$20000,"Lenguaje Musical"),""))</f>
        <v/>
      </c>
      <c r="I501" t="str">
        <f>IF(G501="","",IFERROR(AVERAGEIFS(DATOS!$K$2:$K$20000,DATOS!$A$2:$A$20000,G501,DATOS!$G$2:$G$20000,CONFIG_METADATA!$B$4,DATOS!$I$2:$I$20000,"Coro"),""))</f>
        <v/>
      </c>
      <c r="J501" t="str">
        <f>IF(G501="","",IFERROR(AVERAGEIFS(DATOS!$K$2:$K$20000,DATOS!$A$2:$A$20000,G501,DATOS!$G$2:$G$20000,CONFIG_METADATA!$B$4,DATOS!$I$2:$I$20000,"Conjunto"),""))</f>
        <v/>
      </c>
      <c r="K501" t="str" cm="1">
        <f t="array" ref="K501">IF(G501="","",IFERROR(AVERAGE(IF((DATOS!$A$2:$A$20000=G501)*(DATOS!$G$2:$G$20000=CONFIG_METADATA!$B$4)*(DATOS!$I$2:$I$20000&lt;&gt;"Lenguaje Musical")*(DATOS!$I$2:$I$20000&lt;&gt;"Coro")*(DATOS!$I$2:$I$20000&lt;&gt;"Conjunto"),DATOS!$K$2:$K$20000)),""))</f>
        <v/>
      </c>
      <c r="N501" t="str">
        <f>IF(M501="","",IFERROR(AVERAGEIFS(DATOS!$K$2:$K$20000,DATOS!$A$2:$A$20000,M501,DATOS!$G$2:$G$20000,CONFIG_METADATA!$B$4,DATOS!$I$2:$I$20000,"Lenguaje Musical"),""))</f>
        <v/>
      </c>
      <c r="O501" t="str">
        <f>IF(M501="","",IFERROR(AVERAGEIFS(DATOS!$K$2:$K$20000,DATOS!$A$2:$A$20000,M501,DATOS!$G$2:$G$20000,CONFIG_METADATA!$B$4,DATOS!$I$2:$I$20000,"Coro"),""))</f>
        <v/>
      </c>
      <c r="P501" t="str">
        <f>IF(M501="","",IFERROR(AVERAGEIFS(DATOS!$K$2:$K$20000,DATOS!$A$2:$A$20000,M501,DATOS!$G$2:$G$20000,CONFIG_METADATA!$B$4,DATOS!$I$2:$I$20000,"Conjunto"),""))</f>
        <v/>
      </c>
      <c r="Q501" t="str">
        <f>IF(M501="","",IFERROR(AVERAGEIFS(DATOS!$K$2:$K$20000,DATOS!$A$2:$A$20000,M501,DATOS!$G$2:$G$20000,CONFIG_METADATA!$B$4,DATOS!$I$2:$I$20000,"&lt;&gt;Lenguaje Musical",DATOS!$I$2:$I$20000,"&lt;&gt;Coro",DATOS!$I$2:$I$20000,"&lt;&gt;Conjunto"),""))</f>
        <v/>
      </c>
      <c r="T501" t="str">
        <f>IF(S501="","",IFERROR(AVERAGEIFS(DATOS!$K$2:$K$20000,DATOS!$A$2:$A$20000,S501,DATOS!$G$2:$G$20000,CONFIG_METADATA!$B$4,DATOS!$I$2:$I$20000,"Lenguaje Musical"),""))</f>
        <v/>
      </c>
      <c r="U501" t="str">
        <f>IF(S501="","",IFERROR(AVERAGEIFS(DATOS!$K$2:$K$20000,DATOS!$A$2:$A$20000,S501,DATOS!$G$2:$G$20000,CONFIG_METADATA!$B$4,DATOS!$I$2:$I$20000,"Coro"),""))</f>
        <v/>
      </c>
      <c r="V501" t="str">
        <f>IF(S501="","",IFERROR(AVERAGEIFS(DATOS!$K$2:$K$20000,DATOS!$A$2:$A$20000,S501,DATOS!$G$2:$G$20000,CONFIG_METADATA!$B$4,DATOS!$I$2:$I$20000,"Conjunto"),""))</f>
        <v/>
      </c>
      <c r="W501" t="str" cm="1">
        <f t="array" ref="W501">IF(S501="","",IFERROR(AVERAGE(IF((DATOS!$A$2:$A$20000=S501)*(DATOS!$G$2:$G$20000=CONFIG_METADATA!$B$4)*(DATOS!$I$2:$I$20000&lt;&gt;"Lenguaje Musical")*(DATOS!$I$2:$I$20000&lt;&gt;"Coro")*(DATOS!$I$2:$I$20000&lt;&gt;"Conjunto"),DATOS!$K$2:$K$20000)),""))</f>
        <v/>
      </c>
    </row>
    <row r="502" spans="2:23" x14ac:dyDescent="0.2">
      <c r="B502" t="str">
        <f>IF(A502="","",IFERROR(AVERAGEIFS(DATOS!$K$2:$K$20000,DATOS!$A$2:$A$20000,A502,DATOS!$G$2:$G$20000,CONFIG_METADATA!$B$4,DATOS!$I$2:$I$20000,"Lenguaje Musical"),""))</f>
        <v/>
      </c>
      <c r="C502" t="str">
        <f>IF(A502="","",IFERROR(AVERAGEIFS(DATOS!$K$2:$K$20000,DATOS!$A$2:$A$20000,A502,DATOS!$G$2:$G$20000,CONFIG_METADATA!$B$4,DATOS!$I$2:$I$20000,"Coro"),""))</f>
        <v/>
      </c>
      <c r="D502" t="str">
        <f>IF(A502="","",IFERROR(AVERAGEIFS(DATOS!$K$2:$K$20000,DATOS!$A$2:$A$20000,A502,DATOS!$G$2:$G$20000,CONFIG_METADATA!$B$4,DATOS!$I$2:$I$20000,"Conjunto"),""))</f>
        <v/>
      </c>
      <c r="E502" t="str">
        <f>IF(A502="","",IFERROR(AVERAGEIFS(DATOS!$K$2:$K$20000,DATOS!$A$2:$A$20000,A502,DATOS!$G$2:$G$20000,CONFIG_METADATA!$B$4,DATOS!$I$2:$I$20000,"&lt;&gt;Lenguaje Musical",DATOS!$I$2:$I$20000,"&lt;&gt;Coro",DATOS!$I$2:$I$20000,"&lt;&gt;Conjunto"),""))</f>
        <v/>
      </c>
      <c r="H502" t="str">
        <f>IF(G502="","",IFERROR(AVERAGEIFS(DATOS!$K$2:$K$20000,DATOS!$A$2:$A$20000,G502,DATOS!$G$2:$G$20000,CONFIG_METADATA!$B$4,DATOS!$I$2:$I$20000,"Lenguaje Musical"),""))</f>
        <v/>
      </c>
      <c r="I502" t="str">
        <f>IF(G502="","",IFERROR(AVERAGEIFS(DATOS!$K$2:$K$20000,DATOS!$A$2:$A$20000,G502,DATOS!$G$2:$G$20000,CONFIG_METADATA!$B$4,DATOS!$I$2:$I$20000,"Coro"),""))</f>
        <v/>
      </c>
      <c r="J502" t="str">
        <f>IF(G502="","",IFERROR(AVERAGEIFS(DATOS!$K$2:$K$20000,DATOS!$A$2:$A$20000,G502,DATOS!$G$2:$G$20000,CONFIG_METADATA!$B$4,DATOS!$I$2:$I$20000,"Conjunto"),""))</f>
        <v/>
      </c>
      <c r="K502" t="str" cm="1">
        <f t="array" ref="K502">IF(G502="","",IFERROR(AVERAGE(IF((DATOS!$A$2:$A$20000=G502)*(DATOS!$G$2:$G$20000=CONFIG_METADATA!$B$4)*(DATOS!$I$2:$I$20000&lt;&gt;"Lenguaje Musical")*(DATOS!$I$2:$I$20000&lt;&gt;"Coro")*(DATOS!$I$2:$I$20000&lt;&gt;"Conjunto"),DATOS!$K$2:$K$20000)),""))</f>
        <v/>
      </c>
      <c r="N502" t="str">
        <f>IF(M502="","",IFERROR(AVERAGEIFS(DATOS!$K$2:$K$20000,DATOS!$A$2:$A$20000,M502,DATOS!$G$2:$G$20000,CONFIG_METADATA!$B$4,DATOS!$I$2:$I$20000,"Lenguaje Musical"),""))</f>
        <v/>
      </c>
      <c r="O502" t="str">
        <f>IF(M502="","",IFERROR(AVERAGEIFS(DATOS!$K$2:$K$20000,DATOS!$A$2:$A$20000,M502,DATOS!$G$2:$G$20000,CONFIG_METADATA!$B$4,DATOS!$I$2:$I$20000,"Coro"),""))</f>
        <v/>
      </c>
      <c r="P502" t="str">
        <f>IF(M502="","",IFERROR(AVERAGEIFS(DATOS!$K$2:$K$20000,DATOS!$A$2:$A$20000,M502,DATOS!$G$2:$G$20000,CONFIG_METADATA!$B$4,DATOS!$I$2:$I$20000,"Conjunto"),""))</f>
        <v/>
      </c>
      <c r="Q502" t="str">
        <f>IF(M502="","",IFERROR(AVERAGEIFS(DATOS!$K$2:$K$20000,DATOS!$A$2:$A$20000,M502,DATOS!$G$2:$G$20000,CONFIG_METADATA!$B$4,DATOS!$I$2:$I$20000,"&lt;&gt;Lenguaje Musical",DATOS!$I$2:$I$20000,"&lt;&gt;Coro",DATOS!$I$2:$I$20000,"&lt;&gt;Conjunto"),""))</f>
        <v/>
      </c>
      <c r="T502" t="str">
        <f>IF(S502="","",IFERROR(AVERAGEIFS(DATOS!$K$2:$K$20000,DATOS!$A$2:$A$20000,S502,DATOS!$G$2:$G$20000,CONFIG_METADATA!$B$4,DATOS!$I$2:$I$20000,"Lenguaje Musical"),""))</f>
        <v/>
      </c>
      <c r="U502" t="str">
        <f>IF(S502="","",IFERROR(AVERAGEIFS(DATOS!$K$2:$K$20000,DATOS!$A$2:$A$20000,S502,DATOS!$G$2:$G$20000,CONFIG_METADATA!$B$4,DATOS!$I$2:$I$20000,"Coro"),""))</f>
        <v/>
      </c>
      <c r="V502" t="str">
        <f>IF(S502="","",IFERROR(AVERAGEIFS(DATOS!$K$2:$K$20000,DATOS!$A$2:$A$20000,S502,DATOS!$G$2:$G$20000,CONFIG_METADATA!$B$4,DATOS!$I$2:$I$20000,"Conjunto"),""))</f>
        <v/>
      </c>
      <c r="W502" t="str" cm="1">
        <f t="array" ref="W502">IF(S502="","",IFERROR(AVERAGE(IF((DATOS!$A$2:$A$20000=S502)*(DATOS!$G$2:$G$20000=CONFIG_METADATA!$B$4)*(DATOS!$I$2:$I$20000&lt;&gt;"Lenguaje Musical")*(DATOS!$I$2:$I$20000&lt;&gt;"Coro")*(DATOS!$I$2:$I$20000&lt;&gt;"Conjunto"),DATOS!$K$2:$K$20000)),""))</f>
        <v/>
      </c>
    </row>
    <row r="503" spans="2:23" x14ac:dyDescent="0.2">
      <c r="B503" t="str">
        <f>IF(A503="","",IFERROR(AVERAGEIFS(DATOS!$K$2:$K$20000,DATOS!$A$2:$A$20000,A503,DATOS!$G$2:$G$20000,CONFIG_METADATA!$B$4,DATOS!$I$2:$I$20000,"Lenguaje Musical"),""))</f>
        <v/>
      </c>
      <c r="C503" t="str">
        <f>IF(A503="","",IFERROR(AVERAGEIFS(DATOS!$K$2:$K$20000,DATOS!$A$2:$A$20000,A503,DATOS!$G$2:$G$20000,CONFIG_METADATA!$B$4,DATOS!$I$2:$I$20000,"Coro"),""))</f>
        <v/>
      </c>
      <c r="D503" t="str">
        <f>IF(A503="","",IFERROR(AVERAGEIFS(DATOS!$K$2:$K$20000,DATOS!$A$2:$A$20000,A503,DATOS!$G$2:$G$20000,CONFIG_METADATA!$B$4,DATOS!$I$2:$I$20000,"Conjunto"),""))</f>
        <v/>
      </c>
      <c r="E503" t="str">
        <f>IF(A503="","",IFERROR(AVERAGEIFS(DATOS!$K$2:$K$20000,DATOS!$A$2:$A$20000,A503,DATOS!$G$2:$G$20000,CONFIG_METADATA!$B$4,DATOS!$I$2:$I$20000,"&lt;&gt;Lenguaje Musical",DATOS!$I$2:$I$20000,"&lt;&gt;Coro",DATOS!$I$2:$I$20000,"&lt;&gt;Conjunto"),""))</f>
        <v/>
      </c>
      <c r="H503" t="str">
        <f>IF(G503="","",IFERROR(AVERAGEIFS(DATOS!$K$2:$K$20000,DATOS!$A$2:$A$20000,G503,DATOS!$G$2:$G$20000,CONFIG_METADATA!$B$4,DATOS!$I$2:$I$20000,"Lenguaje Musical"),""))</f>
        <v/>
      </c>
      <c r="I503" t="str">
        <f>IF(G503="","",IFERROR(AVERAGEIFS(DATOS!$K$2:$K$20000,DATOS!$A$2:$A$20000,G503,DATOS!$G$2:$G$20000,CONFIG_METADATA!$B$4,DATOS!$I$2:$I$20000,"Coro"),""))</f>
        <v/>
      </c>
      <c r="J503" t="str">
        <f>IF(G503="","",IFERROR(AVERAGEIFS(DATOS!$K$2:$K$20000,DATOS!$A$2:$A$20000,G503,DATOS!$G$2:$G$20000,CONFIG_METADATA!$B$4,DATOS!$I$2:$I$20000,"Conjunto"),""))</f>
        <v/>
      </c>
      <c r="K503" t="str" cm="1">
        <f t="array" ref="K503">IF(G503="","",IFERROR(AVERAGE(IF((DATOS!$A$2:$A$20000=G503)*(DATOS!$G$2:$G$20000=CONFIG_METADATA!$B$4)*(DATOS!$I$2:$I$20000&lt;&gt;"Lenguaje Musical")*(DATOS!$I$2:$I$20000&lt;&gt;"Coro")*(DATOS!$I$2:$I$20000&lt;&gt;"Conjunto"),DATOS!$K$2:$K$20000)),""))</f>
        <v/>
      </c>
      <c r="N503" t="str">
        <f>IF(M503="","",IFERROR(AVERAGEIFS(DATOS!$K$2:$K$20000,DATOS!$A$2:$A$20000,M503,DATOS!$G$2:$G$20000,CONFIG_METADATA!$B$4,DATOS!$I$2:$I$20000,"Lenguaje Musical"),""))</f>
        <v/>
      </c>
      <c r="O503" t="str">
        <f>IF(M503="","",IFERROR(AVERAGEIFS(DATOS!$K$2:$K$20000,DATOS!$A$2:$A$20000,M503,DATOS!$G$2:$G$20000,CONFIG_METADATA!$B$4,DATOS!$I$2:$I$20000,"Coro"),""))</f>
        <v/>
      </c>
      <c r="P503" t="str">
        <f>IF(M503="","",IFERROR(AVERAGEIFS(DATOS!$K$2:$K$20000,DATOS!$A$2:$A$20000,M503,DATOS!$G$2:$G$20000,CONFIG_METADATA!$B$4,DATOS!$I$2:$I$20000,"Conjunto"),""))</f>
        <v/>
      </c>
      <c r="Q503" t="str">
        <f>IF(M503="","",IFERROR(AVERAGEIFS(DATOS!$K$2:$K$20000,DATOS!$A$2:$A$20000,M503,DATOS!$G$2:$G$20000,CONFIG_METADATA!$B$4,DATOS!$I$2:$I$20000,"&lt;&gt;Lenguaje Musical",DATOS!$I$2:$I$20000,"&lt;&gt;Coro",DATOS!$I$2:$I$20000,"&lt;&gt;Conjunto"),""))</f>
        <v/>
      </c>
      <c r="T503" t="str">
        <f>IF(S503="","",IFERROR(AVERAGEIFS(DATOS!$K$2:$K$20000,DATOS!$A$2:$A$20000,S503,DATOS!$G$2:$G$20000,CONFIG_METADATA!$B$4,DATOS!$I$2:$I$20000,"Lenguaje Musical"),""))</f>
        <v/>
      </c>
      <c r="U503" t="str">
        <f>IF(S503="","",IFERROR(AVERAGEIFS(DATOS!$K$2:$K$20000,DATOS!$A$2:$A$20000,S503,DATOS!$G$2:$G$20000,CONFIG_METADATA!$B$4,DATOS!$I$2:$I$20000,"Coro"),""))</f>
        <v/>
      </c>
      <c r="V503" t="str">
        <f>IF(S503="","",IFERROR(AVERAGEIFS(DATOS!$K$2:$K$20000,DATOS!$A$2:$A$20000,S503,DATOS!$G$2:$G$20000,CONFIG_METADATA!$B$4,DATOS!$I$2:$I$20000,"Conjunto"),""))</f>
        <v/>
      </c>
      <c r="W503" t="str" cm="1">
        <f t="array" ref="W503">IF(S503="","",IFERROR(AVERAGE(IF((DATOS!$A$2:$A$20000=S503)*(DATOS!$G$2:$G$20000=CONFIG_METADATA!$B$4)*(DATOS!$I$2:$I$20000&lt;&gt;"Lenguaje Musical")*(DATOS!$I$2:$I$20000&lt;&gt;"Coro")*(DATOS!$I$2:$I$20000&lt;&gt;"Conjunto"),DATOS!$K$2:$K$20000)),""))</f>
        <v/>
      </c>
    </row>
    <row r="504" spans="2:23" x14ac:dyDescent="0.2">
      <c r="B504" t="str">
        <f>IF(A504="","",IFERROR(AVERAGEIFS(DATOS!$K$2:$K$20000,DATOS!$A$2:$A$20000,A504,DATOS!$G$2:$G$20000,CONFIG_METADATA!$B$4,DATOS!$I$2:$I$20000,"Lenguaje Musical"),""))</f>
        <v/>
      </c>
      <c r="C504" t="str">
        <f>IF(A504="","",IFERROR(AVERAGEIFS(DATOS!$K$2:$K$20000,DATOS!$A$2:$A$20000,A504,DATOS!$G$2:$G$20000,CONFIG_METADATA!$B$4,DATOS!$I$2:$I$20000,"Coro"),""))</f>
        <v/>
      </c>
      <c r="D504" t="str">
        <f>IF(A504="","",IFERROR(AVERAGEIFS(DATOS!$K$2:$K$20000,DATOS!$A$2:$A$20000,A504,DATOS!$G$2:$G$20000,CONFIG_METADATA!$B$4,DATOS!$I$2:$I$20000,"Conjunto"),""))</f>
        <v/>
      </c>
      <c r="E504" t="str">
        <f>IF(A504="","",IFERROR(AVERAGEIFS(DATOS!$K$2:$K$20000,DATOS!$A$2:$A$20000,A504,DATOS!$G$2:$G$20000,CONFIG_METADATA!$B$4,DATOS!$I$2:$I$20000,"&lt;&gt;Lenguaje Musical",DATOS!$I$2:$I$20000,"&lt;&gt;Coro",DATOS!$I$2:$I$20000,"&lt;&gt;Conjunto"),""))</f>
        <v/>
      </c>
      <c r="H504" t="str">
        <f>IF(G504="","",IFERROR(AVERAGEIFS(DATOS!$K$2:$K$20000,DATOS!$A$2:$A$20000,G504,DATOS!$G$2:$G$20000,CONFIG_METADATA!$B$4,DATOS!$I$2:$I$20000,"Lenguaje Musical"),""))</f>
        <v/>
      </c>
      <c r="I504" t="str">
        <f>IF(G504="","",IFERROR(AVERAGEIFS(DATOS!$K$2:$K$20000,DATOS!$A$2:$A$20000,G504,DATOS!$G$2:$G$20000,CONFIG_METADATA!$B$4,DATOS!$I$2:$I$20000,"Coro"),""))</f>
        <v/>
      </c>
      <c r="J504" t="str">
        <f>IF(G504="","",IFERROR(AVERAGEIFS(DATOS!$K$2:$K$20000,DATOS!$A$2:$A$20000,G504,DATOS!$G$2:$G$20000,CONFIG_METADATA!$B$4,DATOS!$I$2:$I$20000,"Conjunto"),""))</f>
        <v/>
      </c>
      <c r="K504" t="str" cm="1">
        <f t="array" ref="K504">IF(G504="","",IFERROR(AVERAGE(IF((DATOS!$A$2:$A$20000=G504)*(DATOS!$G$2:$G$20000=CONFIG_METADATA!$B$4)*(DATOS!$I$2:$I$20000&lt;&gt;"Lenguaje Musical")*(DATOS!$I$2:$I$20000&lt;&gt;"Coro")*(DATOS!$I$2:$I$20000&lt;&gt;"Conjunto"),DATOS!$K$2:$K$20000)),""))</f>
        <v/>
      </c>
      <c r="N504" t="str">
        <f>IF(M504="","",IFERROR(AVERAGEIFS(DATOS!$K$2:$K$20000,DATOS!$A$2:$A$20000,M504,DATOS!$G$2:$G$20000,CONFIG_METADATA!$B$4,DATOS!$I$2:$I$20000,"Lenguaje Musical"),""))</f>
        <v/>
      </c>
      <c r="O504" t="str">
        <f>IF(M504="","",IFERROR(AVERAGEIFS(DATOS!$K$2:$K$20000,DATOS!$A$2:$A$20000,M504,DATOS!$G$2:$G$20000,CONFIG_METADATA!$B$4,DATOS!$I$2:$I$20000,"Coro"),""))</f>
        <v/>
      </c>
      <c r="P504" t="str">
        <f>IF(M504="","",IFERROR(AVERAGEIFS(DATOS!$K$2:$K$20000,DATOS!$A$2:$A$20000,M504,DATOS!$G$2:$G$20000,CONFIG_METADATA!$B$4,DATOS!$I$2:$I$20000,"Conjunto"),""))</f>
        <v/>
      </c>
      <c r="Q504" t="str">
        <f>IF(M504="","",IFERROR(AVERAGEIFS(DATOS!$K$2:$K$20000,DATOS!$A$2:$A$20000,M504,DATOS!$G$2:$G$20000,CONFIG_METADATA!$B$4,DATOS!$I$2:$I$20000,"&lt;&gt;Lenguaje Musical",DATOS!$I$2:$I$20000,"&lt;&gt;Coro",DATOS!$I$2:$I$20000,"&lt;&gt;Conjunto"),""))</f>
        <v/>
      </c>
      <c r="T504" t="str">
        <f>IF(S504="","",IFERROR(AVERAGEIFS(DATOS!$K$2:$K$20000,DATOS!$A$2:$A$20000,S504,DATOS!$G$2:$G$20000,CONFIG_METADATA!$B$4,DATOS!$I$2:$I$20000,"Lenguaje Musical"),""))</f>
        <v/>
      </c>
      <c r="U504" t="str">
        <f>IF(S504="","",IFERROR(AVERAGEIFS(DATOS!$K$2:$K$20000,DATOS!$A$2:$A$20000,S504,DATOS!$G$2:$G$20000,CONFIG_METADATA!$B$4,DATOS!$I$2:$I$20000,"Coro"),""))</f>
        <v/>
      </c>
      <c r="V504" t="str">
        <f>IF(S504="","",IFERROR(AVERAGEIFS(DATOS!$K$2:$K$20000,DATOS!$A$2:$A$20000,S504,DATOS!$G$2:$G$20000,CONFIG_METADATA!$B$4,DATOS!$I$2:$I$20000,"Conjunto"),""))</f>
        <v/>
      </c>
      <c r="W504" t="str" cm="1">
        <f t="array" ref="W504">IF(S504="","",IFERROR(AVERAGE(IF((DATOS!$A$2:$A$20000=S504)*(DATOS!$G$2:$G$20000=CONFIG_METADATA!$B$4)*(DATOS!$I$2:$I$20000&lt;&gt;"Lenguaje Musical")*(DATOS!$I$2:$I$20000&lt;&gt;"Coro")*(DATOS!$I$2:$I$20000&lt;&gt;"Conjunto"),DATOS!$K$2:$K$20000)),""))</f>
        <v/>
      </c>
    </row>
    <row r="505" spans="2:23" x14ac:dyDescent="0.2">
      <c r="B505" t="str">
        <f>IF(A505="","",IFERROR(AVERAGEIFS(DATOS!$K$2:$K$20000,DATOS!$A$2:$A$20000,A505,DATOS!$G$2:$G$20000,CONFIG_METADATA!$B$4,DATOS!$I$2:$I$20000,"Lenguaje Musical"),""))</f>
        <v/>
      </c>
      <c r="C505" t="str">
        <f>IF(A505="","",IFERROR(AVERAGEIFS(DATOS!$K$2:$K$20000,DATOS!$A$2:$A$20000,A505,DATOS!$G$2:$G$20000,CONFIG_METADATA!$B$4,DATOS!$I$2:$I$20000,"Coro"),""))</f>
        <v/>
      </c>
      <c r="D505" t="str">
        <f>IF(A505="","",IFERROR(AVERAGEIFS(DATOS!$K$2:$K$20000,DATOS!$A$2:$A$20000,A505,DATOS!$G$2:$G$20000,CONFIG_METADATA!$B$4,DATOS!$I$2:$I$20000,"Conjunto"),""))</f>
        <v/>
      </c>
      <c r="E505" t="str">
        <f>IF(A505="","",IFERROR(AVERAGEIFS(DATOS!$K$2:$K$20000,DATOS!$A$2:$A$20000,A505,DATOS!$G$2:$G$20000,CONFIG_METADATA!$B$4,DATOS!$I$2:$I$20000,"&lt;&gt;Lenguaje Musical",DATOS!$I$2:$I$20000,"&lt;&gt;Coro",DATOS!$I$2:$I$20000,"&lt;&gt;Conjunto"),""))</f>
        <v/>
      </c>
      <c r="H505" t="str">
        <f>IF(G505="","",IFERROR(AVERAGEIFS(DATOS!$K$2:$K$20000,DATOS!$A$2:$A$20000,G505,DATOS!$G$2:$G$20000,CONFIG_METADATA!$B$4,DATOS!$I$2:$I$20000,"Lenguaje Musical"),""))</f>
        <v/>
      </c>
      <c r="I505" t="str">
        <f>IF(G505="","",IFERROR(AVERAGEIFS(DATOS!$K$2:$K$20000,DATOS!$A$2:$A$20000,G505,DATOS!$G$2:$G$20000,CONFIG_METADATA!$B$4,DATOS!$I$2:$I$20000,"Coro"),""))</f>
        <v/>
      </c>
      <c r="J505" t="str">
        <f>IF(G505="","",IFERROR(AVERAGEIFS(DATOS!$K$2:$K$20000,DATOS!$A$2:$A$20000,G505,DATOS!$G$2:$G$20000,CONFIG_METADATA!$B$4,DATOS!$I$2:$I$20000,"Conjunto"),""))</f>
        <v/>
      </c>
      <c r="K505" t="str" cm="1">
        <f t="array" ref="K505">IF(G505="","",IFERROR(AVERAGE(IF((DATOS!$A$2:$A$20000=G505)*(DATOS!$G$2:$G$20000=CONFIG_METADATA!$B$4)*(DATOS!$I$2:$I$20000&lt;&gt;"Lenguaje Musical")*(DATOS!$I$2:$I$20000&lt;&gt;"Coro")*(DATOS!$I$2:$I$20000&lt;&gt;"Conjunto"),DATOS!$K$2:$K$20000)),""))</f>
        <v/>
      </c>
      <c r="N505" t="str">
        <f>IF(M505="","",IFERROR(AVERAGEIFS(DATOS!$K$2:$K$20000,DATOS!$A$2:$A$20000,M505,DATOS!$G$2:$G$20000,CONFIG_METADATA!$B$4,DATOS!$I$2:$I$20000,"Lenguaje Musical"),""))</f>
        <v/>
      </c>
      <c r="O505" t="str">
        <f>IF(M505="","",IFERROR(AVERAGEIFS(DATOS!$K$2:$K$20000,DATOS!$A$2:$A$20000,M505,DATOS!$G$2:$G$20000,CONFIG_METADATA!$B$4,DATOS!$I$2:$I$20000,"Coro"),""))</f>
        <v/>
      </c>
      <c r="P505" t="str">
        <f>IF(M505="","",IFERROR(AVERAGEIFS(DATOS!$K$2:$K$20000,DATOS!$A$2:$A$20000,M505,DATOS!$G$2:$G$20000,CONFIG_METADATA!$B$4,DATOS!$I$2:$I$20000,"Conjunto"),""))</f>
        <v/>
      </c>
      <c r="Q505" t="str">
        <f>IF(M505="","",IFERROR(AVERAGEIFS(DATOS!$K$2:$K$20000,DATOS!$A$2:$A$20000,M505,DATOS!$G$2:$G$20000,CONFIG_METADATA!$B$4,DATOS!$I$2:$I$20000,"&lt;&gt;Lenguaje Musical",DATOS!$I$2:$I$20000,"&lt;&gt;Coro",DATOS!$I$2:$I$20000,"&lt;&gt;Conjunto"),""))</f>
        <v/>
      </c>
      <c r="T505" t="str">
        <f>IF(S505="","",IFERROR(AVERAGEIFS(DATOS!$K$2:$K$20000,DATOS!$A$2:$A$20000,S505,DATOS!$G$2:$G$20000,CONFIG_METADATA!$B$4,DATOS!$I$2:$I$20000,"Lenguaje Musical"),""))</f>
        <v/>
      </c>
      <c r="U505" t="str">
        <f>IF(S505="","",IFERROR(AVERAGEIFS(DATOS!$K$2:$K$20000,DATOS!$A$2:$A$20000,S505,DATOS!$G$2:$G$20000,CONFIG_METADATA!$B$4,DATOS!$I$2:$I$20000,"Coro"),""))</f>
        <v/>
      </c>
      <c r="V505" t="str">
        <f>IF(S505="","",IFERROR(AVERAGEIFS(DATOS!$K$2:$K$20000,DATOS!$A$2:$A$20000,S505,DATOS!$G$2:$G$20000,CONFIG_METADATA!$B$4,DATOS!$I$2:$I$20000,"Conjunto"),""))</f>
        <v/>
      </c>
      <c r="W505" t="str" cm="1">
        <f t="array" ref="W505">IF(S505="","",IFERROR(AVERAGE(IF((DATOS!$A$2:$A$20000=S505)*(DATOS!$G$2:$G$20000=CONFIG_METADATA!$B$4)*(DATOS!$I$2:$I$20000&lt;&gt;"Lenguaje Musical")*(DATOS!$I$2:$I$20000&lt;&gt;"Coro")*(DATOS!$I$2:$I$20000&lt;&gt;"Conjunto"),DATOS!$K$2:$K$20000)),""))</f>
        <v/>
      </c>
    </row>
    <row r="506" spans="2:23" x14ac:dyDescent="0.2">
      <c r="B506" t="str">
        <f>IF(A506="","",IFERROR(AVERAGEIFS(DATOS!$K$2:$K$20000,DATOS!$A$2:$A$20000,A506,DATOS!$G$2:$G$20000,CONFIG_METADATA!$B$4,DATOS!$I$2:$I$20000,"Lenguaje Musical"),""))</f>
        <v/>
      </c>
      <c r="C506" t="str">
        <f>IF(A506="","",IFERROR(AVERAGEIFS(DATOS!$K$2:$K$20000,DATOS!$A$2:$A$20000,A506,DATOS!$G$2:$G$20000,CONFIG_METADATA!$B$4,DATOS!$I$2:$I$20000,"Coro"),""))</f>
        <v/>
      </c>
      <c r="D506" t="str">
        <f>IF(A506="","",IFERROR(AVERAGEIFS(DATOS!$K$2:$K$20000,DATOS!$A$2:$A$20000,A506,DATOS!$G$2:$G$20000,CONFIG_METADATA!$B$4,DATOS!$I$2:$I$20000,"Conjunto"),""))</f>
        <v/>
      </c>
      <c r="E506" t="str">
        <f>IF(A506="","",IFERROR(AVERAGEIFS(DATOS!$K$2:$K$20000,DATOS!$A$2:$A$20000,A506,DATOS!$G$2:$G$20000,CONFIG_METADATA!$B$4,DATOS!$I$2:$I$20000,"&lt;&gt;Lenguaje Musical",DATOS!$I$2:$I$20000,"&lt;&gt;Coro",DATOS!$I$2:$I$20000,"&lt;&gt;Conjunto"),""))</f>
        <v/>
      </c>
      <c r="H506" t="str">
        <f>IF(G506="","",IFERROR(AVERAGEIFS(DATOS!$K$2:$K$20000,DATOS!$A$2:$A$20000,G506,DATOS!$G$2:$G$20000,CONFIG_METADATA!$B$4,DATOS!$I$2:$I$20000,"Lenguaje Musical"),""))</f>
        <v/>
      </c>
      <c r="I506" t="str">
        <f>IF(G506="","",IFERROR(AVERAGEIFS(DATOS!$K$2:$K$20000,DATOS!$A$2:$A$20000,G506,DATOS!$G$2:$G$20000,CONFIG_METADATA!$B$4,DATOS!$I$2:$I$20000,"Coro"),""))</f>
        <v/>
      </c>
      <c r="J506" t="str">
        <f>IF(G506="","",IFERROR(AVERAGEIFS(DATOS!$K$2:$K$20000,DATOS!$A$2:$A$20000,G506,DATOS!$G$2:$G$20000,CONFIG_METADATA!$B$4,DATOS!$I$2:$I$20000,"Conjunto"),""))</f>
        <v/>
      </c>
      <c r="K506" t="str" cm="1">
        <f t="array" ref="K506">IF(G506="","",IFERROR(AVERAGE(IF((DATOS!$A$2:$A$20000=G506)*(DATOS!$G$2:$G$20000=CONFIG_METADATA!$B$4)*(DATOS!$I$2:$I$20000&lt;&gt;"Lenguaje Musical")*(DATOS!$I$2:$I$20000&lt;&gt;"Coro")*(DATOS!$I$2:$I$20000&lt;&gt;"Conjunto"),DATOS!$K$2:$K$20000)),""))</f>
        <v/>
      </c>
      <c r="N506" t="str">
        <f>IF(M506="","",IFERROR(AVERAGEIFS(DATOS!$K$2:$K$20000,DATOS!$A$2:$A$20000,M506,DATOS!$G$2:$G$20000,CONFIG_METADATA!$B$4,DATOS!$I$2:$I$20000,"Lenguaje Musical"),""))</f>
        <v/>
      </c>
      <c r="O506" t="str">
        <f>IF(M506="","",IFERROR(AVERAGEIFS(DATOS!$K$2:$K$20000,DATOS!$A$2:$A$20000,M506,DATOS!$G$2:$G$20000,CONFIG_METADATA!$B$4,DATOS!$I$2:$I$20000,"Coro"),""))</f>
        <v/>
      </c>
      <c r="P506" t="str">
        <f>IF(M506="","",IFERROR(AVERAGEIFS(DATOS!$K$2:$K$20000,DATOS!$A$2:$A$20000,M506,DATOS!$G$2:$G$20000,CONFIG_METADATA!$B$4,DATOS!$I$2:$I$20000,"Conjunto"),""))</f>
        <v/>
      </c>
      <c r="Q506" t="str">
        <f>IF(M506="","",IFERROR(AVERAGEIFS(DATOS!$K$2:$K$20000,DATOS!$A$2:$A$20000,M506,DATOS!$G$2:$G$20000,CONFIG_METADATA!$B$4,DATOS!$I$2:$I$20000,"&lt;&gt;Lenguaje Musical",DATOS!$I$2:$I$20000,"&lt;&gt;Coro",DATOS!$I$2:$I$20000,"&lt;&gt;Conjunto"),""))</f>
        <v/>
      </c>
      <c r="T506" t="str">
        <f>IF(S506="","",IFERROR(AVERAGEIFS(DATOS!$K$2:$K$20000,DATOS!$A$2:$A$20000,S506,DATOS!$G$2:$G$20000,CONFIG_METADATA!$B$4,DATOS!$I$2:$I$20000,"Lenguaje Musical"),""))</f>
        <v/>
      </c>
      <c r="U506" t="str">
        <f>IF(S506="","",IFERROR(AVERAGEIFS(DATOS!$K$2:$K$20000,DATOS!$A$2:$A$20000,S506,DATOS!$G$2:$G$20000,CONFIG_METADATA!$B$4,DATOS!$I$2:$I$20000,"Coro"),""))</f>
        <v/>
      </c>
      <c r="V506" t="str">
        <f>IF(S506="","",IFERROR(AVERAGEIFS(DATOS!$K$2:$K$20000,DATOS!$A$2:$A$20000,S506,DATOS!$G$2:$G$20000,CONFIG_METADATA!$B$4,DATOS!$I$2:$I$20000,"Conjunto"),""))</f>
        <v/>
      </c>
      <c r="W506" t="str" cm="1">
        <f t="array" ref="W506">IF(S506="","",IFERROR(AVERAGE(IF((DATOS!$A$2:$A$20000=S506)*(DATOS!$G$2:$G$20000=CONFIG_METADATA!$B$4)*(DATOS!$I$2:$I$20000&lt;&gt;"Lenguaje Musical")*(DATOS!$I$2:$I$20000&lt;&gt;"Coro")*(DATOS!$I$2:$I$20000&lt;&gt;"Conjunto"),DATOS!$K$2:$K$20000)),""))</f>
        <v/>
      </c>
    </row>
    <row r="507" spans="2:23" x14ac:dyDescent="0.2">
      <c r="B507" t="str">
        <f>IF(A507="","",IFERROR(AVERAGEIFS(DATOS!$K$2:$K$20000,DATOS!$A$2:$A$20000,A507,DATOS!$G$2:$G$20000,CONFIG_METADATA!$B$4,DATOS!$I$2:$I$20000,"Lenguaje Musical"),""))</f>
        <v/>
      </c>
      <c r="C507" t="str">
        <f>IF(A507="","",IFERROR(AVERAGEIFS(DATOS!$K$2:$K$20000,DATOS!$A$2:$A$20000,A507,DATOS!$G$2:$G$20000,CONFIG_METADATA!$B$4,DATOS!$I$2:$I$20000,"Coro"),""))</f>
        <v/>
      </c>
      <c r="D507" t="str">
        <f>IF(A507="","",IFERROR(AVERAGEIFS(DATOS!$K$2:$K$20000,DATOS!$A$2:$A$20000,A507,DATOS!$G$2:$G$20000,CONFIG_METADATA!$B$4,DATOS!$I$2:$I$20000,"Conjunto"),""))</f>
        <v/>
      </c>
      <c r="E507" t="str">
        <f>IF(A507="","",IFERROR(AVERAGEIFS(DATOS!$K$2:$K$20000,DATOS!$A$2:$A$20000,A507,DATOS!$G$2:$G$20000,CONFIG_METADATA!$B$4,DATOS!$I$2:$I$20000,"&lt;&gt;Lenguaje Musical",DATOS!$I$2:$I$20000,"&lt;&gt;Coro",DATOS!$I$2:$I$20000,"&lt;&gt;Conjunto"),""))</f>
        <v/>
      </c>
      <c r="H507" t="str">
        <f>IF(G507="","",IFERROR(AVERAGEIFS(DATOS!$K$2:$K$20000,DATOS!$A$2:$A$20000,G507,DATOS!$G$2:$G$20000,CONFIG_METADATA!$B$4,DATOS!$I$2:$I$20000,"Lenguaje Musical"),""))</f>
        <v/>
      </c>
      <c r="I507" t="str">
        <f>IF(G507="","",IFERROR(AVERAGEIFS(DATOS!$K$2:$K$20000,DATOS!$A$2:$A$20000,G507,DATOS!$G$2:$G$20000,CONFIG_METADATA!$B$4,DATOS!$I$2:$I$20000,"Coro"),""))</f>
        <v/>
      </c>
      <c r="J507" t="str">
        <f>IF(G507="","",IFERROR(AVERAGEIFS(DATOS!$K$2:$K$20000,DATOS!$A$2:$A$20000,G507,DATOS!$G$2:$G$20000,CONFIG_METADATA!$B$4,DATOS!$I$2:$I$20000,"Conjunto"),""))</f>
        <v/>
      </c>
      <c r="K507" t="str" cm="1">
        <f t="array" ref="K507">IF(G507="","",IFERROR(AVERAGE(IF((DATOS!$A$2:$A$20000=G507)*(DATOS!$G$2:$G$20000=CONFIG_METADATA!$B$4)*(DATOS!$I$2:$I$20000&lt;&gt;"Lenguaje Musical")*(DATOS!$I$2:$I$20000&lt;&gt;"Coro")*(DATOS!$I$2:$I$20000&lt;&gt;"Conjunto"),DATOS!$K$2:$K$20000)),""))</f>
        <v/>
      </c>
      <c r="N507" t="str">
        <f>IF(M507="","",IFERROR(AVERAGEIFS(DATOS!$K$2:$K$20000,DATOS!$A$2:$A$20000,M507,DATOS!$G$2:$G$20000,CONFIG_METADATA!$B$4,DATOS!$I$2:$I$20000,"Lenguaje Musical"),""))</f>
        <v/>
      </c>
      <c r="O507" t="str">
        <f>IF(M507="","",IFERROR(AVERAGEIFS(DATOS!$K$2:$K$20000,DATOS!$A$2:$A$20000,M507,DATOS!$G$2:$G$20000,CONFIG_METADATA!$B$4,DATOS!$I$2:$I$20000,"Coro"),""))</f>
        <v/>
      </c>
      <c r="P507" t="str">
        <f>IF(M507="","",IFERROR(AVERAGEIFS(DATOS!$K$2:$K$20000,DATOS!$A$2:$A$20000,M507,DATOS!$G$2:$G$20000,CONFIG_METADATA!$B$4,DATOS!$I$2:$I$20000,"Conjunto"),""))</f>
        <v/>
      </c>
      <c r="Q507" t="str">
        <f>IF(M507="","",IFERROR(AVERAGEIFS(DATOS!$K$2:$K$20000,DATOS!$A$2:$A$20000,M507,DATOS!$G$2:$G$20000,CONFIG_METADATA!$B$4,DATOS!$I$2:$I$20000,"&lt;&gt;Lenguaje Musical",DATOS!$I$2:$I$20000,"&lt;&gt;Coro",DATOS!$I$2:$I$20000,"&lt;&gt;Conjunto"),""))</f>
        <v/>
      </c>
      <c r="T507" t="str">
        <f>IF(S507="","",IFERROR(AVERAGEIFS(DATOS!$K$2:$K$20000,DATOS!$A$2:$A$20000,S507,DATOS!$G$2:$G$20000,CONFIG_METADATA!$B$4,DATOS!$I$2:$I$20000,"Lenguaje Musical"),""))</f>
        <v/>
      </c>
      <c r="U507" t="str">
        <f>IF(S507="","",IFERROR(AVERAGEIFS(DATOS!$K$2:$K$20000,DATOS!$A$2:$A$20000,S507,DATOS!$G$2:$G$20000,CONFIG_METADATA!$B$4,DATOS!$I$2:$I$20000,"Coro"),""))</f>
        <v/>
      </c>
      <c r="V507" t="str">
        <f>IF(S507="","",IFERROR(AVERAGEIFS(DATOS!$K$2:$K$20000,DATOS!$A$2:$A$20000,S507,DATOS!$G$2:$G$20000,CONFIG_METADATA!$B$4,DATOS!$I$2:$I$20000,"Conjunto"),""))</f>
        <v/>
      </c>
      <c r="W507" t="str" cm="1">
        <f t="array" ref="W507">IF(S507="","",IFERROR(AVERAGE(IF((DATOS!$A$2:$A$20000=S507)*(DATOS!$G$2:$G$20000=CONFIG_METADATA!$B$4)*(DATOS!$I$2:$I$20000&lt;&gt;"Lenguaje Musical")*(DATOS!$I$2:$I$20000&lt;&gt;"Coro")*(DATOS!$I$2:$I$20000&lt;&gt;"Conjunto"),DATOS!$K$2:$K$20000)),""))</f>
        <v/>
      </c>
    </row>
    <row r="508" spans="2:23" x14ac:dyDescent="0.2">
      <c r="B508" t="str">
        <f>IF(A508="","",IFERROR(AVERAGEIFS(DATOS!$K$2:$K$20000,DATOS!$A$2:$A$20000,A508,DATOS!$G$2:$G$20000,CONFIG_METADATA!$B$4,DATOS!$I$2:$I$20000,"Lenguaje Musical"),""))</f>
        <v/>
      </c>
      <c r="C508" t="str">
        <f>IF(A508="","",IFERROR(AVERAGEIFS(DATOS!$K$2:$K$20000,DATOS!$A$2:$A$20000,A508,DATOS!$G$2:$G$20000,CONFIG_METADATA!$B$4,DATOS!$I$2:$I$20000,"Coro"),""))</f>
        <v/>
      </c>
      <c r="D508" t="str">
        <f>IF(A508="","",IFERROR(AVERAGEIFS(DATOS!$K$2:$K$20000,DATOS!$A$2:$A$20000,A508,DATOS!$G$2:$G$20000,CONFIG_METADATA!$B$4,DATOS!$I$2:$I$20000,"Conjunto"),""))</f>
        <v/>
      </c>
      <c r="E508" t="str">
        <f>IF(A508="","",IFERROR(AVERAGEIFS(DATOS!$K$2:$K$20000,DATOS!$A$2:$A$20000,A508,DATOS!$G$2:$G$20000,CONFIG_METADATA!$B$4,DATOS!$I$2:$I$20000,"&lt;&gt;Lenguaje Musical",DATOS!$I$2:$I$20000,"&lt;&gt;Coro",DATOS!$I$2:$I$20000,"&lt;&gt;Conjunto"),""))</f>
        <v/>
      </c>
      <c r="H508" t="str">
        <f>IF(G508="","",IFERROR(AVERAGEIFS(DATOS!$K$2:$K$20000,DATOS!$A$2:$A$20000,G508,DATOS!$G$2:$G$20000,CONFIG_METADATA!$B$4,DATOS!$I$2:$I$20000,"Lenguaje Musical"),""))</f>
        <v/>
      </c>
      <c r="I508" t="str">
        <f>IF(G508="","",IFERROR(AVERAGEIFS(DATOS!$K$2:$K$20000,DATOS!$A$2:$A$20000,G508,DATOS!$G$2:$G$20000,CONFIG_METADATA!$B$4,DATOS!$I$2:$I$20000,"Coro"),""))</f>
        <v/>
      </c>
      <c r="J508" t="str">
        <f>IF(G508="","",IFERROR(AVERAGEIFS(DATOS!$K$2:$K$20000,DATOS!$A$2:$A$20000,G508,DATOS!$G$2:$G$20000,CONFIG_METADATA!$B$4,DATOS!$I$2:$I$20000,"Conjunto"),""))</f>
        <v/>
      </c>
      <c r="K508" t="str" cm="1">
        <f t="array" ref="K508">IF(G508="","",IFERROR(AVERAGE(IF((DATOS!$A$2:$A$20000=G508)*(DATOS!$G$2:$G$20000=CONFIG_METADATA!$B$4)*(DATOS!$I$2:$I$20000&lt;&gt;"Lenguaje Musical")*(DATOS!$I$2:$I$20000&lt;&gt;"Coro")*(DATOS!$I$2:$I$20000&lt;&gt;"Conjunto"),DATOS!$K$2:$K$20000)),""))</f>
        <v/>
      </c>
      <c r="N508" t="str">
        <f>IF(M508="","",IFERROR(AVERAGEIFS(DATOS!$K$2:$K$20000,DATOS!$A$2:$A$20000,M508,DATOS!$G$2:$G$20000,CONFIG_METADATA!$B$4,DATOS!$I$2:$I$20000,"Lenguaje Musical"),""))</f>
        <v/>
      </c>
      <c r="O508" t="str">
        <f>IF(M508="","",IFERROR(AVERAGEIFS(DATOS!$K$2:$K$20000,DATOS!$A$2:$A$20000,M508,DATOS!$G$2:$G$20000,CONFIG_METADATA!$B$4,DATOS!$I$2:$I$20000,"Coro"),""))</f>
        <v/>
      </c>
      <c r="P508" t="str">
        <f>IF(M508="","",IFERROR(AVERAGEIFS(DATOS!$K$2:$K$20000,DATOS!$A$2:$A$20000,M508,DATOS!$G$2:$G$20000,CONFIG_METADATA!$B$4,DATOS!$I$2:$I$20000,"Conjunto"),""))</f>
        <v/>
      </c>
      <c r="Q508" t="str">
        <f>IF(M508="","",IFERROR(AVERAGEIFS(DATOS!$K$2:$K$20000,DATOS!$A$2:$A$20000,M508,DATOS!$G$2:$G$20000,CONFIG_METADATA!$B$4,DATOS!$I$2:$I$20000,"&lt;&gt;Lenguaje Musical",DATOS!$I$2:$I$20000,"&lt;&gt;Coro",DATOS!$I$2:$I$20000,"&lt;&gt;Conjunto"),""))</f>
        <v/>
      </c>
      <c r="T508" t="str">
        <f>IF(S508="","",IFERROR(AVERAGEIFS(DATOS!$K$2:$K$20000,DATOS!$A$2:$A$20000,S508,DATOS!$G$2:$G$20000,CONFIG_METADATA!$B$4,DATOS!$I$2:$I$20000,"Lenguaje Musical"),""))</f>
        <v/>
      </c>
      <c r="U508" t="str">
        <f>IF(S508="","",IFERROR(AVERAGEIFS(DATOS!$K$2:$K$20000,DATOS!$A$2:$A$20000,S508,DATOS!$G$2:$G$20000,CONFIG_METADATA!$B$4,DATOS!$I$2:$I$20000,"Coro"),""))</f>
        <v/>
      </c>
      <c r="V508" t="str">
        <f>IF(S508="","",IFERROR(AVERAGEIFS(DATOS!$K$2:$K$20000,DATOS!$A$2:$A$20000,S508,DATOS!$G$2:$G$20000,CONFIG_METADATA!$B$4,DATOS!$I$2:$I$20000,"Conjunto"),""))</f>
        <v/>
      </c>
      <c r="W508" t="str" cm="1">
        <f t="array" ref="W508">IF(S508="","",IFERROR(AVERAGE(IF((DATOS!$A$2:$A$20000=S508)*(DATOS!$G$2:$G$20000=CONFIG_METADATA!$B$4)*(DATOS!$I$2:$I$20000&lt;&gt;"Lenguaje Musical")*(DATOS!$I$2:$I$20000&lt;&gt;"Coro")*(DATOS!$I$2:$I$20000&lt;&gt;"Conjunto"),DATOS!$K$2:$K$20000)),""))</f>
        <v/>
      </c>
    </row>
    <row r="509" spans="2:23" x14ac:dyDescent="0.2">
      <c r="B509" t="str">
        <f>IF(A509="","",IFERROR(AVERAGEIFS(DATOS!$K$2:$K$20000,DATOS!$A$2:$A$20000,A509,DATOS!$G$2:$G$20000,CONFIG_METADATA!$B$4,DATOS!$I$2:$I$20000,"Lenguaje Musical"),""))</f>
        <v/>
      </c>
      <c r="C509" t="str">
        <f>IF(A509="","",IFERROR(AVERAGEIFS(DATOS!$K$2:$K$20000,DATOS!$A$2:$A$20000,A509,DATOS!$G$2:$G$20000,CONFIG_METADATA!$B$4,DATOS!$I$2:$I$20000,"Coro"),""))</f>
        <v/>
      </c>
      <c r="D509" t="str">
        <f>IF(A509="","",IFERROR(AVERAGEIFS(DATOS!$K$2:$K$20000,DATOS!$A$2:$A$20000,A509,DATOS!$G$2:$G$20000,CONFIG_METADATA!$B$4,DATOS!$I$2:$I$20000,"Conjunto"),""))</f>
        <v/>
      </c>
      <c r="E509" t="str">
        <f>IF(A509="","",IFERROR(AVERAGEIFS(DATOS!$K$2:$K$20000,DATOS!$A$2:$A$20000,A509,DATOS!$G$2:$G$20000,CONFIG_METADATA!$B$4,DATOS!$I$2:$I$20000,"&lt;&gt;Lenguaje Musical",DATOS!$I$2:$I$20000,"&lt;&gt;Coro",DATOS!$I$2:$I$20000,"&lt;&gt;Conjunto"),""))</f>
        <v/>
      </c>
      <c r="H509" t="str">
        <f>IF(G509="","",IFERROR(AVERAGEIFS(DATOS!$K$2:$K$20000,DATOS!$A$2:$A$20000,G509,DATOS!$G$2:$G$20000,CONFIG_METADATA!$B$4,DATOS!$I$2:$I$20000,"Lenguaje Musical"),""))</f>
        <v/>
      </c>
      <c r="I509" t="str">
        <f>IF(G509="","",IFERROR(AVERAGEIFS(DATOS!$K$2:$K$20000,DATOS!$A$2:$A$20000,G509,DATOS!$G$2:$G$20000,CONFIG_METADATA!$B$4,DATOS!$I$2:$I$20000,"Coro"),""))</f>
        <v/>
      </c>
      <c r="J509" t="str">
        <f>IF(G509="","",IFERROR(AVERAGEIFS(DATOS!$K$2:$K$20000,DATOS!$A$2:$A$20000,G509,DATOS!$G$2:$G$20000,CONFIG_METADATA!$B$4,DATOS!$I$2:$I$20000,"Conjunto"),""))</f>
        <v/>
      </c>
      <c r="K509" t="str" cm="1">
        <f t="array" ref="K509">IF(G509="","",IFERROR(AVERAGE(IF((DATOS!$A$2:$A$20000=G509)*(DATOS!$G$2:$G$20000=CONFIG_METADATA!$B$4)*(DATOS!$I$2:$I$20000&lt;&gt;"Lenguaje Musical")*(DATOS!$I$2:$I$20000&lt;&gt;"Coro")*(DATOS!$I$2:$I$20000&lt;&gt;"Conjunto"),DATOS!$K$2:$K$20000)),""))</f>
        <v/>
      </c>
      <c r="N509" t="str">
        <f>IF(M509="","",IFERROR(AVERAGEIFS(DATOS!$K$2:$K$20000,DATOS!$A$2:$A$20000,M509,DATOS!$G$2:$G$20000,CONFIG_METADATA!$B$4,DATOS!$I$2:$I$20000,"Lenguaje Musical"),""))</f>
        <v/>
      </c>
      <c r="O509" t="str">
        <f>IF(M509="","",IFERROR(AVERAGEIFS(DATOS!$K$2:$K$20000,DATOS!$A$2:$A$20000,M509,DATOS!$G$2:$G$20000,CONFIG_METADATA!$B$4,DATOS!$I$2:$I$20000,"Coro"),""))</f>
        <v/>
      </c>
      <c r="P509" t="str">
        <f>IF(M509="","",IFERROR(AVERAGEIFS(DATOS!$K$2:$K$20000,DATOS!$A$2:$A$20000,M509,DATOS!$G$2:$G$20000,CONFIG_METADATA!$B$4,DATOS!$I$2:$I$20000,"Conjunto"),""))</f>
        <v/>
      </c>
      <c r="Q509" t="str">
        <f>IF(M509="","",IFERROR(AVERAGEIFS(DATOS!$K$2:$K$20000,DATOS!$A$2:$A$20000,M509,DATOS!$G$2:$G$20000,CONFIG_METADATA!$B$4,DATOS!$I$2:$I$20000,"&lt;&gt;Lenguaje Musical",DATOS!$I$2:$I$20000,"&lt;&gt;Coro",DATOS!$I$2:$I$20000,"&lt;&gt;Conjunto"),""))</f>
        <v/>
      </c>
      <c r="T509" t="str">
        <f>IF(S509="","",IFERROR(AVERAGEIFS(DATOS!$K$2:$K$20000,DATOS!$A$2:$A$20000,S509,DATOS!$G$2:$G$20000,CONFIG_METADATA!$B$4,DATOS!$I$2:$I$20000,"Lenguaje Musical"),""))</f>
        <v/>
      </c>
      <c r="U509" t="str">
        <f>IF(S509="","",IFERROR(AVERAGEIFS(DATOS!$K$2:$K$20000,DATOS!$A$2:$A$20000,S509,DATOS!$G$2:$G$20000,CONFIG_METADATA!$B$4,DATOS!$I$2:$I$20000,"Coro"),""))</f>
        <v/>
      </c>
      <c r="V509" t="str">
        <f>IF(S509="","",IFERROR(AVERAGEIFS(DATOS!$K$2:$K$20000,DATOS!$A$2:$A$20000,S509,DATOS!$G$2:$G$20000,CONFIG_METADATA!$B$4,DATOS!$I$2:$I$20000,"Conjunto"),""))</f>
        <v/>
      </c>
      <c r="W509" t="str" cm="1">
        <f t="array" ref="W509">IF(S509="","",IFERROR(AVERAGE(IF((DATOS!$A$2:$A$20000=S509)*(DATOS!$G$2:$G$20000=CONFIG_METADATA!$B$4)*(DATOS!$I$2:$I$20000&lt;&gt;"Lenguaje Musical")*(DATOS!$I$2:$I$20000&lt;&gt;"Coro")*(DATOS!$I$2:$I$20000&lt;&gt;"Conjunto"),DATOS!$K$2:$K$20000)),""))</f>
        <v/>
      </c>
    </row>
    <row r="510" spans="2:23" x14ac:dyDescent="0.2">
      <c r="B510" t="str">
        <f>IF(A510="","",IFERROR(AVERAGEIFS(DATOS!$K$2:$K$20000,DATOS!$A$2:$A$20000,A510,DATOS!$G$2:$G$20000,CONFIG_METADATA!$B$4,DATOS!$I$2:$I$20000,"Lenguaje Musical"),""))</f>
        <v/>
      </c>
      <c r="C510" t="str">
        <f>IF(A510="","",IFERROR(AVERAGEIFS(DATOS!$K$2:$K$20000,DATOS!$A$2:$A$20000,A510,DATOS!$G$2:$G$20000,CONFIG_METADATA!$B$4,DATOS!$I$2:$I$20000,"Coro"),""))</f>
        <v/>
      </c>
      <c r="D510" t="str">
        <f>IF(A510="","",IFERROR(AVERAGEIFS(DATOS!$K$2:$K$20000,DATOS!$A$2:$A$20000,A510,DATOS!$G$2:$G$20000,CONFIG_METADATA!$B$4,DATOS!$I$2:$I$20000,"Conjunto"),""))</f>
        <v/>
      </c>
      <c r="E510" t="str">
        <f>IF(A510="","",IFERROR(AVERAGEIFS(DATOS!$K$2:$K$20000,DATOS!$A$2:$A$20000,A510,DATOS!$G$2:$G$20000,CONFIG_METADATA!$B$4,DATOS!$I$2:$I$20000,"&lt;&gt;Lenguaje Musical",DATOS!$I$2:$I$20000,"&lt;&gt;Coro",DATOS!$I$2:$I$20000,"&lt;&gt;Conjunto"),""))</f>
        <v/>
      </c>
      <c r="H510" t="str">
        <f>IF(G510="","",IFERROR(AVERAGEIFS(DATOS!$K$2:$K$20000,DATOS!$A$2:$A$20000,G510,DATOS!$G$2:$G$20000,CONFIG_METADATA!$B$4,DATOS!$I$2:$I$20000,"Lenguaje Musical"),""))</f>
        <v/>
      </c>
      <c r="I510" t="str">
        <f>IF(G510="","",IFERROR(AVERAGEIFS(DATOS!$K$2:$K$20000,DATOS!$A$2:$A$20000,G510,DATOS!$G$2:$G$20000,CONFIG_METADATA!$B$4,DATOS!$I$2:$I$20000,"Coro"),""))</f>
        <v/>
      </c>
      <c r="J510" t="str">
        <f>IF(G510="","",IFERROR(AVERAGEIFS(DATOS!$K$2:$K$20000,DATOS!$A$2:$A$20000,G510,DATOS!$G$2:$G$20000,CONFIG_METADATA!$B$4,DATOS!$I$2:$I$20000,"Conjunto"),""))</f>
        <v/>
      </c>
      <c r="K510" t="str" cm="1">
        <f t="array" ref="K510">IF(G510="","",IFERROR(AVERAGE(IF((DATOS!$A$2:$A$20000=G510)*(DATOS!$G$2:$G$20000=CONFIG_METADATA!$B$4)*(DATOS!$I$2:$I$20000&lt;&gt;"Lenguaje Musical")*(DATOS!$I$2:$I$20000&lt;&gt;"Coro")*(DATOS!$I$2:$I$20000&lt;&gt;"Conjunto"),DATOS!$K$2:$K$20000)),""))</f>
        <v/>
      </c>
      <c r="N510" t="str">
        <f>IF(M510="","",IFERROR(AVERAGEIFS(DATOS!$K$2:$K$20000,DATOS!$A$2:$A$20000,M510,DATOS!$G$2:$G$20000,CONFIG_METADATA!$B$4,DATOS!$I$2:$I$20000,"Lenguaje Musical"),""))</f>
        <v/>
      </c>
      <c r="O510" t="str">
        <f>IF(M510="","",IFERROR(AVERAGEIFS(DATOS!$K$2:$K$20000,DATOS!$A$2:$A$20000,M510,DATOS!$G$2:$G$20000,CONFIG_METADATA!$B$4,DATOS!$I$2:$I$20000,"Coro"),""))</f>
        <v/>
      </c>
      <c r="P510" t="str">
        <f>IF(M510="","",IFERROR(AVERAGEIFS(DATOS!$K$2:$K$20000,DATOS!$A$2:$A$20000,M510,DATOS!$G$2:$G$20000,CONFIG_METADATA!$B$4,DATOS!$I$2:$I$20000,"Conjunto"),""))</f>
        <v/>
      </c>
      <c r="Q510" t="str">
        <f>IF(M510="","",IFERROR(AVERAGEIFS(DATOS!$K$2:$K$20000,DATOS!$A$2:$A$20000,M510,DATOS!$G$2:$G$20000,CONFIG_METADATA!$B$4,DATOS!$I$2:$I$20000,"&lt;&gt;Lenguaje Musical",DATOS!$I$2:$I$20000,"&lt;&gt;Coro",DATOS!$I$2:$I$20000,"&lt;&gt;Conjunto"),""))</f>
        <v/>
      </c>
      <c r="T510" t="str">
        <f>IF(S510="","",IFERROR(AVERAGEIFS(DATOS!$K$2:$K$20000,DATOS!$A$2:$A$20000,S510,DATOS!$G$2:$G$20000,CONFIG_METADATA!$B$4,DATOS!$I$2:$I$20000,"Lenguaje Musical"),""))</f>
        <v/>
      </c>
      <c r="U510" t="str">
        <f>IF(S510="","",IFERROR(AVERAGEIFS(DATOS!$K$2:$K$20000,DATOS!$A$2:$A$20000,S510,DATOS!$G$2:$G$20000,CONFIG_METADATA!$B$4,DATOS!$I$2:$I$20000,"Coro"),""))</f>
        <v/>
      </c>
      <c r="V510" t="str">
        <f>IF(S510="","",IFERROR(AVERAGEIFS(DATOS!$K$2:$K$20000,DATOS!$A$2:$A$20000,S510,DATOS!$G$2:$G$20000,CONFIG_METADATA!$B$4,DATOS!$I$2:$I$20000,"Conjunto"),""))</f>
        <v/>
      </c>
      <c r="W510" t="str" cm="1">
        <f t="array" ref="W510">IF(S510="","",IFERROR(AVERAGE(IF((DATOS!$A$2:$A$20000=S510)*(DATOS!$G$2:$G$20000=CONFIG_METADATA!$B$4)*(DATOS!$I$2:$I$20000&lt;&gt;"Lenguaje Musical")*(DATOS!$I$2:$I$20000&lt;&gt;"Coro")*(DATOS!$I$2:$I$20000&lt;&gt;"Conjunto"),DATOS!$K$2:$K$20000)),""))</f>
        <v/>
      </c>
    </row>
    <row r="511" spans="2:23" x14ac:dyDescent="0.2">
      <c r="B511" t="str">
        <f>IF(A511="","",IFERROR(AVERAGEIFS(DATOS!$K$2:$K$20000,DATOS!$A$2:$A$20000,A511,DATOS!$G$2:$G$20000,CONFIG_METADATA!$B$4,DATOS!$I$2:$I$20000,"Lenguaje Musical"),""))</f>
        <v/>
      </c>
      <c r="C511" t="str">
        <f>IF(A511="","",IFERROR(AVERAGEIFS(DATOS!$K$2:$K$20000,DATOS!$A$2:$A$20000,A511,DATOS!$G$2:$G$20000,CONFIG_METADATA!$B$4,DATOS!$I$2:$I$20000,"Coro"),""))</f>
        <v/>
      </c>
      <c r="D511" t="str">
        <f>IF(A511="","",IFERROR(AVERAGEIFS(DATOS!$K$2:$K$20000,DATOS!$A$2:$A$20000,A511,DATOS!$G$2:$G$20000,CONFIG_METADATA!$B$4,DATOS!$I$2:$I$20000,"Conjunto"),""))</f>
        <v/>
      </c>
      <c r="E511" t="str">
        <f>IF(A511="","",IFERROR(AVERAGEIFS(DATOS!$K$2:$K$20000,DATOS!$A$2:$A$20000,A511,DATOS!$G$2:$G$20000,CONFIG_METADATA!$B$4,DATOS!$I$2:$I$20000,"&lt;&gt;Lenguaje Musical",DATOS!$I$2:$I$20000,"&lt;&gt;Coro",DATOS!$I$2:$I$20000,"&lt;&gt;Conjunto"),""))</f>
        <v/>
      </c>
      <c r="H511" t="str">
        <f>IF(G511="","",IFERROR(AVERAGEIFS(DATOS!$K$2:$K$20000,DATOS!$A$2:$A$20000,G511,DATOS!$G$2:$G$20000,CONFIG_METADATA!$B$4,DATOS!$I$2:$I$20000,"Lenguaje Musical"),""))</f>
        <v/>
      </c>
      <c r="I511" t="str">
        <f>IF(G511="","",IFERROR(AVERAGEIFS(DATOS!$K$2:$K$20000,DATOS!$A$2:$A$20000,G511,DATOS!$G$2:$G$20000,CONFIG_METADATA!$B$4,DATOS!$I$2:$I$20000,"Coro"),""))</f>
        <v/>
      </c>
      <c r="J511" t="str">
        <f>IF(G511="","",IFERROR(AVERAGEIFS(DATOS!$K$2:$K$20000,DATOS!$A$2:$A$20000,G511,DATOS!$G$2:$G$20000,CONFIG_METADATA!$B$4,DATOS!$I$2:$I$20000,"Conjunto"),""))</f>
        <v/>
      </c>
      <c r="K511" t="str" cm="1">
        <f t="array" ref="K511">IF(G511="","",IFERROR(AVERAGE(IF((DATOS!$A$2:$A$20000=G511)*(DATOS!$G$2:$G$20000=CONFIG_METADATA!$B$4)*(DATOS!$I$2:$I$20000&lt;&gt;"Lenguaje Musical")*(DATOS!$I$2:$I$20000&lt;&gt;"Coro")*(DATOS!$I$2:$I$20000&lt;&gt;"Conjunto"),DATOS!$K$2:$K$20000)),""))</f>
        <v/>
      </c>
      <c r="N511" t="str">
        <f>IF(M511="","",IFERROR(AVERAGEIFS(DATOS!$K$2:$K$20000,DATOS!$A$2:$A$20000,M511,DATOS!$G$2:$G$20000,CONFIG_METADATA!$B$4,DATOS!$I$2:$I$20000,"Lenguaje Musical"),""))</f>
        <v/>
      </c>
      <c r="O511" t="str">
        <f>IF(M511="","",IFERROR(AVERAGEIFS(DATOS!$K$2:$K$20000,DATOS!$A$2:$A$20000,M511,DATOS!$G$2:$G$20000,CONFIG_METADATA!$B$4,DATOS!$I$2:$I$20000,"Coro"),""))</f>
        <v/>
      </c>
      <c r="P511" t="str">
        <f>IF(M511="","",IFERROR(AVERAGEIFS(DATOS!$K$2:$K$20000,DATOS!$A$2:$A$20000,M511,DATOS!$G$2:$G$20000,CONFIG_METADATA!$B$4,DATOS!$I$2:$I$20000,"Conjunto"),""))</f>
        <v/>
      </c>
      <c r="Q511" t="str">
        <f>IF(M511="","",IFERROR(AVERAGEIFS(DATOS!$K$2:$K$20000,DATOS!$A$2:$A$20000,M511,DATOS!$G$2:$G$20000,CONFIG_METADATA!$B$4,DATOS!$I$2:$I$20000,"&lt;&gt;Lenguaje Musical",DATOS!$I$2:$I$20000,"&lt;&gt;Coro",DATOS!$I$2:$I$20000,"&lt;&gt;Conjunto"),""))</f>
        <v/>
      </c>
      <c r="T511" t="str">
        <f>IF(S511="","",IFERROR(AVERAGEIFS(DATOS!$K$2:$K$20000,DATOS!$A$2:$A$20000,S511,DATOS!$G$2:$G$20000,CONFIG_METADATA!$B$4,DATOS!$I$2:$I$20000,"Lenguaje Musical"),""))</f>
        <v/>
      </c>
      <c r="U511" t="str">
        <f>IF(S511="","",IFERROR(AVERAGEIFS(DATOS!$K$2:$K$20000,DATOS!$A$2:$A$20000,S511,DATOS!$G$2:$G$20000,CONFIG_METADATA!$B$4,DATOS!$I$2:$I$20000,"Coro"),""))</f>
        <v/>
      </c>
      <c r="V511" t="str">
        <f>IF(S511="","",IFERROR(AVERAGEIFS(DATOS!$K$2:$K$20000,DATOS!$A$2:$A$20000,S511,DATOS!$G$2:$G$20000,CONFIG_METADATA!$B$4,DATOS!$I$2:$I$20000,"Conjunto"),""))</f>
        <v/>
      </c>
      <c r="W511" t="str" cm="1">
        <f t="array" ref="W511">IF(S511="","",IFERROR(AVERAGE(IF((DATOS!$A$2:$A$20000=S511)*(DATOS!$G$2:$G$20000=CONFIG_METADATA!$B$4)*(DATOS!$I$2:$I$20000&lt;&gt;"Lenguaje Musical")*(DATOS!$I$2:$I$20000&lt;&gt;"Coro")*(DATOS!$I$2:$I$20000&lt;&gt;"Conjunto"),DATOS!$K$2:$K$20000)),""))</f>
        <v/>
      </c>
    </row>
    <row r="512" spans="2:23" x14ac:dyDescent="0.2">
      <c r="B512" t="str">
        <f>IF(A512="","",IFERROR(AVERAGEIFS(DATOS!$K$2:$K$20000,DATOS!$A$2:$A$20000,A512,DATOS!$G$2:$G$20000,CONFIG_METADATA!$B$4,DATOS!$I$2:$I$20000,"Lenguaje Musical"),""))</f>
        <v/>
      </c>
      <c r="C512" t="str">
        <f>IF(A512="","",IFERROR(AVERAGEIFS(DATOS!$K$2:$K$20000,DATOS!$A$2:$A$20000,A512,DATOS!$G$2:$G$20000,CONFIG_METADATA!$B$4,DATOS!$I$2:$I$20000,"Coro"),""))</f>
        <v/>
      </c>
      <c r="D512" t="str">
        <f>IF(A512="","",IFERROR(AVERAGEIFS(DATOS!$K$2:$K$20000,DATOS!$A$2:$A$20000,A512,DATOS!$G$2:$G$20000,CONFIG_METADATA!$B$4,DATOS!$I$2:$I$20000,"Conjunto"),""))</f>
        <v/>
      </c>
      <c r="E512" t="str">
        <f>IF(A512="","",IFERROR(AVERAGEIFS(DATOS!$K$2:$K$20000,DATOS!$A$2:$A$20000,A512,DATOS!$G$2:$G$20000,CONFIG_METADATA!$B$4,DATOS!$I$2:$I$20000,"&lt;&gt;Lenguaje Musical",DATOS!$I$2:$I$20000,"&lt;&gt;Coro",DATOS!$I$2:$I$20000,"&lt;&gt;Conjunto"),""))</f>
        <v/>
      </c>
      <c r="H512" t="str">
        <f>IF(G512="","",IFERROR(AVERAGEIFS(DATOS!$K$2:$K$20000,DATOS!$A$2:$A$20000,G512,DATOS!$G$2:$G$20000,CONFIG_METADATA!$B$4,DATOS!$I$2:$I$20000,"Lenguaje Musical"),""))</f>
        <v/>
      </c>
      <c r="I512" t="str">
        <f>IF(G512="","",IFERROR(AVERAGEIFS(DATOS!$K$2:$K$20000,DATOS!$A$2:$A$20000,G512,DATOS!$G$2:$G$20000,CONFIG_METADATA!$B$4,DATOS!$I$2:$I$20000,"Coro"),""))</f>
        <v/>
      </c>
      <c r="J512" t="str">
        <f>IF(G512="","",IFERROR(AVERAGEIFS(DATOS!$K$2:$K$20000,DATOS!$A$2:$A$20000,G512,DATOS!$G$2:$G$20000,CONFIG_METADATA!$B$4,DATOS!$I$2:$I$20000,"Conjunto"),""))</f>
        <v/>
      </c>
      <c r="K512" t="str" cm="1">
        <f t="array" ref="K512">IF(G512="","",IFERROR(AVERAGE(IF((DATOS!$A$2:$A$20000=G512)*(DATOS!$G$2:$G$20000=CONFIG_METADATA!$B$4)*(DATOS!$I$2:$I$20000&lt;&gt;"Lenguaje Musical")*(DATOS!$I$2:$I$20000&lt;&gt;"Coro")*(DATOS!$I$2:$I$20000&lt;&gt;"Conjunto"),DATOS!$K$2:$K$20000)),""))</f>
        <v/>
      </c>
      <c r="N512" t="str">
        <f>IF(M512="","",IFERROR(AVERAGEIFS(DATOS!$K$2:$K$20000,DATOS!$A$2:$A$20000,M512,DATOS!$G$2:$G$20000,CONFIG_METADATA!$B$4,DATOS!$I$2:$I$20000,"Lenguaje Musical"),""))</f>
        <v/>
      </c>
      <c r="O512" t="str">
        <f>IF(M512="","",IFERROR(AVERAGEIFS(DATOS!$K$2:$K$20000,DATOS!$A$2:$A$20000,M512,DATOS!$G$2:$G$20000,CONFIG_METADATA!$B$4,DATOS!$I$2:$I$20000,"Coro"),""))</f>
        <v/>
      </c>
      <c r="P512" t="str">
        <f>IF(M512="","",IFERROR(AVERAGEIFS(DATOS!$K$2:$K$20000,DATOS!$A$2:$A$20000,M512,DATOS!$G$2:$G$20000,CONFIG_METADATA!$B$4,DATOS!$I$2:$I$20000,"Conjunto"),""))</f>
        <v/>
      </c>
      <c r="Q512" t="str">
        <f>IF(M512="","",IFERROR(AVERAGEIFS(DATOS!$K$2:$K$20000,DATOS!$A$2:$A$20000,M512,DATOS!$G$2:$G$20000,CONFIG_METADATA!$B$4,DATOS!$I$2:$I$20000,"&lt;&gt;Lenguaje Musical",DATOS!$I$2:$I$20000,"&lt;&gt;Coro",DATOS!$I$2:$I$20000,"&lt;&gt;Conjunto"),""))</f>
        <v/>
      </c>
      <c r="T512" t="str">
        <f>IF(S512="","",IFERROR(AVERAGEIFS(DATOS!$K$2:$K$20000,DATOS!$A$2:$A$20000,S512,DATOS!$G$2:$G$20000,CONFIG_METADATA!$B$4,DATOS!$I$2:$I$20000,"Lenguaje Musical"),""))</f>
        <v/>
      </c>
      <c r="U512" t="str">
        <f>IF(S512="","",IFERROR(AVERAGEIFS(DATOS!$K$2:$K$20000,DATOS!$A$2:$A$20000,S512,DATOS!$G$2:$G$20000,CONFIG_METADATA!$B$4,DATOS!$I$2:$I$20000,"Coro"),""))</f>
        <v/>
      </c>
      <c r="V512" t="str">
        <f>IF(S512="","",IFERROR(AVERAGEIFS(DATOS!$K$2:$K$20000,DATOS!$A$2:$A$20000,S512,DATOS!$G$2:$G$20000,CONFIG_METADATA!$B$4,DATOS!$I$2:$I$20000,"Conjunto"),""))</f>
        <v/>
      </c>
      <c r="W512" t="str" cm="1">
        <f t="array" ref="W512">IF(S512="","",IFERROR(AVERAGE(IF((DATOS!$A$2:$A$20000=S512)*(DATOS!$G$2:$G$20000=CONFIG_METADATA!$B$4)*(DATOS!$I$2:$I$20000&lt;&gt;"Lenguaje Musical")*(DATOS!$I$2:$I$20000&lt;&gt;"Coro")*(DATOS!$I$2:$I$20000&lt;&gt;"Conjunto"),DATOS!$K$2:$K$20000)),""))</f>
        <v/>
      </c>
    </row>
    <row r="513" spans="2:23" x14ac:dyDescent="0.2">
      <c r="B513" t="str">
        <f>IF(A513="","",IFERROR(AVERAGEIFS(DATOS!$K$2:$K$20000,DATOS!$A$2:$A$20000,A513,DATOS!$G$2:$G$20000,CONFIG_METADATA!$B$4,DATOS!$I$2:$I$20000,"Lenguaje Musical"),""))</f>
        <v/>
      </c>
      <c r="C513" t="str">
        <f>IF(A513="","",IFERROR(AVERAGEIFS(DATOS!$K$2:$K$20000,DATOS!$A$2:$A$20000,A513,DATOS!$G$2:$G$20000,CONFIG_METADATA!$B$4,DATOS!$I$2:$I$20000,"Coro"),""))</f>
        <v/>
      </c>
      <c r="D513" t="str">
        <f>IF(A513="","",IFERROR(AVERAGEIFS(DATOS!$K$2:$K$20000,DATOS!$A$2:$A$20000,A513,DATOS!$G$2:$G$20000,CONFIG_METADATA!$B$4,DATOS!$I$2:$I$20000,"Conjunto"),""))</f>
        <v/>
      </c>
      <c r="E513" t="str">
        <f>IF(A513="","",IFERROR(AVERAGEIFS(DATOS!$K$2:$K$20000,DATOS!$A$2:$A$20000,A513,DATOS!$G$2:$G$20000,CONFIG_METADATA!$B$4,DATOS!$I$2:$I$20000,"&lt;&gt;Lenguaje Musical",DATOS!$I$2:$I$20000,"&lt;&gt;Coro",DATOS!$I$2:$I$20000,"&lt;&gt;Conjunto"),""))</f>
        <v/>
      </c>
      <c r="H513" t="str">
        <f>IF(G513="","",IFERROR(AVERAGEIFS(DATOS!$K$2:$K$20000,DATOS!$A$2:$A$20000,G513,DATOS!$G$2:$G$20000,CONFIG_METADATA!$B$4,DATOS!$I$2:$I$20000,"Lenguaje Musical"),""))</f>
        <v/>
      </c>
      <c r="I513" t="str">
        <f>IF(G513="","",IFERROR(AVERAGEIFS(DATOS!$K$2:$K$20000,DATOS!$A$2:$A$20000,G513,DATOS!$G$2:$G$20000,CONFIG_METADATA!$B$4,DATOS!$I$2:$I$20000,"Coro"),""))</f>
        <v/>
      </c>
      <c r="J513" t="str">
        <f>IF(G513="","",IFERROR(AVERAGEIFS(DATOS!$K$2:$K$20000,DATOS!$A$2:$A$20000,G513,DATOS!$G$2:$G$20000,CONFIG_METADATA!$B$4,DATOS!$I$2:$I$20000,"Conjunto"),""))</f>
        <v/>
      </c>
      <c r="K513" t="str" cm="1">
        <f t="array" ref="K513">IF(G513="","",IFERROR(AVERAGE(IF((DATOS!$A$2:$A$20000=G513)*(DATOS!$G$2:$G$20000=CONFIG_METADATA!$B$4)*(DATOS!$I$2:$I$20000&lt;&gt;"Lenguaje Musical")*(DATOS!$I$2:$I$20000&lt;&gt;"Coro")*(DATOS!$I$2:$I$20000&lt;&gt;"Conjunto"),DATOS!$K$2:$K$20000)),""))</f>
        <v/>
      </c>
      <c r="N513" t="str">
        <f>IF(M513="","",IFERROR(AVERAGEIFS(DATOS!$K$2:$K$20000,DATOS!$A$2:$A$20000,M513,DATOS!$G$2:$G$20000,CONFIG_METADATA!$B$4,DATOS!$I$2:$I$20000,"Lenguaje Musical"),""))</f>
        <v/>
      </c>
      <c r="O513" t="str">
        <f>IF(M513="","",IFERROR(AVERAGEIFS(DATOS!$K$2:$K$20000,DATOS!$A$2:$A$20000,M513,DATOS!$G$2:$G$20000,CONFIG_METADATA!$B$4,DATOS!$I$2:$I$20000,"Coro"),""))</f>
        <v/>
      </c>
      <c r="P513" t="str">
        <f>IF(M513="","",IFERROR(AVERAGEIFS(DATOS!$K$2:$K$20000,DATOS!$A$2:$A$20000,M513,DATOS!$G$2:$G$20000,CONFIG_METADATA!$B$4,DATOS!$I$2:$I$20000,"Conjunto"),""))</f>
        <v/>
      </c>
      <c r="Q513" t="str">
        <f>IF(M513="","",IFERROR(AVERAGEIFS(DATOS!$K$2:$K$20000,DATOS!$A$2:$A$20000,M513,DATOS!$G$2:$G$20000,CONFIG_METADATA!$B$4,DATOS!$I$2:$I$20000,"&lt;&gt;Lenguaje Musical",DATOS!$I$2:$I$20000,"&lt;&gt;Coro",DATOS!$I$2:$I$20000,"&lt;&gt;Conjunto"),""))</f>
        <v/>
      </c>
      <c r="T513" t="str">
        <f>IF(S513="","",IFERROR(AVERAGEIFS(DATOS!$K$2:$K$20000,DATOS!$A$2:$A$20000,S513,DATOS!$G$2:$G$20000,CONFIG_METADATA!$B$4,DATOS!$I$2:$I$20000,"Lenguaje Musical"),""))</f>
        <v/>
      </c>
      <c r="U513" t="str">
        <f>IF(S513="","",IFERROR(AVERAGEIFS(DATOS!$K$2:$K$20000,DATOS!$A$2:$A$20000,S513,DATOS!$G$2:$G$20000,CONFIG_METADATA!$B$4,DATOS!$I$2:$I$20000,"Coro"),""))</f>
        <v/>
      </c>
      <c r="V513" t="str">
        <f>IF(S513="","",IFERROR(AVERAGEIFS(DATOS!$K$2:$K$20000,DATOS!$A$2:$A$20000,S513,DATOS!$G$2:$G$20000,CONFIG_METADATA!$B$4,DATOS!$I$2:$I$20000,"Conjunto"),""))</f>
        <v/>
      </c>
      <c r="W513" t="str" cm="1">
        <f t="array" ref="W513">IF(S513="","",IFERROR(AVERAGE(IF((DATOS!$A$2:$A$20000=S513)*(DATOS!$G$2:$G$20000=CONFIG_METADATA!$B$4)*(DATOS!$I$2:$I$20000&lt;&gt;"Lenguaje Musical")*(DATOS!$I$2:$I$20000&lt;&gt;"Coro")*(DATOS!$I$2:$I$20000&lt;&gt;"Conjunto"),DATOS!$K$2:$K$20000)),""))</f>
        <v/>
      </c>
    </row>
    <row r="514" spans="2:23" x14ac:dyDescent="0.2">
      <c r="B514" t="str">
        <f>IF(A514="","",IFERROR(AVERAGEIFS(DATOS!$K$2:$K$20000,DATOS!$A$2:$A$20000,A514,DATOS!$G$2:$G$20000,CONFIG_METADATA!$B$4,DATOS!$I$2:$I$20000,"Lenguaje Musical"),""))</f>
        <v/>
      </c>
      <c r="C514" t="str">
        <f>IF(A514="","",IFERROR(AVERAGEIFS(DATOS!$K$2:$K$20000,DATOS!$A$2:$A$20000,A514,DATOS!$G$2:$G$20000,CONFIG_METADATA!$B$4,DATOS!$I$2:$I$20000,"Coro"),""))</f>
        <v/>
      </c>
      <c r="D514" t="str">
        <f>IF(A514="","",IFERROR(AVERAGEIFS(DATOS!$K$2:$K$20000,DATOS!$A$2:$A$20000,A514,DATOS!$G$2:$G$20000,CONFIG_METADATA!$B$4,DATOS!$I$2:$I$20000,"Conjunto"),""))</f>
        <v/>
      </c>
      <c r="E514" t="str">
        <f>IF(A514="","",IFERROR(AVERAGEIFS(DATOS!$K$2:$K$20000,DATOS!$A$2:$A$20000,A514,DATOS!$G$2:$G$20000,CONFIG_METADATA!$B$4,DATOS!$I$2:$I$20000,"&lt;&gt;Lenguaje Musical",DATOS!$I$2:$I$20000,"&lt;&gt;Coro",DATOS!$I$2:$I$20000,"&lt;&gt;Conjunto"),""))</f>
        <v/>
      </c>
      <c r="H514" t="str">
        <f>IF(G514="","",IFERROR(AVERAGEIFS(DATOS!$K$2:$K$20000,DATOS!$A$2:$A$20000,G514,DATOS!$G$2:$G$20000,CONFIG_METADATA!$B$4,DATOS!$I$2:$I$20000,"Lenguaje Musical"),""))</f>
        <v/>
      </c>
      <c r="I514" t="str">
        <f>IF(G514="","",IFERROR(AVERAGEIFS(DATOS!$K$2:$K$20000,DATOS!$A$2:$A$20000,G514,DATOS!$G$2:$G$20000,CONFIG_METADATA!$B$4,DATOS!$I$2:$I$20000,"Coro"),""))</f>
        <v/>
      </c>
      <c r="J514" t="str">
        <f>IF(G514="","",IFERROR(AVERAGEIFS(DATOS!$K$2:$K$20000,DATOS!$A$2:$A$20000,G514,DATOS!$G$2:$G$20000,CONFIG_METADATA!$B$4,DATOS!$I$2:$I$20000,"Conjunto"),""))</f>
        <v/>
      </c>
      <c r="K514" t="str" cm="1">
        <f t="array" ref="K514">IF(G514="","",IFERROR(AVERAGE(IF((DATOS!$A$2:$A$20000=G514)*(DATOS!$G$2:$G$20000=CONFIG_METADATA!$B$4)*(DATOS!$I$2:$I$20000&lt;&gt;"Lenguaje Musical")*(DATOS!$I$2:$I$20000&lt;&gt;"Coro")*(DATOS!$I$2:$I$20000&lt;&gt;"Conjunto"),DATOS!$K$2:$K$20000)),""))</f>
        <v/>
      </c>
      <c r="N514" t="str">
        <f>IF(M514="","",IFERROR(AVERAGEIFS(DATOS!$K$2:$K$20000,DATOS!$A$2:$A$20000,M514,DATOS!$G$2:$G$20000,CONFIG_METADATA!$B$4,DATOS!$I$2:$I$20000,"Lenguaje Musical"),""))</f>
        <v/>
      </c>
      <c r="O514" t="str">
        <f>IF(M514="","",IFERROR(AVERAGEIFS(DATOS!$K$2:$K$20000,DATOS!$A$2:$A$20000,M514,DATOS!$G$2:$G$20000,CONFIG_METADATA!$B$4,DATOS!$I$2:$I$20000,"Coro"),""))</f>
        <v/>
      </c>
      <c r="P514" t="str">
        <f>IF(M514="","",IFERROR(AVERAGEIFS(DATOS!$K$2:$K$20000,DATOS!$A$2:$A$20000,M514,DATOS!$G$2:$G$20000,CONFIG_METADATA!$B$4,DATOS!$I$2:$I$20000,"Conjunto"),""))</f>
        <v/>
      </c>
      <c r="Q514" t="str">
        <f>IF(M514="","",IFERROR(AVERAGEIFS(DATOS!$K$2:$K$20000,DATOS!$A$2:$A$20000,M514,DATOS!$G$2:$G$20000,CONFIG_METADATA!$B$4,DATOS!$I$2:$I$20000,"&lt;&gt;Lenguaje Musical",DATOS!$I$2:$I$20000,"&lt;&gt;Coro",DATOS!$I$2:$I$20000,"&lt;&gt;Conjunto"),""))</f>
        <v/>
      </c>
      <c r="T514" t="str">
        <f>IF(S514="","",IFERROR(AVERAGEIFS(DATOS!$K$2:$K$20000,DATOS!$A$2:$A$20000,S514,DATOS!$G$2:$G$20000,CONFIG_METADATA!$B$4,DATOS!$I$2:$I$20000,"Lenguaje Musical"),""))</f>
        <v/>
      </c>
      <c r="U514" t="str">
        <f>IF(S514="","",IFERROR(AVERAGEIFS(DATOS!$K$2:$K$20000,DATOS!$A$2:$A$20000,S514,DATOS!$G$2:$G$20000,CONFIG_METADATA!$B$4,DATOS!$I$2:$I$20000,"Coro"),""))</f>
        <v/>
      </c>
      <c r="V514" t="str">
        <f>IF(S514="","",IFERROR(AVERAGEIFS(DATOS!$K$2:$K$20000,DATOS!$A$2:$A$20000,S514,DATOS!$G$2:$G$20000,CONFIG_METADATA!$B$4,DATOS!$I$2:$I$20000,"Conjunto"),""))</f>
        <v/>
      </c>
      <c r="W514" t="str" cm="1">
        <f t="array" ref="W514">IF(S514="","",IFERROR(AVERAGE(IF((DATOS!$A$2:$A$20000=S514)*(DATOS!$G$2:$G$20000=CONFIG_METADATA!$B$4)*(DATOS!$I$2:$I$20000&lt;&gt;"Lenguaje Musical")*(DATOS!$I$2:$I$20000&lt;&gt;"Coro")*(DATOS!$I$2:$I$20000&lt;&gt;"Conjunto"),DATOS!$K$2:$K$20000)),""))</f>
        <v/>
      </c>
    </row>
    <row r="515" spans="2:23" x14ac:dyDescent="0.2">
      <c r="B515" t="str">
        <f>IF(A515="","",IFERROR(AVERAGEIFS(DATOS!$K$2:$K$20000,DATOS!$A$2:$A$20000,A515,DATOS!$G$2:$G$20000,CONFIG_METADATA!$B$4,DATOS!$I$2:$I$20000,"Lenguaje Musical"),""))</f>
        <v/>
      </c>
      <c r="C515" t="str">
        <f>IF(A515="","",IFERROR(AVERAGEIFS(DATOS!$K$2:$K$20000,DATOS!$A$2:$A$20000,A515,DATOS!$G$2:$G$20000,CONFIG_METADATA!$B$4,DATOS!$I$2:$I$20000,"Coro"),""))</f>
        <v/>
      </c>
      <c r="D515" t="str">
        <f>IF(A515="","",IFERROR(AVERAGEIFS(DATOS!$K$2:$K$20000,DATOS!$A$2:$A$20000,A515,DATOS!$G$2:$G$20000,CONFIG_METADATA!$B$4,DATOS!$I$2:$I$20000,"Conjunto"),""))</f>
        <v/>
      </c>
      <c r="E515" t="str">
        <f>IF(A515="","",IFERROR(AVERAGEIFS(DATOS!$K$2:$K$20000,DATOS!$A$2:$A$20000,A515,DATOS!$G$2:$G$20000,CONFIG_METADATA!$B$4,DATOS!$I$2:$I$20000,"&lt;&gt;Lenguaje Musical",DATOS!$I$2:$I$20000,"&lt;&gt;Coro",DATOS!$I$2:$I$20000,"&lt;&gt;Conjunto"),""))</f>
        <v/>
      </c>
      <c r="H515" t="str">
        <f>IF(G515="","",IFERROR(AVERAGEIFS(DATOS!$K$2:$K$20000,DATOS!$A$2:$A$20000,G515,DATOS!$G$2:$G$20000,CONFIG_METADATA!$B$4,DATOS!$I$2:$I$20000,"Lenguaje Musical"),""))</f>
        <v/>
      </c>
      <c r="I515" t="str">
        <f>IF(G515="","",IFERROR(AVERAGEIFS(DATOS!$K$2:$K$20000,DATOS!$A$2:$A$20000,G515,DATOS!$G$2:$G$20000,CONFIG_METADATA!$B$4,DATOS!$I$2:$I$20000,"Coro"),""))</f>
        <v/>
      </c>
      <c r="J515" t="str">
        <f>IF(G515="","",IFERROR(AVERAGEIFS(DATOS!$K$2:$K$20000,DATOS!$A$2:$A$20000,G515,DATOS!$G$2:$G$20000,CONFIG_METADATA!$B$4,DATOS!$I$2:$I$20000,"Conjunto"),""))</f>
        <v/>
      </c>
      <c r="K515" t="str" cm="1">
        <f t="array" ref="K515">IF(G515="","",IFERROR(AVERAGE(IF((DATOS!$A$2:$A$20000=G515)*(DATOS!$G$2:$G$20000=CONFIG_METADATA!$B$4)*(DATOS!$I$2:$I$20000&lt;&gt;"Lenguaje Musical")*(DATOS!$I$2:$I$20000&lt;&gt;"Coro")*(DATOS!$I$2:$I$20000&lt;&gt;"Conjunto"),DATOS!$K$2:$K$20000)),""))</f>
        <v/>
      </c>
      <c r="N515" t="str">
        <f>IF(M515="","",IFERROR(AVERAGEIFS(DATOS!$K$2:$K$20000,DATOS!$A$2:$A$20000,M515,DATOS!$G$2:$G$20000,CONFIG_METADATA!$B$4,DATOS!$I$2:$I$20000,"Lenguaje Musical"),""))</f>
        <v/>
      </c>
      <c r="O515" t="str">
        <f>IF(M515="","",IFERROR(AVERAGEIFS(DATOS!$K$2:$K$20000,DATOS!$A$2:$A$20000,M515,DATOS!$G$2:$G$20000,CONFIG_METADATA!$B$4,DATOS!$I$2:$I$20000,"Coro"),""))</f>
        <v/>
      </c>
      <c r="P515" t="str">
        <f>IF(M515="","",IFERROR(AVERAGEIFS(DATOS!$K$2:$K$20000,DATOS!$A$2:$A$20000,M515,DATOS!$G$2:$G$20000,CONFIG_METADATA!$B$4,DATOS!$I$2:$I$20000,"Conjunto"),""))</f>
        <v/>
      </c>
      <c r="Q515" t="str">
        <f>IF(M515="","",IFERROR(AVERAGEIFS(DATOS!$K$2:$K$20000,DATOS!$A$2:$A$20000,M515,DATOS!$G$2:$G$20000,CONFIG_METADATA!$B$4,DATOS!$I$2:$I$20000,"&lt;&gt;Lenguaje Musical",DATOS!$I$2:$I$20000,"&lt;&gt;Coro",DATOS!$I$2:$I$20000,"&lt;&gt;Conjunto"),""))</f>
        <v/>
      </c>
      <c r="T515" t="str">
        <f>IF(S515="","",IFERROR(AVERAGEIFS(DATOS!$K$2:$K$20000,DATOS!$A$2:$A$20000,S515,DATOS!$G$2:$G$20000,CONFIG_METADATA!$B$4,DATOS!$I$2:$I$20000,"Lenguaje Musical"),""))</f>
        <v/>
      </c>
      <c r="U515" t="str">
        <f>IF(S515="","",IFERROR(AVERAGEIFS(DATOS!$K$2:$K$20000,DATOS!$A$2:$A$20000,S515,DATOS!$G$2:$G$20000,CONFIG_METADATA!$B$4,DATOS!$I$2:$I$20000,"Coro"),""))</f>
        <v/>
      </c>
      <c r="V515" t="str">
        <f>IF(S515="","",IFERROR(AVERAGEIFS(DATOS!$K$2:$K$20000,DATOS!$A$2:$A$20000,S515,DATOS!$G$2:$G$20000,CONFIG_METADATA!$B$4,DATOS!$I$2:$I$20000,"Conjunto"),""))</f>
        <v/>
      </c>
      <c r="W515" t="str" cm="1">
        <f t="array" ref="W515">IF(S515="","",IFERROR(AVERAGE(IF((DATOS!$A$2:$A$20000=S515)*(DATOS!$G$2:$G$20000=CONFIG_METADATA!$B$4)*(DATOS!$I$2:$I$20000&lt;&gt;"Lenguaje Musical")*(DATOS!$I$2:$I$20000&lt;&gt;"Coro")*(DATOS!$I$2:$I$20000&lt;&gt;"Conjunto"),DATOS!$K$2:$K$20000)),""))</f>
        <v/>
      </c>
    </row>
    <row r="516" spans="2:23" x14ac:dyDescent="0.2">
      <c r="B516" t="str">
        <f>IF(A516="","",IFERROR(AVERAGEIFS(DATOS!$K$2:$K$20000,DATOS!$A$2:$A$20000,A516,DATOS!$G$2:$G$20000,CONFIG_METADATA!$B$4,DATOS!$I$2:$I$20000,"Lenguaje Musical"),""))</f>
        <v/>
      </c>
      <c r="C516" t="str">
        <f>IF(A516="","",IFERROR(AVERAGEIFS(DATOS!$K$2:$K$20000,DATOS!$A$2:$A$20000,A516,DATOS!$G$2:$G$20000,CONFIG_METADATA!$B$4,DATOS!$I$2:$I$20000,"Coro"),""))</f>
        <v/>
      </c>
      <c r="D516" t="str">
        <f>IF(A516="","",IFERROR(AVERAGEIFS(DATOS!$K$2:$K$20000,DATOS!$A$2:$A$20000,A516,DATOS!$G$2:$G$20000,CONFIG_METADATA!$B$4,DATOS!$I$2:$I$20000,"Conjunto"),""))</f>
        <v/>
      </c>
      <c r="E516" t="str">
        <f>IF(A516="","",IFERROR(AVERAGEIFS(DATOS!$K$2:$K$20000,DATOS!$A$2:$A$20000,A516,DATOS!$G$2:$G$20000,CONFIG_METADATA!$B$4,DATOS!$I$2:$I$20000,"&lt;&gt;Lenguaje Musical",DATOS!$I$2:$I$20000,"&lt;&gt;Coro",DATOS!$I$2:$I$20000,"&lt;&gt;Conjunto"),""))</f>
        <v/>
      </c>
      <c r="H516" t="str">
        <f>IF(G516="","",IFERROR(AVERAGEIFS(DATOS!$K$2:$K$20000,DATOS!$A$2:$A$20000,G516,DATOS!$G$2:$G$20000,CONFIG_METADATA!$B$4,DATOS!$I$2:$I$20000,"Lenguaje Musical"),""))</f>
        <v/>
      </c>
      <c r="I516" t="str">
        <f>IF(G516="","",IFERROR(AVERAGEIFS(DATOS!$K$2:$K$20000,DATOS!$A$2:$A$20000,G516,DATOS!$G$2:$G$20000,CONFIG_METADATA!$B$4,DATOS!$I$2:$I$20000,"Coro"),""))</f>
        <v/>
      </c>
      <c r="J516" t="str">
        <f>IF(G516="","",IFERROR(AVERAGEIFS(DATOS!$K$2:$K$20000,DATOS!$A$2:$A$20000,G516,DATOS!$G$2:$G$20000,CONFIG_METADATA!$B$4,DATOS!$I$2:$I$20000,"Conjunto"),""))</f>
        <v/>
      </c>
      <c r="K516" t="str" cm="1">
        <f t="array" ref="K516">IF(G516="","",IFERROR(AVERAGE(IF((DATOS!$A$2:$A$20000=G516)*(DATOS!$G$2:$G$20000=CONFIG_METADATA!$B$4)*(DATOS!$I$2:$I$20000&lt;&gt;"Lenguaje Musical")*(DATOS!$I$2:$I$20000&lt;&gt;"Coro")*(DATOS!$I$2:$I$20000&lt;&gt;"Conjunto"),DATOS!$K$2:$K$20000)),""))</f>
        <v/>
      </c>
      <c r="N516" t="str">
        <f>IF(M516="","",IFERROR(AVERAGEIFS(DATOS!$K$2:$K$20000,DATOS!$A$2:$A$20000,M516,DATOS!$G$2:$G$20000,CONFIG_METADATA!$B$4,DATOS!$I$2:$I$20000,"Lenguaje Musical"),""))</f>
        <v/>
      </c>
      <c r="O516" t="str">
        <f>IF(M516="","",IFERROR(AVERAGEIFS(DATOS!$K$2:$K$20000,DATOS!$A$2:$A$20000,M516,DATOS!$G$2:$G$20000,CONFIG_METADATA!$B$4,DATOS!$I$2:$I$20000,"Coro"),""))</f>
        <v/>
      </c>
      <c r="P516" t="str">
        <f>IF(M516="","",IFERROR(AVERAGEIFS(DATOS!$K$2:$K$20000,DATOS!$A$2:$A$20000,M516,DATOS!$G$2:$G$20000,CONFIG_METADATA!$B$4,DATOS!$I$2:$I$20000,"Conjunto"),""))</f>
        <v/>
      </c>
      <c r="Q516" t="str">
        <f>IF(M516="","",IFERROR(AVERAGEIFS(DATOS!$K$2:$K$20000,DATOS!$A$2:$A$20000,M516,DATOS!$G$2:$G$20000,CONFIG_METADATA!$B$4,DATOS!$I$2:$I$20000,"&lt;&gt;Lenguaje Musical",DATOS!$I$2:$I$20000,"&lt;&gt;Coro",DATOS!$I$2:$I$20000,"&lt;&gt;Conjunto"),""))</f>
        <v/>
      </c>
      <c r="T516" t="str">
        <f>IF(S516="","",IFERROR(AVERAGEIFS(DATOS!$K$2:$K$20000,DATOS!$A$2:$A$20000,S516,DATOS!$G$2:$G$20000,CONFIG_METADATA!$B$4,DATOS!$I$2:$I$20000,"Lenguaje Musical"),""))</f>
        <v/>
      </c>
      <c r="U516" t="str">
        <f>IF(S516="","",IFERROR(AVERAGEIFS(DATOS!$K$2:$K$20000,DATOS!$A$2:$A$20000,S516,DATOS!$G$2:$G$20000,CONFIG_METADATA!$B$4,DATOS!$I$2:$I$20000,"Coro"),""))</f>
        <v/>
      </c>
      <c r="V516" t="str">
        <f>IF(S516="","",IFERROR(AVERAGEIFS(DATOS!$K$2:$K$20000,DATOS!$A$2:$A$20000,S516,DATOS!$G$2:$G$20000,CONFIG_METADATA!$B$4,DATOS!$I$2:$I$20000,"Conjunto"),""))</f>
        <v/>
      </c>
      <c r="W516" t="str" cm="1">
        <f t="array" ref="W516">IF(S516="","",IFERROR(AVERAGE(IF((DATOS!$A$2:$A$20000=S516)*(DATOS!$G$2:$G$20000=CONFIG_METADATA!$B$4)*(DATOS!$I$2:$I$20000&lt;&gt;"Lenguaje Musical")*(DATOS!$I$2:$I$20000&lt;&gt;"Coro")*(DATOS!$I$2:$I$20000&lt;&gt;"Conjunto"),DATOS!$K$2:$K$20000)),""))</f>
        <v/>
      </c>
    </row>
    <row r="517" spans="2:23" x14ac:dyDescent="0.2">
      <c r="B517" t="str">
        <f>IF(A517="","",IFERROR(AVERAGEIFS(DATOS!$K$2:$K$20000,DATOS!$A$2:$A$20000,A517,DATOS!$G$2:$G$20000,CONFIG_METADATA!$B$4,DATOS!$I$2:$I$20000,"Lenguaje Musical"),""))</f>
        <v/>
      </c>
      <c r="C517" t="str">
        <f>IF(A517="","",IFERROR(AVERAGEIFS(DATOS!$K$2:$K$20000,DATOS!$A$2:$A$20000,A517,DATOS!$G$2:$G$20000,CONFIG_METADATA!$B$4,DATOS!$I$2:$I$20000,"Coro"),""))</f>
        <v/>
      </c>
      <c r="D517" t="str">
        <f>IF(A517="","",IFERROR(AVERAGEIFS(DATOS!$K$2:$K$20000,DATOS!$A$2:$A$20000,A517,DATOS!$G$2:$G$20000,CONFIG_METADATA!$B$4,DATOS!$I$2:$I$20000,"Conjunto"),""))</f>
        <v/>
      </c>
      <c r="E517" t="str">
        <f>IF(A517="","",IFERROR(AVERAGEIFS(DATOS!$K$2:$K$20000,DATOS!$A$2:$A$20000,A517,DATOS!$G$2:$G$20000,CONFIG_METADATA!$B$4,DATOS!$I$2:$I$20000,"&lt;&gt;Lenguaje Musical",DATOS!$I$2:$I$20000,"&lt;&gt;Coro",DATOS!$I$2:$I$20000,"&lt;&gt;Conjunto"),""))</f>
        <v/>
      </c>
      <c r="H517" t="str">
        <f>IF(G517="","",IFERROR(AVERAGEIFS(DATOS!$K$2:$K$20000,DATOS!$A$2:$A$20000,G517,DATOS!$G$2:$G$20000,CONFIG_METADATA!$B$4,DATOS!$I$2:$I$20000,"Lenguaje Musical"),""))</f>
        <v/>
      </c>
      <c r="I517" t="str">
        <f>IF(G517="","",IFERROR(AVERAGEIFS(DATOS!$K$2:$K$20000,DATOS!$A$2:$A$20000,G517,DATOS!$G$2:$G$20000,CONFIG_METADATA!$B$4,DATOS!$I$2:$I$20000,"Coro"),""))</f>
        <v/>
      </c>
      <c r="J517" t="str">
        <f>IF(G517="","",IFERROR(AVERAGEIFS(DATOS!$K$2:$K$20000,DATOS!$A$2:$A$20000,G517,DATOS!$G$2:$G$20000,CONFIG_METADATA!$B$4,DATOS!$I$2:$I$20000,"Conjunto"),""))</f>
        <v/>
      </c>
      <c r="K517" t="str" cm="1">
        <f t="array" ref="K517">IF(G517="","",IFERROR(AVERAGE(IF((DATOS!$A$2:$A$20000=G517)*(DATOS!$G$2:$G$20000=CONFIG_METADATA!$B$4)*(DATOS!$I$2:$I$20000&lt;&gt;"Lenguaje Musical")*(DATOS!$I$2:$I$20000&lt;&gt;"Coro")*(DATOS!$I$2:$I$20000&lt;&gt;"Conjunto"),DATOS!$K$2:$K$20000)),""))</f>
        <v/>
      </c>
      <c r="N517" t="str">
        <f>IF(M517="","",IFERROR(AVERAGEIFS(DATOS!$K$2:$K$20000,DATOS!$A$2:$A$20000,M517,DATOS!$G$2:$G$20000,CONFIG_METADATA!$B$4,DATOS!$I$2:$I$20000,"Lenguaje Musical"),""))</f>
        <v/>
      </c>
      <c r="O517" t="str">
        <f>IF(M517="","",IFERROR(AVERAGEIFS(DATOS!$K$2:$K$20000,DATOS!$A$2:$A$20000,M517,DATOS!$G$2:$G$20000,CONFIG_METADATA!$B$4,DATOS!$I$2:$I$20000,"Coro"),""))</f>
        <v/>
      </c>
      <c r="P517" t="str">
        <f>IF(M517="","",IFERROR(AVERAGEIFS(DATOS!$K$2:$K$20000,DATOS!$A$2:$A$20000,M517,DATOS!$G$2:$G$20000,CONFIG_METADATA!$B$4,DATOS!$I$2:$I$20000,"Conjunto"),""))</f>
        <v/>
      </c>
      <c r="Q517" t="str">
        <f>IF(M517="","",IFERROR(AVERAGEIFS(DATOS!$K$2:$K$20000,DATOS!$A$2:$A$20000,M517,DATOS!$G$2:$G$20000,CONFIG_METADATA!$B$4,DATOS!$I$2:$I$20000,"&lt;&gt;Lenguaje Musical",DATOS!$I$2:$I$20000,"&lt;&gt;Coro",DATOS!$I$2:$I$20000,"&lt;&gt;Conjunto"),""))</f>
        <v/>
      </c>
      <c r="T517" t="str">
        <f>IF(S517="","",IFERROR(AVERAGEIFS(DATOS!$K$2:$K$20000,DATOS!$A$2:$A$20000,S517,DATOS!$G$2:$G$20000,CONFIG_METADATA!$B$4,DATOS!$I$2:$I$20000,"Lenguaje Musical"),""))</f>
        <v/>
      </c>
      <c r="U517" t="str">
        <f>IF(S517="","",IFERROR(AVERAGEIFS(DATOS!$K$2:$K$20000,DATOS!$A$2:$A$20000,S517,DATOS!$G$2:$G$20000,CONFIG_METADATA!$B$4,DATOS!$I$2:$I$20000,"Coro"),""))</f>
        <v/>
      </c>
      <c r="V517" t="str">
        <f>IF(S517="","",IFERROR(AVERAGEIFS(DATOS!$K$2:$K$20000,DATOS!$A$2:$A$20000,S517,DATOS!$G$2:$G$20000,CONFIG_METADATA!$B$4,DATOS!$I$2:$I$20000,"Conjunto"),""))</f>
        <v/>
      </c>
      <c r="W517" t="str" cm="1">
        <f t="array" ref="W517">IF(S517="","",IFERROR(AVERAGE(IF((DATOS!$A$2:$A$20000=S517)*(DATOS!$G$2:$G$20000=CONFIG_METADATA!$B$4)*(DATOS!$I$2:$I$20000&lt;&gt;"Lenguaje Musical")*(DATOS!$I$2:$I$20000&lt;&gt;"Coro")*(DATOS!$I$2:$I$20000&lt;&gt;"Conjunto"),DATOS!$K$2:$K$20000)),""))</f>
        <v/>
      </c>
    </row>
    <row r="518" spans="2:23" x14ac:dyDescent="0.2">
      <c r="B518" t="str">
        <f>IF(A518="","",IFERROR(AVERAGEIFS(DATOS!$K$2:$K$20000,DATOS!$A$2:$A$20000,A518,DATOS!$G$2:$G$20000,CONFIG_METADATA!$B$4,DATOS!$I$2:$I$20000,"Lenguaje Musical"),""))</f>
        <v/>
      </c>
      <c r="C518" t="str">
        <f>IF(A518="","",IFERROR(AVERAGEIFS(DATOS!$K$2:$K$20000,DATOS!$A$2:$A$20000,A518,DATOS!$G$2:$G$20000,CONFIG_METADATA!$B$4,DATOS!$I$2:$I$20000,"Coro"),""))</f>
        <v/>
      </c>
      <c r="D518" t="str">
        <f>IF(A518="","",IFERROR(AVERAGEIFS(DATOS!$K$2:$K$20000,DATOS!$A$2:$A$20000,A518,DATOS!$G$2:$G$20000,CONFIG_METADATA!$B$4,DATOS!$I$2:$I$20000,"Conjunto"),""))</f>
        <v/>
      </c>
      <c r="E518" t="str">
        <f>IF(A518="","",IFERROR(AVERAGEIFS(DATOS!$K$2:$K$20000,DATOS!$A$2:$A$20000,A518,DATOS!$G$2:$G$20000,CONFIG_METADATA!$B$4,DATOS!$I$2:$I$20000,"&lt;&gt;Lenguaje Musical",DATOS!$I$2:$I$20000,"&lt;&gt;Coro",DATOS!$I$2:$I$20000,"&lt;&gt;Conjunto"),""))</f>
        <v/>
      </c>
      <c r="H518" t="str">
        <f>IF(G518="","",IFERROR(AVERAGEIFS(DATOS!$K$2:$K$20000,DATOS!$A$2:$A$20000,G518,DATOS!$G$2:$G$20000,CONFIG_METADATA!$B$4,DATOS!$I$2:$I$20000,"Lenguaje Musical"),""))</f>
        <v/>
      </c>
      <c r="I518" t="str">
        <f>IF(G518="","",IFERROR(AVERAGEIFS(DATOS!$K$2:$K$20000,DATOS!$A$2:$A$20000,G518,DATOS!$G$2:$G$20000,CONFIG_METADATA!$B$4,DATOS!$I$2:$I$20000,"Coro"),""))</f>
        <v/>
      </c>
      <c r="J518" t="str">
        <f>IF(G518="","",IFERROR(AVERAGEIFS(DATOS!$K$2:$K$20000,DATOS!$A$2:$A$20000,G518,DATOS!$G$2:$G$20000,CONFIG_METADATA!$B$4,DATOS!$I$2:$I$20000,"Conjunto"),""))</f>
        <v/>
      </c>
      <c r="K518" t="str" cm="1">
        <f t="array" ref="K518">IF(G518="","",IFERROR(AVERAGE(IF((DATOS!$A$2:$A$20000=G518)*(DATOS!$G$2:$G$20000=CONFIG_METADATA!$B$4)*(DATOS!$I$2:$I$20000&lt;&gt;"Lenguaje Musical")*(DATOS!$I$2:$I$20000&lt;&gt;"Coro")*(DATOS!$I$2:$I$20000&lt;&gt;"Conjunto"),DATOS!$K$2:$K$20000)),""))</f>
        <v/>
      </c>
      <c r="N518" t="str">
        <f>IF(M518="","",IFERROR(AVERAGEIFS(DATOS!$K$2:$K$20000,DATOS!$A$2:$A$20000,M518,DATOS!$G$2:$G$20000,CONFIG_METADATA!$B$4,DATOS!$I$2:$I$20000,"Lenguaje Musical"),""))</f>
        <v/>
      </c>
      <c r="O518" t="str">
        <f>IF(M518="","",IFERROR(AVERAGEIFS(DATOS!$K$2:$K$20000,DATOS!$A$2:$A$20000,M518,DATOS!$G$2:$G$20000,CONFIG_METADATA!$B$4,DATOS!$I$2:$I$20000,"Coro"),""))</f>
        <v/>
      </c>
      <c r="P518" t="str">
        <f>IF(M518="","",IFERROR(AVERAGEIFS(DATOS!$K$2:$K$20000,DATOS!$A$2:$A$20000,M518,DATOS!$G$2:$G$20000,CONFIG_METADATA!$B$4,DATOS!$I$2:$I$20000,"Conjunto"),""))</f>
        <v/>
      </c>
      <c r="Q518" t="str">
        <f>IF(M518="","",IFERROR(AVERAGEIFS(DATOS!$K$2:$K$20000,DATOS!$A$2:$A$20000,M518,DATOS!$G$2:$G$20000,CONFIG_METADATA!$B$4,DATOS!$I$2:$I$20000,"&lt;&gt;Lenguaje Musical",DATOS!$I$2:$I$20000,"&lt;&gt;Coro",DATOS!$I$2:$I$20000,"&lt;&gt;Conjunto"),""))</f>
        <v/>
      </c>
      <c r="T518" t="str">
        <f>IF(S518="","",IFERROR(AVERAGEIFS(DATOS!$K$2:$K$20000,DATOS!$A$2:$A$20000,S518,DATOS!$G$2:$G$20000,CONFIG_METADATA!$B$4,DATOS!$I$2:$I$20000,"Lenguaje Musical"),""))</f>
        <v/>
      </c>
      <c r="U518" t="str">
        <f>IF(S518="","",IFERROR(AVERAGEIFS(DATOS!$K$2:$K$20000,DATOS!$A$2:$A$20000,S518,DATOS!$G$2:$G$20000,CONFIG_METADATA!$B$4,DATOS!$I$2:$I$20000,"Coro"),""))</f>
        <v/>
      </c>
      <c r="V518" t="str">
        <f>IF(S518="","",IFERROR(AVERAGEIFS(DATOS!$K$2:$K$20000,DATOS!$A$2:$A$20000,S518,DATOS!$G$2:$G$20000,CONFIG_METADATA!$B$4,DATOS!$I$2:$I$20000,"Conjunto"),""))</f>
        <v/>
      </c>
      <c r="W518" t="str" cm="1">
        <f t="array" ref="W518">IF(S518="","",IFERROR(AVERAGE(IF((DATOS!$A$2:$A$20000=S518)*(DATOS!$G$2:$G$20000=CONFIG_METADATA!$B$4)*(DATOS!$I$2:$I$20000&lt;&gt;"Lenguaje Musical")*(DATOS!$I$2:$I$20000&lt;&gt;"Coro")*(DATOS!$I$2:$I$20000&lt;&gt;"Conjunto"),DATOS!$K$2:$K$20000)),""))</f>
        <v/>
      </c>
    </row>
    <row r="519" spans="2:23" x14ac:dyDescent="0.2">
      <c r="B519" t="str">
        <f>IF(A519="","",IFERROR(AVERAGEIFS(DATOS!$K$2:$K$20000,DATOS!$A$2:$A$20000,A519,DATOS!$G$2:$G$20000,CONFIG_METADATA!$B$4,DATOS!$I$2:$I$20000,"Lenguaje Musical"),""))</f>
        <v/>
      </c>
      <c r="C519" t="str">
        <f>IF(A519="","",IFERROR(AVERAGEIFS(DATOS!$K$2:$K$20000,DATOS!$A$2:$A$20000,A519,DATOS!$G$2:$G$20000,CONFIG_METADATA!$B$4,DATOS!$I$2:$I$20000,"Coro"),""))</f>
        <v/>
      </c>
      <c r="D519" t="str">
        <f>IF(A519="","",IFERROR(AVERAGEIFS(DATOS!$K$2:$K$20000,DATOS!$A$2:$A$20000,A519,DATOS!$G$2:$G$20000,CONFIG_METADATA!$B$4,DATOS!$I$2:$I$20000,"Conjunto"),""))</f>
        <v/>
      </c>
      <c r="E519" t="str">
        <f>IF(A519="","",IFERROR(AVERAGEIFS(DATOS!$K$2:$K$20000,DATOS!$A$2:$A$20000,A519,DATOS!$G$2:$G$20000,CONFIG_METADATA!$B$4,DATOS!$I$2:$I$20000,"&lt;&gt;Lenguaje Musical",DATOS!$I$2:$I$20000,"&lt;&gt;Coro",DATOS!$I$2:$I$20000,"&lt;&gt;Conjunto"),""))</f>
        <v/>
      </c>
      <c r="H519" t="str">
        <f>IF(G519="","",IFERROR(AVERAGEIFS(DATOS!$K$2:$K$20000,DATOS!$A$2:$A$20000,G519,DATOS!$G$2:$G$20000,CONFIG_METADATA!$B$4,DATOS!$I$2:$I$20000,"Lenguaje Musical"),""))</f>
        <v/>
      </c>
      <c r="I519" t="str">
        <f>IF(G519="","",IFERROR(AVERAGEIFS(DATOS!$K$2:$K$20000,DATOS!$A$2:$A$20000,G519,DATOS!$G$2:$G$20000,CONFIG_METADATA!$B$4,DATOS!$I$2:$I$20000,"Coro"),""))</f>
        <v/>
      </c>
      <c r="J519" t="str">
        <f>IF(G519="","",IFERROR(AVERAGEIFS(DATOS!$K$2:$K$20000,DATOS!$A$2:$A$20000,G519,DATOS!$G$2:$G$20000,CONFIG_METADATA!$B$4,DATOS!$I$2:$I$20000,"Conjunto"),""))</f>
        <v/>
      </c>
      <c r="K519" t="str" cm="1">
        <f t="array" ref="K519">IF(G519="","",IFERROR(AVERAGE(IF((DATOS!$A$2:$A$20000=G519)*(DATOS!$G$2:$G$20000=CONFIG_METADATA!$B$4)*(DATOS!$I$2:$I$20000&lt;&gt;"Lenguaje Musical")*(DATOS!$I$2:$I$20000&lt;&gt;"Coro")*(DATOS!$I$2:$I$20000&lt;&gt;"Conjunto"),DATOS!$K$2:$K$20000)),""))</f>
        <v/>
      </c>
      <c r="N519" t="str">
        <f>IF(M519="","",IFERROR(AVERAGEIFS(DATOS!$K$2:$K$20000,DATOS!$A$2:$A$20000,M519,DATOS!$G$2:$G$20000,CONFIG_METADATA!$B$4,DATOS!$I$2:$I$20000,"Lenguaje Musical"),""))</f>
        <v/>
      </c>
      <c r="O519" t="str">
        <f>IF(M519="","",IFERROR(AVERAGEIFS(DATOS!$K$2:$K$20000,DATOS!$A$2:$A$20000,M519,DATOS!$G$2:$G$20000,CONFIG_METADATA!$B$4,DATOS!$I$2:$I$20000,"Coro"),""))</f>
        <v/>
      </c>
      <c r="P519" t="str">
        <f>IF(M519="","",IFERROR(AVERAGEIFS(DATOS!$K$2:$K$20000,DATOS!$A$2:$A$20000,M519,DATOS!$G$2:$G$20000,CONFIG_METADATA!$B$4,DATOS!$I$2:$I$20000,"Conjunto"),""))</f>
        <v/>
      </c>
      <c r="Q519" t="str">
        <f>IF(M519="","",IFERROR(AVERAGEIFS(DATOS!$K$2:$K$20000,DATOS!$A$2:$A$20000,M519,DATOS!$G$2:$G$20000,CONFIG_METADATA!$B$4,DATOS!$I$2:$I$20000,"&lt;&gt;Lenguaje Musical",DATOS!$I$2:$I$20000,"&lt;&gt;Coro",DATOS!$I$2:$I$20000,"&lt;&gt;Conjunto"),""))</f>
        <v/>
      </c>
      <c r="T519" t="str">
        <f>IF(S519="","",IFERROR(AVERAGEIFS(DATOS!$K$2:$K$20000,DATOS!$A$2:$A$20000,S519,DATOS!$G$2:$G$20000,CONFIG_METADATA!$B$4,DATOS!$I$2:$I$20000,"Lenguaje Musical"),""))</f>
        <v/>
      </c>
      <c r="U519" t="str">
        <f>IF(S519="","",IFERROR(AVERAGEIFS(DATOS!$K$2:$K$20000,DATOS!$A$2:$A$20000,S519,DATOS!$G$2:$G$20000,CONFIG_METADATA!$B$4,DATOS!$I$2:$I$20000,"Coro"),""))</f>
        <v/>
      </c>
      <c r="V519" t="str">
        <f>IF(S519="","",IFERROR(AVERAGEIFS(DATOS!$K$2:$K$20000,DATOS!$A$2:$A$20000,S519,DATOS!$G$2:$G$20000,CONFIG_METADATA!$B$4,DATOS!$I$2:$I$20000,"Conjunto"),""))</f>
        <v/>
      </c>
      <c r="W519" t="str" cm="1">
        <f t="array" ref="W519">IF(S519="","",IFERROR(AVERAGE(IF((DATOS!$A$2:$A$20000=S519)*(DATOS!$G$2:$G$20000=CONFIG_METADATA!$B$4)*(DATOS!$I$2:$I$20000&lt;&gt;"Lenguaje Musical")*(DATOS!$I$2:$I$20000&lt;&gt;"Coro")*(DATOS!$I$2:$I$20000&lt;&gt;"Conjunto"),DATOS!$K$2:$K$20000)),""))</f>
        <v/>
      </c>
    </row>
    <row r="520" spans="2:23" x14ac:dyDescent="0.2">
      <c r="B520" t="str">
        <f>IF(A520="","",IFERROR(AVERAGEIFS(DATOS!$K$2:$K$20000,DATOS!$A$2:$A$20000,A520,DATOS!$G$2:$G$20000,CONFIG_METADATA!$B$4,DATOS!$I$2:$I$20000,"Lenguaje Musical"),""))</f>
        <v/>
      </c>
      <c r="C520" t="str">
        <f>IF(A520="","",IFERROR(AVERAGEIFS(DATOS!$K$2:$K$20000,DATOS!$A$2:$A$20000,A520,DATOS!$G$2:$G$20000,CONFIG_METADATA!$B$4,DATOS!$I$2:$I$20000,"Coro"),""))</f>
        <v/>
      </c>
      <c r="D520" t="str">
        <f>IF(A520="","",IFERROR(AVERAGEIFS(DATOS!$K$2:$K$20000,DATOS!$A$2:$A$20000,A520,DATOS!$G$2:$G$20000,CONFIG_METADATA!$B$4,DATOS!$I$2:$I$20000,"Conjunto"),""))</f>
        <v/>
      </c>
      <c r="E520" t="str">
        <f>IF(A520="","",IFERROR(AVERAGEIFS(DATOS!$K$2:$K$20000,DATOS!$A$2:$A$20000,A520,DATOS!$G$2:$G$20000,CONFIG_METADATA!$B$4,DATOS!$I$2:$I$20000,"&lt;&gt;Lenguaje Musical",DATOS!$I$2:$I$20000,"&lt;&gt;Coro",DATOS!$I$2:$I$20000,"&lt;&gt;Conjunto"),""))</f>
        <v/>
      </c>
      <c r="H520" t="str">
        <f>IF(G520="","",IFERROR(AVERAGEIFS(DATOS!$K$2:$K$20000,DATOS!$A$2:$A$20000,G520,DATOS!$G$2:$G$20000,CONFIG_METADATA!$B$4,DATOS!$I$2:$I$20000,"Lenguaje Musical"),""))</f>
        <v/>
      </c>
      <c r="I520" t="str">
        <f>IF(G520="","",IFERROR(AVERAGEIFS(DATOS!$K$2:$K$20000,DATOS!$A$2:$A$20000,G520,DATOS!$G$2:$G$20000,CONFIG_METADATA!$B$4,DATOS!$I$2:$I$20000,"Coro"),""))</f>
        <v/>
      </c>
      <c r="J520" t="str">
        <f>IF(G520="","",IFERROR(AVERAGEIFS(DATOS!$K$2:$K$20000,DATOS!$A$2:$A$20000,G520,DATOS!$G$2:$G$20000,CONFIG_METADATA!$B$4,DATOS!$I$2:$I$20000,"Conjunto"),""))</f>
        <v/>
      </c>
      <c r="K520" t="str" cm="1">
        <f t="array" ref="K520">IF(G520="","",IFERROR(AVERAGE(IF((DATOS!$A$2:$A$20000=G520)*(DATOS!$G$2:$G$20000=CONFIG_METADATA!$B$4)*(DATOS!$I$2:$I$20000&lt;&gt;"Lenguaje Musical")*(DATOS!$I$2:$I$20000&lt;&gt;"Coro")*(DATOS!$I$2:$I$20000&lt;&gt;"Conjunto"),DATOS!$K$2:$K$20000)),""))</f>
        <v/>
      </c>
      <c r="N520" t="str">
        <f>IF(M520="","",IFERROR(AVERAGEIFS(DATOS!$K$2:$K$20000,DATOS!$A$2:$A$20000,M520,DATOS!$G$2:$G$20000,CONFIG_METADATA!$B$4,DATOS!$I$2:$I$20000,"Lenguaje Musical"),""))</f>
        <v/>
      </c>
      <c r="O520" t="str">
        <f>IF(M520="","",IFERROR(AVERAGEIFS(DATOS!$K$2:$K$20000,DATOS!$A$2:$A$20000,M520,DATOS!$G$2:$G$20000,CONFIG_METADATA!$B$4,DATOS!$I$2:$I$20000,"Coro"),""))</f>
        <v/>
      </c>
      <c r="P520" t="str">
        <f>IF(M520="","",IFERROR(AVERAGEIFS(DATOS!$K$2:$K$20000,DATOS!$A$2:$A$20000,M520,DATOS!$G$2:$G$20000,CONFIG_METADATA!$B$4,DATOS!$I$2:$I$20000,"Conjunto"),""))</f>
        <v/>
      </c>
      <c r="Q520" t="str">
        <f>IF(M520="","",IFERROR(AVERAGEIFS(DATOS!$K$2:$K$20000,DATOS!$A$2:$A$20000,M520,DATOS!$G$2:$G$20000,CONFIG_METADATA!$B$4,DATOS!$I$2:$I$20000,"&lt;&gt;Lenguaje Musical",DATOS!$I$2:$I$20000,"&lt;&gt;Coro",DATOS!$I$2:$I$20000,"&lt;&gt;Conjunto"),""))</f>
        <v/>
      </c>
      <c r="T520" t="str">
        <f>IF(S520="","",IFERROR(AVERAGEIFS(DATOS!$K$2:$K$20000,DATOS!$A$2:$A$20000,S520,DATOS!$G$2:$G$20000,CONFIG_METADATA!$B$4,DATOS!$I$2:$I$20000,"Lenguaje Musical"),""))</f>
        <v/>
      </c>
      <c r="U520" t="str">
        <f>IF(S520="","",IFERROR(AVERAGEIFS(DATOS!$K$2:$K$20000,DATOS!$A$2:$A$20000,S520,DATOS!$G$2:$G$20000,CONFIG_METADATA!$B$4,DATOS!$I$2:$I$20000,"Coro"),""))</f>
        <v/>
      </c>
      <c r="V520" t="str">
        <f>IF(S520="","",IFERROR(AVERAGEIFS(DATOS!$K$2:$K$20000,DATOS!$A$2:$A$20000,S520,DATOS!$G$2:$G$20000,CONFIG_METADATA!$B$4,DATOS!$I$2:$I$20000,"Conjunto"),""))</f>
        <v/>
      </c>
      <c r="W520" t="str" cm="1">
        <f t="array" ref="W520">IF(S520="","",IFERROR(AVERAGE(IF((DATOS!$A$2:$A$20000=S520)*(DATOS!$G$2:$G$20000=CONFIG_METADATA!$B$4)*(DATOS!$I$2:$I$20000&lt;&gt;"Lenguaje Musical")*(DATOS!$I$2:$I$20000&lt;&gt;"Coro")*(DATOS!$I$2:$I$20000&lt;&gt;"Conjunto"),DATOS!$K$2:$K$20000)),""))</f>
        <v/>
      </c>
    </row>
    <row r="521" spans="2:23" x14ac:dyDescent="0.2">
      <c r="B521" t="str">
        <f>IF(A521="","",IFERROR(AVERAGEIFS(DATOS!$K$2:$K$20000,DATOS!$A$2:$A$20000,A521,DATOS!$G$2:$G$20000,CONFIG_METADATA!$B$4,DATOS!$I$2:$I$20000,"Lenguaje Musical"),""))</f>
        <v/>
      </c>
      <c r="C521" t="str">
        <f>IF(A521="","",IFERROR(AVERAGEIFS(DATOS!$K$2:$K$20000,DATOS!$A$2:$A$20000,A521,DATOS!$G$2:$G$20000,CONFIG_METADATA!$B$4,DATOS!$I$2:$I$20000,"Coro"),""))</f>
        <v/>
      </c>
      <c r="D521" t="str">
        <f>IF(A521="","",IFERROR(AVERAGEIFS(DATOS!$K$2:$K$20000,DATOS!$A$2:$A$20000,A521,DATOS!$G$2:$G$20000,CONFIG_METADATA!$B$4,DATOS!$I$2:$I$20000,"Conjunto"),""))</f>
        <v/>
      </c>
      <c r="E521" t="str">
        <f>IF(A521="","",IFERROR(AVERAGEIFS(DATOS!$K$2:$K$20000,DATOS!$A$2:$A$20000,A521,DATOS!$G$2:$G$20000,CONFIG_METADATA!$B$4,DATOS!$I$2:$I$20000,"&lt;&gt;Lenguaje Musical",DATOS!$I$2:$I$20000,"&lt;&gt;Coro",DATOS!$I$2:$I$20000,"&lt;&gt;Conjunto"),""))</f>
        <v/>
      </c>
      <c r="H521" t="str">
        <f>IF(G521="","",IFERROR(AVERAGEIFS(DATOS!$K$2:$K$20000,DATOS!$A$2:$A$20000,G521,DATOS!$G$2:$G$20000,CONFIG_METADATA!$B$4,DATOS!$I$2:$I$20000,"Lenguaje Musical"),""))</f>
        <v/>
      </c>
      <c r="I521" t="str">
        <f>IF(G521="","",IFERROR(AVERAGEIFS(DATOS!$K$2:$K$20000,DATOS!$A$2:$A$20000,G521,DATOS!$G$2:$G$20000,CONFIG_METADATA!$B$4,DATOS!$I$2:$I$20000,"Coro"),""))</f>
        <v/>
      </c>
      <c r="J521" t="str">
        <f>IF(G521="","",IFERROR(AVERAGEIFS(DATOS!$K$2:$K$20000,DATOS!$A$2:$A$20000,G521,DATOS!$G$2:$G$20000,CONFIG_METADATA!$B$4,DATOS!$I$2:$I$20000,"Conjunto"),""))</f>
        <v/>
      </c>
      <c r="K521" t="str" cm="1">
        <f t="array" ref="K521">IF(G521="","",IFERROR(AVERAGE(IF((DATOS!$A$2:$A$20000=G521)*(DATOS!$G$2:$G$20000=CONFIG_METADATA!$B$4)*(DATOS!$I$2:$I$20000&lt;&gt;"Lenguaje Musical")*(DATOS!$I$2:$I$20000&lt;&gt;"Coro")*(DATOS!$I$2:$I$20000&lt;&gt;"Conjunto"),DATOS!$K$2:$K$20000)),""))</f>
        <v/>
      </c>
      <c r="N521" t="str">
        <f>IF(M521="","",IFERROR(AVERAGEIFS(DATOS!$K$2:$K$20000,DATOS!$A$2:$A$20000,M521,DATOS!$G$2:$G$20000,CONFIG_METADATA!$B$4,DATOS!$I$2:$I$20000,"Lenguaje Musical"),""))</f>
        <v/>
      </c>
      <c r="O521" t="str">
        <f>IF(M521="","",IFERROR(AVERAGEIFS(DATOS!$K$2:$K$20000,DATOS!$A$2:$A$20000,M521,DATOS!$G$2:$G$20000,CONFIG_METADATA!$B$4,DATOS!$I$2:$I$20000,"Coro"),""))</f>
        <v/>
      </c>
      <c r="P521" t="str">
        <f>IF(M521="","",IFERROR(AVERAGEIFS(DATOS!$K$2:$K$20000,DATOS!$A$2:$A$20000,M521,DATOS!$G$2:$G$20000,CONFIG_METADATA!$B$4,DATOS!$I$2:$I$20000,"Conjunto"),""))</f>
        <v/>
      </c>
      <c r="Q521" t="str">
        <f>IF(M521="","",IFERROR(AVERAGEIFS(DATOS!$K$2:$K$20000,DATOS!$A$2:$A$20000,M521,DATOS!$G$2:$G$20000,CONFIG_METADATA!$B$4,DATOS!$I$2:$I$20000,"&lt;&gt;Lenguaje Musical",DATOS!$I$2:$I$20000,"&lt;&gt;Coro",DATOS!$I$2:$I$20000,"&lt;&gt;Conjunto"),""))</f>
        <v/>
      </c>
      <c r="T521" t="str">
        <f>IF(S521="","",IFERROR(AVERAGEIFS(DATOS!$K$2:$K$20000,DATOS!$A$2:$A$20000,S521,DATOS!$G$2:$G$20000,CONFIG_METADATA!$B$4,DATOS!$I$2:$I$20000,"Lenguaje Musical"),""))</f>
        <v/>
      </c>
      <c r="U521" t="str">
        <f>IF(S521="","",IFERROR(AVERAGEIFS(DATOS!$K$2:$K$20000,DATOS!$A$2:$A$20000,S521,DATOS!$G$2:$G$20000,CONFIG_METADATA!$B$4,DATOS!$I$2:$I$20000,"Coro"),""))</f>
        <v/>
      </c>
      <c r="V521" t="str">
        <f>IF(S521="","",IFERROR(AVERAGEIFS(DATOS!$K$2:$K$20000,DATOS!$A$2:$A$20000,S521,DATOS!$G$2:$G$20000,CONFIG_METADATA!$B$4,DATOS!$I$2:$I$20000,"Conjunto"),""))</f>
        <v/>
      </c>
      <c r="W521" t="str" cm="1">
        <f t="array" ref="W521">IF(S521="","",IFERROR(AVERAGE(IF((DATOS!$A$2:$A$20000=S521)*(DATOS!$G$2:$G$20000=CONFIG_METADATA!$B$4)*(DATOS!$I$2:$I$20000&lt;&gt;"Lenguaje Musical")*(DATOS!$I$2:$I$20000&lt;&gt;"Coro")*(DATOS!$I$2:$I$20000&lt;&gt;"Conjunto"),DATOS!$K$2:$K$20000)),""))</f>
        <v/>
      </c>
    </row>
    <row r="522" spans="2:23" x14ac:dyDescent="0.2">
      <c r="B522" t="str">
        <f>IF(A522="","",IFERROR(AVERAGEIFS(DATOS!$K$2:$K$20000,DATOS!$A$2:$A$20000,A522,DATOS!$G$2:$G$20000,CONFIG_METADATA!$B$4,DATOS!$I$2:$I$20000,"Lenguaje Musical"),""))</f>
        <v/>
      </c>
      <c r="C522" t="str">
        <f>IF(A522="","",IFERROR(AVERAGEIFS(DATOS!$K$2:$K$20000,DATOS!$A$2:$A$20000,A522,DATOS!$G$2:$G$20000,CONFIG_METADATA!$B$4,DATOS!$I$2:$I$20000,"Coro"),""))</f>
        <v/>
      </c>
      <c r="D522" t="str">
        <f>IF(A522="","",IFERROR(AVERAGEIFS(DATOS!$K$2:$K$20000,DATOS!$A$2:$A$20000,A522,DATOS!$G$2:$G$20000,CONFIG_METADATA!$B$4,DATOS!$I$2:$I$20000,"Conjunto"),""))</f>
        <v/>
      </c>
      <c r="E522" t="str">
        <f>IF(A522="","",IFERROR(AVERAGEIFS(DATOS!$K$2:$K$20000,DATOS!$A$2:$A$20000,A522,DATOS!$G$2:$G$20000,CONFIG_METADATA!$B$4,DATOS!$I$2:$I$20000,"&lt;&gt;Lenguaje Musical",DATOS!$I$2:$I$20000,"&lt;&gt;Coro",DATOS!$I$2:$I$20000,"&lt;&gt;Conjunto"),""))</f>
        <v/>
      </c>
      <c r="H522" t="str">
        <f>IF(G522="","",IFERROR(AVERAGEIFS(DATOS!$K$2:$K$20000,DATOS!$A$2:$A$20000,G522,DATOS!$G$2:$G$20000,CONFIG_METADATA!$B$4,DATOS!$I$2:$I$20000,"Lenguaje Musical"),""))</f>
        <v/>
      </c>
      <c r="I522" t="str">
        <f>IF(G522="","",IFERROR(AVERAGEIFS(DATOS!$K$2:$K$20000,DATOS!$A$2:$A$20000,G522,DATOS!$G$2:$G$20000,CONFIG_METADATA!$B$4,DATOS!$I$2:$I$20000,"Coro"),""))</f>
        <v/>
      </c>
      <c r="J522" t="str">
        <f>IF(G522="","",IFERROR(AVERAGEIFS(DATOS!$K$2:$K$20000,DATOS!$A$2:$A$20000,G522,DATOS!$G$2:$G$20000,CONFIG_METADATA!$B$4,DATOS!$I$2:$I$20000,"Conjunto"),""))</f>
        <v/>
      </c>
      <c r="K522" t="str" cm="1">
        <f t="array" ref="K522">IF(G522="","",IFERROR(AVERAGE(IF((DATOS!$A$2:$A$20000=G522)*(DATOS!$G$2:$G$20000=CONFIG_METADATA!$B$4)*(DATOS!$I$2:$I$20000&lt;&gt;"Lenguaje Musical")*(DATOS!$I$2:$I$20000&lt;&gt;"Coro")*(DATOS!$I$2:$I$20000&lt;&gt;"Conjunto"),DATOS!$K$2:$K$20000)),""))</f>
        <v/>
      </c>
      <c r="N522" t="str">
        <f>IF(M522="","",IFERROR(AVERAGEIFS(DATOS!$K$2:$K$20000,DATOS!$A$2:$A$20000,M522,DATOS!$G$2:$G$20000,CONFIG_METADATA!$B$4,DATOS!$I$2:$I$20000,"Lenguaje Musical"),""))</f>
        <v/>
      </c>
      <c r="O522" t="str">
        <f>IF(M522="","",IFERROR(AVERAGEIFS(DATOS!$K$2:$K$20000,DATOS!$A$2:$A$20000,M522,DATOS!$G$2:$G$20000,CONFIG_METADATA!$B$4,DATOS!$I$2:$I$20000,"Coro"),""))</f>
        <v/>
      </c>
      <c r="P522" t="str">
        <f>IF(M522="","",IFERROR(AVERAGEIFS(DATOS!$K$2:$K$20000,DATOS!$A$2:$A$20000,M522,DATOS!$G$2:$G$20000,CONFIG_METADATA!$B$4,DATOS!$I$2:$I$20000,"Conjunto"),""))</f>
        <v/>
      </c>
      <c r="Q522" t="str">
        <f>IF(M522="","",IFERROR(AVERAGEIFS(DATOS!$K$2:$K$20000,DATOS!$A$2:$A$20000,M522,DATOS!$G$2:$G$20000,CONFIG_METADATA!$B$4,DATOS!$I$2:$I$20000,"&lt;&gt;Lenguaje Musical",DATOS!$I$2:$I$20000,"&lt;&gt;Coro",DATOS!$I$2:$I$20000,"&lt;&gt;Conjunto"),""))</f>
        <v/>
      </c>
      <c r="T522" t="str">
        <f>IF(S522="","",IFERROR(AVERAGEIFS(DATOS!$K$2:$K$20000,DATOS!$A$2:$A$20000,S522,DATOS!$G$2:$G$20000,CONFIG_METADATA!$B$4,DATOS!$I$2:$I$20000,"Lenguaje Musical"),""))</f>
        <v/>
      </c>
      <c r="U522" t="str">
        <f>IF(S522="","",IFERROR(AVERAGEIFS(DATOS!$K$2:$K$20000,DATOS!$A$2:$A$20000,S522,DATOS!$G$2:$G$20000,CONFIG_METADATA!$B$4,DATOS!$I$2:$I$20000,"Coro"),""))</f>
        <v/>
      </c>
      <c r="V522" t="str">
        <f>IF(S522="","",IFERROR(AVERAGEIFS(DATOS!$K$2:$K$20000,DATOS!$A$2:$A$20000,S522,DATOS!$G$2:$G$20000,CONFIG_METADATA!$B$4,DATOS!$I$2:$I$20000,"Conjunto"),""))</f>
        <v/>
      </c>
      <c r="W522" t="str" cm="1">
        <f t="array" ref="W522">IF(S522="","",IFERROR(AVERAGE(IF((DATOS!$A$2:$A$20000=S522)*(DATOS!$G$2:$G$20000=CONFIG_METADATA!$B$4)*(DATOS!$I$2:$I$20000&lt;&gt;"Lenguaje Musical")*(DATOS!$I$2:$I$20000&lt;&gt;"Coro")*(DATOS!$I$2:$I$20000&lt;&gt;"Conjunto"),DATOS!$K$2:$K$20000)),""))</f>
        <v/>
      </c>
    </row>
    <row r="523" spans="2:23" x14ac:dyDescent="0.2">
      <c r="B523" t="str">
        <f>IF(A523="","",IFERROR(AVERAGEIFS(DATOS!$K$2:$K$20000,DATOS!$A$2:$A$20000,A523,DATOS!$G$2:$G$20000,CONFIG_METADATA!$B$4,DATOS!$I$2:$I$20000,"Lenguaje Musical"),""))</f>
        <v/>
      </c>
      <c r="C523" t="str">
        <f>IF(A523="","",IFERROR(AVERAGEIFS(DATOS!$K$2:$K$20000,DATOS!$A$2:$A$20000,A523,DATOS!$G$2:$G$20000,CONFIG_METADATA!$B$4,DATOS!$I$2:$I$20000,"Coro"),""))</f>
        <v/>
      </c>
      <c r="D523" t="str">
        <f>IF(A523="","",IFERROR(AVERAGEIFS(DATOS!$K$2:$K$20000,DATOS!$A$2:$A$20000,A523,DATOS!$G$2:$G$20000,CONFIG_METADATA!$B$4,DATOS!$I$2:$I$20000,"Conjunto"),""))</f>
        <v/>
      </c>
      <c r="E523" t="str">
        <f>IF(A523="","",IFERROR(AVERAGEIFS(DATOS!$K$2:$K$20000,DATOS!$A$2:$A$20000,A523,DATOS!$G$2:$G$20000,CONFIG_METADATA!$B$4,DATOS!$I$2:$I$20000,"&lt;&gt;Lenguaje Musical",DATOS!$I$2:$I$20000,"&lt;&gt;Coro",DATOS!$I$2:$I$20000,"&lt;&gt;Conjunto"),""))</f>
        <v/>
      </c>
      <c r="H523" t="str">
        <f>IF(G523="","",IFERROR(AVERAGEIFS(DATOS!$K$2:$K$20000,DATOS!$A$2:$A$20000,G523,DATOS!$G$2:$G$20000,CONFIG_METADATA!$B$4,DATOS!$I$2:$I$20000,"Lenguaje Musical"),""))</f>
        <v/>
      </c>
      <c r="I523" t="str">
        <f>IF(G523="","",IFERROR(AVERAGEIFS(DATOS!$K$2:$K$20000,DATOS!$A$2:$A$20000,G523,DATOS!$G$2:$G$20000,CONFIG_METADATA!$B$4,DATOS!$I$2:$I$20000,"Coro"),""))</f>
        <v/>
      </c>
      <c r="J523" t="str">
        <f>IF(G523="","",IFERROR(AVERAGEIFS(DATOS!$K$2:$K$20000,DATOS!$A$2:$A$20000,G523,DATOS!$G$2:$G$20000,CONFIG_METADATA!$B$4,DATOS!$I$2:$I$20000,"Conjunto"),""))</f>
        <v/>
      </c>
      <c r="K523" t="str" cm="1">
        <f t="array" ref="K523">IF(G523="","",IFERROR(AVERAGE(IF((DATOS!$A$2:$A$20000=G523)*(DATOS!$G$2:$G$20000=CONFIG_METADATA!$B$4)*(DATOS!$I$2:$I$20000&lt;&gt;"Lenguaje Musical")*(DATOS!$I$2:$I$20000&lt;&gt;"Coro")*(DATOS!$I$2:$I$20000&lt;&gt;"Conjunto"),DATOS!$K$2:$K$20000)),""))</f>
        <v/>
      </c>
      <c r="N523" t="str">
        <f>IF(M523="","",IFERROR(AVERAGEIFS(DATOS!$K$2:$K$20000,DATOS!$A$2:$A$20000,M523,DATOS!$G$2:$G$20000,CONFIG_METADATA!$B$4,DATOS!$I$2:$I$20000,"Lenguaje Musical"),""))</f>
        <v/>
      </c>
      <c r="O523" t="str">
        <f>IF(M523="","",IFERROR(AVERAGEIFS(DATOS!$K$2:$K$20000,DATOS!$A$2:$A$20000,M523,DATOS!$G$2:$G$20000,CONFIG_METADATA!$B$4,DATOS!$I$2:$I$20000,"Coro"),""))</f>
        <v/>
      </c>
      <c r="P523" t="str">
        <f>IF(M523="","",IFERROR(AVERAGEIFS(DATOS!$K$2:$K$20000,DATOS!$A$2:$A$20000,M523,DATOS!$G$2:$G$20000,CONFIG_METADATA!$B$4,DATOS!$I$2:$I$20000,"Conjunto"),""))</f>
        <v/>
      </c>
      <c r="Q523" t="str">
        <f>IF(M523="","",IFERROR(AVERAGEIFS(DATOS!$K$2:$K$20000,DATOS!$A$2:$A$20000,M523,DATOS!$G$2:$G$20000,CONFIG_METADATA!$B$4,DATOS!$I$2:$I$20000,"&lt;&gt;Lenguaje Musical",DATOS!$I$2:$I$20000,"&lt;&gt;Coro",DATOS!$I$2:$I$20000,"&lt;&gt;Conjunto"),""))</f>
        <v/>
      </c>
      <c r="T523" t="str">
        <f>IF(S523="","",IFERROR(AVERAGEIFS(DATOS!$K$2:$K$20000,DATOS!$A$2:$A$20000,S523,DATOS!$G$2:$G$20000,CONFIG_METADATA!$B$4,DATOS!$I$2:$I$20000,"Lenguaje Musical"),""))</f>
        <v/>
      </c>
      <c r="U523" t="str">
        <f>IF(S523="","",IFERROR(AVERAGEIFS(DATOS!$K$2:$K$20000,DATOS!$A$2:$A$20000,S523,DATOS!$G$2:$G$20000,CONFIG_METADATA!$B$4,DATOS!$I$2:$I$20000,"Coro"),""))</f>
        <v/>
      </c>
      <c r="V523" t="str">
        <f>IF(S523="","",IFERROR(AVERAGEIFS(DATOS!$K$2:$K$20000,DATOS!$A$2:$A$20000,S523,DATOS!$G$2:$G$20000,CONFIG_METADATA!$B$4,DATOS!$I$2:$I$20000,"Conjunto"),""))</f>
        <v/>
      </c>
      <c r="W523" t="str" cm="1">
        <f t="array" ref="W523">IF(S523="","",IFERROR(AVERAGE(IF((DATOS!$A$2:$A$20000=S523)*(DATOS!$G$2:$G$20000=CONFIG_METADATA!$B$4)*(DATOS!$I$2:$I$20000&lt;&gt;"Lenguaje Musical")*(DATOS!$I$2:$I$20000&lt;&gt;"Coro")*(DATOS!$I$2:$I$20000&lt;&gt;"Conjunto"),DATOS!$K$2:$K$20000)),""))</f>
        <v/>
      </c>
    </row>
    <row r="524" spans="2:23" x14ac:dyDescent="0.2">
      <c r="B524" t="str">
        <f>IF(A524="","",IFERROR(AVERAGEIFS(DATOS!$K$2:$K$20000,DATOS!$A$2:$A$20000,A524,DATOS!$G$2:$G$20000,CONFIG_METADATA!$B$4,DATOS!$I$2:$I$20000,"Lenguaje Musical"),""))</f>
        <v/>
      </c>
      <c r="C524" t="str">
        <f>IF(A524="","",IFERROR(AVERAGEIFS(DATOS!$K$2:$K$20000,DATOS!$A$2:$A$20000,A524,DATOS!$G$2:$G$20000,CONFIG_METADATA!$B$4,DATOS!$I$2:$I$20000,"Coro"),""))</f>
        <v/>
      </c>
      <c r="D524" t="str">
        <f>IF(A524="","",IFERROR(AVERAGEIFS(DATOS!$K$2:$K$20000,DATOS!$A$2:$A$20000,A524,DATOS!$G$2:$G$20000,CONFIG_METADATA!$B$4,DATOS!$I$2:$I$20000,"Conjunto"),""))</f>
        <v/>
      </c>
      <c r="E524" t="str">
        <f>IF(A524="","",IFERROR(AVERAGEIFS(DATOS!$K$2:$K$20000,DATOS!$A$2:$A$20000,A524,DATOS!$G$2:$G$20000,CONFIG_METADATA!$B$4,DATOS!$I$2:$I$20000,"&lt;&gt;Lenguaje Musical",DATOS!$I$2:$I$20000,"&lt;&gt;Coro",DATOS!$I$2:$I$20000,"&lt;&gt;Conjunto"),""))</f>
        <v/>
      </c>
      <c r="H524" t="str">
        <f>IF(G524="","",IFERROR(AVERAGEIFS(DATOS!$K$2:$K$20000,DATOS!$A$2:$A$20000,G524,DATOS!$G$2:$G$20000,CONFIG_METADATA!$B$4,DATOS!$I$2:$I$20000,"Lenguaje Musical"),""))</f>
        <v/>
      </c>
      <c r="I524" t="str">
        <f>IF(G524="","",IFERROR(AVERAGEIFS(DATOS!$K$2:$K$20000,DATOS!$A$2:$A$20000,G524,DATOS!$G$2:$G$20000,CONFIG_METADATA!$B$4,DATOS!$I$2:$I$20000,"Coro"),""))</f>
        <v/>
      </c>
      <c r="J524" t="str">
        <f>IF(G524="","",IFERROR(AVERAGEIFS(DATOS!$K$2:$K$20000,DATOS!$A$2:$A$20000,G524,DATOS!$G$2:$G$20000,CONFIG_METADATA!$B$4,DATOS!$I$2:$I$20000,"Conjunto"),""))</f>
        <v/>
      </c>
      <c r="K524" t="str" cm="1">
        <f t="array" ref="K524">IF(G524="","",IFERROR(AVERAGE(IF((DATOS!$A$2:$A$20000=G524)*(DATOS!$G$2:$G$20000=CONFIG_METADATA!$B$4)*(DATOS!$I$2:$I$20000&lt;&gt;"Lenguaje Musical")*(DATOS!$I$2:$I$20000&lt;&gt;"Coro")*(DATOS!$I$2:$I$20000&lt;&gt;"Conjunto"),DATOS!$K$2:$K$20000)),""))</f>
        <v/>
      </c>
      <c r="N524" t="str">
        <f>IF(M524="","",IFERROR(AVERAGEIFS(DATOS!$K$2:$K$20000,DATOS!$A$2:$A$20000,M524,DATOS!$G$2:$G$20000,CONFIG_METADATA!$B$4,DATOS!$I$2:$I$20000,"Lenguaje Musical"),""))</f>
        <v/>
      </c>
      <c r="O524" t="str">
        <f>IF(M524="","",IFERROR(AVERAGEIFS(DATOS!$K$2:$K$20000,DATOS!$A$2:$A$20000,M524,DATOS!$G$2:$G$20000,CONFIG_METADATA!$B$4,DATOS!$I$2:$I$20000,"Coro"),""))</f>
        <v/>
      </c>
      <c r="P524" t="str">
        <f>IF(M524="","",IFERROR(AVERAGEIFS(DATOS!$K$2:$K$20000,DATOS!$A$2:$A$20000,M524,DATOS!$G$2:$G$20000,CONFIG_METADATA!$B$4,DATOS!$I$2:$I$20000,"Conjunto"),""))</f>
        <v/>
      </c>
      <c r="Q524" t="str">
        <f>IF(M524="","",IFERROR(AVERAGEIFS(DATOS!$K$2:$K$20000,DATOS!$A$2:$A$20000,M524,DATOS!$G$2:$G$20000,CONFIG_METADATA!$B$4,DATOS!$I$2:$I$20000,"&lt;&gt;Lenguaje Musical",DATOS!$I$2:$I$20000,"&lt;&gt;Coro",DATOS!$I$2:$I$20000,"&lt;&gt;Conjunto"),""))</f>
        <v/>
      </c>
      <c r="T524" t="str">
        <f>IF(S524="","",IFERROR(AVERAGEIFS(DATOS!$K$2:$K$20000,DATOS!$A$2:$A$20000,S524,DATOS!$G$2:$G$20000,CONFIG_METADATA!$B$4,DATOS!$I$2:$I$20000,"Lenguaje Musical"),""))</f>
        <v/>
      </c>
      <c r="U524" t="str">
        <f>IF(S524="","",IFERROR(AVERAGEIFS(DATOS!$K$2:$K$20000,DATOS!$A$2:$A$20000,S524,DATOS!$G$2:$G$20000,CONFIG_METADATA!$B$4,DATOS!$I$2:$I$20000,"Coro"),""))</f>
        <v/>
      </c>
      <c r="V524" t="str">
        <f>IF(S524="","",IFERROR(AVERAGEIFS(DATOS!$K$2:$K$20000,DATOS!$A$2:$A$20000,S524,DATOS!$G$2:$G$20000,CONFIG_METADATA!$B$4,DATOS!$I$2:$I$20000,"Conjunto"),""))</f>
        <v/>
      </c>
      <c r="W524" t="str" cm="1">
        <f t="array" ref="W524">IF(S524="","",IFERROR(AVERAGE(IF((DATOS!$A$2:$A$20000=S524)*(DATOS!$G$2:$G$20000=CONFIG_METADATA!$B$4)*(DATOS!$I$2:$I$20000&lt;&gt;"Lenguaje Musical")*(DATOS!$I$2:$I$20000&lt;&gt;"Coro")*(DATOS!$I$2:$I$20000&lt;&gt;"Conjunto"),DATOS!$K$2:$K$20000)),""))</f>
        <v/>
      </c>
    </row>
    <row r="525" spans="2:23" x14ac:dyDescent="0.2">
      <c r="B525" t="str">
        <f>IF(A525="","",IFERROR(AVERAGEIFS(DATOS!$K$2:$K$20000,DATOS!$A$2:$A$20000,A525,DATOS!$G$2:$G$20000,CONFIG_METADATA!$B$4,DATOS!$I$2:$I$20000,"Lenguaje Musical"),""))</f>
        <v/>
      </c>
      <c r="C525" t="str">
        <f>IF(A525="","",IFERROR(AVERAGEIFS(DATOS!$K$2:$K$20000,DATOS!$A$2:$A$20000,A525,DATOS!$G$2:$G$20000,CONFIG_METADATA!$B$4,DATOS!$I$2:$I$20000,"Coro"),""))</f>
        <v/>
      </c>
      <c r="D525" t="str">
        <f>IF(A525="","",IFERROR(AVERAGEIFS(DATOS!$K$2:$K$20000,DATOS!$A$2:$A$20000,A525,DATOS!$G$2:$G$20000,CONFIG_METADATA!$B$4,DATOS!$I$2:$I$20000,"Conjunto"),""))</f>
        <v/>
      </c>
      <c r="E525" t="str">
        <f>IF(A525="","",IFERROR(AVERAGEIFS(DATOS!$K$2:$K$20000,DATOS!$A$2:$A$20000,A525,DATOS!$G$2:$G$20000,CONFIG_METADATA!$B$4,DATOS!$I$2:$I$20000,"&lt;&gt;Lenguaje Musical",DATOS!$I$2:$I$20000,"&lt;&gt;Coro",DATOS!$I$2:$I$20000,"&lt;&gt;Conjunto"),""))</f>
        <v/>
      </c>
      <c r="H525" t="str">
        <f>IF(G525="","",IFERROR(AVERAGEIFS(DATOS!$K$2:$K$20000,DATOS!$A$2:$A$20000,G525,DATOS!$G$2:$G$20000,CONFIG_METADATA!$B$4,DATOS!$I$2:$I$20000,"Lenguaje Musical"),""))</f>
        <v/>
      </c>
      <c r="I525" t="str">
        <f>IF(G525="","",IFERROR(AVERAGEIFS(DATOS!$K$2:$K$20000,DATOS!$A$2:$A$20000,G525,DATOS!$G$2:$G$20000,CONFIG_METADATA!$B$4,DATOS!$I$2:$I$20000,"Coro"),""))</f>
        <v/>
      </c>
      <c r="J525" t="str">
        <f>IF(G525="","",IFERROR(AVERAGEIFS(DATOS!$K$2:$K$20000,DATOS!$A$2:$A$20000,G525,DATOS!$G$2:$G$20000,CONFIG_METADATA!$B$4,DATOS!$I$2:$I$20000,"Conjunto"),""))</f>
        <v/>
      </c>
      <c r="K525" t="str" cm="1">
        <f t="array" ref="K525">IF(G525="","",IFERROR(AVERAGE(IF((DATOS!$A$2:$A$20000=G525)*(DATOS!$G$2:$G$20000=CONFIG_METADATA!$B$4)*(DATOS!$I$2:$I$20000&lt;&gt;"Lenguaje Musical")*(DATOS!$I$2:$I$20000&lt;&gt;"Coro")*(DATOS!$I$2:$I$20000&lt;&gt;"Conjunto"),DATOS!$K$2:$K$20000)),""))</f>
        <v/>
      </c>
      <c r="N525" t="str">
        <f>IF(M525="","",IFERROR(AVERAGEIFS(DATOS!$K$2:$K$20000,DATOS!$A$2:$A$20000,M525,DATOS!$G$2:$G$20000,CONFIG_METADATA!$B$4,DATOS!$I$2:$I$20000,"Lenguaje Musical"),""))</f>
        <v/>
      </c>
      <c r="O525" t="str">
        <f>IF(M525="","",IFERROR(AVERAGEIFS(DATOS!$K$2:$K$20000,DATOS!$A$2:$A$20000,M525,DATOS!$G$2:$G$20000,CONFIG_METADATA!$B$4,DATOS!$I$2:$I$20000,"Coro"),""))</f>
        <v/>
      </c>
      <c r="P525" t="str">
        <f>IF(M525="","",IFERROR(AVERAGEIFS(DATOS!$K$2:$K$20000,DATOS!$A$2:$A$20000,M525,DATOS!$G$2:$G$20000,CONFIG_METADATA!$B$4,DATOS!$I$2:$I$20000,"Conjunto"),""))</f>
        <v/>
      </c>
      <c r="Q525" t="str">
        <f>IF(M525="","",IFERROR(AVERAGEIFS(DATOS!$K$2:$K$20000,DATOS!$A$2:$A$20000,M525,DATOS!$G$2:$G$20000,CONFIG_METADATA!$B$4,DATOS!$I$2:$I$20000,"&lt;&gt;Lenguaje Musical",DATOS!$I$2:$I$20000,"&lt;&gt;Coro",DATOS!$I$2:$I$20000,"&lt;&gt;Conjunto"),""))</f>
        <v/>
      </c>
      <c r="T525" t="str">
        <f>IF(S525="","",IFERROR(AVERAGEIFS(DATOS!$K$2:$K$20000,DATOS!$A$2:$A$20000,S525,DATOS!$G$2:$G$20000,CONFIG_METADATA!$B$4,DATOS!$I$2:$I$20000,"Lenguaje Musical"),""))</f>
        <v/>
      </c>
      <c r="U525" t="str">
        <f>IF(S525="","",IFERROR(AVERAGEIFS(DATOS!$K$2:$K$20000,DATOS!$A$2:$A$20000,S525,DATOS!$G$2:$G$20000,CONFIG_METADATA!$B$4,DATOS!$I$2:$I$20000,"Coro"),""))</f>
        <v/>
      </c>
      <c r="V525" t="str">
        <f>IF(S525="","",IFERROR(AVERAGEIFS(DATOS!$K$2:$K$20000,DATOS!$A$2:$A$20000,S525,DATOS!$G$2:$G$20000,CONFIG_METADATA!$B$4,DATOS!$I$2:$I$20000,"Conjunto"),""))</f>
        <v/>
      </c>
      <c r="W525" t="str" cm="1">
        <f t="array" ref="W525">IF(S525="","",IFERROR(AVERAGE(IF((DATOS!$A$2:$A$20000=S525)*(DATOS!$G$2:$G$20000=CONFIG_METADATA!$B$4)*(DATOS!$I$2:$I$20000&lt;&gt;"Lenguaje Musical")*(DATOS!$I$2:$I$20000&lt;&gt;"Coro")*(DATOS!$I$2:$I$20000&lt;&gt;"Conjunto"),DATOS!$K$2:$K$20000)),""))</f>
        <v/>
      </c>
    </row>
    <row r="526" spans="2:23" x14ac:dyDescent="0.2">
      <c r="B526" t="str">
        <f>IF(A526="","",IFERROR(AVERAGEIFS(DATOS!$K$2:$K$20000,DATOS!$A$2:$A$20000,A526,DATOS!$G$2:$G$20000,CONFIG_METADATA!$B$4,DATOS!$I$2:$I$20000,"Lenguaje Musical"),""))</f>
        <v/>
      </c>
      <c r="C526" t="str">
        <f>IF(A526="","",IFERROR(AVERAGEIFS(DATOS!$K$2:$K$20000,DATOS!$A$2:$A$20000,A526,DATOS!$G$2:$G$20000,CONFIG_METADATA!$B$4,DATOS!$I$2:$I$20000,"Coro"),""))</f>
        <v/>
      </c>
      <c r="D526" t="str">
        <f>IF(A526="","",IFERROR(AVERAGEIFS(DATOS!$K$2:$K$20000,DATOS!$A$2:$A$20000,A526,DATOS!$G$2:$G$20000,CONFIG_METADATA!$B$4,DATOS!$I$2:$I$20000,"Conjunto"),""))</f>
        <v/>
      </c>
      <c r="E526" t="str">
        <f>IF(A526="","",IFERROR(AVERAGEIFS(DATOS!$K$2:$K$20000,DATOS!$A$2:$A$20000,A526,DATOS!$G$2:$G$20000,CONFIG_METADATA!$B$4,DATOS!$I$2:$I$20000,"&lt;&gt;Lenguaje Musical",DATOS!$I$2:$I$20000,"&lt;&gt;Coro",DATOS!$I$2:$I$20000,"&lt;&gt;Conjunto"),""))</f>
        <v/>
      </c>
      <c r="H526" t="str">
        <f>IF(G526="","",IFERROR(AVERAGEIFS(DATOS!$K$2:$K$20000,DATOS!$A$2:$A$20000,G526,DATOS!$G$2:$G$20000,CONFIG_METADATA!$B$4,DATOS!$I$2:$I$20000,"Lenguaje Musical"),""))</f>
        <v/>
      </c>
      <c r="I526" t="str">
        <f>IF(G526="","",IFERROR(AVERAGEIFS(DATOS!$K$2:$K$20000,DATOS!$A$2:$A$20000,G526,DATOS!$G$2:$G$20000,CONFIG_METADATA!$B$4,DATOS!$I$2:$I$20000,"Coro"),""))</f>
        <v/>
      </c>
      <c r="J526" t="str">
        <f>IF(G526="","",IFERROR(AVERAGEIFS(DATOS!$K$2:$K$20000,DATOS!$A$2:$A$20000,G526,DATOS!$G$2:$G$20000,CONFIG_METADATA!$B$4,DATOS!$I$2:$I$20000,"Conjunto"),""))</f>
        <v/>
      </c>
      <c r="K526" t="str" cm="1">
        <f t="array" ref="K526">IF(G526="","",IFERROR(AVERAGE(IF((DATOS!$A$2:$A$20000=G526)*(DATOS!$G$2:$G$20000=CONFIG_METADATA!$B$4)*(DATOS!$I$2:$I$20000&lt;&gt;"Lenguaje Musical")*(DATOS!$I$2:$I$20000&lt;&gt;"Coro")*(DATOS!$I$2:$I$20000&lt;&gt;"Conjunto"),DATOS!$K$2:$K$20000)),""))</f>
        <v/>
      </c>
      <c r="N526" t="str">
        <f>IF(M526="","",IFERROR(AVERAGEIFS(DATOS!$K$2:$K$20000,DATOS!$A$2:$A$20000,M526,DATOS!$G$2:$G$20000,CONFIG_METADATA!$B$4,DATOS!$I$2:$I$20000,"Lenguaje Musical"),""))</f>
        <v/>
      </c>
      <c r="O526" t="str">
        <f>IF(M526="","",IFERROR(AVERAGEIFS(DATOS!$K$2:$K$20000,DATOS!$A$2:$A$20000,M526,DATOS!$G$2:$G$20000,CONFIG_METADATA!$B$4,DATOS!$I$2:$I$20000,"Coro"),""))</f>
        <v/>
      </c>
      <c r="P526" t="str">
        <f>IF(M526="","",IFERROR(AVERAGEIFS(DATOS!$K$2:$K$20000,DATOS!$A$2:$A$20000,M526,DATOS!$G$2:$G$20000,CONFIG_METADATA!$B$4,DATOS!$I$2:$I$20000,"Conjunto"),""))</f>
        <v/>
      </c>
      <c r="Q526" t="str">
        <f>IF(M526="","",IFERROR(AVERAGEIFS(DATOS!$K$2:$K$20000,DATOS!$A$2:$A$20000,M526,DATOS!$G$2:$G$20000,CONFIG_METADATA!$B$4,DATOS!$I$2:$I$20000,"&lt;&gt;Lenguaje Musical",DATOS!$I$2:$I$20000,"&lt;&gt;Coro",DATOS!$I$2:$I$20000,"&lt;&gt;Conjunto"),""))</f>
        <v/>
      </c>
      <c r="T526" t="str">
        <f>IF(S526="","",IFERROR(AVERAGEIFS(DATOS!$K$2:$K$20000,DATOS!$A$2:$A$20000,S526,DATOS!$G$2:$G$20000,CONFIG_METADATA!$B$4,DATOS!$I$2:$I$20000,"Lenguaje Musical"),""))</f>
        <v/>
      </c>
      <c r="U526" t="str">
        <f>IF(S526="","",IFERROR(AVERAGEIFS(DATOS!$K$2:$K$20000,DATOS!$A$2:$A$20000,S526,DATOS!$G$2:$G$20000,CONFIG_METADATA!$B$4,DATOS!$I$2:$I$20000,"Coro"),""))</f>
        <v/>
      </c>
      <c r="V526" t="str">
        <f>IF(S526="","",IFERROR(AVERAGEIFS(DATOS!$K$2:$K$20000,DATOS!$A$2:$A$20000,S526,DATOS!$G$2:$G$20000,CONFIG_METADATA!$B$4,DATOS!$I$2:$I$20000,"Conjunto"),""))</f>
        <v/>
      </c>
      <c r="W526" t="str" cm="1">
        <f t="array" ref="W526">IF(S526="","",IFERROR(AVERAGE(IF((DATOS!$A$2:$A$20000=S526)*(DATOS!$G$2:$G$20000=CONFIG_METADATA!$B$4)*(DATOS!$I$2:$I$20000&lt;&gt;"Lenguaje Musical")*(DATOS!$I$2:$I$20000&lt;&gt;"Coro")*(DATOS!$I$2:$I$20000&lt;&gt;"Conjunto"),DATOS!$K$2:$K$20000)),""))</f>
        <v/>
      </c>
    </row>
    <row r="527" spans="2:23" x14ac:dyDescent="0.2">
      <c r="B527" t="str">
        <f>IF(A527="","",IFERROR(AVERAGEIFS(DATOS!$K$2:$K$20000,DATOS!$A$2:$A$20000,A527,DATOS!$G$2:$G$20000,CONFIG_METADATA!$B$4,DATOS!$I$2:$I$20000,"Lenguaje Musical"),""))</f>
        <v/>
      </c>
      <c r="C527" t="str">
        <f>IF(A527="","",IFERROR(AVERAGEIFS(DATOS!$K$2:$K$20000,DATOS!$A$2:$A$20000,A527,DATOS!$G$2:$G$20000,CONFIG_METADATA!$B$4,DATOS!$I$2:$I$20000,"Coro"),""))</f>
        <v/>
      </c>
      <c r="D527" t="str">
        <f>IF(A527="","",IFERROR(AVERAGEIFS(DATOS!$K$2:$K$20000,DATOS!$A$2:$A$20000,A527,DATOS!$G$2:$G$20000,CONFIG_METADATA!$B$4,DATOS!$I$2:$I$20000,"Conjunto"),""))</f>
        <v/>
      </c>
      <c r="E527" t="str">
        <f>IF(A527="","",IFERROR(AVERAGEIFS(DATOS!$K$2:$K$20000,DATOS!$A$2:$A$20000,A527,DATOS!$G$2:$G$20000,CONFIG_METADATA!$B$4,DATOS!$I$2:$I$20000,"&lt;&gt;Lenguaje Musical",DATOS!$I$2:$I$20000,"&lt;&gt;Coro",DATOS!$I$2:$I$20000,"&lt;&gt;Conjunto"),""))</f>
        <v/>
      </c>
      <c r="H527" t="str">
        <f>IF(G527="","",IFERROR(AVERAGEIFS(DATOS!$K$2:$K$20000,DATOS!$A$2:$A$20000,G527,DATOS!$G$2:$G$20000,CONFIG_METADATA!$B$4,DATOS!$I$2:$I$20000,"Lenguaje Musical"),""))</f>
        <v/>
      </c>
      <c r="I527" t="str">
        <f>IF(G527="","",IFERROR(AVERAGEIFS(DATOS!$K$2:$K$20000,DATOS!$A$2:$A$20000,G527,DATOS!$G$2:$G$20000,CONFIG_METADATA!$B$4,DATOS!$I$2:$I$20000,"Coro"),""))</f>
        <v/>
      </c>
      <c r="J527" t="str">
        <f>IF(G527="","",IFERROR(AVERAGEIFS(DATOS!$K$2:$K$20000,DATOS!$A$2:$A$20000,G527,DATOS!$G$2:$G$20000,CONFIG_METADATA!$B$4,DATOS!$I$2:$I$20000,"Conjunto"),""))</f>
        <v/>
      </c>
      <c r="K527" t="str" cm="1">
        <f t="array" ref="K527">IF(G527="","",IFERROR(AVERAGE(IF((DATOS!$A$2:$A$20000=G527)*(DATOS!$G$2:$G$20000=CONFIG_METADATA!$B$4)*(DATOS!$I$2:$I$20000&lt;&gt;"Lenguaje Musical")*(DATOS!$I$2:$I$20000&lt;&gt;"Coro")*(DATOS!$I$2:$I$20000&lt;&gt;"Conjunto"),DATOS!$K$2:$K$20000)),""))</f>
        <v/>
      </c>
      <c r="N527" t="str">
        <f>IF(M527="","",IFERROR(AVERAGEIFS(DATOS!$K$2:$K$20000,DATOS!$A$2:$A$20000,M527,DATOS!$G$2:$G$20000,CONFIG_METADATA!$B$4,DATOS!$I$2:$I$20000,"Lenguaje Musical"),""))</f>
        <v/>
      </c>
      <c r="O527" t="str">
        <f>IF(M527="","",IFERROR(AVERAGEIFS(DATOS!$K$2:$K$20000,DATOS!$A$2:$A$20000,M527,DATOS!$G$2:$G$20000,CONFIG_METADATA!$B$4,DATOS!$I$2:$I$20000,"Coro"),""))</f>
        <v/>
      </c>
      <c r="P527" t="str">
        <f>IF(M527="","",IFERROR(AVERAGEIFS(DATOS!$K$2:$K$20000,DATOS!$A$2:$A$20000,M527,DATOS!$G$2:$G$20000,CONFIG_METADATA!$B$4,DATOS!$I$2:$I$20000,"Conjunto"),""))</f>
        <v/>
      </c>
      <c r="Q527" t="str">
        <f>IF(M527="","",IFERROR(AVERAGEIFS(DATOS!$K$2:$K$20000,DATOS!$A$2:$A$20000,M527,DATOS!$G$2:$G$20000,CONFIG_METADATA!$B$4,DATOS!$I$2:$I$20000,"&lt;&gt;Lenguaje Musical",DATOS!$I$2:$I$20000,"&lt;&gt;Coro",DATOS!$I$2:$I$20000,"&lt;&gt;Conjunto"),""))</f>
        <v/>
      </c>
      <c r="T527" t="str">
        <f>IF(S527="","",IFERROR(AVERAGEIFS(DATOS!$K$2:$K$20000,DATOS!$A$2:$A$20000,S527,DATOS!$G$2:$G$20000,CONFIG_METADATA!$B$4,DATOS!$I$2:$I$20000,"Lenguaje Musical"),""))</f>
        <v/>
      </c>
      <c r="U527" t="str">
        <f>IF(S527="","",IFERROR(AVERAGEIFS(DATOS!$K$2:$K$20000,DATOS!$A$2:$A$20000,S527,DATOS!$G$2:$G$20000,CONFIG_METADATA!$B$4,DATOS!$I$2:$I$20000,"Coro"),""))</f>
        <v/>
      </c>
      <c r="V527" t="str">
        <f>IF(S527="","",IFERROR(AVERAGEIFS(DATOS!$K$2:$K$20000,DATOS!$A$2:$A$20000,S527,DATOS!$G$2:$G$20000,CONFIG_METADATA!$B$4,DATOS!$I$2:$I$20000,"Conjunto"),""))</f>
        <v/>
      </c>
      <c r="W527" t="str" cm="1">
        <f t="array" ref="W527">IF(S527="","",IFERROR(AVERAGE(IF((DATOS!$A$2:$A$20000=S527)*(DATOS!$G$2:$G$20000=CONFIG_METADATA!$B$4)*(DATOS!$I$2:$I$20000&lt;&gt;"Lenguaje Musical")*(DATOS!$I$2:$I$20000&lt;&gt;"Coro")*(DATOS!$I$2:$I$20000&lt;&gt;"Conjunto"),DATOS!$K$2:$K$20000)),""))</f>
        <v/>
      </c>
    </row>
    <row r="528" spans="2:23" x14ac:dyDescent="0.2">
      <c r="B528" t="str">
        <f>IF(A528="","",IFERROR(AVERAGEIFS(DATOS!$K$2:$K$20000,DATOS!$A$2:$A$20000,A528,DATOS!$G$2:$G$20000,CONFIG_METADATA!$B$4,DATOS!$I$2:$I$20000,"Lenguaje Musical"),""))</f>
        <v/>
      </c>
      <c r="C528" t="str">
        <f>IF(A528="","",IFERROR(AVERAGEIFS(DATOS!$K$2:$K$20000,DATOS!$A$2:$A$20000,A528,DATOS!$G$2:$G$20000,CONFIG_METADATA!$B$4,DATOS!$I$2:$I$20000,"Coro"),""))</f>
        <v/>
      </c>
      <c r="D528" t="str">
        <f>IF(A528="","",IFERROR(AVERAGEIFS(DATOS!$K$2:$K$20000,DATOS!$A$2:$A$20000,A528,DATOS!$G$2:$G$20000,CONFIG_METADATA!$B$4,DATOS!$I$2:$I$20000,"Conjunto"),""))</f>
        <v/>
      </c>
      <c r="E528" t="str">
        <f>IF(A528="","",IFERROR(AVERAGEIFS(DATOS!$K$2:$K$20000,DATOS!$A$2:$A$20000,A528,DATOS!$G$2:$G$20000,CONFIG_METADATA!$B$4,DATOS!$I$2:$I$20000,"&lt;&gt;Lenguaje Musical",DATOS!$I$2:$I$20000,"&lt;&gt;Coro",DATOS!$I$2:$I$20000,"&lt;&gt;Conjunto"),""))</f>
        <v/>
      </c>
      <c r="H528" t="str">
        <f>IF(G528="","",IFERROR(AVERAGEIFS(DATOS!$K$2:$K$20000,DATOS!$A$2:$A$20000,G528,DATOS!$G$2:$G$20000,CONFIG_METADATA!$B$4,DATOS!$I$2:$I$20000,"Lenguaje Musical"),""))</f>
        <v/>
      </c>
      <c r="I528" t="str">
        <f>IF(G528="","",IFERROR(AVERAGEIFS(DATOS!$K$2:$K$20000,DATOS!$A$2:$A$20000,G528,DATOS!$G$2:$G$20000,CONFIG_METADATA!$B$4,DATOS!$I$2:$I$20000,"Coro"),""))</f>
        <v/>
      </c>
      <c r="J528" t="str">
        <f>IF(G528="","",IFERROR(AVERAGEIFS(DATOS!$K$2:$K$20000,DATOS!$A$2:$A$20000,G528,DATOS!$G$2:$G$20000,CONFIG_METADATA!$B$4,DATOS!$I$2:$I$20000,"Conjunto"),""))</f>
        <v/>
      </c>
      <c r="K528" t="str" cm="1">
        <f t="array" ref="K528">IF(G528="","",IFERROR(AVERAGE(IF((DATOS!$A$2:$A$20000=G528)*(DATOS!$G$2:$G$20000=CONFIG_METADATA!$B$4)*(DATOS!$I$2:$I$20000&lt;&gt;"Lenguaje Musical")*(DATOS!$I$2:$I$20000&lt;&gt;"Coro")*(DATOS!$I$2:$I$20000&lt;&gt;"Conjunto"),DATOS!$K$2:$K$20000)),""))</f>
        <v/>
      </c>
      <c r="N528" t="str">
        <f>IF(M528="","",IFERROR(AVERAGEIFS(DATOS!$K$2:$K$20000,DATOS!$A$2:$A$20000,M528,DATOS!$G$2:$G$20000,CONFIG_METADATA!$B$4,DATOS!$I$2:$I$20000,"Lenguaje Musical"),""))</f>
        <v/>
      </c>
      <c r="O528" t="str">
        <f>IF(M528="","",IFERROR(AVERAGEIFS(DATOS!$K$2:$K$20000,DATOS!$A$2:$A$20000,M528,DATOS!$G$2:$G$20000,CONFIG_METADATA!$B$4,DATOS!$I$2:$I$20000,"Coro"),""))</f>
        <v/>
      </c>
      <c r="P528" t="str">
        <f>IF(M528="","",IFERROR(AVERAGEIFS(DATOS!$K$2:$K$20000,DATOS!$A$2:$A$20000,M528,DATOS!$G$2:$G$20000,CONFIG_METADATA!$B$4,DATOS!$I$2:$I$20000,"Conjunto"),""))</f>
        <v/>
      </c>
      <c r="Q528" t="str">
        <f>IF(M528="","",IFERROR(AVERAGEIFS(DATOS!$K$2:$K$20000,DATOS!$A$2:$A$20000,M528,DATOS!$G$2:$G$20000,CONFIG_METADATA!$B$4,DATOS!$I$2:$I$20000,"&lt;&gt;Lenguaje Musical",DATOS!$I$2:$I$20000,"&lt;&gt;Coro",DATOS!$I$2:$I$20000,"&lt;&gt;Conjunto"),""))</f>
        <v/>
      </c>
      <c r="T528" t="str">
        <f>IF(S528="","",IFERROR(AVERAGEIFS(DATOS!$K$2:$K$20000,DATOS!$A$2:$A$20000,S528,DATOS!$G$2:$G$20000,CONFIG_METADATA!$B$4,DATOS!$I$2:$I$20000,"Lenguaje Musical"),""))</f>
        <v/>
      </c>
      <c r="U528" t="str">
        <f>IF(S528="","",IFERROR(AVERAGEIFS(DATOS!$K$2:$K$20000,DATOS!$A$2:$A$20000,S528,DATOS!$G$2:$G$20000,CONFIG_METADATA!$B$4,DATOS!$I$2:$I$20000,"Coro"),""))</f>
        <v/>
      </c>
      <c r="V528" t="str">
        <f>IF(S528="","",IFERROR(AVERAGEIFS(DATOS!$K$2:$K$20000,DATOS!$A$2:$A$20000,S528,DATOS!$G$2:$G$20000,CONFIG_METADATA!$B$4,DATOS!$I$2:$I$20000,"Conjunto"),""))</f>
        <v/>
      </c>
      <c r="W528" t="str" cm="1">
        <f t="array" ref="W528">IF(S528="","",IFERROR(AVERAGE(IF((DATOS!$A$2:$A$20000=S528)*(DATOS!$G$2:$G$20000=CONFIG_METADATA!$B$4)*(DATOS!$I$2:$I$20000&lt;&gt;"Lenguaje Musical")*(DATOS!$I$2:$I$20000&lt;&gt;"Coro")*(DATOS!$I$2:$I$20000&lt;&gt;"Conjunto"),DATOS!$K$2:$K$20000)),""))</f>
        <v/>
      </c>
    </row>
    <row r="529" spans="2:23" x14ac:dyDescent="0.2">
      <c r="B529" t="str">
        <f>IF(A529="","",IFERROR(AVERAGEIFS(DATOS!$K$2:$K$20000,DATOS!$A$2:$A$20000,A529,DATOS!$G$2:$G$20000,CONFIG_METADATA!$B$4,DATOS!$I$2:$I$20000,"Lenguaje Musical"),""))</f>
        <v/>
      </c>
      <c r="C529" t="str">
        <f>IF(A529="","",IFERROR(AVERAGEIFS(DATOS!$K$2:$K$20000,DATOS!$A$2:$A$20000,A529,DATOS!$G$2:$G$20000,CONFIG_METADATA!$B$4,DATOS!$I$2:$I$20000,"Coro"),""))</f>
        <v/>
      </c>
      <c r="D529" t="str">
        <f>IF(A529="","",IFERROR(AVERAGEIFS(DATOS!$K$2:$K$20000,DATOS!$A$2:$A$20000,A529,DATOS!$G$2:$G$20000,CONFIG_METADATA!$B$4,DATOS!$I$2:$I$20000,"Conjunto"),""))</f>
        <v/>
      </c>
      <c r="E529" t="str">
        <f>IF(A529="","",IFERROR(AVERAGEIFS(DATOS!$K$2:$K$20000,DATOS!$A$2:$A$20000,A529,DATOS!$G$2:$G$20000,CONFIG_METADATA!$B$4,DATOS!$I$2:$I$20000,"&lt;&gt;Lenguaje Musical",DATOS!$I$2:$I$20000,"&lt;&gt;Coro",DATOS!$I$2:$I$20000,"&lt;&gt;Conjunto"),""))</f>
        <v/>
      </c>
      <c r="H529" t="str">
        <f>IF(G529="","",IFERROR(AVERAGEIFS(DATOS!$K$2:$K$20000,DATOS!$A$2:$A$20000,G529,DATOS!$G$2:$G$20000,CONFIG_METADATA!$B$4,DATOS!$I$2:$I$20000,"Lenguaje Musical"),""))</f>
        <v/>
      </c>
      <c r="I529" t="str">
        <f>IF(G529="","",IFERROR(AVERAGEIFS(DATOS!$K$2:$K$20000,DATOS!$A$2:$A$20000,G529,DATOS!$G$2:$G$20000,CONFIG_METADATA!$B$4,DATOS!$I$2:$I$20000,"Coro"),""))</f>
        <v/>
      </c>
      <c r="J529" t="str">
        <f>IF(G529="","",IFERROR(AVERAGEIFS(DATOS!$K$2:$K$20000,DATOS!$A$2:$A$20000,G529,DATOS!$G$2:$G$20000,CONFIG_METADATA!$B$4,DATOS!$I$2:$I$20000,"Conjunto"),""))</f>
        <v/>
      </c>
      <c r="K529" t="str" cm="1">
        <f t="array" ref="K529">IF(G529="","",IFERROR(AVERAGE(IF((DATOS!$A$2:$A$20000=G529)*(DATOS!$G$2:$G$20000=CONFIG_METADATA!$B$4)*(DATOS!$I$2:$I$20000&lt;&gt;"Lenguaje Musical")*(DATOS!$I$2:$I$20000&lt;&gt;"Coro")*(DATOS!$I$2:$I$20000&lt;&gt;"Conjunto"),DATOS!$K$2:$K$20000)),""))</f>
        <v/>
      </c>
      <c r="N529" t="str">
        <f>IF(M529="","",IFERROR(AVERAGEIFS(DATOS!$K$2:$K$20000,DATOS!$A$2:$A$20000,M529,DATOS!$G$2:$G$20000,CONFIG_METADATA!$B$4,DATOS!$I$2:$I$20000,"Lenguaje Musical"),""))</f>
        <v/>
      </c>
      <c r="O529" t="str">
        <f>IF(M529="","",IFERROR(AVERAGEIFS(DATOS!$K$2:$K$20000,DATOS!$A$2:$A$20000,M529,DATOS!$G$2:$G$20000,CONFIG_METADATA!$B$4,DATOS!$I$2:$I$20000,"Coro"),""))</f>
        <v/>
      </c>
      <c r="P529" t="str">
        <f>IF(M529="","",IFERROR(AVERAGEIFS(DATOS!$K$2:$K$20000,DATOS!$A$2:$A$20000,M529,DATOS!$G$2:$G$20000,CONFIG_METADATA!$B$4,DATOS!$I$2:$I$20000,"Conjunto"),""))</f>
        <v/>
      </c>
      <c r="Q529" t="str">
        <f>IF(M529="","",IFERROR(AVERAGEIFS(DATOS!$K$2:$K$20000,DATOS!$A$2:$A$20000,M529,DATOS!$G$2:$G$20000,CONFIG_METADATA!$B$4,DATOS!$I$2:$I$20000,"&lt;&gt;Lenguaje Musical",DATOS!$I$2:$I$20000,"&lt;&gt;Coro",DATOS!$I$2:$I$20000,"&lt;&gt;Conjunto"),""))</f>
        <v/>
      </c>
      <c r="T529" t="str">
        <f>IF(S529="","",IFERROR(AVERAGEIFS(DATOS!$K$2:$K$20000,DATOS!$A$2:$A$20000,S529,DATOS!$G$2:$G$20000,CONFIG_METADATA!$B$4,DATOS!$I$2:$I$20000,"Lenguaje Musical"),""))</f>
        <v/>
      </c>
      <c r="U529" t="str">
        <f>IF(S529="","",IFERROR(AVERAGEIFS(DATOS!$K$2:$K$20000,DATOS!$A$2:$A$20000,S529,DATOS!$G$2:$G$20000,CONFIG_METADATA!$B$4,DATOS!$I$2:$I$20000,"Coro"),""))</f>
        <v/>
      </c>
      <c r="V529" t="str">
        <f>IF(S529="","",IFERROR(AVERAGEIFS(DATOS!$K$2:$K$20000,DATOS!$A$2:$A$20000,S529,DATOS!$G$2:$G$20000,CONFIG_METADATA!$B$4,DATOS!$I$2:$I$20000,"Conjunto"),""))</f>
        <v/>
      </c>
      <c r="W529" t="str" cm="1">
        <f t="array" ref="W529">IF(S529="","",IFERROR(AVERAGE(IF((DATOS!$A$2:$A$20000=S529)*(DATOS!$G$2:$G$20000=CONFIG_METADATA!$B$4)*(DATOS!$I$2:$I$20000&lt;&gt;"Lenguaje Musical")*(DATOS!$I$2:$I$20000&lt;&gt;"Coro")*(DATOS!$I$2:$I$20000&lt;&gt;"Conjunto"),DATOS!$K$2:$K$20000)),""))</f>
        <v/>
      </c>
    </row>
    <row r="530" spans="2:23" x14ac:dyDescent="0.2">
      <c r="B530" t="str">
        <f>IF(A530="","",IFERROR(AVERAGEIFS(DATOS!$K$2:$K$20000,DATOS!$A$2:$A$20000,A530,DATOS!$G$2:$G$20000,CONFIG_METADATA!$B$4,DATOS!$I$2:$I$20000,"Lenguaje Musical"),""))</f>
        <v/>
      </c>
      <c r="C530" t="str">
        <f>IF(A530="","",IFERROR(AVERAGEIFS(DATOS!$K$2:$K$20000,DATOS!$A$2:$A$20000,A530,DATOS!$G$2:$G$20000,CONFIG_METADATA!$B$4,DATOS!$I$2:$I$20000,"Coro"),""))</f>
        <v/>
      </c>
      <c r="D530" t="str">
        <f>IF(A530="","",IFERROR(AVERAGEIFS(DATOS!$K$2:$K$20000,DATOS!$A$2:$A$20000,A530,DATOS!$G$2:$G$20000,CONFIG_METADATA!$B$4,DATOS!$I$2:$I$20000,"Conjunto"),""))</f>
        <v/>
      </c>
      <c r="E530" t="str">
        <f>IF(A530="","",IFERROR(AVERAGEIFS(DATOS!$K$2:$K$20000,DATOS!$A$2:$A$20000,A530,DATOS!$G$2:$G$20000,CONFIG_METADATA!$B$4,DATOS!$I$2:$I$20000,"&lt;&gt;Lenguaje Musical",DATOS!$I$2:$I$20000,"&lt;&gt;Coro",DATOS!$I$2:$I$20000,"&lt;&gt;Conjunto"),""))</f>
        <v/>
      </c>
      <c r="H530" t="str">
        <f>IF(G530="","",IFERROR(AVERAGEIFS(DATOS!$K$2:$K$20000,DATOS!$A$2:$A$20000,G530,DATOS!$G$2:$G$20000,CONFIG_METADATA!$B$4,DATOS!$I$2:$I$20000,"Lenguaje Musical"),""))</f>
        <v/>
      </c>
      <c r="I530" t="str">
        <f>IF(G530="","",IFERROR(AVERAGEIFS(DATOS!$K$2:$K$20000,DATOS!$A$2:$A$20000,G530,DATOS!$G$2:$G$20000,CONFIG_METADATA!$B$4,DATOS!$I$2:$I$20000,"Coro"),""))</f>
        <v/>
      </c>
      <c r="J530" t="str">
        <f>IF(G530="","",IFERROR(AVERAGEIFS(DATOS!$K$2:$K$20000,DATOS!$A$2:$A$20000,G530,DATOS!$G$2:$G$20000,CONFIG_METADATA!$B$4,DATOS!$I$2:$I$20000,"Conjunto"),""))</f>
        <v/>
      </c>
      <c r="K530" t="str" cm="1">
        <f t="array" ref="K530">IF(G530="","",IFERROR(AVERAGE(IF((DATOS!$A$2:$A$20000=G530)*(DATOS!$G$2:$G$20000=CONFIG_METADATA!$B$4)*(DATOS!$I$2:$I$20000&lt;&gt;"Lenguaje Musical")*(DATOS!$I$2:$I$20000&lt;&gt;"Coro")*(DATOS!$I$2:$I$20000&lt;&gt;"Conjunto"),DATOS!$K$2:$K$20000)),""))</f>
        <v/>
      </c>
      <c r="N530" t="str">
        <f>IF(M530="","",IFERROR(AVERAGEIFS(DATOS!$K$2:$K$20000,DATOS!$A$2:$A$20000,M530,DATOS!$G$2:$G$20000,CONFIG_METADATA!$B$4,DATOS!$I$2:$I$20000,"Lenguaje Musical"),""))</f>
        <v/>
      </c>
      <c r="O530" t="str">
        <f>IF(M530="","",IFERROR(AVERAGEIFS(DATOS!$K$2:$K$20000,DATOS!$A$2:$A$20000,M530,DATOS!$G$2:$G$20000,CONFIG_METADATA!$B$4,DATOS!$I$2:$I$20000,"Coro"),""))</f>
        <v/>
      </c>
      <c r="P530" t="str">
        <f>IF(M530="","",IFERROR(AVERAGEIFS(DATOS!$K$2:$K$20000,DATOS!$A$2:$A$20000,M530,DATOS!$G$2:$G$20000,CONFIG_METADATA!$B$4,DATOS!$I$2:$I$20000,"Conjunto"),""))</f>
        <v/>
      </c>
      <c r="Q530" t="str">
        <f>IF(M530="","",IFERROR(AVERAGEIFS(DATOS!$K$2:$K$20000,DATOS!$A$2:$A$20000,M530,DATOS!$G$2:$G$20000,CONFIG_METADATA!$B$4,DATOS!$I$2:$I$20000,"&lt;&gt;Lenguaje Musical",DATOS!$I$2:$I$20000,"&lt;&gt;Coro",DATOS!$I$2:$I$20000,"&lt;&gt;Conjunto"),""))</f>
        <v/>
      </c>
      <c r="T530" t="str">
        <f>IF(S530="","",IFERROR(AVERAGEIFS(DATOS!$K$2:$K$20000,DATOS!$A$2:$A$20000,S530,DATOS!$G$2:$G$20000,CONFIG_METADATA!$B$4,DATOS!$I$2:$I$20000,"Lenguaje Musical"),""))</f>
        <v/>
      </c>
      <c r="U530" t="str">
        <f>IF(S530="","",IFERROR(AVERAGEIFS(DATOS!$K$2:$K$20000,DATOS!$A$2:$A$20000,S530,DATOS!$G$2:$G$20000,CONFIG_METADATA!$B$4,DATOS!$I$2:$I$20000,"Coro"),""))</f>
        <v/>
      </c>
      <c r="V530" t="str">
        <f>IF(S530="","",IFERROR(AVERAGEIFS(DATOS!$K$2:$K$20000,DATOS!$A$2:$A$20000,S530,DATOS!$G$2:$G$20000,CONFIG_METADATA!$B$4,DATOS!$I$2:$I$20000,"Conjunto"),""))</f>
        <v/>
      </c>
      <c r="W530" t="str" cm="1">
        <f t="array" ref="W530">IF(S530="","",IFERROR(AVERAGE(IF((DATOS!$A$2:$A$20000=S530)*(DATOS!$G$2:$G$20000=CONFIG_METADATA!$B$4)*(DATOS!$I$2:$I$20000&lt;&gt;"Lenguaje Musical")*(DATOS!$I$2:$I$20000&lt;&gt;"Coro")*(DATOS!$I$2:$I$20000&lt;&gt;"Conjunto"),DATOS!$K$2:$K$20000)),""))</f>
        <v/>
      </c>
    </row>
    <row r="531" spans="2:23" x14ac:dyDescent="0.2">
      <c r="B531" t="str">
        <f>IF(A531="","",IFERROR(AVERAGEIFS(DATOS!$K$2:$K$20000,DATOS!$A$2:$A$20000,A531,DATOS!$G$2:$G$20000,CONFIG_METADATA!$B$4,DATOS!$I$2:$I$20000,"Lenguaje Musical"),""))</f>
        <v/>
      </c>
      <c r="C531" t="str">
        <f>IF(A531="","",IFERROR(AVERAGEIFS(DATOS!$K$2:$K$20000,DATOS!$A$2:$A$20000,A531,DATOS!$G$2:$G$20000,CONFIG_METADATA!$B$4,DATOS!$I$2:$I$20000,"Coro"),""))</f>
        <v/>
      </c>
      <c r="D531" t="str">
        <f>IF(A531="","",IFERROR(AVERAGEIFS(DATOS!$K$2:$K$20000,DATOS!$A$2:$A$20000,A531,DATOS!$G$2:$G$20000,CONFIG_METADATA!$B$4,DATOS!$I$2:$I$20000,"Conjunto"),""))</f>
        <v/>
      </c>
      <c r="E531" t="str">
        <f>IF(A531="","",IFERROR(AVERAGEIFS(DATOS!$K$2:$K$20000,DATOS!$A$2:$A$20000,A531,DATOS!$G$2:$G$20000,CONFIG_METADATA!$B$4,DATOS!$I$2:$I$20000,"&lt;&gt;Lenguaje Musical",DATOS!$I$2:$I$20000,"&lt;&gt;Coro",DATOS!$I$2:$I$20000,"&lt;&gt;Conjunto"),""))</f>
        <v/>
      </c>
      <c r="H531" t="str">
        <f>IF(G531="","",IFERROR(AVERAGEIFS(DATOS!$K$2:$K$20000,DATOS!$A$2:$A$20000,G531,DATOS!$G$2:$G$20000,CONFIG_METADATA!$B$4,DATOS!$I$2:$I$20000,"Lenguaje Musical"),""))</f>
        <v/>
      </c>
      <c r="I531" t="str">
        <f>IF(G531="","",IFERROR(AVERAGEIFS(DATOS!$K$2:$K$20000,DATOS!$A$2:$A$20000,G531,DATOS!$G$2:$G$20000,CONFIG_METADATA!$B$4,DATOS!$I$2:$I$20000,"Coro"),""))</f>
        <v/>
      </c>
      <c r="J531" t="str">
        <f>IF(G531="","",IFERROR(AVERAGEIFS(DATOS!$K$2:$K$20000,DATOS!$A$2:$A$20000,G531,DATOS!$G$2:$G$20000,CONFIG_METADATA!$B$4,DATOS!$I$2:$I$20000,"Conjunto"),""))</f>
        <v/>
      </c>
      <c r="K531" t="str" cm="1">
        <f t="array" ref="K531">IF(G531="","",IFERROR(AVERAGE(IF((DATOS!$A$2:$A$20000=G531)*(DATOS!$G$2:$G$20000=CONFIG_METADATA!$B$4)*(DATOS!$I$2:$I$20000&lt;&gt;"Lenguaje Musical")*(DATOS!$I$2:$I$20000&lt;&gt;"Coro")*(DATOS!$I$2:$I$20000&lt;&gt;"Conjunto"),DATOS!$K$2:$K$20000)),""))</f>
        <v/>
      </c>
      <c r="N531" t="str">
        <f>IF(M531="","",IFERROR(AVERAGEIFS(DATOS!$K$2:$K$20000,DATOS!$A$2:$A$20000,M531,DATOS!$G$2:$G$20000,CONFIG_METADATA!$B$4,DATOS!$I$2:$I$20000,"Lenguaje Musical"),""))</f>
        <v/>
      </c>
      <c r="O531" t="str">
        <f>IF(M531="","",IFERROR(AVERAGEIFS(DATOS!$K$2:$K$20000,DATOS!$A$2:$A$20000,M531,DATOS!$G$2:$G$20000,CONFIG_METADATA!$B$4,DATOS!$I$2:$I$20000,"Coro"),""))</f>
        <v/>
      </c>
      <c r="P531" t="str">
        <f>IF(M531="","",IFERROR(AVERAGEIFS(DATOS!$K$2:$K$20000,DATOS!$A$2:$A$20000,M531,DATOS!$G$2:$G$20000,CONFIG_METADATA!$B$4,DATOS!$I$2:$I$20000,"Conjunto"),""))</f>
        <v/>
      </c>
      <c r="Q531" t="str">
        <f>IF(M531="","",IFERROR(AVERAGEIFS(DATOS!$K$2:$K$20000,DATOS!$A$2:$A$20000,M531,DATOS!$G$2:$G$20000,CONFIG_METADATA!$B$4,DATOS!$I$2:$I$20000,"&lt;&gt;Lenguaje Musical",DATOS!$I$2:$I$20000,"&lt;&gt;Coro",DATOS!$I$2:$I$20000,"&lt;&gt;Conjunto"),""))</f>
        <v/>
      </c>
      <c r="T531" t="str">
        <f>IF(S531="","",IFERROR(AVERAGEIFS(DATOS!$K$2:$K$20000,DATOS!$A$2:$A$20000,S531,DATOS!$G$2:$G$20000,CONFIG_METADATA!$B$4,DATOS!$I$2:$I$20000,"Lenguaje Musical"),""))</f>
        <v/>
      </c>
      <c r="U531" t="str">
        <f>IF(S531="","",IFERROR(AVERAGEIFS(DATOS!$K$2:$K$20000,DATOS!$A$2:$A$20000,S531,DATOS!$G$2:$G$20000,CONFIG_METADATA!$B$4,DATOS!$I$2:$I$20000,"Coro"),""))</f>
        <v/>
      </c>
      <c r="V531" t="str">
        <f>IF(S531="","",IFERROR(AVERAGEIFS(DATOS!$K$2:$K$20000,DATOS!$A$2:$A$20000,S531,DATOS!$G$2:$G$20000,CONFIG_METADATA!$B$4,DATOS!$I$2:$I$20000,"Conjunto"),""))</f>
        <v/>
      </c>
      <c r="W531" t="str" cm="1">
        <f t="array" ref="W531">IF(S531="","",IFERROR(AVERAGE(IF((DATOS!$A$2:$A$20000=S531)*(DATOS!$G$2:$G$20000=CONFIG_METADATA!$B$4)*(DATOS!$I$2:$I$20000&lt;&gt;"Lenguaje Musical")*(DATOS!$I$2:$I$20000&lt;&gt;"Coro")*(DATOS!$I$2:$I$20000&lt;&gt;"Conjunto"),DATOS!$K$2:$K$20000)),""))</f>
        <v/>
      </c>
    </row>
    <row r="532" spans="2:23" x14ac:dyDescent="0.2">
      <c r="B532" t="str">
        <f>IF(A532="","",IFERROR(AVERAGEIFS(DATOS!$K$2:$K$20000,DATOS!$A$2:$A$20000,A532,DATOS!$G$2:$G$20000,CONFIG_METADATA!$B$4,DATOS!$I$2:$I$20000,"Lenguaje Musical"),""))</f>
        <v/>
      </c>
      <c r="C532" t="str">
        <f>IF(A532="","",IFERROR(AVERAGEIFS(DATOS!$K$2:$K$20000,DATOS!$A$2:$A$20000,A532,DATOS!$G$2:$G$20000,CONFIG_METADATA!$B$4,DATOS!$I$2:$I$20000,"Coro"),""))</f>
        <v/>
      </c>
      <c r="D532" t="str">
        <f>IF(A532="","",IFERROR(AVERAGEIFS(DATOS!$K$2:$K$20000,DATOS!$A$2:$A$20000,A532,DATOS!$G$2:$G$20000,CONFIG_METADATA!$B$4,DATOS!$I$2:$I$20000,"Conjunto"),""))</f>
        <v/>
      </c>
      <c r="E532" t="str">
        <f>IF(A532="","",IFERROR(AVERAGEIFS(DATOS!$K$2:$K$20000,DATOS!$A$2:$A$20000,A532,DATOS!$G$2:$G$20000,CONFIG_METADATA!$B$4,DATOS!$I$2:$I$20000,"&lt;&gt;Lenguaje Musical",DATOS!$I$2:$I$20000,"&lt;&gt;Coro",DATOS!$I$2:$I$20000,"&lt;&gt;Conjunto"),""))</f>
        <v/>
      </c>
      <c r="H532" t="str">
        <f>IF(G532="","",IFERROR(AVERAGEIFS(DATOS!$K$2:$K$20000,DATOS!$A$2:$A$20000,G532,DATOS!$G$2:$G$20000,CONFIG_METADATA!$B$4,DATOS!$I$2:$I$20000,"Lenguaje Musical"),""))</f>
        <v/>
      </c>
      <c r="I532" t="str">
        <f>IF(G532="","",IFERROR(AVERAGEIFS(DATOS!$K$2:$K$20000,DATOS!$A$2:$A$20000,G532,DATOS!$G$2:$G$20000,CONFIG_METADATA!$B$4,DATOS!$I$2:$I$20000,"Coro"),""))</f>
        <v/>
      </c>
      <c r="J532" t="str">
        <f>IF(G532="","",IFERROR(AVERAGEIFS(DATOS!$K$2:$K$20000,DATOS!$A$2:$A$20000,G532,DATOS!$G$2:$G$20000,CONFIG_METADATA!$B$4,DATOS!$I$2:$I$20000,"Conjunto"),""))</f>
        <v/>
      </c>
      <c r="K532" t="str" cm="1">
        <f t="array" ref="K532">IF(G532="","",IFERROR(AVERAGE(IF((DATOS!$A$2:$A$20000=G532)*(DATOS!$G$2:$G$20000=CONFIG_METADATA!$B$4)*(DATOS!$I$2:$I$20000&lt;&gt;"Lenguaje Musical")*(DATOS!$I$2:$I$20000&lt;&gt;"Coro")*(DATOS!$I$2:$I$20000&lt;&gt;"Conjunto"),DATOS!$K$2:$K$20000)),""))</f>
        <v/>
      </c>
      <c r="N532" t="str">
        <f>IF(M532="","",IFERROR(AVERAGEIFS(DATOS!$K$2:$K$20000,DATOS!$A$2:$A$20000,M532,DATOS!$G$2:$G$20000,CONFIG_METADATA!$B$4,DATOS!$I$2:$I$20000,"Lenguaje Musical"),""))</f>
        <v/>
      </c>
      <c r="O532" t="str">
        <f>IF(M532="","",IFERROR(AVERAGEIFS(DATOS!$K$2:$K$20000,DATOS!$A$2:$A$20000,M532,DATOS!$G$2:$G$20000,CONFIG_METADATA!$B$4,DATOS!$I$2:$I$20000,"Coro"),""))</f>
        <v/>
      </c>
      <c r="P532" t="str">
        <f>IF(M532="","",IFERROR(AVERAGEIFS(DATOS!$K$2:$K$20000,DATOS!$A$2:$A$20000,M532,DATOS!$G$2:$G$20000,CONFIG_METADATA!$B$4,DATOS!$I$2:$I$20000,"Conjunto"),""))</f>
        <v/>
      </c>
      <c r="Q532" t="str">
        <f>IF(M532="","",IFERROR(AVERAGEIFS(DATOS!$K$2:$K$20000,DATOS!$A$2:$A$20000,M532,DATOS!$G$2:$G$20000,CONFIG_METADATA!$B$4,DATOS!$I$2:$I$20000,"&lt;&gt;Lenguaje Musical",DATOS!$I$2:$I$20000,"&lt;&gt;Coro",DATOS!$I$2:$I$20000,"&lt;&gt;Conjunto"),""))</f>
        <v/>
      </c>
      <c r="T532" t="str">
        <f>IF(S532="","",IFERROR(AVERAGEIFS(DATOS!$K$2:$K$20000,DATOS!$A$2:$A$20000,S532,DATOS!$G$2:$G$20000,CONFIG_METADATA!$B$4,DATOS!$I$2:$I$20000,"Lenguaje Musical"),""))</f>
        <v/>
      </c>
      <c r="U532" t="str">
        <f>IF(S532="","",IFERROR(AVERAGEIFS(DATOS!$K$2:$K$20000,DATOS!$A$2:$A$20000,S532,DATOS!$G$2:$G$20000,CONFIG_METADATA!$B$4,DATOS!$I$2:$I$20000,"Coro"),""))</f>
        <v/>
      </c>
      <c r="V532" t="str">
        <f>IF(S532="","",IFERROR(AVERAGEIFS(DATOS!$K$2:$K$20000,DATOS!$A$2:$A$20000,S532,DATOS!$G$2:$G$20000,CONFIG_METADATA!$B$4,DATOS!$I$2:$I$20000,"Conjunto"),""))</f>
        <v/>
      </c>
      <c r="W532" t="str" cm="1">
        <f t="array" ref="W532">IF(S532="","",IFERROR(AVERAGE(IF((DATOS!$A$2:$A$20000=S532)*(DATOS!$G$2:$G$20000=CONFIG_METADATA!$B$4)*(DATOS!$I$2:$I$20000&lt;&gt;"Lenguaje Musical")*(DATOS!$I$2:$I$20000&lt;&gt;"Coro")*(DATOS!$I$2:$I$20000&lt;&gt;"Conjunto"),DATOS!$K$2:$K$20000)),""))</f>
        <v/>
      </c>
    </row>
    <row r="533" spans="2:23" x14ac:dyDescent="0.2">
      <c r="B533" t="str">
        <f>IF(A533="","",IFERROR(AVERAGEIFS(DATOS!$K$2:$K$20000,DATOS!$A$2:$A$20000,A533,DATOS!$G$2:$G$20000,CONFIG_METADATA!$B$4,DATOS!$I$2:$I$20000,"Lenguaje Musical"),""))</f>
        <v/>
      </c>
      <c r="C533" t="str">
        <f>IF(A533="","",IFERROR(AVERAGEIFS(DATOS!$K$2:$K$20000,DATOS!$A$2:$A$20000,A533,DATOS!$G$2:$G$20000,CONFIG_METADATA!$B$4,DATOS!$I$2:$I$20000,"Coro"),""))</f>
        <v/>
      </c>
      <c r="D533" t="str">
        <f>IF(A533="","",IFERROR(AVERAGEIFS(DATOS!$K$2:$K$20000,DATOS!$A$2:$A$20000,A533,DATOS!$G$2:$G$20000,CONFIG_METADATA!$B$4,DATOS!$I$2:$I$20000,"Conjunto"),""))</f>
        <v/>
      </c>
      <c r="E533" t="str">
        <f>IF(A533="","",IFERROR(AVERAGEIFS(DATOS!$K$2:$K$20000,DATOS!$A$2:$A$20000,A533,DATOS!$G$2:$G$20000,CONFIG_METADATA!$B$4,DATOS!$I$2:$I$20000,"&lt;&gt;Lenguaje Musical",DATOS!$I$2:$I$20000,"&lt;&gt;Coro",DATOS!$I$2:$I$20000,"&lt;&gt;Conjunto"),""))</f>
        <v/>
      </c>
      <c r="H533" t="str">
        <f>IF(G533="","",IFERROR(AVERAGEIFS(DATOS!$K$2:$K$20000,DATOS!$A$2:$A$20000,G533,DATOS!$G$2:$G$20000,CONFIG_METADATA!$B$4,DATOS!$I$2:$I$20000,"Lenguaje Musical"),""))</f>
        <v/>
      </c>
      <c r="I533" t="str">
        <f>IF(G533="","",IFERROR(AVERAGEIFS(DATOS!$K$2:$K$20000,DATOS!$A$2:$A$20000,G533,DATOS!$G$2:$G$20000,CONFIG_METADATA!$B$4,DATOS!$I$2:$I$20000,"Coro"),""))</f>
        <v/>
      </c>
      <c r="J533" t="str">
        <f>IF(G533="","",IFERROR(AVERAGEIFS(DATOS!$K$2:$K$20000,DATOS!$A$2:$A$20000,G533,DATOS!$G$2:$G$20000,CONFIG_METADATA!$B$4,DATOS!$I$2:$I$20000,"Conjunto"),""))</f>
        <v/>
      </c>
      <c r="K533" t="str" cm="1">
        <f t="array" ref="K533">IF(G533="","",IFERROR(AVERAGE(IF((DATOS!$A$2:$A$20000=G533)*(DATOS!$G$2:$G$20000=CONFIG_METADATA!$B$4)*(DATOS!$I$2:$I$20000&lt;&gt;"Lenguaje Musical")*(DATOS!$I$2:$I$20000&lt;&gt;"Coro")*(DATOS!$I$2:$I$20000&lt;&gt;"Conjunto"),DATOS!$K$2:$K$20000)),""))</f>
        <v/>
      </c>
      <c r="N533" t="str">
        <f>IF(M533="","",IFERROR(AVERAGEIFS(DATOS!$K$2:$K$20000,DATOS!$A$2:$A$20000,M533,DATOS!$G$2:$G$20000,CONFIG_METADATA!$B$4,DATOS!$I$2:$I$20000,"Lenguaje Musical"),""))</f>
        <v/>
      </c>
      <c r="O533" t="str">
        <f>IF(M533="","",IFERROR(AVERAGEIFS(DATOS!$K$2:$K$20000,DATOS!$A$2:$A$20000,M533,DATOS!$G$2:$G$20000,CONFIG_METADATA!$B$4,DATOS!$I$2:$I$20000,"Coro"),""))</f>
        <v/>
      </c>
      <c r="P533" t="str">
        <f>IF(M533="","",IFERROR(AVERAGEIFS(DATOS!$K$2:$K$20000,DATOS!$A$2:$A$20000,M533,DATOS!$G$2:$G$20000,CONFIG_METADATA!$B$4,DATOS!$I$2:$I$20000,"Conjunto"),""))</f>
        <v/>
      </c>
      <c r="Q533" t="str">
        <f>IF(M533="","",IFERROR(AVERAGEIFS(DATOS!$K$2:$K$20000,DATOS!$A$2:$A$20000,M533,DATOS!$G$2:$G$20000,CONFIG_METADATA!$B$4,DATOS!$I$2:$I$20000,"&lt;&gt;Lenguaje Musical",DATOS!$I$2:$I$20000,"&lt;&gt;Coro",DATOS!$I$2:$I$20000,"&lt;&gt;Conjunto"),""))</f>
        <v/>
      </c>
      <c r="T533" t="str">
        <f>IF(S533="","",IFERROR(AVERAGEIFS(DATOS!$K$2:$K$20000,DATOS!$A$2:$A$20000,S533,DATOS!$G$2:$G$20000,CONFIG_METADATA!$B$4,DATOS!$I$2:$I$20000,"Lenguaje Musical"),""))</f>
        <v/>
      </c>
      <c r="U533" t="str">
        <f>IF(S533="","",IFERROR(AVERAGEIFS(DATOS!$K$2:$K$20000,DATOS!$A$2:$A$20000,S533,DATOS!$G$2:$G$20000,CONFIG_METADATA!$B$4,DATOS!$I$2:$I$20000,"Coro"),""))</f>
        <v/>
      </c>
      <c r="V533" t="str">
        <f>IF(S533="","",IFERROR(AVERAGEIFS(DATOS!$K$2:$K$20000,DATOS!$A$2:$A$20000,S533,DATOS!$G$2:$G$20000,CONFIG_METADATA!$B$4,DATOS!$I$2:$I$20000,"Conjunto"),""))</f>
        <v/>
      </c>
      <c r="W533" t="str" cm="1">
        <f t="array" ref="W533">IF(S533="","",IFERROR(AVERAGE(IF((DATOS!$A$2:$A$20000=S533)*(DATOS!$G$2:$G$20000=CONFIG_METADATA!$B$4)*(DATOS!$I$2:$I$20000&lt;&gt;"Lenguaje Musical")*(DATOS!$I$2:$I$20000&lt;&gt;"Coro")*(DATOS!$I$2:$I$20000&lt;&gt;"Conjunto"),DATOS!$K$2:$K$20000)),""))</f>
        <v/>
      </c>
    </row>
    <row r="534" spans="2:23" x14ac:dyDescent="0.2">
      <c r="B534" t="str">
        <f>IF(A534="","",IFERROR(AVERAGEIFS(DATOS!$K$2:$K$20000,DATOS!$A$2:$A$20000,A534,DATOS!$G$2:$G$20000,CONFIG_METADATA!$B$4,DATOS!$I$2:$I$20000,"Lenguaje Musical"),""))</f>
        <v/>
      </c>
      <c r="C534" t="str">
        <f>IF(A534="","",IFERROR(AVERAGEIFS(DATOS!$K$2:$K$20000,DATOS!$A$2:$A$20000,A534,DATOS!$G$2:$G$20000,CONFIG_METADATA!$B$4,DATOS!$I$2:$I$20000,"Coro"),""))</f>
        <v/>
      </c>
      <c r="D534" t="str">
        <f>IF(A534="","",IFERROR(AVERAGEIFS(DATOS!$K$2:$K$20000,DATOS!$A$2:$A$20000,A534,DATOS!$G$2:$G$20000,CONFIG_METADATA!$B$4,DATOS!$I$2:$I$20000,"Conjunto"),""))</f>
        <v/>
      </c>
      <c r="E534" t="str">
        <f>IF(A534="","",IFERROR(AVERAGEIFS(DATOS!$K$2:$K$20000,DATOS!$A$2:$A$20000,A534,DATOS!$G$2:$G$20000,CONFIG_METADATA!$B$4,DATOS!$I$2:$I$20000,"&lt;&gt;Lenguaje Musical",DATOS!$I$2:$I$20000,"&lt;&gt;Coro",DATOS!$I$2:$I$20000,"&lt;&gt;Conjunto"),""))</f>
        <v/>
      </c>
      <c r="H534" t="str">
        <f>IF(G534="","",IFERROR(AVERAGEIFS(DATOS!$K$2:$K$20000,DATOS!$A$2:$A$20000,G534,DATOS!$G$2:$G$20000,CONFIG_METADATA!$B$4,DATOS!$I$2:$I$20000,"Lenguaje Musical"),""))</f>
        <v/>
      </c>
      <c r="I534" t="str">
        <f>IF(G534="","",IFERROR(AVERAGEIFS(DATOS!$K$2:$K$20000,DATOS!$A$2:$A$20000,G534,DATOS!$G$2:$G$20000,CONFIG_METADATA!$B$4,DATOS!$I$2:$I$20000,"Coro"),""))</f>
        <v/>
      </c>
      <c r="J534" t="str">
        <f>IF(G534="","",IFERROR(AVERAGEIFS(DATOS!$K$2:$K$20000,DATOS!$A$2:$A$20000,G534,DATOS!$G$2:$G$20000,CONFIG_METADATA!$B$4,DATOS!$I$2:$I$20000,"Conjunto"),""))</f>
        <v/>
      </c>
      <c r="K534" t="str" cm="1">
        <f t="array" ref="K534">IF(G534="","",IFERROR(AVERAGE(IF((DATOS!$A$2:$A$20000=G534)*(DATOS!$G$2:$G$20000=CONFIG_METADATA!$B$4)*(DATOS!$I$2:$I$20000&lt;&gt;"Lenguaje Musical")*(DATOS!$I$2:$I$20000&lt;&gt;"Coro")*(DATOS!$I$2:$I$20000&lt;&gt;"Conjunto"),DATOS!$K$2:$K$20000)),""))</f>
        <v/>
      </c>
      <c r="N534" t="str">
        <f>IF(M534="","",IFERROR(AVERAGEIFS(DATOS!$K$2:$K$20000,DATOS!$A$2:$A$20000,M534,DATOS!$G$2:$G$20000,CONFIG_METADATA!$B$4,DATOS!$I$2:$I$20000,"Lenguaje Musical"),""))</f>
        <v/>
      </c>
      <c r="O534" t="str">
        <f>IF(M534="","",IFERROR(AVERAGEIFS(DATOS!$K$2:$K$20000,DATOS!$A$2:$A$20000,M534,DATOS!$G$2:$G$20000,CONFIG_METADATA!$B$4,DATOS!$I$2:$I$20000,"Coro"),""))</f>
        <v/>
      </c>
      <c r="P534" t="str">
        <f>IF(M534="","",IFERROR(AVERAGEIFS(DATOS!$K$2:$K$20000,DATOS!$A$2:$A$20000,M534,DATOS!$G$2:$G$20000,CONFIG_METADATA!$B$4,DATOS!$I$2:$I$20000,"Conjunto"),""))</f>
        <v/>
      </c>
      <c r="Q534" t="str">
        <f>IF(M534="","",IFERROR(AVERAGEIFS(DATOS!$K$2:$K$20000,DATOS!$A$2:$A$20000,M534,DATOS!$G$2:$G$20000,CONFIG_METADATA!$B$4,DATOS!$I$2:$I$20000,"&lt;&gt;Lenguaje Musical",DATOS!$I$2:$I$20000,"&lt;&gt;Coro",DATOS!$I$2:$I$20000,"&lt;&gt;Conjunto"),""))</f>
        <v/>
      </c>
      <c r="T534" t="str">
        <f>IF(S534="","",IFERROR(AVERAGEIFS(DATOS!$K$2:$K$20000,DATOS!$A$2:$A$20000,S534,DATOS!$G$2:$G$20000,CONFIG_METADATA!$B$4,DATOS!$I$2:$I$20000,"Lenguaje Musical"),""))</f>
        <v/>
      </c>
      <c r="U534" t="str">
        <f>IF(S534="","",IFERROR(AVERAGEIFS(DATOS!$K$2:$K$20000,DATOS!$A$2:$A$20000,S534,DATOS!$G$2:$G$20000,CONFIG_METADATA!$B$4,DATOS!$I$2:$I$20000,"Coro"),""))</f>
        <v/>
      </c>
      <c r="V534" t="str">
        <f>IF(S534="","",IFERROR(AVERAGEIFS(DATOS!$K$2:$K$20000,DATOS!$A$2:$A$20000,S534,DATOS!$G$2:$G$20000,CONFIG_METADATA!$B$4,DATOS!$I$2:$I$20000,"Conjunto"),""))</f>
        <v/>
      </c>
      <c r="W534" t="str" cm="1">
        <f t="array" ref="W534">IF(S534="","",IFERROR(AVERAGE(IF((DATOS!$A$2:$A$20000=S534)*(DATOS!$G$2:$G$20000=CONFIG_METADATA!$B$4)*(DATOS!$I$2:$I$20000&lt;&gt;"Lenguaje Musical")*(DATOS!$I$2:$I$20000&lt;&gt;"Coro")*(DATOS!$I$2:$I$20000&lt;&gt;"Conjunto"),DATOS!$K$2:$K$20000)),""))</f>
        <v/>
      </c>
    </row>
    <row r="535" spans="2:23" x14ac:dyDescent="0.2">
      <c r="B535" t="str">
        <f>IF(A535="","",IFERROR(AVERAGEIFS(DATOS!$K$2:$K$20000,DATOS!$A$2:$A$20000,A535,DATOS!$G$2:$G$20000,CONFIG_METADATA!$B$4,DATOS!$I$2:$I$20000,"Lenguaje Musical"),""))</f>
        <v/>
      </c>
      <c r="C535" t="str">
        <f>IF(A535="","",IFERROR(AVERAGEIFS(DATOS!$K$2:$K$20000,DATOS!$A$2:$A$20000,A535,DATOS!$G$2:$G$20000,CONFIG_METADATA!$B$4,DATOS!$I$2:$I$20000,"Coro"),""))</f>
        <v/>
      </c>
      <c r="D535" t="str">
        <f>IF(A535="","",IFERROR(AVERAGEIFS(DATOS!$K$2:$K$20000,DATOS!$A$2:$A$20000,A535,DATOS!$G$2:$G$20000,CONFIG_METADATA!$B$4,DATOS!$I$2:$I$20000,"Conjunto"),""))</f>
        <v/>
      </c>
      <c r="E535" t="str">
        <f>IF(A535="","",IFERROR(AVERAGEIFS(DATOS!$K$2:$K$20000,DATOS!$A$2:$A$20000,A535,DATOS!$G$2:$G$20000,CONFIG_METADATA!$B$4,DATOS!$I$2:$I$20000,"&lt;&gt;Lenguaje Musical",DATOS!$I$2:$I$20000,"&lt;&gt;Coro",DATOS!$I$2:$I$20000,"&lt;&gt;Conjunto"),""))</f>
        <v/>
      </c>
      <c r="H535" t="str">
        <f>IF(G535="","",IFERROR(AVERAGEIFS(DATOS!$K$2:$K$20000,DATOS!$A$2:$A$20000,G535,DATOS!$G$2:$G$20000,CONFIG_METADATA!$B$4,DATOS!$I$2:$I$20000,"Lenguaje Musical"),""))</f>
        <v/>
      </c>
      <c r="I535" t="str">
        <f>IF(G535="","",IFERROR(AVERAGEIFS(DATOS!$K$2:$K$20000,DATOS!$A$2:$A$20000,G535,DATOS!$G$2:$G$20000,CONFIG_METADATA!$B$4,DATOS!$I$2:$I$20000,"Coro"),""))</f>
        <v/>
      </c>
      <c r="J535" t="str">
        <f>IF(G535="","",IFERROR(AVERAGEIFS(DATOS!$K$2:$K$20000,DATOS!$A$2:$A$20000,G535,DATOS!$G$2:$G$20000,CONFIG_METADATA!$B$4,DATOS!$I$2:$I$20000,"Conjunto"),""))</f>
        <v/>
      </c>
      <c r="K535" t="str" cm="1">
        <f t="array" ref="K535">IF(G535="","",IFERROR(AVERAGE(IF((DATOS!$A$2:$A$20000=G535)*(DATOS!$G$2:$G$20000=CONFIG_METADATA!$B$4)*(DATOS!$I$2:$I$20000&lt;&gt;"Lenguaje Musical")*(DATOS!$I$2:$I$20000&lt;&gt;"Coro")*(DATOS!$I$2:$I$20000&lt;&gt;"Conjunto"),DATOS!$K$2:$K$20000)),""))</f>
        <v/>
      </c>
      <c r="N535" t="str">
        <f>IF(M535="","",IFERROR(AVERAGEIFS(DATOS!$K$2:$K$20000,DATOS!$A$2:$A$20000,M535,DATOS!$G$2:$G$20000,CONFIG_METADATA!$B$4,DATOS!$I$2:$I$20000,"Lenguaje Musical"),""))</f>
        <v/>
      </c>
      <c r="O535" t="str">
        <f>IF(M535="","",IFERROR(AVERAGEIFS(DATOS!$K$2:$K$20000,DATOS!$A$2:$A$20000,M535,DATOS!$G$2:$G$20000,CONFIG_METADATA!$B$4,DATOS!$I$2:$I$20000,"Coro"),""))</f>
        <v/>
      </c>
      <c r="P535" t="str">
        <f>IF(M535="","",IFERROR(AVERAGEIFS(DATOS!$K$2:$K$20000,DATOS!$A$2:$A$20000,M535,DATOS!$G$2:$G$20000,CONFIG_METADATA!$B$4,DATOS!$I$2:$I$20000,"Conjunto"),""))</f>
        <v/>
      </c>
      <c r="Q535" t="str">
        <f>IF(M535="","",IFERROR(AVERAGEIFS(DATOS!$K$2:$K$20000,DATOS!$A$2:$A$20000,M535,DATOS!$G$2:$G$20000,CONFIG_METADATA!$B$4,DATOS!$I$2:$I$20000,"&lt;&gt;Lenguaje Musical",DATOS!$I$2:$I$20000,"&lt;&gt;Coro",DATOS!$I$2:$I$20000,"&lt;&gt;Conjunto"),""))</f>
        <v/>
      </c>
      <c r="T535" t="str">
        <f>IF(S535="","",IFERROR(AVERAGEIFS(DATOS!$K$2:$K$20000,DATOS!$A$2:$A$20000,S535,DATOS!$G$2:$G$20000,CONFIG_METADATA!$B$4,DATOS!$I$2:$I$20000,"Lenguaje Musical"),""))</f>
        <v/>
      </c>
      <c r="U535" t="str">
        <f>IF(S535="","",IFERROR(AVERAGEIFS(DATOS!$K$2:$K$20000,DATOS!$A$2:$A$20000,S535,DATOS!$G$2:$G$20000,CONFIG_METADATA!$B$4,DATOS!$I$2:$I$20000,"Coro"),""))</f>
        <v/>
      </c>
      <c r="V535" t="str">
        <f>IF(S535="","",IFERROR(AVERAGEIFS(DATOS!$K$2:$K$20000,DATOS!$A$2:$A$20000,S535,DATOS!$G$2:$G$20000,CONFIG_METADATA!$B$4,DATOS!$I$2:$I$20000,"Conjunto"),""))</f>
        <v/>
      </c>
      <c r="W535" t="str" cm="1">
        <f t="array" ref="W535">IF(S535="","",IFERROR(AVERAGE(IF((DATOS!$A$2:$A$20000=S535)*(DATOS!$G$2:$G$20000=CONFIG_METADATA!$B$4)*(DATOS!$I$2:$I$20000&lt;&gt;"Lenguaje Musical")*(DATOS!$I$2:$I$20000&lt;&gt;"Coro")*(DATOS!$I$2:$I$20000&lt;&gt;"Conjunto"),DATOS!$K$2:$K$20000)),""))</f>
        <v/>
      </c>
    </row>
    <row r="536" spans="2:23" x14ac:dyDescent="0.2">
      <c r="B536" t="str">
        <f>IF(A536="","",IFERROR(AVERAGEIFS(DATOS!$K$2:$K$20000,DATOS!$A$2:$A$20000,A536,DATOS!$G$2:$G$20000,CONFIG_METADATA!$B$4,DATOS!$I$2:$I$20000,"Lenguaje Musical"),""))</f>
        <v/>
      </c>
      <c r="C536" t="str">
        <f>IF(A536="","",IFERROR(AVERAGEIFS(DATOS!$K$2:$K$20000,DATOS!$A$2:$A$20000,A536,DATOS!$G$2:$G$20000,CONFIG_METADATA!$B$4,DATOS!$I$2:$I$20000,"Coro"),""))</f>
        <v/>
      </c>
      <c r="D536" t="str">
        <f>IF(A536="","",IFERROR(AVERAGEIFS(DATOS!$K$2:$K$20000,DATOS!$A$2:$A$20000,A536,DATOS!$G$2:$G$20000,CONFIG_METADATA!$B$4,DATOS!$I$2:$I$20000,"Conjunto"),""))</f>
        <v/>
      </c>
      <c r="E536" t="str">
        <f>IF(A536="","",IFERROR(AVERAGEIFS(DATOS!$K$2:$K$20000,DATOS!$A$2:$A$20000,A536,DATOS!$G$2:$G$20000,CONFIG_METADATA!$B$4,DATOS!$I$2:$I$20000,"&lt;&gt;Lenguaje Musical",DATOS!$I$2:$I$20000,"&lt;&gt;Coro",DATOS!$I$2:$I$20000,"&lt;&gt;Conjunto"),""))</f>
        <v/>
      </c>
      <c r="H536" t="str">
        <f>IF(G536="","",IFERROR(AVERAGEIFS(DATOS!$K$2:$K$20000,DATOS!$A$2:$A$20000,G536,DATOS!$G$2:$G$20000,CONFIG_METADATA!$B$4,DATOS!$I$2:$I$20000,"Lenguaje Musical"),""))</f>
        <v/>
      </c>
      <c r="I536" t="str">
        <f>IF(G536="","",IFERROR(AVERAGEIFS(DATOS!$K$2:$K$20000,DATOS!$A$2:$A$20000,G536,DATOS!$G$2:$G$20000,CONFIG_METADATA!$B$4,DATOS!$I$2:$I$20000,"Coro"),""))</f>
        <v/>
      </c>
      <c r="J536" t="str">
        <f>IF(G536="","",IFERROR(AVERAGEIFS(DATOS!$K$2:$K$20000,DATOS!$A$2:$A$20000,G536,DATOS!$G$2:$G$20000,CONFIG_METADATA!$B$4,DATOS!$I$2:$I$20000,"Conjunto"),""))</f>
        <v/>
      </c>
      <c r="K536" t="str" cm="1">
        <f t="array" ref="K536">IF(G536="","",IFERROR(AVERAGE(IF((DATOS!$A$2:$A$20000=G536)*(DATOS!$G$2:$G$20000=CONFIG_METADATA!$B$4)*(DATOS!$I$2:$I$20000&lt;&gt;"Lenguaje Musical")*(DATOS!$I$2:$I$20000&lt;&gt;"Coro")*(DATOS!$I$2:$I$20000&lt;&gt;"Conjunto"),DATOS!$K$2:$K$20000)),""))</f>
        <v/>
      </c>
      <c r="N536" t="str">
        <f>IF(M536="","",IFERROR(AVERAGEIFS(DATOS!$K$2:$K$20000,DATOS!$A$2:$A$20000,M536,DATOS!$G$2:$G$20000,CONFIG_METADATA!$B$4,DATOS!$I$2:$I$20000,"Lenguaje Musical"),""))</f>
        <v/>
      </c>
      <c r="O536" t="str">
        <f>IF(M536="","",IFERROR(AVERAGEIFS(DATOS!$K$2:$K$20000,DATOS!$A$2:$A$20000,M536,DATOS!$G$2:$G$20000,CONFIG_METADATA!$B$4,DATOS!$I$2:$I$20000,"Coro"),""))</f>
        <v/>
      </c>
      <c r="P536" t="str">
        <f>IF(M536="","",IFERROR(AVERAGEIFS(DATOS!$K$2:$K$20000,DATOS!$A$2:$A$20000,M536,DATOS!$G$2:$G$20000,CONFIG_METADATA!$B$4,DATOS!$I$2:$I$20000,"Conjunto"),""))</f>
        <v/>
      </c>
      <c r="Q536" t="str">
        <f>IF(M536="","",IFERROR(AVERAGEIFS(DATOS!$K$2:$K$20000,DATOS!$A$2:$A$20000,M536,DATOS!$G$2:$G$20000,CONFIG_METADATA!$B$4,DATOS!$I$2:$I$20000,"&lt;&gt;Lenguaje Musical",DATOS!$I$2:$I$20000,"&lt;&gt;Coro",DATOS!$I$2:$I$20000,"&lt;&gt;Conjunto"),""))</f>
        <v/>
      </c>
      <c r="T536" t="str">
        <f>IF(S536="","",IFERROR(AVERAGEIFS(DATOS!$K$2:$K$20000,DATOS!$A$2:$A$20000,S536,DATOS!$G$2:$G$20000,CONFIG_METADATA!$B$4,DATOS!$I$2:$I$20000,"Lenguaje Musical"),""))</f>
        <v/>
      </c>
      <c r="U536" t="str">
        <f>IF(S536="","",IFERROR(AVERAGEIFS(DATOS!$K$2:$K$20000,DATOS!$A$2:$A$20000,S536,DATOS!$G$2:$G$20000,CONFIG_METADATA!$B$4,DATOS!$I$2:$I$20000,"Coro"),""))</f>
        <v/>
      </c>
      <c r="V536" t="str">
        <f>IF(S536="","",IFERROR(AVERAGEIFS(DATOS!$K$2:$K$20000,DATOS!$A$2:$A$20000,S536,DATOS!$G$2:$G$20000,CONFIG_METADATA!$B$4,DATOS!$I$2:$I$20000,"Conjunto"),""))</f>
        <v/>
      </c>
      <c r="W536" t="str" cm="1">
        <f t="array" ref="W536">IF(S536="","",IFERROR(AVERAGE(IF((DATOS!$A$2:$A$20000=S536)*(DATOS!$G$2:$G$20000=CONFIG_METADATA!$B$4)*(DATOS!$I$2:$I$20000&lt;&gt;"Lenguaje Musical")*(DATOS!$I$2:$I$20000&lt;&gt;"Coro")*(DATOS!$I$2:$I$20000&lt;&gt;"Conjunto"),DATOS!$K$2:$K$20000)),""))</f>
        <v/>
      </c>
    </row>
    <row r="537" spans="2:23" x14ac:dyDescent="0.2">
      <c r="B537" t="str">
        <f>IF(A537="","",IFERROR(AVERAGEIFS(DATOS!$K$2:$K$20000,DATOS!$A$2:$A$20000,A537,DATOS!$G$2:$G$20000,CONFIG_METADATA!$B$4,DATOS!$I$2:$I$20000,"Lenguaje Musical"),""))</f>
        <v/>
      </c>
      <c r="C537" t="str">
        <f>IF(A537="","",IFERROR(AVERAGEIFS(DATOS!$K$2:$K$20000,DATOS!$A$2:$A$20000,A537,DATOS!$G$2:$G$20000,CONFIG_METADATA!$B$4,DATOS!$I$2:$I$20000,"Coro"),""))</f>
        <v/>
      </c>
      <c r="D537" t="str">
        <f>IF(A537="","",IFERROR(AVERAGEIFS(DATOS!$K$2:$K$20000,DATOS!$A$2:$A$20000,A537,DATOS!$G$2:$G$20000,CONFIG_METADATA!$B$4,DATOS!$I$2:$I$20000,"Conjunto"),""))</f>
        <v/>
      </c>
      <c r="E537" t="str">
        <f>IF(A537="","",IFERROR(AVERAGEIFS(DATOS!$K$2:$K$20000,DATOS!$A$2:$A$20000,A537,DATOS!$G$2:$G$20000,CONFIG_METADATA!$B$4,DATOS!$I$2:$I$20000,"&lt;&gt;Lenguaje Musical",DATOS!$I$2:$I$20000,"&lt;&gt;Coro",DATOS!$I$2:$I$20000,"&lt;&gt;Conjunto"),""))</f>
        <v/>
      </c>
      <c r="H537" t="str">
        <f>IF(G537="","",IFERROR(AVERAGEIFS(DATOS!$K$2:$K$20000,DATOS!$A$2:$A$20000,G537,DATOS!$G$2:$G$20000,CONFIG_METADATA!$B$4,DATOS!$I$2:$I$20000,"Lenguaje Musical"),""))</f>
        <v/>
      </c>
      <c r="I537" t="str">
        <f>IF(G537="","",IFERROR(AVERAGEIFS(DATOS!$K$2:$K$20000,DATOS!$A$2:$A$20000,G537,DATOS!$G$2:$G$20000,CONFIG_METADATA!$B$4,DATOS!$I$2:$I$20000,"Coro"),""))</f>
        <v/>
      </c>
      <c r="J537" t="str">
        <f>IF(G537="","",IFERROR(AVERAGEIFS(DATOS!$K$2:$K$20000,DATOS!$A$2:$A$20000,G537,DATOS!$G$2:$G$20000,CONFIG_METADATA!$B$4,DATOS!$I$2:$I$20000,"Conjunto"),""))</f>
        <v/>
      </c>
      <c r="K537" t="str" cm="1">
        <f t="array" ref="K537">IF(G537="","",IFERROR(AVERAGE(IF((DATOS!$A$2:$A$20000=G537)*(DATOS!$G$2:$G$20000=CONFIG_METADATA!$B$4)*(DATOS!$I$2:$I$20000&lt;&gt;"Lenguaje Musical")*(DATOS!$I$2:$I$20000&lt;&gt;"Coro")*(DATOS!$I$2:$I$20000&lt;&gt;"Conjunto"),DATOS!$K$2:$K$20000)),""))</f>
        <v/>
      </c>
      <c r="N537" t="str">
        <f>IF(M537="","",IFERROR(AVERAGEIFS(DATOS!$K$2:$K$20000,DATOS!$A$2:$A$20000,M537,DATOS!$G$2:$G$20000,CONFIG_METADATA!$B$4,DATOS!$I$2:$I$20000,"Lenguaje Musical"),""))</f>
        <v/>
      </c>
      <c r="O537" t="str">
        <f>IF(M537="","",IFERROR(AVERAGEIFS(DATOS!$K$2:$K$20000,DATOS!$A$2:$A$20000,M537,DATOS!$G$2:$G$20000,CONFIG_METADATA!$B$4,DATOS!$I$2:$I$20000,"Coro"),""))</f>
        <v/>
      </c>
      <c r="P537" t="str">
        <f>IF(M537="","",IFERROR(AVERAGEIFS(DATOS!$K$2:$K$20000,DATOS!$A$2:$A$20000,M537,DATOS!$G$2:$G$20000,CONFIG_METADATA!$B$4,DATOS!$I$2:$I$20000,"Conjunto"),""))</f>
        <v/>
      </c>
      <c r="Q537" t="str">
        <f>IF(M537="","",IFERROR(AVERAGEIFS(DATOS!$K$2:$K$20000,DATOS!$A$2:$A$20000,M537,DATOS!$G$2:$G$20000,CONFIG_METADATA!$B$4,DATOS!$I$2:$I$20000,"&lt;&gt;Lenguaje Musical",DATOS!$I$2:$I$20000,"&lt;&gt;Coro",DATOS!$I$2:$I$20000,"&lt;&gt;Conjunto"),""))</f>
        <v/>
      </c>
      <c r="T537" t="str">
        <f>IF(S537="","",IFERROR(AVERAGEIFS(DATOS!$K$2:$K$20000,DATOS!$A$2:$A$20000,S537,DATOS!$G$2:$G$20000,CONFIG_METADATA!$B$4,DATOS!$I$2:$I$20000,"Lenguaje Musical"),""))</f>
        <v/>
      </c>
      <c r="U537" t="str">
        <f>IF(S537="","",IFERROR(AVERAGEIFS(DATOS!$K$2:$K$20000,DATOS!$A$2:$A$20000,S537,DATOS!$G$2:$G$20000,CONFIG_METADATA!$B$4,DATOS!$I$2:$I$20000,"Coro"),""))</f>
        <v/>
      </c>
      <c r="V537" t="str">
        <f>IF(S537="","",IFERROR(AVERAGEIFS(DATOS!$K$2:$K$20000,DATOS!$A$2:$A$20000,S537,DATOS!$G$2:$G$20000,CONFIG_METADATA!$B$4,DATOS!$I$2:$I$20000,"Conjunto"),""))</f>
        <v/>
      </c>
      <c r="W537" t="str" cm="1">
        <f t="array" ref="W537">IF(S537="","",IFERROR(AVERAGE(IF((DATOS!$A$2:$A$20000=S537)*(DATOS!$G$2:$G$20000=CONFIG_METADATA!$B$4)*(DATOS!$I$2:$I$20000&lt;&gt;"Lenguaje Musical")*(DATOS!$I$2:$I$20000&lt;&gt;"Coro")*(DATOS!$I$2:$I$20000&lt;&gt;"Conjunto"),DATOS!$K$2:$K$20000)),""))</f>
        <v/>
      </c>
    </row>
    <row r="538" spans="2:23" x14ac:dyDescent="0.2">
      <c r="B538" t="str">
        <f>IF(A538="","",IFERROR(AVERAGEIFS(DATOS!$K$2:$K$20000,DATOS!$A$2:$A$20000,A538,DATOS!$G$2:$G$20000,CONFIG_METADATA!$B$4,DATOS!$I$2:$I$20000,"Lenguaje Musical"),""))</f>
        <v/>
      </c>
      <c r="C538" t="str">
        <f>IF(A538="","",IFERROR(AVERAGEIFS(DATOS!$K$2:$K$20000,DATOS!$A$2:$A$20000,A538,DATOS!$G$2:$G$20000,CONFIG_METADATA!$B$4,DATOS!$I$2:$I$20000,"Coro"),""))</f>
        <v/>
      </c>
      <c r="D538" t="str">
        <f>IF(A538="","",IFERROR(AVERAGEIFS(DATOS!$K$2:$K$20000,DATOS!$A$2:$A$20000,A538,DATOS!$G$2:$G$20000,CONFIG_METADATA!$B$4,DATOS!$I$2:$I$20000,"Conjunto"),""))</f>
        <v/>
      </c>
      <c r="E538" t="str">
        <f>IF(A538="","",IFERROR(AVERAGEIFS(DATOS!$K$2:$K$20000,DATOS!$A$2:$A$20000,A538,DATOS!$G$2:$G$20000,CONFIG_METADATA!$B$4,DATOS!$I$2:$I$20000,"&lt;&gt;Lenguaje Musical",DATOS!$I$2:$I$20000,"&lt;&gt;Coro",DATOS!$I$2:$I$20000,"&lt;&gt;Conjunto"),""))</f>
        <v/>
      </c>
      <c r="H538" t="str">
        <f>IF(G538="","",IFERROR(AVERAGEIFS(DATOS!$K$2:$K$20000,DATOS!$A$2:$A$20000,G538,DATOS!$G$2:$G$20000,CONFIG_METADATA!$B$4,DATOS!$I$2:$I$20000,"Lenguaje Musical"),""))</f>
        <v/>
      </c>
      <c r="I538" t="str">
        <f>IF(G538="","",IFERROR(AVERAGEIFS(DATOS!$K$2:$K$20000,DATOS!$A$2:$A$20000,G538,DATOS!$G$2:$G$20000,CONFIG_METADATA!$B$4,DATOS!$I$2:$I$20000,"Coro"),""))</f>
        <v/>
      </c>
      <c r="J538" t="str">
        <f>IF(G538="","",IFERROR(AVERAGEIFS(DATOS!$K$2:$K$20000,DATOS!$A$2:$A$20000,G538,DATOS!$G$2:$G$20000,CONFIG_METADATA!$B$4,DATOS!$I$2:$I$20000,"Conjunto"),""))</f>
        <v/>
      </c>
      <c r="K538" t="str" cm="1">
        <f t="array" ref="K538">IF(G538="","",IFERROR(AVERAGE(IF((DATOS!$A$2:$A$20000=G538)*(DATOS!$G$2:$G$20000=CONFIG_METADATA!$B$4)*(DATOS!$I$2:$I$20000&lt;&gt;"Lenguaje Musical")*(DATOS!$I$2:$I$20000&lt;&gt;"Coro")*(DATOS!$I$2:$I$20000&lt;&gt;"Conjunto"),DATOS!$K$2:$K$20000)),""))</f>
        <v/>
      </c>
      <c r="N538" t="str">
        <f>IF(M538="","",IFERROR(AVERAGEIFS(DATOS!$K$2:$K$20000,DATOS!$A$2:$A$20000,M538,DATOS!$G$2:$G$20000,CONFIG_METADATA!$B$4,DATOS!$I$2:$I$20000,"Lenguaje Musical"),""))</f>
        <v/>
      </c>
      <c r="O538" t="str">
        <f>IF(M538="","",IFERROR(AVERAGEIFS(DATOS!$K$2:$K$20000,DATOS!$A$2:$A$20000,M538,DATOS!$G$2:$G$20000,CONFIG_METADATA!$B$4,DATOS!$I$2:$I$20000,"Coro"),""))</f>
        <v/>
      </c>
      <c r="P538" t="str">
        <f>IF(M538="","",IFERROR(AVERAGEIFS(DATOS!$K$2:$K$20000,DATOS!$A$2:$A$20000,M538,DATOS!$G$2:$G$20000,CONFIG_METADATA!$B$4,DATOS!$I$2:$I$20000,"Conjunto"),""))</f>
        <v/>
      </c>
      <c r="Q538" t="str">
        <f>IF(M538="","",IFERROR(AVERAGEIFS(DATOS!$K$2:$K$20000,DATOS!$A$2:$A$20000,M538,DATOS!$G$2:$G$20000,CONFIG_METADATA!$B$4,DATOS!$I$2:$I$20000,"&lt;&gt;Lenguaje Musical",DATOS!$I$2:$I$20000,"&lt;&gt;Coro",DATOS!$I$2:$I$20000,"&lt;&gt;Conjunto"),""))</f>
        <v/>
      </c>
      <c r="T538" t="str">
        <f>IF(S538="","",IFERROR(AVERAGEIFS(DATOS!$K$2:$K$20000,DATOS!$A$2:$A$20000,S538,DATOS!$G$2:$G$20000,CONFIG_METADATA!$B$4,DATOS!$I$2:$I$20000,"Lenguaje Musical"),""))</f>
        <v/>
      </c>
      <c r="U538" t="str">
        <f>IF(S538="","",IFERROR(AVERAGEIFS(DATOS!$K$2:$K$20000,DATOS!$A$2:$A$20000,S538,DATOS!$G$2:$G$20000,CONFIG_METADATA!$B$4,DATOS!$I$2:$I$20000,"Coro"),""))</f>
        <v/>
      </c>
      <c r="V538" t="str">
        <f>IF(S538="","",IFERROR(AVERAGEIFS(DATOS!$K$2:$K$20000,DATOS!$A$2:$A$20000,S538,DATOS!$G$2:$G$20000,CONFIG_METADATA!$B$4,DATOS!$I$2:$I$20000,"Conjunto"),""))</f>
        <v/>
      </c>
      <c r="W538" t="str" cm="1">
        <f t="array" ref="W538">IF(S538="","",IFERROR(AVERAGE(IF((DATOS!$A$2:$A$20000=S538)*(DATOS!$G$2:$G$20000=CONFIG_METADATA!$B$4)*(DATOS!$I$2:$I$20000&lt;&gt;"Lenguaje Musical")*(DATOS!$I$2:$I$20000&lt;&gt;"Coro")*(DATOS!$I$2:$I$20000&lt;&gt;"Conjunto"),DATOS!$K$2:$K$20000)),""))</f>
        <v/>
      </c>
    </row>
    <row r="539" spans="2:23" x14ac:dyDescent="0.2">
      <c r="B539" t="str">
        <f>IF(A539="","",IFERROR(AVERAGEIFS(DATOS!$K$2:$K$20000,DATOS!$A$2:$A$20000,A539,DATOS!$G$2:$G$20000,CONFIG_METADATA!$B$4,DATOS!$I$2:$I$20000,"Lenguaje Musical"),""))</f>
        <v/>
      </c>
      <c r="C539" t="str">
        <f>IF(A539="","",IFERROR(AVERAGEIFS(DATOS!$K$2:$K$20000,DATOS!$A$2:$A$20000,A539,DATOS!$G$2:$G$20000,CONFIG_METADATA!$B$4,DATOS!$I$2:$I$20000,"Coro"),""))</f>
        <v/>
      </c>
      <c r="D539" t="str">
        <f>IF(A539="","",IFERROR(AVERAGEIFS(DATOS!$K$2:$K$20000,DATOS!$A$2:$A$20000,A539,DATOS!$G$2:$G$20000,CONFIG_METADATA!$B$4,DATOS!$I$2:$I$20000,"Conjunto"),""))</f>
        <v/>
      </c>
      <c r="E539" t="str">
        <f>IF(A539="","",IFERROR(AVERAGEIFS(DATOS!$K$2:$K$20000,DATOS!$A$2:$A$20000,A539,DATOS!$G$2:$G$20000,CONFIG_METADATA!$B$4,DATOS!$I$2:$I$20000,"&lt;&gt;Lenguaje Musical",DATOS!$I$2:$I$20000,"&lt;&gt;Coro",DATOS!$I$2:$I$20000,"&lt;&gt;Conjunto"),""))</f>
        <v/>
      </c>
      <c r="H539" t="str">
        <f>IF(G539="","",IFERROR(AVERAGEIFS(DATOS!$K$2:$K$20000,DATOS!$A$2:$A$20000,G539,DATOS!$G$2:$G$20000,CONFIG_METADATA!$B$4,DATOS!$I$2:$I$20000,"Lenguaje Musical"),""))</f>
        <v/>
      </c>
      <c r="I539" t="str">
        <f>IF(G539="","",IFERROR(AVERAGEIFS(DATOS!$K$2:$K$20000,DATOS!$A$2:$A$20000,G539,DATOS!$G$2:$G$20000,CONFIG_METADATA!$B$4,DATOS!$I$2:$I$20000,"Coro"),""))</f>
        <v/>
      </c>
      <c r="J539" t="str">
        <f>IF(G539="","",IFERROR(AVERAGEIFS(DATOS!$K$2:$K$20000,DATOS!$A$2:$A$20000,G539,DATOS!$G$2:$G$20000,CONFIG_METADATA!$B$4,DATOS!$I$2:$I$20000,"Conjunto"),""))</f>
        <v/>
      </c>
      <c r="K539" t="str" cm="1">
        <f t="array" ref="K539">IF(G539="","",IFERROR(AVERAGE(IF((DATOS!$A$2:$A$20000=G539)*(DATOS!$G$2:$G$20000=CONFIG_METADATA!$B$4)*(DATOS!$I$2:$I$20000&lt;&gt;"Lenguaje Musical")*(DATOS!$I$2:$I$20000&lt;&gt;"Coro")*(DATOS!$I$2:$I$20000&lt;&gt;"Conjunto"),DATOS!$K$2:$K$20000)),""))</f>
        <v/>
      </c>
      <c r="N539" t="str">
        <f>IF(M539="","",IFERROR(AVERAGEIFS(DATOS!$K$2:$K$20000,DATOS!$A$2:$A$20000,M539,DATOS!$G$2:$G$20000,CONFIG_METADATA!$B$4,DATOS!$I$2:$I$20000,"Lenguaje Musical"),""))</f>
        <v/>
      </c>
      <c r="O539" t="str">
        <f>IF(M539="","",IFERROR(AVERAGEIFS(DATOS!$K$2:$K$20000,DATOS!$A$2:$A$20000,M539,DATOS!$G$2:$G$20000,CONFIG_METADATA!$B$4,DATOS!$I$2:$I$20000,"Coro"),""))</f>
        <v/>
      </c>
      <c r="P539" t="str">
        <f>IF(M539="","",IFERROR(AVERAGEIFS(DATOS!$K$2:$K$20000,DATOS!$A$2:$A$20000,M539,DATOS!$G$2:$G$20000,CONFIG_METADATA!$B$4,DATOS!$I$2:$I$20000,"Conjunto"),""))</f>
        <v/>
      </c>
      <c r="Q539" t="str">
        <f>IF(M539="","",IFERROR(AVERAGEIFS(DATOS!$K$2:$K$20000,DATOS!$A$2:$A$20000,M539,DATOS!$G$2:$G$20000,CONFIG_METADATA!$B$4,DATOS!$I$2:$I$20000,"&lt;&gt;Lenguaje Musical",DATOS!$I$2:$I$20000,"&lt;&gt;Coro",DATOS!$I$2:$I$20000,"&lt;&gt;Conjunto"),""))</f>
        <v/>
      </c>
      <c r="T539" t="str">
        <f>IF(S539="","",IFERROR(AVERAGEIFS(DATOS!$K$2:$K$20000,DATOS!$A$2:$A$20000,S539,DATOS!$G$2:$G$20000,CONFIG_METADATA!$B$4,DATOS!$I$2:$I$20000,"Lenguaje Musical"),""))</f>
        <v/>
      </c>
      <c r="U539" t="str">
        <f>IF(S539="","",IFERROR(AVERAGEIFS(DATOS!$K$2:$K$20000,DATOS!$A$2:$A$20000,S539,DATOS!$G$2:$G$20000,CONFIG_METADATA!$B$4,DATOS!$I$2:$I$20000,"Coro"),""))</f>
        <v/>
      </c>
      <c r="V539" t="str">
        <f>IF(S539="","",IFERROR(AVERAGEIFS(DATOS!$K$2:$K$20000,DATOS!$A$2:$A$20000,S539,DATOS!$G$2:$G$20000,CONFIG_METADATA!$B$4,DATOS!$I$2:$I$20000,"Conjunto"),""))</f>
        <v/>
      </c>
      <c r="W539" t="str" cm="1">
        <f t="array" ref="W539">IF(S539="","",IFERROR(AVERAGE(IF((DATOS!$A$2:$A$20000=S539)*(DATOS!$G$2:$G$20000=CONFIG_METADATA!$B$4)*(DATOS!$I$2:$I$20000&lt;&gt;"Lenguaje Musical")*(DATOS!$I$2:$I$20000&lt;&gt;"Coro")*(DATOS!$I$2:$I$20000&lt;&gt;"Conjunto"),DATOS!$K$2:$K$20000)),""))</f>
        <v/>
      </c>
    </row>
    <row r="540" spans="2:23" x14ac:dyDescent="0.2">
      <c r="B540" t="str">
        <f>IF(A540="","",IFERROR(AVERAGEIFS(DATOS!$K$2:$K$20000,DATOS!$A$2:$A$20000,A540,DATOS!$G$2:$G$20000,CONFIG_METADATA!$B$4,DATOS!$I$2:$I$20000,"Lenguaje Musical"),""))</f>
        <v/>
      </c>
      <c r="C540" t="str">
        <f>IF(A540="","",IFERROR(AVERAGEIFS(DATOS!$K$2:$K$20000,DATOS!$A$2:$A$20000,A540,DATOS!$G$2:$G$20000,CONFIG_METADATA!$B$4,DATOS!$I$2:$I$20000,"Coro"),""))</f>
        <v/>
      </c>
      <c r="D540" t="str">
        <f>IF(A540="","",IFERROR(AVERAGEIFS(DATOS!$K$2:$K$20000,DATOS!$A$2:$A$20000,A540,DATOS!$G$2:$G$20000,CONFIG_METADATA!$B$4,DATOS!$I$2:$I$20000,"Conjunto"),""))</f>
        <v/>
      </c>
      <c r="E540" t="str">
        <f>IF(A540="","",IFERROR(AVERAGEIFS(DATOS!$K$2:$K$20000,DATOS!$A$2:$A$20000,A540,DATOS!$G$2:$G$20000,CONFIG_METADATA!$B$4,DATOS!$I$2:$I$20000,"&lt;&gt;Lenguaje Musical",DATOS!$I$2:$I$20000,"&lt;&gt;Coro",DATOS!$I$2:$I$20000,"&lt;&gt;Conjunto"),""))</f>
        <v/>
      </c>
      <c r="H540" t="str">
        <f>IF(G540="","",IFERROR(AVERAGEIFS(DATOS!$K$2:$K$20000,DATOS!$A$2:$A$20000,G540,DATOS!$G$2:$G$20000,CONFIG_METADATA!$B$4,DATOS!$I$2:$I$20000,"Lenguaje Musical"),""))</f>
        <v/>
      </c>
      <c r="I540" t="str">
        <f>IF(G540="","",IFERROR(AVERAGEIFS(DATOS!$K$2:$K$20000,DATOS!$A$2:$A$20000,G540,DATOS!$G$2:$G$20000,CONFIG_METADATA!$B$4,DATOS!$I$2:$I$20000,"Coro"),""))</f>
        <v/>
      </c>
      <c r="J540" t="str">
        <f>IF(G540="","",IFERROR(AVERAGEIFS(DATOS!$K$2:$K$20000,DATOS!$A$2:$A$20000,G540,DATOS!$G$2:$G$20000,CONFIG_METADATA!$B$4,DATOS!$I$2:$I$20000,"Conjunto"),""))</f>
        <v/>
      </c>
      <c r="K540" t="str" cm="1">
        <f t="array" ref="K540">IF(G540="","",IFERROR(AVERAGE(IF((DATOS!$A$2:$A$20000=G540)*(DATOS!$G$2:$G$20000=CONFIG_METADATA!$B$4)*(DATOS!$I$2:$I$20000&lt;&gt;"Lenguaje Musical")*(DATOS!$I$2:$I$20000&lt;&gt;"Coro")*(DATOS!$I$2:$I$20000&lt;&gt;"Conjunto"),DATOS!$K$2:$K$20000)),""))</f>
        <v/>
      </c>
      <c r="N540" t="str">
        <f>IF(M540="","",IFERROR(AVERAGEIFS(DATOS!$K$2:$K$20000,DATOS!$A$2:$A$20000,M540,DATOS!$G$2:$G$20000,CONFIG_METADATA!$B$4,DATOS!$I$2:$I$20000,"Lenguaje Musical"),""))</f>
        <v/>
      </c>
      <c r="O540" t="str">
        <f>IF(M540="","",IFERROR(AVERAGEIFS(DATOS!$K$2:$K$20000,DATOS!$A$2:$A$20000,M540,DATOS!$G$2:$G$20000,CONFIG_METADATA!$B$4,DATOS!$I$2:$I$20000,"Coro"),""))</f>
        <v/>
      </c>
      <c r="P540" t="str">
        <f>IF(M540="","",IFERROR(AVERAGEIFS(DATOS!$K$2:$K$20000,DATOS!$A$2:$A$20000,M540,DATOS!$G$2:$G$20000,CONFIG_METADATA!$B$4,DATOS!$I$2:$I$20000,"Conjunto"),""))</f>
        <v/>
      </c>
      <c r="Q540" t="str">
        <f>IF(M540="","",IFERROR(AVERAGEIFS(DATOS!$K$2:$K$20000,DATOS!$A$2:$A$20000,M540,DATOS!$G$2:$G$20000,CONFIG_METADATA!$B$4,DATOS!$I$2:$I$20000,"&lt;&gt;Lenguaje Musical",DATOS!$I$2:$I$20000,"&lt;&gt;Coro",DATOS!$I$2:$I$20000,"&lt;&gt;Conjunto"),""))</f>
        <v/>
      </c>
      <c r="T540" t="str">
        <f>IF(S540="","",IFERROR(AVERAGEIFS(DATOS!$K$2:$K$20000,DATOS!$A$2:$A$20000,S540,DATOS!$G$2:$G$20000,CONFIG_METADATA!$B$4,DATOS!$I$2:$I$20000,"Lenguaje Musical"),""))</f>
        <v/>
      </c>
      <c r="U540" t="str">
        <f>IF(S540="","",IFERROR(AVERAGEIFS(DATOS!$K$2:$K$20000,DATOS!$A$2:$A$20000,S540,DATOS!$G$2:$G$20000,CONFIG_METADATA!$B$4,DATOS!$I$2:$I$20000,"Coro"),""))</f>
        <v/>
      </c>
      <c r="V540" t="str">
        <f>IF(S540="","",IFERROR(AVERAGEIFS(DATOS!$K$2:$K$20000,DATOS!$A$2:$A$20000,S540,DATOS!$G$2:$G$20000,CONFIG_METADATA!$B$4,DATOS!$I$2:$I$20000,"Conjunto"),""))</f>
        <v/>
      </c>
      <c r="W540" t="str" cm="1">
        <f t="array" ref="W540">IF(S540="","",IFERROR(AVERAGE(IF((DATOS!$A$2:$A$20000=S540)*(DATOS!$G$2:$G$20000=CONFIG_METADATA!$B$4)*(DATOS!$I$2:$I$20000&lt;&gt;"Lenguaje Musical")*(DATOS!$I$2:$I$20000&lt;&gt;"Coro")*(DATOS!$I$2:$I$20000&lt;&gt;"Conjunto"),DATOS!$K$2:$K$20000)),""))</f>
        <v/>
      </c>
    </row>
    <row r="541" spans="2:23" x14ac:dyDescent="0.2">
      <c r="B541" t="str">
        <f>IF(A541="","",IFERROR(AVERAGEIFS(DATOS!$K$2:$K$20000,DATOS!$A$2:$A$20000,A541,DATOS!$G$2:$G$20000,CONFIG_METADATA!$B$4,DATOS!$I$2:$I$20000,"Lenguaje Musical"),""))</f>
        <v/>
      </c>
      <c r="C541" t="str">
        <f>IF(A541="","",IFERROR(AVERAGEIFS(DATOS!$K$2:$K$20000,DATOS!$A$2:$A$20000,A541,DATOS!$G$2:$G$20000,CONFIG_METADATA!$B$4,DATOS!$I$2:$I$20000,"Coro"),""))</f>
        <v/>
      </c>
      <c r="D541" t="str">
        <f>IF(A541="","",IFERROR(AVERAGEIFS(DATOS!$K$2:$K$20000,DATOS!$A$2:$A$20000,A541,DATOS!$G$2:$G$20000,CONFIG_METADATA!$B$4,DATOS!$I$2:$I$20000,"Conjunto"),""))</f>
        <v/>
      </c>
      <c r="E541" t="str">
        <f>IF(A541="","",IFERROR(AVERAGEIFS(DATOS!$K$2:$K$20000,DATOS!$A$2:$A$20000,A541,DATOS!$G$2:$G$20000,CONFIG_METADATA!$B$4,DATOS!$I$2:$I$20000,"&lt;&gt;Lenguaje Musical",DATOS!$I$2:$I$20000,"&lt;&gt;Coro",DATOS!$I$2:$I$20000,"&lt;&gt;Conjunto"),""))</f>
        <v/>
      </c>
      <c r="H541" t="str">
        <f>IF(G541="","",IFERROR(AVERAGEIFS(DATOS!$K$2:$K$20000,DATOS!$A$2:$A$20000,G541,DATOS!$G$2:$G$20000,CONFIG_METADATA!$B$4,DATOS!$I$2:$I$20000,"Lenguaje Musical"),""))</f>
        <v/>
      </c>
      <c r="I541" t="str">
        <f>IF(G541="","",IFERROR(AVERAGEIFS(DATOS!$K$2:$K$20000,DATOS!$A$2:$A$20000,G541,DATOS!$G$2:$G$20000,CONFIG_METADATA!$B$4,DATOS!$I$2:$I$20000,"Coro"),""))</f>
        <v/>
      </c>
      <c r="J541" t="str">
        <f>IF(G541="","",IFERROR(AVERAGEIFS(DATOS!$K$2:$K$20000,DATOS!$A$2:$A$20000,G541,DATOS!$G$2:$G$20000,CONFIG_METADATA!$B$4,DATOS!$I$2:$I$20000,"Conjunto"),""))</f>
        <v/>
      </c>
      <c r="K541" t="str" cm="1">
        <f t="array" ref="K541">IF(G541="","",IFERROR(AVERAGE(IF((DATOS!$A$2:$A$20000=G541)*(DATOS!$G$2:$G$20000=CONFIG_METADATA!$B$4)*(DATOS!$I$2:$I$20000&lt;&gt;"Lenguaje Musical")*(DATOS!$I$2:$I$20000&lt;&gt;"Coro")*(DATOS!$I$2:$I$20000&lt;&gt;"Conjunto"),DATOS!$K$2:$K$20000)),""))</f>
        <v/>
      </c>
      <c r="N541" t="str">
        <f>IF(M541="","",IFERROR(AVERAGEIFS(DATOS!$K$2:$K$20000,DATOS!$A$2:$A$20000,M541,DATOS!$G$2:$G$20000,CONFIG_METADATA!$B$4,DATOS!$I$2:$I$20000,"Lenguaje Musical"),""))</f>
        <v/>
      </c>
      <c r="O541" t="str">
        <f>IF(M541="","",IFERROR(AVERAGEIFS(DATOS!$K$2:$K$20000,DATOS!$A$2:$A$20000,M541,DATOS!$G$2:$G$20000,CONFIG_METADATA!$B$4,DATOS!$I$2:$I$20000,"Coro"),""))</f>
        <v/>
      </c>
      <c r="P541" t="str">
        <f>IF(M541="","",IFERROR(AVERAGEIFS(DATOS!$K$2:$K$20000,DATOS!$A$2:$A$20000,M541,DATOS!$G$2:$G$20000,CONFIG_METADATA!$B$4,DATOS!$I$2:$I$20000,"Conjunto"),""))</f>
        <v/>
      </c>
      <c r="Q541" t="str">
        <f>IF(M541="","",IFERROR(AVERAGEIFS(DATOS!$K$2:$K$20000,DATOS!$A$2:$A$20000,M541,DATOS!$G$2:$G$20000,CONFIG_METADATA!$B$4,DATOS!$I$2:$I$20000,"&lt;&gt;Lenguaje Musical",DATOS!$I$2:$I$20000,"&lt;&gt;Coro",DATOS!$I$2:$I$20000,"&lt;&gt;Conjunto"),""))</f>
        <v/>
      </c>
      <c r="T541" t="str">
        <f>IF(S541="","",IFERROR(AVERAGEIFS(DATOS!$K$2:$K$20000,DATOS!$A$2:$A$20000,S541,DATOS!$G$2:$G$20000,CONFIG_METADATA!$B$4,DATOS!$I$2:$I$20000,"Lenguaje Musical"),""))</f>
        <v/>
      </c>
      <c r="U541" t="str">
        <f>IF(S541="","",IFERROR(AVERAGEIFS(DATOS!$K$2:$K$20000,DATOS!$A$2:$A$20000,S541,DATOS!$G$2:$G$20000,CONFIG_METADATA!$B$4,DATOS!$I$2:$I$20000,"Coro"),""))</f>
        <v/>
      </c>
      <c r="V541" t="str">
        <f>IF(S541="","",IFERROR(AVERAGEIFS(DATOS!$K$2:$K$20000,DATOS!$A$2:$A$20000,S541,DATOS!$G$2:$G$20000,CONFIG_METADATA!$B$4,DATOS!$I$2:$I$20000,"Conjunto"),""))</f>
        <v/>
      </c>
      <c r="W541" t="str" cm="1">
        <f t="array" ref="W541">IF(S541="","",IFERROR(AVERAGE(IF((DATOS!$A$2:$A$20000=S541)*(DATOS!$G$2:$G$20000=CONFIG_METADATA!$B$4)*(DATOS!$I$2:$I$20000&lt;&gt;"Lenguaje Musical")*(DATOS!$I$2:$I$20000&lt;&gt;"Coro")*(DATOS!$I$2:$I$20000&lt;&gt;"Conjunto"),DATOS!$K$2:$K$20000)),""))</f>
        <v/>
      </c>
    </row>
    <row r="542" spans="2:23" x14ac:dyDescent="0.2">
      <c r="B542" t="str">
        <f>IF(A542="","",IFERROR(AVERAGEIFS(DATOS!$K$2:$K$20000,DATOS!$A$2:$A$20000,A542,DATOS!$G$2:$G$20000,CONFIG_METADATA!$B$4,DATOS!$I$2:$I$20000,"Lenguaje Musical"),""))</f>
        <v/>
      </c>
      <c r="C542" t="str">
        <f>IF(A542="","",IFERROR(AVERAGEIFS(DATOS!$K$2:$K$20000,DATOS!$A$2:$A$20000,A542,DATOS!$G$2:$G$20000,CONFIG_METADATA!$B$4,DATOS!$I$2:$I$20000,"Coro"),""))</f>
        <v/>
      </c>
      <c r="D542" t="str">
        <f>IF(A542="","",IFERROR(AVERAGEIFS(DATOS!$K$2:$K$20000,DATOS!$A$2:$A$20000,A542,DATOS!$G$2:$G$20000,CONFIG_METADATA!$B$4,DATOS!$I$2:$I$20000,"Conjunto"),""))</f>
        <v/>
      </c>
      <c r="E542" t="str">
        <f>IF(A542="","",IFERROR(AVERAGEIFS(DATOS!$K$2:$K$20000,DATOS!$A$2:$A$20000,A542,DATOS!$G$2:$G$20000,CONFIG_METADATA!$B$4,DATOS!$I$2:$I$20000,"&lt;&gt;Lenguaje Musical",DATOS!$I$2:$I$20000,"&lt;&gt;Coro",DATOS!$I$2:$I$20000,"&lt;&gt;Conjunto"),""))</f>
        <v/>
      </c>
      <c r="H542" t="str">
        <f>IF(G542="","",IFERROR(AVERAGEIFS(DATOS!$K$2:$K$20000,DATOS!$A$2:$A$20000,G542,DATOS!$G$2:$G$20000,CONFIG_METADATA!$B$4,DATOS!$I$2:$I$20000,"Lenguaje Musical"),""))</f>
        <v/>
      </c>
      <c r="I542" t="str">
        <f>IF(G542="","",IFERROR(AVERAGEIFS(DATOS!$K$2:$K$20000,DATOS!$A$2:$A$20000,G542,DATOS!$G$2:$G$20000,CONFIG_METADATA!$B$4,DATOS!$I$2:$I$20000,"Coro"),""))</f>
        <v/>
      </c>
      <c r="J542" t="str">
        <f>IF(G542="","",IFERROR(AVERAGEIFS(DATOS!$K$2:$K$20000,DATOS!$A$2:$A$20000,G542,DATOS!$G$2:$G$20000,CONFIG_METADATA!$B$4,DATOS!$I$2:$I$20000,"Conjunto"),""))</f>
        <v/>
      </c>
      <c r="K542" t="str" cm="1">
        <f t="array" ref="K542">IF(G542="","",IFERROR(AVERAGE(IF((DATOS!$A$2:$A$20000=G542)*(DATOS!$G$2:$G$20000=CONFIG_METADATA!$B$4)*(DATOS!$I$2:$I$20000&lt;&gt;"Lenguaje Musical")*(DATOS!$I$2:$I$20000&lt;&gt;"Coro")*(DATOS!$I$2:$I$20000&lt;&gt;"Conjunto"),DATOS!$K$2:$K$20000)),""))</f>
        <v/>
      </c>
      <c r="N542" t="str">
        <f>IF(M542="","",IFERROR(AVERAGEIFS(DATOS!$K$2:$K$20000,DATOS!$A$2:$A$20000,M542,DATOS!$G$2:$G$20000,CONFIG_METADATA!$B$4,DATOS!$I$2:$I$20000,"Lenguaje Musical"),""))</f>
        <v/>
      </c>
      <c r="O542" t="str">
        <f>IF(M542="","",IFERROR(AVERAGEIFS(DATOS!$K$2:$K$20000,DATOS!$A$2:$A$20000,M542,DATOS!$G$2:$G$20000,CONFIG_METADATA!$B$4,DATOS!$I$2:$I$20000,"Coro"),""))</f>
        <v/>
      </c>
      <c r="P542" t="str">
        <f>IF(M542="","",IFERROR(AVERAGEIFS(DATOS!$K$2:$K$20000,DATOS!$A$2:$A$20000,M542,DATOS!$G$2:$G$20000,CONFIG_METADATA!$B$4,DATOS!$I$2:$I$20000,"Conjunto"),""))</f>
        <v/>
      </c>
      <c r="Q542" t="str">
        <f>IF(M542="","",IFERROR(AVERAGEIFS(DATOS!$K$2:$K$20000,DATOS!$A$2:$A$20000,M542,DATOS!$G$2:$G$20000,CONFIG_METADATA!$B$4,DATOS!$I$2:$I$20000,"&lt;&gt;Lenguaje Musical",DATOS!$I$2:$I$20000,"&lt;&gt;Coro",DATOS!$I$2:$I$20000,"&lt;&gt;Conjunto"),""))</f>
        <v/>
      </c>
      <c r="T542" t="str">
        <f>IF(S542="","",IFERROR(AVERAGEIFS(DATOS!$K$2:$K$20000,DATOS!$A$2:$A$20000,S542,DATOS!$G$2:$G$20000,CONFIG_METADATA!$B$4,DATOS!$I$2:$I$20000,"Lenguaje Musical"),""))</f>
        <v/>
      </c>
      <c r="U542" t="str">
        <f>IF(S542="","",IFERROR(AVERAGEIFS(DATOS!$K$2:$K$20000,DATOS!$A$2:$A$20000,S542,DATOS!$G$2:$G$20000,CONFIG_METADATA!$B$4,DATOS!$I$2:$I$20000,"Coro"),""))</f>
        <v/>
      </c>
      <c r="V542" t="str">
        <f>IF(S542="","",IFERROR(AVERAGEIFS(DATOS!$K$2:$K$20000,DATOS!$A$2:$A$20000,S542,DATOS!$G$2:$G$20000,CONFIG_METADATA!$B$4,DATOS!$I$2:$I$20000,"Conjunto"),""))</f>
        <v/>
      </c>
      <c r="W542" t="str" cm="1">
        <f t="array" ref="W542">IF(S542="","",IFERROR(AVERAGE(IF((DATOS!$A$2:$A$20000=S542)*(DATOS!$G$2:$G$20000=CONFIG_METADATA!$B$4)*(DATOS!$I$2:$I$20000&lt;&gt;"Lenguaje Musical")*(DATOS!$I$2:$I$20000&lt;&gt;"Coro")*(DATOS!$I$2:$I$20000&lt;&gt;"Conjunto"),DATOS!$K$2:$K$20000)),""))</f>
        <v/>
      </c>
    </row>
    <row r="543" spans="2:23" x14ac:dyDescent="0.2">
      <c r="B543" t="str">
        <f>IF(A543="","",IFERROR(AVERAGEIFS(DATOS!$K$2:$K$20000,DATOS!$A$2:$A$20000,A543,DATOS!$G$2:$G$20000,CONFIG_METADATA!$B$4,DATOS!$I$2:$I$20000,"Lenguaje Musical"),""))</f>
        <v/>
      </c>
      <c r="C543" t="str">
        <f>IF(A543="","",IFERROR(AVERAGEIFS(DATOS!$K$2:$K$20000,DATOS!$A$2:$A$20000,A543,DATOS!$G$2:$G$20000,CONFIG_METADATA!$B$4,DATOS!$I$2:$I$20000,"Coro"),""))</f>
        <v/>
      </c>
      <c r="D543" t="str">
        <f>IF(A543="","",IFERROR(AVERAGEIFS(DATOS!$K$2:$K$20000,DATOS!$A$2:$A$20000,A543,DATOS!$G$2:$G$20000,CONFIG_METADATA!$B$4,DATOS!$I$2:$I$20000,"Conjunto"),""))</f>
        <v/>
      </c>
      <c r="E543" t="str">
        <f>IF(A543="","",IFERROR(AVERAGEIFS(DATOS!$K$2:$K$20000,DATOS!$A$2:$A$20000,A543,DATOS!$G$2:$G$20000,CONFIG_METADATA!$B$4,DATOS!$I$2:$I$20000,"&lt;&gt;Lenguaje Musical",DATOS!$I$2:$I$20000,"&lt;&gt;Coro",DATOS!$I$2:$I$20000,"&lt;&gt;Conjunto"),""))</f>
        <v/>
      </c>
      <c r="H543" t="str">
        <f>IF(G543="","",IFERROR(AVERAGEIFS(DATOS!$K$2:$K$20000,DATOS!$A$2:$A$20000,G543,DATOS!$G$2:$G$20000,CONFIG_METADATA!$B$4,DATOS!$I$2:$I$20000,"Lenguaje Musical"),""))</f>
        <v/>
      </c>
      <c r="I543" t="str">
        <f>IF(G543="","",IFERROR(AVERAGEIFS(DATOS!$K$2:$K$20000,DATOS!$A$2:$A$20000,G543,DATOS!$G$2:$G$20000,CONFIG_METADATA!$B$4,DATOS!$I$2:$I$20000,"Coro"),""))</f>
        <v/>
      </c>
      <c r="J543" t="str">
        <f>IF(G543="","",IFERROR(AVERAGEIFS(DATOS!$K$2:$K$20000,DATOS!$A$2:$A$20000,G543,DATOS!$G$2:$G$20000,CONFIG_METADATA!$B$4,DATOS!$I$2:$I$20000,"Conjunto"),""))</f>
        <v/>
      </c>
      <c r="K543" t="str" cm="1">
        <f t="array" ref="K543">IF(G543="","",IFERROR(AVERAGE(IF((DATOS!$A$2:$A$20000=G543)*(DATOS!$G$2:$G$20000=CONFIG_METADATA!$B$4)*(DATOS!$I$2:$I$20000&lt;&gt;"Lenguaje Musical")*(DATOS!$I$2:$I$20000&lt;&gt;"Coro")*(DATOS!$I$2:$I$20000&lt;&gt;"Conjunto"),DATOS!$K$2:$K$20000)),""))</f>
        <v/>
      </c>
      <c r="N543" t="str">
        <f>IF(M543="","",IFERROR(AVERAGEIFS(DATOS!$K$2:$K$20000,DATOS!$A$2:$A$20000,M543,DATOS!$G$2:$G$20000,CONFIG_METADATA!$B$4,DATOS!$I$2:$I$20000,"Lenguaje Musical"),""))</f>
        <v/>
      </c>
      <c r="O543" t="str">
        <f>IF(M543="","",IFERROR(AVERAGEIFS(DATOS!$K$2:$K$20000,DATOS!$A$2:$A$20000,M543,DATOS!$G$2:$G$20000,CONFIG_METADATA!$B$4,DATOS!$I$2:$I$20000,"Coro"),""))</f>
        <v/>
      </c>
      <c r="P543" t="str">
        <f>IF(M543="","",IFERROR(AVERAGEIFS(DATOS!$K$2:$K$20000,DATOS!$A$2:$A$20000,M543,DATOS!$G$2:$G$20000,CONFIG_METADATA!$B$4,DATOS!$I$2:$I$20000,"Conjunto"),""))</f>
        <v/>
      </c>
      <c r="Q543" t="str">
        <f>IF(M543="","",IFERROR(AVERAGEIFS(DATOS!$K$2:$K$20000,DATOS!$A$2:$A$20000,M543,DATOS!$G$2:$G$20000,CONFIG_METADATA!$B$4,DATOS!$I$2:$I$20000,"&lt;&gt;Lenguaje Musical",DATOS!$I$2:$I$20000,"&lt;&gt;Coro",DATOS!$I$2:$I$20000,"&lt;&gt;Conjunto"),""))</f>
        <v/>
      </c>
      <c r="T543" t="str">
        <f>IF(S543="","",IFERROR(AVERAGEIFS(DATOS!$K$2:$K$20000,DATOS!$A$2:$A$20000,S543,DATOS!$G$2:$G$20000,CONFIG_METADATA!$B$4,DATOS!$I$2:$I$20000,"Lenguaje Musical"),""))</f>
        <v/>
      </c>
      <c r="U543" t="str">
        <f>IF(S543="","",IFERROR(AVERAGEIFS(DATOS!$K$2:$K$20000,DATOS!$A$2:$A$20000,S543,DATOS!$G$2:$G$20000,CONFIG_METADATA!$B$4,DATOS!$I$2:$I$20000,"Coro"),""))</f>
        <v/>
      </c>
      <c r="V543" t="str">
        <f>IF(S543="","",IFERROR(AVERAGEIFS(DATOS!$K$2:$K$20000,DATOS!$A$2:$A$20000,S543,DATOS!$G$2:$G$20000,CONFIG_METADATA!$B$4,DATOS!$I$2:$I$20000,"Conjunto"),""))</f>
        <v/>
      </c>
      <c r="W543" t="str" cm="1">
        <f t="array" ref="W543">IF(S543="","",IFERROR(AVERAGE(IF((DATOS!$A$2:$A$20000=S543)*(DATOS!$G$2:$G$20000=CONFIG_METADATA!$B$4)*(DATOS!$I$2:$I$20000&lt;&gt;"Lenguaje Musical")*(DATOS!$I$2:$I$20000&lt;&gt;"Coro")*(DATOS!$I$2:$I$20000&lt;&gt;"Conjunto"),DATOS!$K$2:$K$20000)),""))</f>
        <v/>
      </c>
    </row>
    <row r="544" spans="2:23" x14ac:dyDescent="0.2">
      <c r="B544" t="str">
        <f>IF(A544="","",IFERROR(AVERAGEIFS(DATOS!$K$2:$K$20000,DATOS!$A$2:$A$20000,A544,DATOS!$G$2:$G$20000,CONFIG_METADATA!$B$4,DATOS!$I$2:$I$20000,"Lenguaje Musical"),""))</f>
        <v/>
      </c>
      <c r="C544" t="str">
        <f>IF(A544="","",IFERROR(AVERAGEIFS(DATOS!$K$2:$K$20000,DATOS!$A$2:$A$20000,A544,DATOS!$G$2:$G$20000,CONFIG_METADATA!$B$4,DATOS!$I$2:$I$20000,"Coro"),""))</f>
        <v/>
      </c>
      <c r="D544" t="str">
        <f>IF(A544="","",IFERROR(AVERAGEIFS(DATOS!$K$2:$K$20000,DATOS!$A$2:$A$20000,A544,DATOS!$G$2:$G$20000,CONFIG_METADATA!$B$4,DATOS!$I$2:$I$20000,"Conjunto"),""))</f>
        <v/>
      </c>
      <c r="E544" t="str">
        <f>IF(A544="","",IFERROR(AVERAGEIFS(DATOS!$K$2:$K$20000,DATOS!$A$2:$A$20000,A544,DATOS!$G$2:$G$20000,CONFIG_METADATA!$B$4,DATOS!$I$2:$I$20000,"&lt;&gt;Lenguaje Musical",DATOS!$I$2:$I$20000,"&lt;&gt;Coro",DATOS!$I$2:$I$20000,"&lt;&gt;Conjunto"),""))</f>
        <v/>
      </c>
      <c r="H544" t="str">
        <f>IF(G544="","",IFERROR(AVERAGEIFS(DATOS!$K$2:$K$20000,DATOS!$A$2:$A$20000,G544,DATOS!$G$2:$G$20000,CONFIG_METADATA!$B$4,DATOS!$I$2:$I$20000,"Lenguaje Musical"),""))</f>
        <v/>
      </c>
      <c r="I544" t="str">
        <f>IF(G544="","",IFERROR(AVERAGEIFS(DATOS!$K$2:$K$20000,DATOS!$A$2:$A$20000,G544,DATOS!$G$2:$G$20000,CONFIG_METADATA!$B$4,DATOS!$I$2:$I$20000,"Coro"),""))</f>
        <v/>
      </c>
      <c r="J544" t="str">
        <f>IF(G544="","",IFERROR(AVERAGEIFS(DATOS!$K$2:$K$20000,DATOS!$A$2:$A$20000,G544,DATOS!$G$2:$G$20000,CONFIG_METADATA!$B$4,DATOS!$I$2:$I$20000,"Conjunto"),""))</f>
        <v/>
      </c>
      <c r="K544" t="str" cm="1">
        <f t="array" ref="K544">IF(G544="","",IFERROR(AVERAGE(IF((DATOS!$A$2:$A$20000=G544)*(DATOS!$G$2:$G$20000=CONFIG_METADATA!$B$4)*(DATOS!$I$2:$I$20000&lt;&gt;"Lenguaje Musical")*(DATOS!$I$2:$I$20000&lt;&gt;"Coro")*(DATOS!$I$2:$I$20000&lt;&gt;"Conjunto"),DATOS!$K$2:$K$20000)),""))</f>
        <v/>
      </c>
      <c r="N544" t="str">
        <f>IF(M544="","",IFERROR(AVERAGEIFS(DATOS!$K$2:$K$20000,DATOS!$A$2:$A$20000,M544,DATOS!$G$2:$G$20000,CONFIG_METADATA!$B$4,DATOS!$I$2:$I$20000,"Lenguaje Musical"),""))</f>
        <v/>
      </c>
      <c r="O544" t="str">
        <f>IF(M544="","",IFERROR(AVERAGEIFS(DATOS!$K$2:$K$20000,DATOS!$A$2:$A$20000,M544,DATOS!$G$2:$G$20000,CONFIG_METADATA!$B$4,DATOS!$I$2:$I$20000,"Coro"),""))</f>
        <v/>
      </c>
      <c r="P544" t="str">
        <f>IF(M544="","",IFERROR(AVERAGEIFS(DATOS!$K$2:$K$20000,DATOS!$A$2:$A$20000,M544,DATOS!$G$2:$G$20000,CONFIG_METADATA!$B$4,DATOS!$I$2:$I$20000,"Conjunto"),""))</f>
        <v/>
      </c>
      <c r="Q544" t="str">
        <f>IF(M544="","",IFERROR(AVERAGEIFS(DATOS!$K$2:$K$20000,DATOS!$A$2:$A$20000,M544,DATOS!$G$2:$G$20000,CONFIG_METADATA!$B$4,DATOS!$I$2:$I$20000,"&lt;&gt;Lenguaje Musical",DATOS!$I$2:$I$20000,"&lt;&gt;Coro",DATOS!$I$2:$I$20000,"&lt;&gt;Conjunto"),""))</f>
        <v/>
      </c>
      <c r="T544" t="str">
        <f>IF(S544="","",IFERROR(AVERAGEIFS(DATOS!$K$2:$K$20000,DATOS!$A$2:$A$20000,S544,DATOS!$G$2:$G$20000,CONFIG_METADATA!$B$4,DATOS!$I$2:$I$20000,"Lenguaje Musical"),""))</f>
        <v/>
      </c>
      <c r="U544" t="str">
        <f>IF(S544="","",IFERROR(AVERAGEIFS(DATOS!$K$2:$K$20000,DATOS!$A$2:$A$20000,S544,DATOS!$G$2:$G$20000,CONFIG_METADATA!$B$4,DATOS!$I$2:$I$20000,"Coro"),""))</f>
        <v/>
      </c>
      <c r="V544" t="str">
        <f>IF(S544="","",IFERROR(AVERAGEIFS(DATOS!$K$2:$K$20000,DATOS!$A$2:$A$20000,S544,DATOS!$G$2:$G$20000,CONFIG_METADATA!$B$4,DATOS!$I$2:$I$20000,"Conjunto"),""))</f>
        <v/>
      </c>
      <c r="W544" t="str" cm="1">
        <f t="array" ref="W544">IF(S544="","",IFERROR(AVERAGE(IF((DATOS!$A$2:$A$20000=S544)*(DATOS!$G$2:$G$20000=CONFIG_METADATA!$B$4)*(DATOS!$I$2:$I$20000&lt;&gt;"Lenguaje Musical")*(DATOS!$I$2:$I$20000&lt;&gt;"Coro")*(DATOS!$I$2:$I$20000&lt;&gt;"Conjunto"),DATOS!$K$2:$K$20000)),""))</f>
        <v/>
      </c>
    </row>
    <row r="545" spans="2:23" x14ac:dyDescent="0.2">
      <c r="B545" t="str">
        <f>IF(A545="","",IFERROR(AVERAGEIFS(DATOS!$K$2:$K$20000,DATOS!$A$2:$A$20000,A545,DATOS!$G$2:$G$20000,CONFIG_METADATA!$B$4,DATOS!$I$2:$I$20000,"Lenguaje Musical"),""))</f>
        <v/>
      </c>
      <c r="C545" t="str">
        <f>IF(A545="","",IFERROR(AVERAGEIFS(DATOS!$K$2:$K$20000,DATOS!$A$2:$A$20000,A545,DATOS!$G$2:$G$20000,CONFIG_METADATA!$B$4,DATOS!$I$2:$I$20000,"Coro"),""))</f>
        <v/>
      </c>
      <c r="D545" t="str">
        <f>IF(A545="","",IFERROR(AVERAGEIFS(DATOS!$K$2:$K$20000,DATOS!$A$2:$A$20000,A545,DATOS!$G$2:$G$20000,CONFIG_METADATA!$B$4,DATOS!$I$2:$I$20000,"Conjunto"),""))</f>
        <v/>
      </c>
      <c r="E545" t="str">
        <f>IF(A545="","",IFERROR(AVERAGEIFS(DATOS!$K$2:$K$20000,DATOS!$A$2:$A$20000,A545,DATOS!$G$2:$G$20000,CONFIG_METADATA!$B$4,DATOS!$I$2:$I$20000,"&lt;&gt;Lenguaje Musical",DATOS!$I$2:$I$20000,"&lt;&gt;Coro",DATOS!$I$2:$I$20000,"&lt;&gt;Conjunto"),""))</f>
        <v/>
      </c>
      <c r="H545" t="str">
        <f>IF(G545="","",IFERROR(AVERAGEIFS(DATOS!$K$2:$K$20000,DATOS!$A$2:$A$20000,G545,DATOS!$G$2:$G$20000,CONFIG_METADATA!$B$4,DATOS!$I$2:$I$20000,"Lenguaje Musical"),""))</f>
        <v/>
      </c>
      <c r="I545" t="str">
        <f>IF(G545="","",IFERROR(AVERAGEIFS(DATOS!$K$2:$K$20000,DATOS!$A$2:$A$20000,G545,DATOS!$G$2:$G$20000,CONFIG_METADATA!$B$4,DATOS!$I$2:$I$20000,"Coro"),""))</f>
        <v/>
      </c>
      <c r="J545" t="str">
        <f>IF(G545="","",IFERROR(AVERAGEIFS(DATOS!$K$2:$K$20000,DATOS!$A$2:$A$20000,G545,DATOS!$G$2:$G$20000,CONFIG_METADATA!$B$4,DATOS!$I$2:$I$20000,"Conjunto"),""))</f>
        <v/>
      </c>
      <c r="K545" t="str" cm="1">
        <f t="array" ref="K545">IF(G545="","",IFERROR(AVERAGE(IF((DATOS!$A$2:$A$20000=G545)*(DATOS!$G$2:$G$20000=CONFIG_METADATA!$B$4)*(DATOS!$I$2:$I$20000&lt;&gt;"Lenguaje Musical")*(DATOS!$I$2:$I$20000&lt;&gt;"Coro")*(DATOS!$I$2:$I$20000&lt;&gt;"Conjunto"),DATOS!$K$2:$K$20000)),""))</f>
        <v/>
      </c>
      <c r="N545" t="str">
        <f>IF(M545="","",IFERROR(AVERAGEIFS(DATOS!$K$2:$K$20000,DATOS!$A$2:$A$20000,M545,DATOS!$G$2:$G$20000,CONFIG_METADATA!$B$4,DATOS!$I$2:$I$20000,"Lenguaje Musical"),""))</f>
        <v/>
      </c>
      <c r="O545" t="str">
        <f>IF(M545="","",IFERROR(AVERAGEIFS(DATOS!$K$2:$K$20000,DATOS!$A$2:$A$20000,M545,DATOS!$G$2:$G$20000,CONFIG_METADATA!$B$4,DATOS!$I$2:$I$20000,"Coro"),""))</f>
        <v/>
      </c>
      <c r="P545" t="str">
        <f>IF(M545="","",IFERROR(AVERAGEIFS(DATOS!$K$2:$K$20000,DATOS!$A$2:$A$20000,M545,DATOS!$G$2:$G$20000,CONFIG_METADATA!$B$4,DATOS!$I$2:$I$20000,"Conjunto"),""))</f>
        <v/>
      </c>
      <c r="Q545" t="str">
        <f>IF(M545="","",IFERROR(AVERAGEIFS(DATOS!$K$2:$K$20000,DATOS!$A$2:$A$20000,M545,DATOS!$G$2:$G$20000,CONFIG_METADATA!$B$4,DATOS!$I$2:$I$20000,"&lt;&gt;Lenguaje Musical",DATOS!$I$2:$I$20000,"&lt;&gt;Coro",DATOS!$I$2:$I$20000,"&lt;&gt;Conjunto"),""))</f>
        <v/>
      </c>
      <c r="T545" t="str">
        <f>IF(S545="","",IFERROR(AVERAGEIFS(DATOS!$K$2:$K$20000,DATOS!$A$2:$A$20000,S545,DATOS!$G$2:$G$20000,CONFIG_METADATA!$B$4,DATOS!$I$2:$I$20000,"Lenguaje Musical"),""))</f>
        <v/>
      </c>
      <c r="U545" t="str">
        <f>IF(S545="","",IFERROR(AVERAGEIFS(DATOS!$K$2:$K$20000,DATOS!$A$2:$A$20000,S545,DATOS!$G$2:$G$20000,CONFIG_METADATA!$B$4,DATOS!$I$2:$I$20000,"Coro"),""))</f>
        <v/>
      </c>
      <c r="V545" t="str">
        <f>IF(S545="","",IFERROR(AVERAGEIFS(DATOS!$K$2:$K$20000,DATOS!$A$2:$A$20000,S545,DATOS!$G$2:$G$20000,CONFIG_METADATA!$B$4,DATOS!$I$2:$I$20000,"Conjunto"),""))</f>
        <v/>
      </c>
      <c r="W545" t="str" cm="1">
        <f t="array" ref="W545">IF(S545="","",IFERROR(AVERAGE(IF((DATOS!$A$2:$A$20000=S545)*(DATOS!$G$2:$G$20000=CONFIG_METADATA!$B$4)*(DATOS!$I$2:$I$20000&lt;&gt;"Lenguaje Musical")*(DATOS!$I$2:$I$20000&lt;&gt;"Coro")*(DATOS!$I$2:$I$20000&lt;&gt;"Conjunto"),DATOS!$K$2:$K$20000)),""))</f>
        <v/>
      </c>
    </row>
    <row r="546" spans="2:23" x14ac:dyDescent="0.2">
      <c r="B546" t="str">
        <f>IF(A546="","",IFERROR(AVERAGEIFS(DATOS!$K$2:$K$20000,DATOS!$A$2:$A$20000,A546,DATOS!$G$2:$G$20000,CONFIG_METADATA!$B$4,DATOS!$I$2:$I$20000,"Lenguaje Musical"),""))</f>
        <v/>
      </c>
      <c r="C546" t="str">
        <f>IF(A546="","",IFERROR(AVERAGEIFS(DATOS!$K$2:$K$20000,DATOS!$A$2:$A$20000,A546,DATOS!$G$2:$G$20000,CONFIG_METADATA!$B$4,DATOS!$I$2:$I$20000,"Coro"),""))</f>
        <v/>
      </c>
      <c r="D546" t="str">
        <f>IF(A546="","",IFERROR(AVERAGEIFS(DATOS!$K$2:$K$20000,DATOS!$A$2:$A$20000,A546,DATOS!$G$2:$G$20000,CONFIG_METADATA!$B$4,DATOS!$I$2:$I$20000,"Conjunto"),""))</f>
        <v/>
      </c>
      <c r="E546" t="str">
        <f>IF(A546="","",IFERROR(AVERAGEIFS(DATOS!$K$2:$K$20000,DATOS!$A$2:$A$20000,A546,DATOS!$G$2:$G$20000,CONFIG_METADATA!$B$4,DATOS!$I$2:$I$20000,"&lt;&gt;Lenguaje Musical",DATOS!$I$2:$I$20000,"&lt;&gt;Coro",DATOS!$I$2:$I$20000,"&lt;&gt;Conjunto"),""))</f>
        <v/>
      </c>
      <c r="H546" t="str">
        <f>IF(G546="","",IFERROR(AVERAGEIFS(DATOS!$K$2:$K$20000,DATOS!$A$2:$A$20000,G546,DATOS!$G$2:$G$20000,CONFIG_METADATA!$B$4,DATOS!$I$2:$I$20000,"Lenguaje Musical"),""))</f>
        <v/>
      </c>
      <c r="I546" t="str">
        <f>IF(G546="","",IFERROR(AVERAGEIFS(DATOS!$K$2:$K$20000,DATOS!$A$2:$A$20000,G546,DATOS!$G$2:$G$20000,CONFIG_METADATA!$B$4,DATOS!$I$2:$I$20000,"Coro"),""))</f>
        <v/>
      </c>
      <c r="J546" t="str">
        <f>IF(G546="","",IFERROR(AVERAGEIFS(DATOS!$K$2:$K$20000,DATOS!$A$2:$A$20000,G546,DATOS!$G$2:$G$20000,CONFIG_METADATA!$B$4,DATOS!$I$2:$I$20000,"Conjunto"),""))</f>
        <v/>
      </c>
      <c r="K546" t="str" cm="1">
        <f t="array" ref="K546">IF(G546="","",IFERROR(AVERAGE(IF((DATOS!$A$2:$A$20000=G546)*(DATOS!$G$2:$G$20000=CONFIG_METADATA!$B$4)*(DATOS!$I$2:$I$20000&lt;&gt;"Lenguaje Musical")*(DATOS!$I$2:$I$20000&lt;&gt;"Coro")*(DATOS!$I$2:$I$20000&lt;&gt;"Conjunto"),DATOS!$K$2:$K$20000)),""))</f>
        <v/>
      </c>
      <c r="N546" t="str">
        <f>IF(M546="","",IFERROR(AVERAGEIFS(DATOS!$K$2:$K$20000,DATOS!$A$2:$A$20000,M546,DATOS!$G$2:$G$20000,CONFIG_METADATA!$B$4,DATOS!$I$2:$I$20000,"Lenguaje Musical"),""))</f>
        <v/>
      </c>
      <c r="O546" t="str">
        <f>IF(M546="","",IFERROR(AVERAGEIFS(DATOS!$K$2:$K$20000,DATOS!$A$2:$A$20000,M546,DATOS!$G$2:$G$20000,CONFIG_METADATA!$B$4,DATOS!$I$2:$I$20000,"Coro"),""))</f>
        <v/>
      </c>
      <c r="P546" t="str">
        <f>IF(M546="","",IFERROR(AVERAGEIFS(DATOS!$K$2:$K$20000,DATOS!$A$2:$A$20000,M546,DATOS!$G$2:$G$20000,CONFIG_METADATA!$B$4,DATOS!$I$2:$I$20000,"Conjunto"),""))</f>
        <v/>
      </c>
      <c r="Q546" t="str">
        <f>IF(M546="","",IFERROR(AVERAGEIFS(DATOS!$K$2:$K$20000,DATOS!$A$2:$A$20000,M546,DATOS!$G$2:$G$20000,CONFIG_METADATA!$B$4,DATOS!$I$2:$I$20000,"&lt;&gt;Lenguaje Musical",DATOS!$I$2:$I$20000,"&lt;&gt;Coro",DATOS!$I$2:$I$20000,"&lt;&gt;Conjunto"),""))</f>
        <v/>
      </c>
      <c r="T546" t="str">
        <f>IF(S546="","",IFERROR(AVERAGEIFS(DATOS!$K$2:$K$20000,DATOS!$A$2:$A$20000,S546,DATOS!$G$2:$G$20000,CONFIG_METADATA!$B$4,DATOS!$I$2:$I$20000,"Lenguaje Musical"),""))</f>
        <v/>
      </c>
      <c r="U546" t="str">
        <f>IF(S546="","",IFERROR(AVERAGEIFS(DATOS!$K$2:$K$20000,DATOS!$A$2:$A$20000,S546,DATOS!$G$2:$G$20000,CONFIG_METADATA!$B$4,DATOS!$I$2:$I$20000,"Coro"),""))</f>
        <v/>
      </c>
      <c r="V546" t="str">
        <f>IF(S546="","",IFERROR(AVERAGEIFS(DATOS!$K$2:$K$20000,DATOS!$A$2:$A$20000,S546,DATOS!$G$2:$G$20000,CONFIG_METADATA!$B$4,DATOS!$I$2:$I$20000,"Conjunto"),""))</f>
        <v/>
      </c>
      <c r="W546" t="str" cm="1">
        <f t="array" ref="W546">IF(S546="","",IFERROR(AVERAGE(IF((DATOS!$A$2:$A$20000=S546)*(DATOS!$G$2:$G$20000=CONFIG_METADATA!$B$4)*(DATOS!$I$2:$I$20000&lt;&gt;"Lenguaje Musical")*(DATOS!$I$2:$I$20000&lt;&gt;"Coro")*(DATOS!$I$2:$I$20000&lt;&gt;"Conjunto"),DATOS!$K$2:$K$20000)),""))</f>
        <v/>
      </c>
    </row>
    <row r="547" spans="2:23" x14ac:dyDescent="0.2">
      <c r="B547" t="str">
        <f>IF(A547="","",IFERROR(AVERAGEIFS(DATOS!$K$2:$K$20000,DATOS!$A$2:$A$20000,A547,DATOS!$G$2:$G$20000,CONFIG_METADATA!$B$4,DATOS!$I$2:$I$20000,"Lenguaje Musical"),""))</f>
        <v/>
      </c>
      <c r="C547" t="str">
        <f>IF(A547="","",IFERROR(AVERAGEIFS(DATOS!$K$2:$K$20000,DATOS!$A$2:$A$20000,A547,DATOS!$G$2:$G$20000,CONFIG_METADATA!$B$4,DATOS!$I$2:$I$20000,"Coro"),""))</f>
        <v/>
      </c>
      <c r="D547" t="str">
        <f>IF(A547="","",IFERROR(AVERAGEIFS(DATOS!$K$2:$K$20000,DATOS!$A$2:$A$20000,A547,DATOS!$G$2:$G$20000,CONFIG_METADATA!$B$4,DATOS!$I$2:$I$20000,"Conjunto"),""))</f>
        <v/>
      </c>
      <c r="E547" t="str">
        <f>IF(A547="","",IFERROR(AVERAGEIFS(DATOS!$K$2:$K$20000,DATOS!$A$2:$A$20000,A547,DATOS!$G$2:$G$20000,CONFIG_METADATA!$B$4,DATOS!$I$2:$I$20000,"&lt;&gt;Lenguaje Musical",DATOS!$I$2:$I$20000,"&lt;&gt;Coro",DATOS!$I$2:$I$20000,"&lt;&gt;Conjunto"),""))</f>
        <v/>
      </c>
      <c r="H547" t="str">
        <f>IF(G547="","",IFERROR(AVERAGEIFS(DATOS!$K$2:$K$20000,DATOS!$A$2:$A$20000,G547,DATOS!$G$2:$G$20000,CONFIG_METADATA!$B$4,DATOS!$I$2:$I$20000,"Lenguaje Musical"),""))</f>
        <v/>
      </c>
      <c r="I547" t="str">
        <f>IF(G547="","",IFERROR(AVERAGEIFS(DATOS!$K$2:$K$20000,DATOS!$A$2:$A$20000,G547,DATOS!$G$2:$G$20000,CONFIG_METADATA!$B$4,DATOS!$I$2:$I$20000,"Coro"),""))</f>
        <v/>
      </c>
      <c r="J547" t="str">
        <f>IF(G547="","",IFERROR(AVERAGEIFS(DATOS!$K$2:$K$20000,DATOS!$A$2:$A$20000,G547,DATOS!$G$2:$G$20000,CONFIG_METADATA!$B$4,DATOS!$I$2:$I$20000,"Conjunto"),""))</f>
        <v/>
      </c>
      <c r="K547" t="str" cm="1">
        <f t="array" ref="K547">IF(G547="","",IFERROR(AVERAGE(IF((DATOS!$A$2:$A$20000=G547)*(DATOS!$G$2:$G$20000=CONFIG_METADATA!$B$4)*(DATOS!$I$2:$I$20000&lt;&gt;"Lenguaje Musical")*(DATOS!$I$2:$I$20000&lt;&gt;"Coro")*(DATOS!$I$2:$I$20000&lt;&gt;"Conjunto"),DATOS!$K$2:$K$20000)),""))</f>
        <v/>
      </c>
      <c r="N547" t="str">
        <f>IF(M547="","",IFERROR(AVERAGEIFS(DATOS!$K$2:$K$20000,DATOS!$A$2:$A$20000,M547,DATOS!$G$2:$G$20000,CONFIG_METADATA!$B$4,DATOS!$I$2:$I$20000,"Lenguaje Musical"),""))</f>
        <v/>
      </c>
      <c r="O547" t="str">
        <f>IF(M547="","",IFERROR(AVERAGEIFS(DATOS!$K$2:$K$20000,DATOS!$A$2:$A$20000,M547,DATOS!$G$2:$G$20000,CONFIG_METADATA!$B$4,DATOS!$I$2:$I$20000,"Coro"),""))</f>
        <v/>
      </c>
      <c r="P547" t="str">
        <f>IF(M547="","",IFERROR(AVERAGEIFS(DATOS!$K$2:$K$20000,DATOS!$A$2:$A$20000,M547,DATOS!$G$2:$G$20000,CONFIG_METADATA!$B$4,DATOS!$I$2:$I$20000,"Conjunto"),""))</f>
        <v/>
      </c>
      <c r="Q547" t="str">
        <f>IF(M547="","",IFERROR(AVERAGEIFS(DATOS!$K$2:$K$20000,DATOS!$A$2:$A$20000,M547,DATOS!$G$2:$G$20000,CONFIG_METADATA!$B$4,DATOS!$I$2:$I$20000,"&lt;&gt;Lenguaje Musical",DATOS!$I$2:$I$20000,"&lt;&gt;Coro",DATOS!$I$2:$I$20000,"&lt;&gt;Conjunto"),""))</f>
        <v/>
      </c>
      <c r="T547" t="str">
        <f>IF(S547="","",IFERROR(AVERAGEIFS(DATOS!$K$2:$K$20000,DATOS!$A$2:$A$20000,S547,DATOS!$G$2:$G$20000,CONFIG_METADATA!$B$4,DATOS!$I$2:$I$20000,"Lenguaje Musical"),""))</f>
        <v/>
      </c>
      <c r="U547" t="str">
        <f>IF(S547="","",IFERROR(AVERAGEIFS(DATOS!$K$2:$K$20000,DATOS!$A$2:$A$20000,S547,DATOS!$G$2:$G$20000,CONFIG_METADATA!$B$4,DATOS!$I$2:$I$20000,"Coro"),""))</f>
        <v/>
      </c>
      <c r="V547" t="str">
        <f>IF(S547="","",IFERROR(AVERAGEIFS(DATOS!$K$2:$K$20000,DATOS!$A$2:$A$20000,S547,DATOS!$G$2:$G$20000,CONFIG_METADATA!$B$4,DATOS!$I$2:$I$20000,"Conjunto"),""))</f>
        <v/>
      </c>
      <c r="W547" t="str" cm="1">
        <f t="array" ref="W547">IF(S547="","",IFERROR(AVERAGE(IF((DATOS!$A$2:$A$20000=S547)*(DATOS!$G$2:$G$20000=CONFIG_METADATA!$B$4)*(DATOS!$I$2:$I$20000&lt;&gt;"Lenguaje Musical")*(DATOS!$I$2:$I$20000&lt;&gt;"Coro")*(DATOS!$I$2:$I$20000&lt;&gt;"Conjunto"),DATOS!$K$2:$K$20000)),""))</f>
        <v/>
      </c>
    </row>
    <row r="548" spans="2:23" x14ac:dyDescent="0.2">
      <c r="B548" t="str">
        <f>IF(A548="","",IFERROR(AVERAGEIFS(DATOS!$K$2:$K$20000,DATOS!$A$2:$A$20000,A548,DATOS!$G$2:$G$20000,CONFIG_METADATA!$B$4,DATOS!$I$2:$I$20000,"Lenguaje Musical"),""))</f>
        <v/>
      </c>
      <c r="C548" t="str">
        <f>IF(A548="","",IFERROR(AVERAGEIFS(DATOS!$K$2:$K$20000,DATOS!$A$2:$A$20000,A548,DATOS!$G$2:$G$20000,CONFIG_METADATA!$B$4,DATOS!$I$2:$I$20000,"Coro"),""))</f>
        <v/>
      </c>
      <c r="D548" t="str">
        <f>IF(A548="","",IFERROR(AVERAGEIFS(DATOS!$K$2:$K$20000,DATOS!$A$2:$A$20000,A548,DATOS!$G$2:$G$20000,CONFIG_METADATA!$B$4,DATOS!$I$2:$I$20000,"Conjunto"),""))</f>
        <v/>
      </c>
      <c r="E548" t="str">
        <f>IF(A548="","",IFERROR(AVERAGEIFS(DATOS!$K$2:$K$20000,DATOS!$A$2:$A$20000,A548,DATOS!$G$2:$G$20000,CONFIG_METADATA!$B$4,DATOS!$I$2:$I$20000,"&lt;&gt;Lenguaje Musical",DATOS!$I$2:$I$20000,"&lt;&gt;Coro",DATOS!$I$2:$I$20000,"&lt;&gt;Conjunto"),""))</f>
        <v/>
      </c>
      <c r="H548" t="str">
        <f>IF(G548="","",IFERROR(AVERAGEIFS(DATOS!$K$2:$K$20000,DATOS!$A$2:$A$20000,G548,DATOS!$G$2:$G$20000,CONFIG_METADATA!$B$4,DATOS!$I$2:$I$20000,"Lenguaje Musical"),""))</f>
        <v/>
      </c>
      <c r="I548" t="str">
        <f>IF(G548="","",IFERROR(AVERAGEIFS(DATOS!$K$2:$K$20000,DATOS!$A$2:$A$20000,G548,DATOS!$G$2:$G$20000,CONFIG_METADATA!$B$4,DATOS!$I$2:$I$20000,"Coro"),""))</f>
        <v/>
      </c>
      <c r="J548" t="str">
        <f>IF(G548="","",IFERROR(AVERAGEIFS(DATOS!$K$2:$K$20000,DATOS!$A$2:$A$20000,G548,DATOS!$G$2:$G$20000,CONFIG_METADATA!$B$4,DATOS!$I$2:$I$20000,"Conjunto"),""))</f>
        <v/>
      </c>
      <c r="K548" t="str" cm="1">
        <f t="array" ref="K548">IF(G548="","",IFERROR(AVERAGE(IF((DATOS!$A$2:$A$20000=G548)*(DATOS!$G$2:$G$20000=CONFIG_METADATA!$B$4)*(DATOS!$I$2:$I$20000&lt;&gt;"Lenguaje Musical")*(DATOS!$I$2:$I$20000&lt;&gt;"Coro")*(DATOS!$I$2:$I$20000&lt;&gt;"Conjunto"),DATOS!$K$2:$K$20000)),""))</f>
        <v/>
      </c>
      <c r="N548" t="str">
        <f>IF(M548="","",IFERROR(AVERAGEIFS(DATOS!$K$2:$K$20000,DATOS!$A$2:$A$20000,M548,DATOS!$G$2:$G$20000,CONFIG_METADATA!$B$4,DATOS!$I$2:$I$20000,"Lenguaje Musical"),""))</f>
        <v/>
      </c>
      <c r="O548" t="str">
        <f>IF(M548="","",IFERROR(AVERAGEIFS(DATOS!$K$2:$K$20000,DATOS!$A$2:$A$20000,M548,DATOS!$G$2:$G$20000,CONFIG_METADATA!$B$4,DATOS!$I$2:$I$20000,"Coro"),""))</f>
        <v/>
      </c>
      <c r="P548" t="str">
        <f>IF(M548="","",IFERROR(AVERAGEIFS(DATOS!$K$2:$K$20000,DATOS!$A$2:$A$20000,M548,DATOS!$G$2:$G$20000,CONFIG_METADATA!$B$4,DATOS!$I$2:$I$20000,"Conjunto"),""))</f>
        <v/>
      </c>
      <c r="Q548" t="str">
        <f>IF(M548="","",IFERROR(AVERAGEIFS(DATOS!$K$2:$K$20000,DATOS!$A$2:$A$20000,M548,DATOS!$G$2:$G$20000,CONFIG_METADATA!$B$4,DATOS!$I$2:$I$20000,"&lt;&gt;Lenguaje Musical",DATOS!$I$2:$I$20000,"&lt;&gt;Coro",DATOS!$I$2:$I$20000,"&lt;&gt;Conjunto"),""))</f>
        <v/>
      </c>
      <c r="T548" t="str">
        <f>IF(S548="","",IFERROR(AVERAGEIFS(DATOS!$K$2:$K$20000,DATOS!$A$2:$A$20000,S548,DATOS!$G$2:$G$20000,CONFIG_METADATA!$B$4,DATOS!$I$2:$I$20000,"Lenguaje Musical"),""))</f>
        <v/>
      </c>
      <c r="U548" t="str">
        <f>IF(S548="","",IFERROR(AVERAGEIFS(DATOS!$K$2:$K$20000,DATOS!$A$2:$A$20000,S548,DATOS!$G$2:$G$20000,CONFIG_METADATA!$B$4,DATOS!$I$2:$I$20000,"Coro"),""))</f>
        <v/>
      </c>
      <c r="V548" t="str">
        <f>IF(S548="","",IFERROR(AVERAGEIFS(DATOS!$K$2:$K$20000,DATOS!$A$2:$A$20000,S548,DATOS!$G$2:$G$20000,CONFIG_METADATA!$B$4,DATOS!$I$2:$I$20000,"Conjunto"),""))</f>
        <v/>
      </c>
      <c r="W548" t="str" cm="1">
        <f t="array" ref="W548">IF(S548="","",IFERROR(AVERAGE(IF((DATOS!$A$2:$A$20000=S548)*(DATOS!$G$2:$G$20000=CONFIG_METADATA!$B$4)*(DATOS!$I$2:$I$20000&lt;&gt;"Lenguaje Musical")*(DATOS!$I$2:$I$20000&lt;&gt;"Coro")*(DATOS!$I$2:$I$20000&lt;&gt;"Conjunto"),DATOS!$K$2:$K$20000)),""))</f>
        <v/>
      </c>
    </row>
    <row r="549" spans="2:23" x14ac:dyDescent="0.2">
      <c r="B549" t="str">
        <f>IF(A549="","",IFERROR(AVERAGEIFS(DATOS!$K$2:$K$20000,DATOS!$A$2:$A$20000,A549,DATOS!$G$2:$G$20000,CONFIG_METADATA!$B$4,DATOS!$I$2:$I$20000,"Lenguaje Musical"),""))</f>
        <v/>
      </c>
      <c r="C549" t="str">
        <f>IF(A549="","",IFERROR(AVERAGEIFS(DATOS!$K$2:$K$20000,DATOS!$A$2:$A$20000,A549,DATOS!$G$2:$G$20000,CONFIG_METADATA!$B$4,DATOS!$I$2:$I$20000,"Coro"),""))</f>
        <v/>
      </c>
      <c r="D549" t="str">
        <f>IF(A549="","",IFERROR(AVERAGEIFS(DATOS!$K$2:$K$20000,DATOS!$A$2:$A$20000,A549,DATOS!$G$2:$G$20000,CONFIG_METADATA!$B$4,DATOS!$I$2:$I$20000,"Conjunto"),""))</f>
        <v/>
      </c>
      <c r="E549" t="str">
        <f>IF(A549="","",IFERROR(AVERAGEIFS(DATOS!$K$2:$K$20000,DATOS!$A$2:$A$20000,A549,DATOS!$G$2:$G$20000,CONFIG_METADATA!$B$4,DATOS!$I$2:$I$20000,"&lt;&gt;Lenguaje Musical",DATOS!$I$2:$I$20000,"&lt;&gt;Coro",DATOS!$I$2:$I$20000,"&lt;&gt;Conjunto"),""))</f>
        <v/>
      </c>
      <c r="H549" t="str">
        <f>IF(G549="","",IFERROR(AVERAGEIFS(DATOS!$K$2:$K$20000,DATOS!$A$2:$A$20000,G549,DATOS!$G$2:$G$20000,CONFIG_METADATA!$B$4,DATOS!$I$2:$I$20000,"Lenguaje Musical"),""))</f>
        <v/>
      </c>
      <c r="I549" t="str">
        <f>IF(G549="","",IFERROR(AVERAGEIFS(DATOS!$K$2:$K$20000,DATOS!$A$2:$A$20000,G549,DATOS!$G$2:$G$20000,CONFIG_METADATA!$B$4,DATOS!$I$2:$I$20000,"Coro"),""))</f>
        <v/>
      </c>
      <c r="J549" t="str">
        <f>IF(G549="","",IFERROR(AVERAGEIFS(DATOS!$K$2:$K$20000,DATOS!$A$2:$A$20000,G549,DATOS!$G$2:$G$20000,CONFIG_METADATA!$B$4,DATOS!$I$2:$I$20000,"Conjunto"),""))</f>
        <v/>
      </c>
      <c r="K549" t="str" cm="1">
        <f t="array" ref="K549">IF(G549="","",IFERROR(AVERAGE(IF((DATOS!$A$2:$A$20000=G549)*(DATOS!$G$2:$G$20000=CONFIG_METADATA!$B$4)*(DATOS!$I$2:$I$20000&lt;&gt;"Lenguaje Musical")*(DATOS!$I$2:$I$20000&lt;&gt;"Coro")*(DATOS!$I$2:$I$20000&lt;&gt;"Conjunto"),DATOS!$K$2:$K$20000)),""))</f>
        <v/>
      </c>
      <c r="N549" t="str">
        <f>IF(M549="","",IFERROR(AVERAGEIFS(DATOS!$K$2:$K$20000,DATOS!$A$2:$A$20000,M549,DATOS!$G$2:$G$20000,CONFIG_METADATA!$B$4,DATOS!$I$2:$I$20000,"Lenguaje Musical"),""))</f>
        <v/>
      </c>
      <c r="O549" t="str">
        <f>IF(M549="","",IFERROR(AVERAGEIFS(DATOS!$K$2:$K$20000,DATOS!$A$2:$A$20000,M549,DATOS!$G$2:$G$20000,CONFIG_METADATA!$B$4,DATOS!$I$2:$I$20000,"Coro"),""))</f>
        <v/>
      </c>
      <c r="P549" t="str">
        <f>IF(M549="","",IFERROR(AVERAGEIFS(DATOS!$K$2:$K$20000,DATOS!$A$2:$A$20000,M549,DATOS!$G$2:$G$20000,CONFIG_METADATA!$B$4,DATOS!$I$2:$I$20000,"Conjunto"),""))</f>
        <v/>
      </c>
      <c r="Q549" t="str">
        <f>IF(M549="","",IFERROR(AVERAGEIFS(DATOS!$K$2:$K$20000,DATOS!$A$2:$A$20000,M549,DATOS!$G$2:$G$20000,CONFIG_METADATA!$B$4,DATOS!$I$2:$I$20000,"&lt;&gt;Lenguaje Musical",DATOS!$I$2:$I$20000,"&lt;&gt;Coro",DATOS!$I$2:$I$20000,"&lt;&gt;Conjunto"),""))</f>
        <v/>
      </c>
      <c r="T549" t="str">
        <f>IF(S549="","",IFERROR(AVERAGEIFS(DATOS!$K$2:$K$20000,DATOS!$A$2:$A$20000,S549,DATOS!$G$2:$G$20000,CONFIG_METADATA!$B$4,DATOS!$I$2:$I$20000,"Lenguaje Musical"),""))</f>
        <v/>
      </c>
      <c r="U549" t="str">
        <f>IF(S549="","",IFERROR(AVERAGEIFS(DATOS!$K$2:$K$20000,DATOS!$A$2:$A$20000,S549,DATOS!$G$2:$G$20000,CONFIG_METADATA!$B$4,DATOS!$I$2:$I$20000,"Coro"),""))</f>
        <v/>
      </c>
      <c r="V549" t="str">
        <f>IF(S549="","",IFERROR(AVERAGEIFS(DATOS!$K$2:$K$20000,DATOS!$A$2:$A$20000,S549,DATOS!$G$2:$G$20000,CONFIG_METADATA!$B$4,DATOS!$I$2:$I$20000,"Conjunto"),""))</f>
        <v/>
      </c>
      <c r="W549" t="str" cm="1">
        <f t="array" ref="W549">IF(S549="","",IFERROR(AVERAGE(IF((DATOS!$A$2:$A$20000=S549)*(DATOS!$G$2:$G$20000=CONFIG_METADATA!$B$4)*(DATOS!$I$2:$I$20000&lt;&gt;"Lenguaje Musical")*(DATOS!$I$2:$I$20000&lt;&gt;"Coro")*(DATOS!$I$2:$I$20000&lt;&gt;"Conjunto"),DATOS!$K$2:$K$20000)),""))</f>
        <v/>
      </c>
    </row>
    <row r="550" spans="2:23" x14ac:dyDescent="0.2">
      <c r="B550" t="str">
        <f>IF(A550="","",IFERROR(AVERAGEIFS(DATOS!$K$2:$K$20000,DATOS!$A$2:$A$20000,A550,DATOS!$G$2:$G$20000,CONFIG_METADATA!$B$4,DATOS!$I$2:$I$20000,"Lenguaje Musical"),""))</f>
        <v/>
      </c>
      <c r="C550" t="str">
        <f>IF(A550="","",IFERROR(AVERAGEIFS(DATOS!$K$2:$K$20000,DATOS!$A$2:$A$20000,A550,DATOS!$G$2:$G$20000,CONFIG_METADATA!$B$4,DATOS!$I$2:$I$20000,"Coro"),""))</f>
        <v/>
      </c>
      <c r="D550" t="str">
        <f>IF(A550="","",IFERROR(AVERAGEIFS(DATOS!$K$2:$K$20000,DATOS!$A$2:$A$20000,A550,DATOS!$G$2:$G$20000,CONFIG_METADATA!$B$4,DATOS!$I$2:$I$20000,"Conjunto"),""))</f>
        <v/>
      </c>
      <c r="E550" t="str">
        <f>IF(A550="","",IFERROR(AVERAGEIFS(DATOS!$K$2:$K$20000,DATOS!$A$2:$A$20000,A550,DATOS!$G$2:$G$20000,CONFIG_METADATA!$B$4,DATOS!$I$2:$I$20000,"&lt;&gt;Lenguaje Musical",DATOS!$I$2:$I$20000,"&lt;&gt;Coro",DATOS!$I$2:$I$20000,"&lt;&gt;Conjunto"),""))</f>
        <v/>
      </c>
      <c r="H550" t="str">
        <f>IF(G550="","",IFERROR(AVERAGEIFS(DATOS!$K$2:$K$20000,DATOS!$A$2:$A$20000,G550,DATOS!$G$2:$G$20000,CONFIG_METADATA!$B$4,DATOS!$I$2:$I$20000,"Lenguaje Musical"),""))</f>
        <v/>
      </c>
      <c r="I550" t="str">
        <f>IF(G550="","",IFERROR(AVERAGEIFS(DATOS!$K$2:$K$20000,DATOS!$A$2:$A$20000,G550,DATOS!$G$2:$G$20000,CONFIG_METADATA!$B$4,DATOS!$I$2:$I$20000,"Coro"),""))</f>
        <v/>
      </c>
      <c r="J550" t="str">
        <f>IF(G550="","",IFERROR(AVERAGEIFS(DATOS!$K$2:$K$20000,DATOS!$A$2:$A$20000,G550,DATOS!$G$2:$G$20000,CONFIG_METADATA!$B$4,DATOS!$I$2:$I$20000,"Conjunto"),""))</f>
        <v/>
      </c>
      <c r="K550" t="str" cm="1">
        <f t="array" ref="K550">IF(G550="","",IFERROR(AVERAGE(IF((DATOS!$A$2:$A$20000=G550)*(DATOS!$G$2:$G$20000=CONFIG_METADATA!$B$4)*(DATOS!$I$2:$I$20000&lt;&gt;"Lenguaje Musical")*(DATOS!$I$2:$I$20000&lt;&gt;"Coro")*(DATOS!$I$2:$I$20000&lt;&gt;"Conjunto"),DATOS!$K$2:$K$20000)),""))</f>
        <v/>
      </c>
      <c r="N550" t="str">
        <f>IF(M550="","",IFERROR(AVERAGEIFS(DATOS!$K$2:$K$20000,DATOS!$A$2:$A$20000,M550,DATOS!$G$2:$G$20000,CONFIG_METADATA!$B$4,DATOS!$I$2:$I$20000,"Lenguaje Musical"),""))</f>
        <v/>
      </c>
      <c r="O550" t="str">
        <f>IF(M550="","",IFERROR(AVERAGEIFS(DATOS!$K$2:$K$20000,DATOS!$A$2:$A$20000,M550,DATOS!$G$2:$G$20000,CONFIG_METADATA!$B$4,DATOS!$I$2:$I$20000,"Coro"),""))</f>
        <v/>
      </c>
      <c r="P550" t="str">
        <f>IF(M550="","",IFERROR(AVERAGEIFS(DATOS!$K$2:$K$20000,DATOS!$A$2:$A$20000,M550,DATOS!$G$2:$G$20000,CONFIG_METADATA!$B$4,DATOS!$I$2:$I$20000,"Conjunto"),""))</f>
        <v/>
      </c>
      <c r="Q550" t="str">
        <f>IF(M550="","",IFERROR(AVERAGEIFS(DATOS!$K$2:$K$20000,DATOS!$A$2:$A$20000,M550,DATOS!$G$2:$G$20000,CONFIG_METADATA!$B$4,DATOS!$I$2:$I$20000,"&lt;&gt;Lenguaje Musical",DATOS!$I$2:$I$20000,"&lt;&gt;Coro",DATOS!$I$2:$I$20000,"&lt;&gt;Conjunto"),""))</f>
        <v/>
      </c>
      <c r="T550" t="str">
        <f>IF(S550="","",IFERROR(AVERAGEIFS(DATOS!$K$2:$K$20000,DATOS!$A$2:$A$20000,S550,DATOS!$G$2:$G$20000,CONFIG_METADATA!$B$4,DATOS!$I$2:$I$20000,"Lenguaje Musical"),""))</f>
        <v/>
      </c>
      <c r="U550" t="str">
        <f>IF(S550="","",IFERROR(AVERAGEIFS(DATOS!$K$2:$K$20000,DATOS!$A$2:$A$20000,S550,DATOS!$G$2:$G$20000,CONFIG_METADATA!$B$4,DATOS!$I$2:$I$20000,"Coro"),""))</f>
        <v/>
      </c>
      <c r="V550" t="str">
        <f>IF(S550="","",IFERROR(AVERAGEIFS(DATOS!$K$2:$K$20000,DATOS!$A$2:$A$20000,S550,DATOS!$G$2:$G$20000,CONFIG_METADATA!$B$4,DATOS!$I$2:$I$20000,"Conjunto"),""))</f>
        <v/>
      </c>
      <c r="W550" t="str" cm="1">
        <f t="array" ref="W550">IF(S550="","",IFERROR(AVERAGE(IF((DATOS!$A$2:$A$20000=S550)*(DATOS!$G$2:$G$20000=CONFIG_METADATA!$B$4)*(DATOS!$I$2:$I$20000&lt;&gt;"Lenguaje Musical")*(DATOS!$I$2:$I$20000&lt;&gt;"Coro")*(DATOS!$I$2:$I$20000&lt;&gt;"Conjunto"),DATOS!$K$2:$K$20000)),""))</f>
        <v/>
      </c>
    </row>
    <row r="551" spans="2:23" x14ac:dyDescent="0.2">
      <c r="B551" t="str">
        <f>IF(A551="","",IFERROR(AVERAGEIFS(DATOS!$K$2:$K$20000,DATOS!$A$2:$A$20000,A551,DATOS!$G$2:$G$20000,CONFIG_METADATA!$B$4,DATOS!$I$2:$I$20000,"Lenguaje Musical"),""))</f>
        <v/>
      </c>
      <c r="C551" t="str">
        <f>IF(A551="","",IFERROR(AVERAGEIFS(DATOS!$K$2:$K$20000,DATOS!$A$2:$A$20000,A551,DATOS!$G$2:$G$20000,CONFIG_METADATA!$B$4,DATOS!$I$2:$I$20000,"Coro"),""))</f>
        <v/>
      </c>
      <c r="D551" t="str">
        <f>IF(A551="","",IFERROR(AVERAGEIFS(DATOS!$K$2:$K$20000,DATOS!$A$2:$A$20000,A551,DATOS!$G$2:$G$20000,CONFIG_METADATA!$B$4,DATOS!$I$2:$I$20000,"Conjunto"),""))</f>
        <v/>
      </c>
      <c r="E551" t="str">
        <f>IF(A551="","",IFERROR(AVERAGEIFS(DATOS!$K$2:$K$20000,DATOS!$A$2:$A$20000,A551,DATOS!$G$2:$G$20000,CONFIG_METADATA!$B$4,DATOS!$I$2:$I$20000,"&lt;&gt;Lenguaje Musical",DATOS!$I$2:$I$20000,"&lt;&gt;Coro",DATOS!$I$2:$I$20000,"&lt;&gt;Conjunto"),""))</f>
        <v/>
      </c>
      <c r="H551" t="str">
        <f>IF(G551="","",IFERROR(AVERAGEIFS(DATOS!$K$2:$K$20000,DATOS!$A$2:$A$20000,G551,DATOS!$G$2:$G$20000,CONFIG_METADATA!$B$4,DATOS!$I$2:$I$20000,"Lenguaje Musical"),""))</f>
        <v/>
      </c>
      <c r="I551" t="str">
        <f>IF(G551="","",IFERROR(AVERAGEIFS(DATOS!$K$2:$K$20000,DATOS!$A$2:$A$20000,G551,DATOS!$G$2:$G$20000,CONFIG_METADATA!$B$4,DATOS!$I$2:$I$20000,"Coro"),""))</f>
        <v/>
      </c>
      <c r="J551" t="str">
        <f>IF(G551="","",IFERROR(AVERAGEIFS(DATOS!$K$2:$K$20000,DATOS!$A$2:$A$20000,G551,DATOS!$G$2:$G$20000,CONFIG_METADATA!$B$4,DATOS!$I$2:$I$20000,"Conjunto"),""))</f>
        <v/>
      </c>
      <c r="K551" t="str" cm="1">
        <f t="array" ref="K551">IF(G551="","",IFERROR(AVERAGE(IF((DATOS!$A$2:$A$20000=G551)*(DATOS!$G$2:$G$20000=CONFIG_METADATA!$B$4)*(DATOS!$I$2:$I$20000&lt;&gt;"Lenguaje Musical")*(DATOS!$I$2:$I$20000&lt;&gt;"Coro")*(DATOS!$I$2:$I$20000&lt;&gt;"Conjunto"),DATOS!$K$2:$K$20000)),""))</f>
        <v/>
      </c>
      <c r="N551" t="str">
        <f>IF(M551="","",IFERROR(AVERAGEIFS(DATOS!$K$2:$K$20000,DATOS!$A$2:$A$20000,M551,DATOS!$G$2:$G$20000,CONFIG_METADATA!$B$4,DATOS!$I$2:$I$20000,"Lenguaje Musical"),""))</f>
        <v/>
      </c>
      <c r="O551" t="str">
        <f>IF(M551="","",IFERROR(AVERAGEIFS(DATOS!$K$2:$K$20000,DATOS!$A$2:$A$20000,M551,DATOS!$G$2:$G$20000,CONFIG_METADATA!$B$4,DATOS!$I$2:$I$20000,"Coro"),""))</f>
        <v/>
      </c>
      <c r="P551" t="str">
        <f>IF(M551="","",IFERROR(AVERAGEIFS(DATOS!$K$2:$K$20000,DATOS!$A$2:$A$20000,M551,DATOS!$G$2:$G$20000,CONFIG_METADATA!$B$4,DATOS!$I$2:$I$20000,"Conjunto"),""))</f>
        <v/>
      </c>
      <c r="Q551" t="str">
        <f>IF(M551="","",IFERROR(AVERAGEIFS(DATOS!$K$2:$K$20000,DATOS!$A$2:$A$20000,M551,DATOS!$G$2:$G$20000,CONFIG_METADATA!$B$4,DATOS!$I$2:$I$20000,"&lt;&gt;Lenguaje Musical",DATOS!$I$2:$I$20000,"&lt;&gt;Coro",DATOS!$I$2:$I$20000,"&lt;&gt;Conjunto"),""))</f>
        <v/>
      </c>
      <c r="T551" t="str">
        <f>IF(S551="","",IFERROR(AVERAGEIFS(DATOS!$K$2:$K$20000,DATOS!$A$2:$A$20000,S551,DATOS!$G$2:$G$20000,CONFIG_METADATA!$B$4,DATOS!$I$2:$I$20000,"Lenguaje Musical"),""))</f>
        <v/>
      </c>
      <c r="U551" t="str">
        <f>IF(S551="","",IFERROR(AVERAGEIFS(DATOS!$K$2:$K$20000,DATOS!$A$2:$A$20000,S551,DATOS!$G$2:$G$20000,CONFIG_METADATA!$B$4,DATOS!$I$2:$I$20000,"Coro"),""))</f>
        <v/>
      </c>
      <c r="V551" t="str">
        <f>IF(S551="","",IFERROR(AVERAGEIFS(DATOS!$K$2:$K$20000,DATOS!$A$2:$A$20000,S551,DATOS!$G$2:$G$20000,CONFIG_METADATA!$B$4,DATOS!$I$2:$I$20000,"Conjunto"),""))</f>
        <v/>
      </c>
      <c r="W551" t="str" cm="1">
        <f t="array" ref="W551">IF(S551="","",IFERROR(AVERAGE(IF((DATOS!$A$2:$A$20000=S551)*(DATOS!$G$2:$G$20000=CONFIG_METADATA!$B$4)*(DATOS!$I$2:$I$20000&lt;&gt;"Lenguaje Musical")*(DATOS!$I$2:$I$20000&lt;&gt;"Coro")*(DATOS!$I$2:$I$20000&lt;&gt;"Conjunto"),DATOS!$K$2:$K$20000)),""))</f>
        <v/>
      </c>
    </row>
    <row r="552" spans="2:23" x14ac:dyDescent="0.2">
      <c r="B552" t="str">
        <f>IF(A552="","",IFERROR(AVERAGEIFS(DATOS!$K$2:$K$20000,DATOS!$A$2:$A$20000,A552,DATOS!$G$2:$G$20000,CONFIG_METADATA!$B$4,DATOS!$I$2:$I$20000,"Lenguaje Musical"),""))</f>
        <v/>
      </c>
      <c r="C552" t="str">
        <f>IF(A552="","",IFERROR(AVERAGEIFS(DATOS!$K$2:$K$20000,DATOS!$A$2:$A$20000,A552,DATOS!$G$2:$G$20000,CONFIG_METADATA!$B$4,DATOS!$I$2:$I$20000,"Coro"),""))</f>
        <v/>
      </c>
      <c r="D552" t="str">
        <f>IF(A552="","",IFERROR(AVERAGEIFS(DATOS!$K$2:$K$20000,DATOS!$A$2:$A$20000,A552,DATOS!$G$2:$G$20000,CONFIG_METADATA!$B$4,DATOS!$I$2:$I$20000,"Conjunto"),""))</f>
        <v/>
      </c>
      <c r="E552" t="str">
        <f>IF(A552="","",IFERROR(AVERAGEIFS(DATOS!$K$2:$K$20000,DATOS!$A$2:$A$20000,A552,DATOS!$G$2:$G$20000,CONFIG_METADATA!$B$4,DATOS!$I$2:$I$20000,"&lt;&gt;Lenguaje Musical",DATOS!$I$2:$I$20000,"&lt;&gt;Coro",DATOS!$I$2:$I$20000,"&lt;&gt;Conjunto"),""))</f>
        <v/>
      </c>
      <c r="H552" t="str">
        <f>IF(G552="","",IFERROR(AVERAGEIFS(DATOS!$K$2:$K$20000,DATOS!$A$2:$A$20000,G552,DATOS!$G$2:$G$20000,CONFIG_METADATA!$B$4,DATOS!$I$2:$I$20000,"Lenguaje Musical"),""))</f>
        <v/>
      </c>
      <c r="I552" t="str">
        <f>IF(G552="","",IFERROR(AVERAGEIFS(DATOS!$K$2:$K$20000,DATOS!$A$2:$A$20000,G552,DATOS!$G$2:$G$20000,CONFIG_METADATA!$B$4,DATOS!$I$2:$I$20000,"Coro"),""))</f>
        <v/>
      </c>
      <c r="J552" t="str">
        <f>IF(G552="","",IFERROR(AVERAGEIFS(DATOS!$K$2:$K$20000,DATOS!$A$2:$A$20000,G552,DATOS!$G$2:$G$20000,CONFIG_METADATA!$B$4,DATOS!$I$2:$I$20000,"Conjunto"),""))</f>
        <v/>
      </c>
      <c r="K552" t="str" cm="1">
        <f t="array" ref="K552">IF(G552="","",IFERROR(AVERAGE(IF((DATOS!$A$2:$A$20000=G552)*(DATOS!$G$2:$G$20000=CONFIG_METADATA!$B$4)*(DATOS!$I$2:$I$20000&lt;&gt;"Lenguaje Musical")*(DATOS!$I$2:$I$20000&lt;&gt;"Coro")*(DATOS!$I$2:$I$20000&lt;&gt;"Conjunto"),DATOS!$K$2:$K$20000)),""))</f>
        <v/>
      </c>
      <c r="N552" t="str">
        <f>IF(M552="","",IFERROR(AVERAGEIFS(DATOS!$K$2:$K$20000,DATOS!$A$2:$A$20000,M552,DATOS!$G$2:$G$20000,CONFIG_METADATA!$B$4,DATOS!$I$2:$I$20000,"Lenguaje Musical"),""))</f>
        <v/>
      </c>
      <c r="O552" t="str">
        <f>IF(M552="","",IFERROR(AVERAGEIFS(DATOS!$K$2:$K$20000,DATOS!$A$2:$A$20000,M552,DATOS!$G$2:$G$20000,CONFIG_METADATA!$B$4,DATOS!$I$2:$I$20000,"Coro"),""))</f>
        <v/>
      </c>
      <c r="P552" t="str">
        <f>IF(M552="","",IFERROR(AVERAGEIFS(DATOS!$K$2:$K$20000,DATOS!$A$2:$A$20000,M552,DATOS!$G$2:$G$20000,CONFIG_METADATA!$B$4,DATOS!$I$2:$I$20000,"Conjunto"),""))</f>
        <v/>
      </c>
      <c r="Q552" t="str">
        <f>IF(M552="","",IFERROR(AVERAGEIFS(DATOS!$K$2:$K$20000,DATOS!$A$2:$A$20000,M552,DATOS!$G$2:$G$20000,CONFIG_METADATA!$B$4,DATOS!$I$2:$I$20000,"&lt;&gt;Lenguaje Musical",DATOS!$I$2:$I$20000,"&lt;&gt;Coro",DATOS!$I$2:$I$20000,"&lt;&gt;Conjunto"),""))</f>
        <v/>
      </c>
      <c r="T552" t="str">
        <f>IF(S552="","",IFERROR(AVERAGEIFS(DATOS!$K$2:$K$20000,DATOS!$A$2:$A$20000,S552,DATOS!$G$2:$G$20000,CONFIG_METADATA!$B$4,DATOS!$I$2:$I$20000,"Lenguaje Musical"),""))</f>
        <v/>
      </c>
      <c r="U552" t="str">
        <f>IF(S552="","",IFERROR(AVERAGEIFS(DATOS!$K$2:$K$20000,DATOS!$A$2:$A$20000,S552,DATOS!$G$2:$G$20000,CONFIG_METADATA!$B$4,DATOS!$I$2:$I$20000,"Coro"),""))</f>
        <v/>
      </c>
      <c r="V552" t="str">
        <f>IF(S552="","",IFERROR(AVERAGEIFS(DATOS!$K$2:$K$20000,DATOS!$A$2:$A$20000,S552,DATOS!$G$2:$G$20000,CONFIG_METADATA!$B$4,DATOS!$I$2:$I$20000,"Conjunto"),""))</f>
        <v/>
      </c>
      <c r="W552" t="str" cm="1">
        <f t="array" ref="W552">IF(S552="","",IFERROR(AVERAGE(IF((DATOS!$A$2:$A$20000=S552)*(DATOS!$G$2:$G$20000=CONFIG_METADATA!$B$4)*(DATOS!$I$2:$I$20000&lt;&gt;"Lenguaje Musical")*(DATOS!$I$2:$I$20000&lt;&gt;"Coro")*(DATOS!$I$2:$I$20000&lt;&gt;"Conjunto"),DATOS!$K$2:$K$20000)),""))</f>
        <v/>
      </c>
    </row>
    <row r="553" spans="2:23" x14ac:dyDescent="0.2">
      <c r="B553" t="str">
        <f>IF(A553="","",IFERROR(AVERAGEIFS(DATOS!$K$2:$K$20000,DATOS!$A$2:$A$20000,A553,DATOS!$G$2:$G$20000,CONFIG_METADATA!$B$4,DATOS!$I$2:$I$20000,"Lenguaje Musical"),""))</f>
        <v/>
      </c>
      <c r="C553" t="str">
        <f>IF(A553="","",IFERROR(AVERAGEIFS(DATOS!$K$2:$K$20000,DATOS!$A$2:$A$20000,A553,DATOS!$G$2:$G$20000,CONFIG_METADATA!$B$4,DATOS!$I$2:$I$20000,"Coro"),""))</f>
        <v/>
      </c>
      <c r="D553" t="str">
        <f>IF(A553="","",IFERROR(AVERAGEIFS(DATOS!$K$2:$K$20000,DATOS!$A$2:$A$20000,A553,DATOS!$G$2:$G$20000,CONFIG_METADATA!$B$4,DATOS!$I$2:$I$20000,"Conjunto"),""))</f>
        <v/>
      </c>
      <c r="E553" t="str">
        <f>IF(A553="","",IFERROR(AVERAGEIFS(DATOS!$K$2:$K$20000,DATOS!$A$2:$A$20000,A553,DATOS!$G$2:$G$20000,CONFIG_METADATA!$B$4,DATOS!$I$2:$I$20000,"&lt;&gt;Lenguaje Musical",DATOS!$I$2:$I$20000,"&lt;&gt;Coro",DATOS!$I$2:$I$20000,"&lt;&gt;Conjunto"),""))</f>
        <v/>
      </c>
      <c r="H553" t="str">
        <f>IF(G553="","",IFERROR(AVERAGEIFS(DATOS!$K$2:$K$20000,DATOS!$A$2:$A$20000,G553,DATOS!$G$2:$G$20000,CONFIG_METADATA!$B$4,DATOS!$I$2:$I$20000,"Lenguaje Musical"),""))</f>
        <v/>
      </c>
      <c r="I553" t="str">
        <f>IF(G553="","",IFERROR(AVERAGEIFS(DATOS!$K$2:$K$20000,DATOS!$A$2:$A$20000,G553,DATOS!$G$2:$G$20000,CONFIG_METADATA!$B$4,DATOS!$I$2:$I$20000,"Coro"),""))</f>
        <v/>
      </c>
      <c r="J553" t="str">
        <f>IF(G553="","",IFERROR(AVERAGEIFS(DATOS!$K$2:$K$20000,DATOS!$A$2:$A$20000,G553,DATOS!$G$2:$G$20000,CONFIG_METADATA!$B$4,DATOS!$I$2:$I$20000,"Conjunto"),""))</f>
        <v/>
      </c>
      <c r="K553" t="str" cm="1">
        <f t="array" ref="K553">IF(G553="","",IFERROR(AVERAGE(IF((DATOS!$A$2:$A$20000=G553)*(DATOS!$G$2:$G$20000=CONFIG_METADATA!$B$4)*(DATOS!$I$2:$I$20000&lt;&gt;"Lenguaje Musical")*(DATOS!$I$2:$I$20000&lt;&gt;"Coro")*(DATOS!$I$2:$I$20000&lt;&gt;"Conjunto"),DATOS!$K$2:$K$20000)),""))</f>
        <v/>
      </c>
      <c r="N553" t="str">
        <f>IF(M553="","",IFERROR(AVERAGEIFS(DATOS!$K$2:$K$20000,DATOS!$A$2:$A$20000,M553,DATOS!$G$2:$G$20000,CONFIG_METADATA!$B$4,DATOS!$I$2:$I$20000,"Lenguaje Musical"),""))</f>
        <v/>
      </c>
      <c r="O553" t="str">
        <f>IF(M553="","",IFERROR(AVERAGEIFS(DATOS!$K$2:$K$20000,DATOS!$A$2:$A$20000,M553,DATOS!$G$2:$G$20000,CONFIG_METADATA!$B$4,DATOS!$I$2:$I$20000,"Coro"),""))</f>
        <v/>
      </c>
      <c r="P553" t="str">
        <f>IF(M553="","",IFERROR(AVERAGEIFS(DATOS!$K$2:$K$20000,DATOS!$A$2:$A$20000,M553,DATOS!$G$2:$G$20000,CONFIG_METADATA!$B$4,DATOS!$I$2:$I$20000,"Conjunto"),""))</f>
        <v/>
      </c>
      <c r="Q553" t="str">
        <f>IF(M553="","",IFERROR(AVERAGEIFS(DATOS!$K$2:$K$20000,DATOS!$A$2:$A$20000,M553,DATOS!$G$2:$G$20000,CONFIG_METADATA!$B$4,DATOS!$I$2:$I$20000,"&lt;&gt;Lenguaje Musical",DATOS!$I$2:$I$20000,"&lt;&gt;Coro",DATOS!$I$2:$I$20000,"&lt;&gt;Conjunto"),""))</f>
        <v/>
      </c>
      <c r="T553" t="str">
        <f>IF(S553="","",IFERROR(AVERAGEIFS(DATOS!$K$2:$K$20000,DATOS!$A$2:$A$20000,S553,DATOS!$G$2:$G$20000,CONFIG_METADATA!$B$4,DATOS!$I$2:$I$20000,"Lenguaje Musical"),""))</f>
        <v/>
      </c>
      <c r="U553" t="str">
        <f>IF(S553="","",IFERROR(AVERAGEIFS(DATOS!$K$2:$K$20000,DATOS!$A$2:$A$20000,S553,DATOS!$G$2:$G$20000,CONFIG_METADATA!$B$4,DATOS!$I$2:$I$20000,"Coro"),""))</f>
        <v/>
      </c>
      <c r="V553" t="str">
        <f>IF(S553="","",IFERROR(AVERAGEIFS(DATOS!$K$2:$K$20000,DATOS!$A$2:$A$20000,S553,DATOS!$G$2:$G$20000,CONFIG_METADATA!$B$4,DATOS!$I$2:$I$20000,"Conjunto"),""))</f>
        <v/>
      </c>
      <c r="W553" t="str" cm="1">
        <f t="array" ref="W553">IF(S553="","",IFERROR(AVERAGE(IF((DATOS!$A$2:$A$20000=S553)*(DATOS!$G$2:$G$20000=CONFIG_METADATA!$B$4)*(DATOS!$I$2:$I$20000&lt;&gt;"Lenguaje Musical")*(DATOS!$I$2:$I$20000&lt;&gt;"Coro")*(DATOS!$I$2:$I$20000&lt;&gt;"Conjunto"),DATOS!$K$2:$K$20000)),""))</f>
        <v/>
      </c>
    </row>
    <row r="554" spans="2:23" x14ac:dyDescent="0.2">
      <c r="B554" t="str">
        <f>IF(A554="","",IFERROR(AVERAGEIFS(DATOS!$K$2:$K$20000,DATOS!$A$2:$A$20000,A554,DATOS!$G$2:$G$20000,CONFIG_METADATA!$B$4,DATOS!$I$2:$I$20000,"Lenguaje Musical"),""))</f>
        <v/>
      </c>
      <c r="C554" t="str">
        <f>IF(A554="","",IFERROR(AVERAGEIFS(DATOS!$K$2:$K$20000,DATOS!$A$2:$A$20000,A554,DATOS!$G$2:$G$20000,CONFIG_METADATA!$B$4,DATOS!$I$2:$I$20000,"Coro"),""))</f>
        <v/>
      </c>
      <c r="D554" t="str">
        <f>IF(A554="","",IFERROR(AVERAGEIFS(DATOS!$K$2:$K$20000,DATOS!$A$2:$A$20000,A554,DATOS!$G$2:$G$20000,CONFIG_METADATA!$B$4,DATOS!$I$2:$I$20000,"Conjunto"),""))</f>
        <v/>
      </c>
      <c r="E554" t="str">
        <f>IF(A554="","",IFERROR(AVERAGEIFS(DATOS!$K$2:$K$20000,DATOS!$A$2:$A$20000,A554,DATOS!$G$2:$G$20000,CONFIG_METADATA!$B$4,DATOS!$I$2:$I$20000,"&lt;&gt;Lenguaje Musical",DATOS!$I$2:$I$20000,"&lt;&gt;Coro",DATOS!$I$2:$I$20000,"&lt;&gt;Conjunto"),""))</f>
        <v/>
      </c>
      <c r="H554" t="str">
        <f>IF(G554="","",IFERROR(AVERAGEIFS(DATOS!$K$2:$K$20000,DATOS!$A$2:$A$20000,G554,DATOS!$G$2:$G$20000,CONFIG_METADATA!$B$4,DATOS!$I$2:$I$20000,"Lenguaje Musical"),""))</f>
        <v/>
      </c>
      <c r="I554" t="str">
        <f>IF(G554="","",IFERROR(AVERAGEIFS(DATOS!$K$2:$K$20000,DATOS!$A$2:$A$20000,G554,DATOS!$G$2:$G$20000,CONFIG_METADATA!$B$4,DATOS!$I$2:$I$20000,"Coro"),""))</f>
        <v/>
      </c>
      <c r="J554" t="str">
        <f>IF(G554="","",IFERROR(AVERAGEIFS(DATOS!$K$2:$K$20000,DATOS!$A$2:$A$20000,G554,DATOS!$G$2:$G$20000,CONFIG_METADATA!$B$4,DATOS!$I$2:$I$20000,"Conjunto"),""))</f>
        <v/>
      </c>
      <c r="K554" t="str" cm="1">
        <f t="array" ref="K554">IF(G554="","",IFERROR(AVERAGE(IF((DATOS!$A$2:$A$20000=G554)*(DATOS!$G$2:$G$20000=CONFIG_METADATA!$B$4)*(DATOS!$I$2:$I$20000&lt;&gt;"Lenguaje Musical")*(DATOS!$I$2:$I$20000&lt;&gt;"Coro")*(DATOS!$I$2:$I$20000&lt;&gt;"Conjunto"),DATOS!$K$2:$K$20000)),""))</f>
        <v/>
      </c>
      <c r="N554" t="str">
        <f>IF(M554="","",IFERROR(AVERAGEIFS(DATOS!$K$2:$K$20000,DATOS!$A$2:$A$20000,M554,DATOS!$G$2:$G$20000,CONFIG_METADATA!$B$4,DATOS!$I$2:$I$20000,"Lenguaje Musical"),""))</f>
        <v/>
      </c>
      <c r="O554" t="str">
        <f>IF(M554="","",IFERROR(AVERAGEIFS(DATOS!$K$2:$K$20000,DATOS!$A$2:$A$20000,M554,DATOS!$G$2:$G$20000,CONFIG_METADATA!$B$4,DATOS!$I$2:$I$20000,"Coro"),""))</f>
        <v/>
      </c>
      <c r="P554" t="str">
        <f>IF(M554="","",IFERROR(AVERAGEIFS(DATOS!$K$2:$K$20000,DATOS!$A$2:$A$20000,M554,DATOS!$G$2:$G$20000,CONFIG_METADATA!$B$4,DATOS!$I$2:$I$20000,"Conjunto"),""))</f>
        <v/>
      </c>
      <c r="Q554" t="str">
        <f>IF(M554="","",IFERROR(AVERAGEIFS(DATOS!$K$2:$K$20000,DATOS!$A$2:$A$20000,M554,DATOS!$G$2:$G$20000,CONFIG_METADATA!$B$4,DATOS!$I$2:$I$20000,"&lt;&gt;Lenguaje Musical",DATOS!$I$2:$I$20000,"&lt;&gt;Coro",DATOS!$I$2:$I$20000,"&lt;&gt;Conjunto"),""))</f>
        <v/>
      </c>
      <c r="T554" t="str">
        <f>IF(S554="","",IFERROR(AVERAGEIFS(DATOS!$K$2:$K$20000,DATOS!$A$2:$A$20000,S554,DATOS!$G$2:$G$20000,CONFIG_METADATA!$B$4,DATOS!$I$2:$I$20000,"Lenguaje Musical"),""))</f>
        <v/>
      </c>
      <c r="U554" t="str">
        <f>IF(S554="","",IFERROR(AVERAGEIFS(DATOS!$K$2:$K$20000,DATOS!$A$2:$A$20000,S554,DATOS!$G$2:$G$20000,CONFIG_METADATA!$B$4,DATOS!$I$2:$I$20000,"Coro"),""))</f>
        <v/>
      </c>
      <c r="V554" t="str">
        <f>IF(S554="","",IFERROR(AVERAGEIFS(DATOS!$K$2:$K$20000,DATOS!$A$2:$A$20000,S554,DATOS!$G$2:$G$20000,CONFIG_METADATA!$B$4,DATOS!$I$2:$I$20000,"Conjunto"),""))</f>
        <v/>
      </c>
      <c r="W554" t="str" cm="1">
        <f t="array" ref="W554">IF(S554="","",IFERROR(AVERAGE(IF((DATOS!$A$2:$A$20000=S554)*(DATOS!$G$2:$G$20000=CONFIG_METADATA!$B$4)*(DATOS!$I$2:$I$20000&lt;&gt;"Lenguaje Musical")*(DATOS!$I$2:$I$20000&lt;&gt;"Coro")*(DATOS!$I$2:$I$20000&lt;&gt;"Conjunto"),DATOS!$K$2:$K$20000)),""))</f>
        <v/>
      </c>
    </row>
    <row r="555" spans="2:23" x14ac:dyDescent="0.2">
      <c r="B555" t="str">
        <f>IF(A555="","",IFERROR(AVERAGEIFS(DATOS!$K$2:$K$20000,DATOS!$A$2:$A$20000,A555,DATOS!$G$2:$G$20000,CONFIG_METADATA!$B$4,DATOS!$I$2:$I$20000,"Lenguaje Musical"),""))</f>
        <v/>
      </c>
      <c r="C555" t="str">
        <f>IF(A555="","",IFERROR(AVERAGEIFS(DATOS!$K$2:$K$20000,DATOS!$A$2:$A$20000,A555,DATOS!$G$2:$G$20000,CONFIG_METADATA!$B$4,DATOS!$I$2:$I$20000,"Coro"),""))</f>
        <v/>
      </c>
      <c r="D555" t="str">
        <f>IF(A555="","",IFERROR(AVERAGEIFS(DATOS!$K$2:$K$20000,DATOS!$A$2:$A$20000,A555,DATOS!$G$2:$G$20000,CONFIG_METADATA!$B$4,DATOS!$I$2:$I$20000,"Conjunto"),""))</f>
        <v/>
      </c>
      <c r="E555" t="str">
        <f>IF(A555="","",IFERROR(AVERAGEIFS(DATOS!$K$2:$K$20000,DATOS!$A$2:$A$20000,A555,DATOS!$G$2:$G$20000,CONFIG_METADATA!$B$4,DATOS!$I$2:$I$20000,"&lt;&gt;Lenguaje Musical",DATOS!$I$2:$I$20000,"&lt;&gt;Coro",DATOS!$I$2:$I$20000,"&lt;&gt;Conjunto"),""))</f>
        <v/>
      </c>
      <c r="H555" t="str">
        <f>IF(G555="","",IFERROR(AVERAGEIFS(DATOS!$K$2:$K$20000,DATOS!$A$2:$A$20000,G555,DATOS!$G$2:$G$20000,CONFIG_METADATA!$B$4,DATOS!$I$2:$I$20000,"Lenguaje Musical"),""))</f>
        <v/>
      </c>
      <c r="I555" t="str">
        <f>IF(G555="","",IFERROR(AVERAGEIFS(DATOS!$K$2:$K$20000,DATOS!$A$2:$A$20000,G555,DATOS!$G$2:$G$20000,CONFIG_METADATA!$B$4,DATOS!$I$2:$I$20000,"Coro"),""))</f>
        <v/>
      </c>
      <c r="J555" t="str">
        <f>IF(G555="","",IFERROR(AVERAGEIFS(DATOS!$K$2:$K$20000,DATOS!$A$2:$A$20000,G555,DATOS!$G$2:$G$20000,CONFIG_METADATA!$B$4,DATOS!$I$2:$I$20000,"Conjunto"),""))</f>
        <v/>
      </c>
      <c r="K555" t="str" cm="1">
        <f t="array" ref="K555">IF(G555="","",IFERROR(AVERAGE(IF((DATOS!$A$2:$A$20000=G555)*(DATOS!$G$2:$G$20000=CONFIG_METADATA!$B$4)*(DATOS!$I$2:$I$20000&lt;&gt;"Lenguaje Musical")*(DATOS!$I$2:$I$20000&lt;&gt;"Coro")*(DATOS!$I$2:$I$20000&lt;&gt;"Conjunto"),DATOS!$K$2:$K$20000)),""))</f>
        <v/>
      </c>
      <c r="N555" t="str">
        <f>IF(M555="","",IFERROR(AVERAGEIFS(DATOS!$K$2:$K$20000,DATOS!$A$2:$A$20000,M555,DATOS!$G$2:$G$20000,CONFIG_METADATA!$B$4,DATOS!$I$2:$I$20000,"Lenguaje Musical"),""))</f>
        <v/>
      </c>
      <c r="O555" t="str">
        <f>IF(M555="","",IFERROR(AVERAGEIFS(DATOS!$K$2:$K$20000,DATOS!$A$2:$A$20000,M555,DATOS!$G$2:$G$20000,CONFIG_METADATA!$B$4,DATOS!$I$2:$I$20000,"Coro"),""))</f>
        <v/>
      </c>
      <c r="P555" t="str">
        <f>IF(M555="","",IFERROR(AVERAGEIFS(DATOS!$K$2:$K$20000,DATOS!$A$2:$A$20000,M555,DATOS!$G$2:$G$20000,CONFIG_METADATA!$B$4,DATOS!$I$2:$I$20000,"Conjunto"),""))</f>
        <v/>
      </c>
      <c r="Q555" t="str">
        <f>IF(M555="","",IFERROR(AVERAGEIFS(DATOS!$K$2:$K$20000,DATOS!$A$2:$A$20000,M555,DATOS!$G$2:$G$20000,CONFIG_METADATA!$B$4,DATOS!$I$2:$I$20000,"&lt;&gt;Lenguaje Musical",DATOS!$I$2:$I$20000,"&lt;&gt;Coro",DATOS!$I$2:$I$20000,"&lt;&gt;Conjunto"),""))</f>
        <v/>
      </c>
      <c r="T555" t="str">
        <f>IF(S555="","",IFERROR(AVERAGEIFS(DATOS!$K$2:$K$20000,DATOS!$A$2:$A$20000,S555,DATOS!$G$2:$G$20000,CONFIG_METADATA!$B$4,DATOS!$I$2:$I$20000,"Lenguaje Musical"),""))</f>
        <v/>
      </c>
      <c r="U555" t="str">
        <f>IF(S555="","",IFERROR(AVERAGEIFS(DATOS!$K$2:$K$20000,DATOS!$A$2:$A$20000,S555,DATOS!$G$2:$G$20000,CONFIG_METADATA!$B$4,DATOS!$I$2:$I$20000,"Coro"),""))</f>
        <v/>
      </c>
      <c r="V555" t="str">
        <f>IF(S555="","",IFERROR(AVERAGEIFS(DATOS!$K$2:$K$20000,DATOS!$A$2:$A$20000,S555,DATOS!$G$2:$G$20000,CONFIG_METADATA!$B$4,DATOS!$I$2:$I$20000,"Conjunto"),""))</f>
        <v/>
      </c>
      <c r="W555" t="str" cm="1">
        <f t="array" ref="W555">IF(S555="","",IFERROR(AVERAGE(IF((DATOS!$A$2:$A$20000=S555)*(DATOS!$G$2:$G$20000=CONFIG_METADATA!$B$4)*(DATOS!$I$2:$I$20000&lt;&gt;"Lenguaje Musical")*(DATOS!$I$2:$I$20000&lt;&gt;"Coro")*(DATOS!$I$2:$I$20000&lt;&gt;"Conjunto"),DATOS!$K$2:$K$20000)),""))</f>
        <v/>
      </c>
    </row>
    <row r="556" spans="2:23" x14ac:dyDescent="0.2">
      <c r="B556" t="str">
        <f>IF(A556="","",IFERROR(AVERAGEIFS(DATOS!$K$2:$K$20000,DATOS!$A$2:$A$20000,A556,DATOS!$G$2:$G$20000,CONFIG_METADATA!$B$4,DATOS!$I$2:$I$20000,"Lenguaje Musical"),""))</f>
        <v/>
      </c>
      <c r="C556" t="str">
        <f>IF(A556="","",IFERROR(AVERAGEIFS(DATOS!$K$2:$K$20000,DATOS!$A$2:$A$20000,A556,DATOS!$G$2:$G$20000,CONFIG_METADATA!$B$4,DATOS!$I$2:$I$20000,"Coro"),""))</f>
        <v/>
      </c>
      <c r="D556" t="str">
        <f>IF(A556="","",IFERROR(AVERAGEIFS(DATOS!$K$2:$K$20000,DATOS!$A$2:$A$20000,A556,DATOS!$G$2:$G$20000,CONFIG_METADATA!$B$4,DATOS!$I$2:$I$20000,"Conjunto"),""))</f>
        <v/>
      </c>
      <c r="E556" t="str">
        <f>IF(A556="","",IFERROR(AVERAGEIFS(DATOS!$K$2:$K$20000,DATOS!$A$2:$A$20000,A556,DATOS!$G$2:$G$20000,CONFIG_METADATA!$B$4,DATOS!$I$2:$I$20000,"&lt;&gt;Lenguaje Musical",DATOS!$I$2:$I$20000,"&lt;&gt;Coro",DATOS!$I$2:$I$20000,"&lt;&gt;Conjunto"),""))</f>
        <v/>
      </c>
      <c r="H556" t="str">
        <f>IF(G556="","",IFERROR(AVERAGEIFS(DATOS!$K$2:$K$20000,DATOS!$A$2:$A$20000,G556,DATOS!$G$2:$G$20000,CONFIG_METADATA!$B$4,DATOS!$I$2:$I$20000,"Lenguaje Musical"),""))</f>
        <v/>
      </c>
      <c r="I556" t="str">
        <f>IF(G556="","",IFERROR(AVERAGEIFS(DATOS!$K$2:$K$20000,DATOS!$A$2:$A$20000,G556,DATOS!$G$2:$G$20000,CONFIG_METADATA!$B$4,DATOS!$I$2:$I$20000,"Coro"),""))</f>
        <v/>
      </c>
      <c r="J556" t="str">
        <f>IF(G556="","",IFERROR(AVERAGEIFS(DATOS!$K$2:$K$20000,DATOS!$A$2:$A$20000,G556,DATOS!$G$2:$G$20000,CONFIG_METADATA!$B$4,DATOS!$I$2:$I$20000,"Conjunto"),""))</f>
        <v/>
      </c>
      <c r="K556" t="str" cm="1">
        <f t="array" ref="K556">IF(G556="","",IFERROR(AVERAGE(IF((DATOS!$A$2:$A$20000=G556)*(DATOS!$G$2:$G$20000=CONFIG_METADATA!$B$4)*(DATOS!$I$2:$I$20000&lt;&gt;"Lenguaje Musical")*(DATOS!$I$2:$I$20000&lt;&gt;"Coro")*(DATOS!$I$2:$I$20000&lt;&gt;"Conjunto"),DATOS!$K$2:$K$20000)),""))</f>
        <v/>
      </c>
      <c r="N556" t="str">
        <f>IF(M556="","",IFERROR(AVERAGEIFS(DATOS!$K$2:$K$20000,DATOS!$A$2:$A$20000,M556,DATOS!$G$2:$G$20000,CONFIG_METADATA!$B$4,DATOS!$I$2:$I$20000,"Lenguaje Musical"),""))</f>
        <v/>
      </c>
      <c r="O556" t="str">
        <f>IF(M556="","",IFERROR(AVERAGEIFS(DATOS!$K$2:$K$20000,DATOS!$A$2:$A$20000,M556,DATOS!$G$2:$G$20000,CONFIG_METADATA!$B$4,DATOS!$I$2:$I$20000,"Coro"),""))</f>
        <v/>
      </c>
      <c r="P556" t="str">
        <f>IF(M556="","",IFERROR(AVERAGEIFS(DATOS!$K$2:$K$20000,DATOS!$A$2:$A$20000,M556,DATOS!$G$2:$G$20000,CONFIG_METADATA!$B$4,DATOS!$I$2:$I$20000,"Conjunto"),""))</f>
        <v/>
      </c>
      <c r="Q556" t="str">
        <f>IF(M556="","",IFERROR(AVERAGEIFS(DATOS!$K$2:$K$20000,DATOS!$A$2:$A$20000,M556,DATOS!$G$2:$G$20000,CONFIG_METADATA!$B$4,DATOS!$I$2:$I$20000,"&lt;&gt;Lenguaje Musical",DATOS!$I$2:$I$20000,"&lt;&gt;Coro",DATOS!$I$2:$I$20000,"&lt;&gt;Conjunto"),""))</f>
        <v/>
      </c>
      <c r="T556" t="str">
        <f>IF(S556="","",IFERROR(AVERAGEIFS(DATOS!$K$2:$K$20000,DATOS!$A$2:$A$20000,S556,DATOS!$G$2:$G$20000,CONFIG_METADATA!$B$4,DATOS!$I$2:$I$20000,"Lenguaje Musical"),""))</f>
        <v/>
      </c>
      <c r="U556" t="str">
        <f>IF(S556="","",IFERROR(AVERAGEIFS(DATOS!$K$2:$K$20000,DATOS!$A$2:$A$20000,S556,DATOS!$G$2:$G$20000,CONFIG_METADATA!$B$4,DATOS!$I$2:$I$20000,"Coro"),""))</f>
        <v/>
      </c>
      <c r="V556" t="str">
        <f>IF(S556="","",IFERROR(AVERAGEIFS(DATOS!$K$2:$K$20000,DATOS!$A$2:$A$20000,S556,DATOS!$G$2:$G$20000,CONFIG_METADATA!$B$4,DATOS!$I$2:$I$20000,"Conjunto"),""))</f>
        <v/>
      </c>
      <c r="W556" t="str" cm="1">
        <f t="array" ref="W556">IF(S556="","",IFERROR(AVERAGE(IF((DATOS!$A$2:$A$20000=S556)*(DATOS!$G$2:$G$20000=CONFIG_METADATA!$B$4)*(DATOS!$I$2:$I$20000&lt;&gt;"Lenguaje Musical")*(DATOS!$I$2:$I$20000&lt;&gt;"Coro")*(DATOS!$I$2:$I$20000&lt;&gt;"Conjunto"),DATOS!$K$2:$K$20000)),""))</f>
        <v/>
      </c>
    </row>
    <row r="557" spans="2:23" x14ac:dyDescent="0.2">
      <c r="B557" t="str">
        <f>IF(A557="","",IFERROR(AVERAGEIFS(DATOS!$K$2:$K$20000,DATOS!$A$2:$A$20000,A557,DATOS!$G$2:$G$20000,CONFIG_METADATA!$B$4,DATOS!$I$2:$I$20000,"Lenguaje Musical"),""))</f>
        <v/>
      </c>
      <c r="C557" t="str">
        <f>IF(A557="","",IFERROR(AVERAGEIFS(DATOS!$K$2:$K$20000,DATOS!$A$2:$A$20000,A557,DATOS!$G$2:$G$20000,CONFIG_METADATA!$B$4,DATOS!$I$2:$I$20000,"Coro"),""))</f>
        <v/>
      </c>
      <c r="D557" t="str">
        <f>IF(A557="","",IFERROR(AVERAGEIFS(DATOS!$K$2:$K$20000,DATOS!$A$2:$A$20000,A557,DATOS!$G$2:$G$20000,CONFIG_METADATA!$B$4,DATOS!$I$2:$I$20000,"Conjunto"),""))</f>
        <v/>
      </c>
      <c r="E557" t="str">
        <f>IF(A557="","",IFERROR(AVERAGEIFS(DATOS!$K$2:$K$20000,DATOS!$A$2:$A$20000,A557,DATOS!$G$2:$G$20000,CONFIG_METADATA!$B$4,DATOS!$I$2:$I$20000,"&lt;&gt;Lenguaje Musical",DATOS!$I$2:$I$20000,"&lt;&gt;Coro",DATOS!$I$2:$I$20000,"&lt;&gt;Conjunto"),""))</f>
        <v/>
      </c>
      <c r="H557" t="str">
        <f>IF(G557="","",IFERROR(AVERAGEIFS(DATOS!$K$2:$K$20000,DATOS!$A$2:$A$20000,G557,DATOS!$G$2:$G$20000,CONFIG_METADATA!$B$4,DATOS!$I$2:$I$20000,"Lenguaje Musical"),""))</f>
        <v/>
      </c>
      <c r="I557" t="str">
        <f>IF(G557="","",IFERROR(AVERAGEIFS(DATOS!$K$2:$K$20000,DATOS!$A$2:$A$20000,G557,DATOS!$G$2:$G$20000,CONFIG_METADATA!$B$4,DATOS!$I$2:$I$20000,"Coro"),""))</f>
        <v/>
      </c>
      <c r="J557" t="str">
        <f>IF(G557="","",IFERROR(AVERAGEIFS(DATOS!$K$2:$K$20000,DATOS!$A$2:$A$20000,G557,DATOS!$G$2:$G$20000,CONFIG_METADATA!$B$4,DATOS!$I$2:$I$20000,"Conjunto"),""))</f>
        <v/>
      </c>
      <c r="K557" t="str" cm="1">
        <f t="array" ref="K557">IF(G557="","",IFERROR(AVERAGE(IF((DATOS!$A$2:$A$20000=G557)*(DATOS!$G$2:$G$20000=CONFIG_METADATA!$B$4)*(DATOS!$I$2:$I$20000&lt;&gt;"Lenguaje Musical")*(DATOS!$I$2:$I$20000&lt;&gt;"Coro")*(DATOS!$I$2:$I$20000&lt;&gt;"Conjunto"),DATOS!$K$2:$K$20000)),""))</f>
        <v/>
      </c>
      <c r="N557" t="str">
        <f>IF(M557="","",IFERROR(AVERAGEIFS(DATOS!$K$2:$K$20000,DATOS!$A$2:$A$20000,M557,DATOS!$G$2:$G$20000,CONFIG_METADATA!$B$4,DATOS!$I$2:$I$20000,"Lenguaje Musical"),""))</f>
        <v/>
      </c>
      <c r="O557" t="str">
        <f>IF(M557="","",IFERROR(AVERAGEIFS(DATOS!$K$2:$K$20000,DATOS!$A$2:$A$20000,M557,DATOS!$G$2:$G$20000,CONFIG_METADATA!$B$4,DATOS!$I$2:$I$20000,"Coro"),""))</f>
        <v/>
      </c>
      <c r="P557" t="str">
        <f>IF(M557="","",IFERROR(AVERAGEIFS(DATOS!$K$2:$K$20000,DATOS!$A$2:$A$20000,M557,DATOS!$G$2:$G$20000,CONFIG_METADATA!$B$4,DATOS!$I$2:$I$20000,"Conjunto"),""))</f>
        <v/>
      </c>
      <c r="Q557" t="str">
        <f>IF(M557="","",IFERROR(AVERAGEIFS(DATOS!$K$2:$K$20000,DATOS!$A$2:$A$20000,M557,DATOS!$G$2:$G$20000,CONFIG_METADATA!$B$4,DATOS!$I$2:$I$20000,"&lt;&gt;Lenguaje Musical",DATOS!$I$2:$I$20000,"&lt;&gt;Coro",DATOS!$I$2:$I$20000,"&lt;&gt;Conjunto"),""))</f>
        <v/>
      </c>
      <c r="T557" t="str">
        <f>IF(S557="","",IFERROR(AVERAGEIFS(DATOS!$K$2:$K$20000,DATOS!$A$2:$A$20000,S557,DATOS!$G$2:$G$20000,CONFIG_METADATA!$B$4,DATOS!$I$2:$I$20000,"Lenguaje Musical"),""))</f>
        <v/>
      </c>
      <c r="U557" t="str">
        <f>IF(S557="","",IFERROR(AVERAGEIFS(DATOS!$K$2:$K$20000,DATOS!$A$2:$A$20000,S557,DATOS!$G$2:$G$20000,CONFIG_METADATA!$B$4,DATOS!$I$2:$I$20000,"Coro"),""))</f>
        <v/>
      </c>
      <c r="V557" t="str">
        <f>IF(S557="","",IFERROR(AVERAGEIFS(DATOS!$K$2:$K$20000,DATOS!$A$2:$A$20000,S557,DATOS!$G$2:$G$20000,CONFIG_METADATA!$B$4,DATOS!$I$2:$I$20000,"Conjunto"),""))</f>
        <v/>
      </c>
      <c r="W557" t="str" cm="1">
        <f t="array" ref="W557">IF(S557="","",IFERROR(AVERAGE(IF((DATOS!$A$2:$A$20000=S557)*(DATOS!$G$2:$G$20000=CONFIG_METADATA!$B$4)*(DATOS!$I$2:$I$20000&lt;&gt;"Lenguaje Musical")*(DATOS!$I$2:$I$20000&lt;&gt;"Coro")*(DATOS!$I$2:$I$20000&lt;&gt;"Conjunto"),DATOS!$K$2:$K$20000)),""))</f>
        <v/>
      </c>
    </row>
    <row r="558" spans="2:23" x14ac:dyDescent="0.2">
      <c r="B558" t="str">
        <f>IF(A558="","",IFERROR(AVERAGEIFS(DATOS!$K$2:$K$20000,DATOS!$A$2:$A$20000,A558,DATOS!$G$2:$G$20000,CONFIG_METADATA!$B$4,DATOS!$I$2:$I$20000,"Lenguaje Musical"),""))</f>
        <v/>
      </c>
      <c r="C558" t="str">
        <f>IF(A558="","",IFERROR(AVERAGEIFS(DATOS!$K$2:$K$20000,DATOS!$A$2:$A$20000,A558,DATOS!$G$2:$G$20000,CONFIG_METADATA!$B$4,DATOS!$I$2:$I$20000,"Coro"),""))</f>
        <v/>
      </c>
      <c r="D558" t="str">
        <f>IF(A558="","",IFERROR(AVERAGEIFS(DATOS!$K$2:$K$20000,DATOS!$A$2:$A$20000,A558,DATOS!$G$2:$G$20000,CONFIG_METADATA!$B$4,DATOS!$I$2:$I$20000,"Conjunto"),""))</f>
        <v/>
      </c>
      <c r="E558" t="str">
        <f>IF(A558="","",IFERROR(AVERAGEIFS(DATOS!$K$2:$K$20000,DATOS!$A$2:$A$20000,A558,DATOS!$G$2:$G$20000,CONFIG_METADATA!$B$4,DATOS!$I$2:$I$20000,"&lt;&gt;Lenguaje Musical",DATOS!$I$2:$I$20000,"&lt;&gt;Coro",DATOS!$I$2:$I$20000,"&lt;&gt;Conjunto"),""))</f>
        <v/>
      </c>
      <c r="H558" t="str">
        <f>IF(G558="","",IFERROR(AVERAGEIFS(DATOS!$K$2:$K$20000,DATOS!$A$2:$A$20000,G558,DATOS!$G$2:$G$20000,CONFIG_METADATA!$B$4,DATOS!$I$2:$I$20000,"Lenguaje Musical"),""))</f>
        <v/>
      </c>
      <c r="I558" t="str">
        <f>IF(G558="","",IFERROR(AVERAGEIFS(DATOS!$K$2:$K$20000,DATOS!$A$2:$A$20000,G558,DATOS!$G$2:$G$20000,CONFIG_METADATA!$B$4,DATOS!$I$2:$I$20000,"Coro"),""))</f>
        <v/>
      </c>
      <c r="J558" t="str">
        <f>IF(G558="","",IFERROR(AVERAGEIFS(DATOS!$K$2:$K$20000,DATOS!$A$2:$A$20000,G558,DATOS!$G$2:$G$20000,CONFIG_METADATA!$B$4,DATOS!$I$2:$I$20000,"Conjunto"),""))</f>
        <v/>
      </c>
      <c r="K558" t="str" cm="1">
        <f t="array" ref="K558">IF(G558="","",IFERROR(AVERAGE(IF((DATOS!$A$2:$A$20000=G558)*(DATOS!$G$2:$G$20000=CONFIG_METADATA!$B$4)*(DATOS!$I$2:$I$20000&lt;&gt;"Lenguaje Musical")*(DATOS!$I$2:$I$20000&lt;&gt;"Coro")*(DATOS!$I$2:$I$20000&lt;&gt;"Conjunto"),DATOS!$K$2:$K$20000)),""))</f>
        <v/>
      </c>
      <c r="N558" t="str">
        <f>IF(M558="","",IFERROR(AVERAGEIFS(DATOS!$K$2:$K$20000,DATOS!$A$2:$A$20000,M558,DATOS!$G$2:$G$20000,CONFIG_METADATA!$B$4,DATOS!$I$2:$I$20000,"Lenguaje Musical"),""))</f>
        <v/>
      </c>
      <c r="O558" t="str">
        <f>IF(M558="","",IFERROR(AVERAGEIFS(DATOS!$K$2:$K$20000,DATOS!$A$2:$A$20000,M558,DATOS!$G$2:$G$20000,CONFIG_METADATA!$B$4,DATOS!$I$2:$I$20000,"Coro"),""))</f>
        <v/>
      </c>
      <c r="P558" t="str">
        <f>IF(M558="","",IFERROR(AVERAGEIFS(DATOS!$K$2:$K$20000,DATOS!$A$2:$A$20000,M558,DATOS!$G$2:$G$20000,CONFIG_METADATA!$B$4,DATOS!$I$2:$I$20000,"Conjunto"),""))</f>
        <v/>
      </c>
      <c r="Q558" t="str">
        <f>IF(M558="","",IFERROR(AVERAGEIFS(DATOS!$K$2:$K$20000,DATOS!$A$2:$A$20000,M558,DATOS!$G$2:$G$20000,CONFIG_METADATA!$B$4,DATOS!$I$2:$I$20000,"&lt;&gt;Lenguaje Musical",DATOS!$I$2:$I$20000,"&lt;&gt;Coro",DATOS!$I$2:$I$20000,"&lt;&gt;Conjunto"),""))</f>
        <v/>
      </c>
      <c r="T558" t="str">
        <f>IF(S558="","",IFERROR(AVERAGEIFS(DATOS!$K$2:$K$20000,DATOS!$A$2:$A$20000,S558,DATOS!$G$2:$G$20000,CONFIG_METADATA!$B$4,DATOS!$I$2:$I$20000,"Lenguaje Musical"),""))</f>
        <v/>
      </c>
      <c r="U558" t="str">
        <f>IF(S558="","",IFERROR(AVERAGEIFS(DATOS!$K$2:$K$20000,DATOS!$A$2:$A$20000,S558,DATOS!$G$2:$G$20000,CONFIG_METADATA!$B$4,DATOS!$I$2:$I$20000,"Coro"),""))</f>
        <v/>
      </c>
      <c r="V558" t="str">
        <f>IF(S558="","",IFERROR(AVERAGEIFS(DATOS!$K$2:$K$20000,DATOS!$A$2:$A$20000,S558,DATOS!$G$2:$G$20000,CONFIG_METADATA!$B$4,DATOS!$I$2:$I$20000,"Conjunto"),""))</f>
        <v/>
      </c>
      <c r="W558" t="str" cm="1">
        <f t="array" ref="W558">IF(S558="","",IFERROR(AVERAGE(IF((DATOS!$A$2:$A$20000=S558)*(DATOS!$G$2:$G$20000=CONFIG_METADATA!$B$4)*(DATOS!$I$2:$I$20000&lt;&gt;"Lenguaje Musical")*(DATOS!$I$2:$I$20000&lt;&gt;"Coro")*(DATOS!$I$2:$I$20000&lt;&gt;"Conjunto"),DATOS!$K$2:$K$20000)),""))</f>
        <v/>
      </c>
    </row>
    <row r="559" spans="2:23" x14ac:dyDescent="0.2">
      <c r="B559" t="str">
        <f>IF(A559="","",IFERROR(AVERAGEIFS(DATOS!$K$2:$K$20000,DATOS!$A$2:$A$20000,A559,DATOS!$G$2:$G$20000,CONFIG_METADATA!$B$4,DATOS!$I$2:$I$20000,"Lenguaje Musical"),""))</f>
        <v/>
      </c>
      <c r="C559" t="str">
        <f>IF(A559="","",IFERROR(AVERAGEIFS(DATOS!$K$2:$K$20000,DATOS!$A$2:$A$20000,A559,DATOS!$G$2:$G$20000,CONFIG_METADATA!$B$4,DATOS!$I$2:$I$20000,"Coro"),""))</f>
        <v/>
      </c>
      <c r="D559" t="str">
        <f>IF(A559="","",IFERROR(AVERAGEIFS(DATOS!$K$2:$K$20000,DATOS!$A$2:$A$20000,A559,DATOS!$G$2:$G$20000,CONFIG_METADATA!$B$4,DATOS!$I$2:$I$20000,"Conjunto"),""))</f>
        <v/>
      </c>
      <c r="E559" t="str">
        <f>IF(A559="","",IFERROR(AVERAGEIFS(DATOS!$K$2:$K$20000,DATOS!$A$2:$A$20000,A559,DATOS!$G$2:$G$20000,CONFIG_METADATA!$B$4,DATOS!$I$2:$I$20000,"&lt;&gt;Lenguaje Musical",DATOS!$I$2:$I$20000,"&lt;&gt;Coro",DATOS!$I$2:$I$20000,"&lt;&gt;Conjunto"),""))</f>
        <v/>
      </c>
      <c r="H559" t="str">
        <f>IF(G559="","",IFERROR(AVERAGEIFS(DATOS!$K$2:$K$20000,DATOS!$A$2:$A$20000,G559,DATOS!$G$2:$G$20000,CONFIG_METADATA!$B$4,DATOS!$I$2:$I$20000,"Lenguaje Musical"),""))</f>
        <v/>
      </c>
      <c r="I559" t="str">
        <f>IF(G559="","",IFERROR(AVERAGEIFS(DATOS!$K$2:$K$20000,DATOS!$A$2:$A$20000,G559,DATOS!$G$2:$G$20000,CONFIG_METADATA!$B$4,DATOS!$I$2:$I$20000,"Coro"),""))</f>
        <v/>
      </c>
      <c r="J559" t="str">
        <f>IF(G559="","",IFERROR(AVERAGEIFS(DATOS!$K$2:$K$20000,DATOS!$A$2:$A$20000,G559,DATOS!$G$2:$G$20000,CONFIG_METADATA!$B$4,DATOS!$I$2:$I$20000,"Conjunto"),""))</f>
        <v/>
      </c>
      <c r="K559" t="str" cm="1">
        <f t="array" ref="K559">IF(G559="","",IFERROR(AVERAGE(IF((DATOS!$A$2:$A$20000=G559)*(DATOS!$G$2:$G$20000=CONFIG_METADATA!$B$4)*(DATOS!$I$2:$I$20000&lt;&gt;"Lenguaje Musical")*(DATOS!$I$2:$I$20000&lt;&gt;"Coro")*(DATOS!$I$2:$I$20000&lt;&gt;"Conjunto"),DATOS!$K$2:$K$20000)),""))</f>
        <v/>
      </c>
      <c r="N559" t="str">
        <f>IF(M559="","",IFERROR(AVERAGEIFS(DATOS!$K$2:$K$20000,DATOS!$A$2:$A$20000,M559,DATOS!$G$2:$G$20000,CONFIG_METADATA!$B$4,DATOS!$I$2:$I$20000,"Lenguaje Musical"),""))</f>
        <v/>
      </c>
      <c r="O559" t="str">
        <f>IF(M559="","",IFERROR(AVERAGEIFS(DATOS!$K$2:$K$20000,DATOS!$A$2:$A$20000,M559,DATOS!$G$2:$G$20000,CONFIG_METADATA!$B$4,DATOS!$I$2:$I$20000,"Coro"),""))</f>
        <v/>
      </c>
      <c r="P559" t="str">
        <f>IF(M559="","",IFERROR(AVERAGEIFS(DATOS!$K$2:$K$20000,DATOS!$A$2:$A$20000,M559,DATOS!$G$2:$G$20000,CONFIG_METADATA!$B$4,DATOS!$I$2:$I$20000,"Conjunto"),""))</f>
        <v/>
      </c>
      <c r="Q559" t="str">
        <f>IF(M559="","",IFERROR(AVERAGEIFS(DATOS!$K$2:$K$20000,DATOS!$A$2:$A$20000,M559,DATOS!$G$2:$G$20000,CONFIG_METADATA!$B$4,DATOS!$I$2:$I$20000,"&lt;&gt;Lenguaje Musical",DATOS!$I$2:$I$20000,"&lt;&gt;Coro",DATOS!$I$2:$I$20000,"&lt;&gt;Conjunto"),""))</f>
        <v/>
      </c>
      <c r="T559" t="str">
        <f>IF(S559="","",IFERROR(AVERAGEIFS(DATOS!$K$2:$K$20000,DATOS!$A$2:$A$20000,S559,DATOS!$G$2:$G$20000,CONFIG_METADATA!$B$4,DATOS!$I$2:$I$20000,"Lenguaje Musical"),""))</f>
        <v/>
      </c>
      <c r="U559" t="str">
        <f>IF(S559="","",IFERROR(AVERAGEIFS(DATOS!$K$2:$K$20000,DATOS!$A$2:$A$20000,S559,DATOS!$G$2:$G$20000,CONFIG_METADATA!$B$4,DATOS!$I$2:$I$20000,"Coro"),""))</f>
        <v/>
      </c>
      <c r="V559" t="str">
        <f>IF(S559="","",IFERROR(AVERAGEIFS(DATOS!$K$2:$K$20000,DATOS!$A$2:$A$20000,S559,DATOS!$G$2:$G$20000,CONFIG_METADATA!$B$4,DATOS!$I$2:$I$20000,"Conjunto"),""))</f>
        <v/>
      </c>
      <c r="W559" t="str" cm="1">
        <f t="array" ref="W559">IF(S559="","",IFERROR(AVERAGE(IF((DATOS!$A$2:$A$20000=S559)*(DATOS!$G$2:$G$20000=CONFIG_METADATA!$B$4)*(DATOS!$I$2:$I$20000&lt;&gt;"Lenguaje Musical")*(DATOS!$I$2:$I$20000&lt;&gt;"Coro")*(DATOS!$I$2:$I$20000&lt;&gt;"Conjunto"),DATOS!$K$2:$K$20000)),""))</f>
        <v/>
      </c>
    </row>
    <row r="560" spans="2:23" x14ac:dyDescent="0.2">
      <c r="B560" t="str">
        <f>IF(A560="","",IFERROR(AVERAGEIFS(DATOS!$K$2:$K$20000,DATOS!$A$2:$A$20000,A560,DATOS!$G$2:$G$20000,CONFIG_METADATA!$B$4,DATOS!$I$2:$I$20000,"Lenguaje Musical"),""))</f>
        <v/>
      </c>
      <c r="C560" t="str">
        <f>IF(A560="","",IFERROR(AVERAGEIFS(DATOS!$K$2:$K$20000,DATOS!$A$2:$A$20000,A560,DATOS!$G$2:$G$20000,CONFIG_METADATA!$B$4,DATOS!$I$2:$I$20000,"Coro"),""))</f>
        <v/>
      </c>
      <c r="D560" t="str">
        <f>IF(A560="","",IFERROR(AVERAGEIFS(DATOS!$K$2:$K$20000,DATOS!$A$2:$A$20000,A560,DATOS!$G$2:$G$20000,CONFIG_METADATA!$B$4,DATOS!$I$2:$I$20000,"Conjunto"),""))</f>
        <v/>
      </c>
      <c r="E560" t="str">
        <f>IF(A560="","",IFERROR(AVERAGEIFS(DATOS!$K$2:$K$20000,DATOS!$A$2:$A$20000,A560,DATOS!$G$2:$G$20000,CONFIG_METADATA!$B$4,DATOS!$I$2:$I$20000,"&lt;&gt;Lenguaje Musical",DATOS!$I$2:$I$20000,"&lt;&gt;Coro",DATOS!$I$2:$I$20000,"&lt;&gt;Conjunto"),""))</f>
        <v/>
      </c>
      <c r="H560" t="str">
        <f>IF(G560="","",IFERROR(AVERAGEIFS(DATOS!$K$2:$K$20000,DATOS!$A$2:$A$20000,G560,DATOS!$G$2:$G$20000,CONFIG_METADATA!$B$4,DATOS!$I$2:$I$20000,"Lenguaje Musical"),""))</f>
        <v/>
      </c>
      <c r="I560" t="str">
        <f>IF(G560="","",IFERROR(AVERAGEIFS(DATOS!$K$2:$K$20000,DATOS!$A$2:$A$20000,G560,DATOS!$G$2:$G$20000,CONFIG_METADATA!$B$4,DATOS!$I$2:$I$20000,"Coro"),""))</f>
        <v/>
      </c>
      <c r="J560" t="str">
        <f>IF(G560="","",IFERROR(AVERAGEIFS(DATOS!$K$2:$K$20000,DATOS!$A$2:$A$20000,G560,DATOS!$G$2:$G$20000,CONFIG_METADATA!$B$4,DATOS!$I$2:$I$20000,"Conjunto"),""))</f>
        <v/>
      </c>
      <c r="K560" t="str" cm="1">
        <f t="array" ref="K560">IF(G560="","",IFERROR(AVERAGE(IF((DATOS!$A$2:$A$20000=G560)*(DATOS!$G$2:$G$20000=CONFIG_METADATA!$B$4)*(DATOS!$I$2:$I$20000&lt;&gt;"Lenguaje Musical")*(DATOS!$I$2:$I$20000&lt;&gt;"Coro")*(DATOS!$I$2:$I$20000&lt;&gt;"Conjunto"),DATOS!$K$2:$K$20000)),""))</f>
        <v/>
      </c>
      <c r="N560" t="str">
        <f>IF(M560="","",IFERROR(AVERAGEIFS(DATOS!$K$2:$K$20000,DATOS!$A$2:$A$20000,M560,DATOS!$G$2:$G$20000,CONFIG_METADATA!$B$4,DATOS!$I$2:$I$20000,"Lenguaje Musical"),""))</f>
        <v/>
      </c>
      <c r="O560" t="str">
        <f>IF(M560="","",IFERROR(AVERAGEIFS(DATOS!$K$2:$K$20000,DATOS!$A$2:$A$20000,M560,DATOS!$G$2:$G$20000,CONFIG_METADATA!$B$4,DATOS!$I$2:$I$20000,"Coro"),""))</f>
        <v/>
      </c>
      <c r="P560" t="str">
        <f>IF(M560="","",IFERROR(AVERAGEIFS(DATOS!$K$2:$K$20000,DATOS!$A$2:$A$20000,M560,DATOS!$G$2:$G$20000,CONFIG_METADATA!$B$4,DATOS!$I$2:$I$20000,"Conjunto"),""))</f>
        <v/>
      </c>
      <c r="Q560" t="str">
        <f>IF(M560="","",IFERROR(AVERAGEIFS(DATOS!$K$2:$K$20000,DATOS!$A$2:$A$20000,M560,DATOS!$G$2:$G$20000,CONFIG_METADATA!$B$4,DATOS!$I$2:$I$20000,"&lt;&gt;Lenguaje Musical",DATOS!$I$2:$I$20000,"&lt;&gt;Coro",DATOS!$I$2:$I$20000,"&lt;&gt;Conjunto"),""))</f>
        <v/>
      </c>
      <c r="T560" t="str">
        <f>IF(S560="","",IFERROR(AVERAGEIFS(DATOS!$K$2:$K$20000,DATOS!$A$2:$A$20000,S560,DATOS!$G$2:$G$20000,CONFIG_METADATA!$B$4,DATOS!$I$2:$I$20000,"Lenguaje Musical"),""))</f>
        <v/>
      </c>
      <c r="U560" t="str">
        <f>IF(S560="","",IFERROR(AVERAGEIFS(DATOS!$K$2:$K$20000,DATOS!$A$2:$A$20000,S560,DATOS!$G$2:$G$20000,CONFIG_METADATA!$B$4,DATOS!$I$2:$I$20000,"Coro"),""))</f>
        <v/>
      </c>
      <c r="V560" t="str">
        <f>IF(S560="","",IFERROR(AVERAGEIFS(DATOS!$K$2:$K$20000,DATOS!$A$2:$A$20000,S560,DATOS!$G$2:$G$20000,CONFIG_METADATA!$B$4,DATOS!$I$2:$I$20000,"Conjunto"),""))</f>
        <v/>
      </c>
      <c r="W560" t="str" cm="1">
        <f t="array" ref="W560">IF(S560="","",IFERROR(AVERAGE(IF((DATOS!$A$2:$A$20000=S560)*(DATOS!$G$2:$G$20000=CONFIG_METADATA!$B$4)*(DATOS!$I$2:$I$20000&lt;&gt;"Lenguaje Musical")*(DATOS!$I$2:$I$20000&lt;&gt;"Coro")*(DATOS!$I$2:$I$20000&lt;&gt;"Conjunto"),DATOS!$K$2:$K$20000)),""))</f>
        <v/>
      </c>
    </row>
    <row r="561" spans="2:23" x14ac:dyDescent="0.2">
      <c r="B561" t="str">
        <f>IF(A561="","",IFERROR(AVERAGEIFS(DATOS!$K$2:$K$20000,DATOS!$A$2:$A$20000,A561,DATOS!$G$2:$G$20000,CONFIG_METADATA!$B$4,DATOS!$I$2:$I$20000,"Lenguaje Musical"),""))</f>
        <v/>
      </c>
      <c r="C561" t="str">
        <f>IF(A561="","",IFERROR(AVERAGEIFS(DATOS!$K$2:$K$20000,DATOS!$A$2:$A$20000,A561,DATOS!$G$2:$G$20000,CONFIG_METADATA!$B$4,DATOS!$I$2:$I$20000,"Coro"),""))</f>
        <v/>
      </c>
      <c r="D561" t="str">
        <f>IF(A561="","",IFERROR(AVERAGEIFS(DATOS!$K$2:$K$20000,DATOS!$A$2:$A$20000,A561,DATOS!$G$2:$G$20000,CONFIG_METADATA!$B$4,DATOS!$I$2:$I$20000,"Conjunto"),""))</f>
        <v/>
      </c>
      <c r="E561" t="str">
        <f>IF(A561="","",IFERROR(AVERAGEIFS(DATOS!$K$2:$K$20000,DATOS!$A$2:$A$20000,A561,DATOS!$G$2:$G$20000,CONFIG_METADATA!$B$4,DATOS!$I$2:$I$20000,"&lt;&gt;Lenguaje Musical",DATOS!$I$2:$I$20000,"&lt;&gt;Coro",DATOS!$I$2:$I$20000,"&lt;&gt;Conjunto"),""))</f>
        <v/>
      </c>
      <c r="H561" t="str">
        <f>IF(G561="","",IFERROR(AVERAGEIFS(DATOS!$K$2:$K$20000,DATOS!$A$2:$A$20000,G561,DATOS!$G$2:$G$20000,CONFIG_METADATA!$B$4,DATOS!$I$2:$I$20000,"Lenguaje Musical"),""))</f>
        <v/>
      </c>
      <c r="I561" t="str">
        <f>IF(G561="","",IFERROR(AVERAGEIFS(DATOS!$K$2:$K$20000,DATOS!$A$2:$A$20000,G561,DATOS!$G$2:$G$20000,CONFIG_METADATA!$B$4,DATOS!$I$2:$I$20000,"Coro"),""))</f>
        <v/>
      </c>
      <c r="J561" t="str">
        <f>IF(G561="","",IFERROR(AVERAGEIFS(DATOS!$K$2:$K$20000,DATOS!$A$2:$A$20000,G561,DATOS!$G$2:$G$20000,CONFIG_METADATA!$B$4,DATOS!$I$2:$I$20000,"Conjunto"),""))</f>
        <v/>
      </c>
      <c r="K561" t="str" cm="1">
        <f t="array" ref="K561">IF(G561="","",IFERROR(AVERAGE(IF((DATOS!$A$2:$A$20000=G561)*(DATOS!$G$2:$G$20000=CONFIG_METADATA!$B$4)*(DATOS!$I$2:$I$20000&lt;&gt;"Lenguaje Musical")*(DATOS!$I$2:$I$20000&lt;&gt;"Coro")*(DATOS!$I$2:$I$20000&lt;&gt;"Conjunto"),DATOS!$K$2:$K$20000)),""))</f>
        <v/>
      </c>
      <c r="N561" t="str">
        <f>IF(M561="","",IFERROR(AVERAGEIFS(DATOS!$K$2:$K$20000,DATOS!$A$2:$A$20000,M561,DATOS!$G$2:$G$20000,CONFIG_METADATA!$B$4,DATOS!$I$2:$I$20000,"Lenguaje Musical"),""))</f>
        <v/>
      </c>
      <c r="O561" t="str">
        <f>IF(M561="","",IFERROR(AVERAGEIFS(DATOS!$K$2:$K$20000,DATOS!$A$2:$A$20000,M561,DATOS!$G$2:$G$20000,CONFIG_METADATA!$B$4,DATOS!$I$2:$I$20000,"Coro"),""))</f>
        <v/>
      </c>
      <c r="P561" t="str">
        <f>IF(M561="","",IFERROR(AVERAGEIFS(DATOS!$K$2:$K$20000,DATOS!$A$2:$A$20000,M561,DATOS!$G$2:$G$20000,CONFIG_METADATA!$B$4,DATOS!$I$2:$I$20000,"Conjunto"),""))</f>
        <v/>
      </c>
      <c r="Q561" t="str">
        <f>IF(M561="","",IFERROR(AVERAGEIFS(DATOS!$K$2:$K$20000,DATOS!$A$2:$A$20000,M561,DATOS!$G$2:$G$20000,CONFIG_METADATA!$B$4,DATOS!$I$2:$I$20000,"&lt;&gt;Lenguaje Musical",DATOS!$I$2:$I$20000,"&lt;&gt;Coro",DATOS!$I$2:$I$20000,"&lt;&gt;Conjunto"),""))</f>
        <v/>
      </c>
      <c r="T561" t="str">
        <f>IF(S561="","",IFERROR(AVERAGEIFS(DATOS!$K$2:$K$20000,DATOS!$A$2:$A$20000,S561,DATOS!$G$2:$G$20000,CONFIG_METADATA!$B$4,DATOS!$I$2:$I$20000,"Lenguaje Musical"),""))</f>
        <v/>
      </c>
      <c r="U561" t="str">
        <f>IF(S561="","",IFERROR(AVERAGEIFS(DATOS!$K$2:$K$20000,DATOS!$A$2:$A$20000,S561,DATOS!$G$2:$G$20000,CONFIG_METADATA!$B$4,DATOS!$I$2:$I$20000,"Coro"),""))</f>
        <v/>
      </c>
      <c r="V561" t="str">
        <f>IF(S561="","",IFERROR(AVERAGEIFS(DATOS!$K$2:$K$20000,DATOS!$A$2:$A$20000,S561,DATOS!$G$2:$G$20000,CONFIG_METADATA!$B$4,DATOS!$I$2:$I$20000,"Conjunto"),""))</f>
        <v/>
      </c>
      <c r="W561" t="str" cm="1">
        <f t="array" ref="W561">IF(S561="","",IFERROR(AVERAGE(IF((DATOS!$A$2:$A$20000=S561)*(DATOS!$G$2:$G$20000=CONFIG_METADATA!$B$4)*(DATOS!$I$2:$I$20000&lt;&gt;"Lenguaje Musical")*(DATOS!$I$2:$I$20000&lt;&gt;"Coro")*(DATOS!$I$2:$I$20000&lt;&gt;"Conjunto"),DATOS!$K$2:$K$20000)),""))</f>
        <v/>
      </c>
    </row>
    <row r="562" spans="2:23" x14ac:dyDescent="0.2">
      <c r="B562" t="str">
        <f>IF(A562="","",IFERROR(AVERAGEIFS(DATOS!$K$2:$K$20000,DATOS!$A$2:$A$20000,A562,DATOS!$G$2:$G$20000,CONFIG_METADATA!$B$4,DATOS!$I$2:$I$20000,"Lenguaje Musical"),""))</f>
        <v/>
      </c>
      <c r="C562" t="str">
        <f>IF(A562="","",IFERROR(AVERAGEIFS(DATOS!$K$2:$K$20000,DATOS!$A$2:$A$20000,A562,DATOS!$G$2:$G$20000,CONFIG_METADATA!$B$4,DATOS!$I$2:$I$20000,"Coro"),""))</f>
        <v/>
      </c>
      <c r="D562" t="str">
        <f>IF(A562="","",IFERROR(AVERAGEIFS(DATOS!$K$2:$K$20000,DATOS!$A$2:$A$20000,A562,DATOS!$G$2:$G$20000,CONFIG_METADATA!$B$4,DATOS!$I$2:$I$20000,"Conjunto"),""))</f>
        <v/>
      </c>
      <c r="E562" t="str">
        <f>IF(A562="","",IFERROR(AVERAGEIFS(DATOS!$K$2:$K$20000,DATOS!$A$2:$A$20000,A562,DATOS!$G$2:$G$20000,CONFIG_METADATA!$B$4,DATOS!$I$2:$I$20000,"&lt;&gt;Lenguaje Musical",DATOS!$I$2:$I$20000,"&lt;&gt;Coro",DATOS!$I$2:$I$20000,"&lt;&gt;Conjunto"),""))</f>
        <v/>
      </c>
      <c r="H562" t="str">
        <f>IF(G562="","",IFERROR(AVERAGEIFS(DATOS!$K$2:$K$20000,DATOS!$A$2:$A$20000,G562,DATOS!$G$2:$G$20000,CONFIG_METADATA!$B$4,DATOS!$I$2:$I$20000,"Lenguaje Musical"),""))</f>
        <v/>
      </c>
      <c r="I562" t="str">
        <f>IF(G562="","",IFERROR(AVERAGEIFS(DATOS!$K$2:$K$20000,DATOS!$A$2:$A$20000,G562,DATOS!$G$2:$G$20000,CONFIG_METADATA!$B$4,DATOS!$I$2:$I$20000,"Coro"),""))</f>
        <v/>
      </c>
      <c r="J562" t="str">
        <f>IF(G562="","",IFERROR(AVERAGEIFS(DATOS!$K$2:$K$20000,DATOS!$A$2:$A$20000,G562,DATOS!$G$2:$G$20000,CONFIG_METADATA!$B$4,DATOS!$I$2:$I$20000,"Conjunto"),""))</f>
        <v/>
      </c>
      <c r="K562" t="str" cm="1">
        <f t="array" ref="K562">IF(G562="","",IFERROR(AVERAGE(IF((DATOS!$A$2:$A$20000=G562)*(DATOS!$G$2:$G$20000=CONFIG_METADATA!$B$4)*(DATOS!$I$2:$I$20000&lt;&gt;"Lenguaje Musical")*(DATOS!$I$2:$I$20000&lt;&gt;"Coro")*(DATOS!$I$2:$I$20000&lt;&gt;"Conjunto"),DATOS!$K$2:$K$20000)),""))</f>
        <v/>
      </c>
      <c r="N562" t="str">
        <f>IF(M562="","",IFERROR(AVERAGEIFS(DATOS!$K$2:$K$20000,DATOS!$A$2:$A$20000,M562,DATOS!$G$2:$G$20000,CONFIG_METADATA!$B$4,DATOS!$I$2:$I$20000,"Lenguaje Musical"),""))</f>
        <v/>
      </c>
      <c r="O562" t="str">
        <f>IF(M562="","",IFERROR(AVERAGEIFS(DATOS!$K$2:$K$20000,DATOS!$A$2:$A$20000,M562,DATOS!$G$2:$G$20000,CONFIG_METADATA!$B$4,DATOS!$I$2:$I$20000,"Coro"),""))</f>
        <v/>
      </c>
      <c r="P562" t="str">
        <f>IF(M562="","",IFERROR(AVERAGEIFS(DATOS!$K$2:$K$20000,DATOS!$A$2:$A$20000,M562,DATOS!$G$2:$G$20000,CONFIG_METADATA!$B$4,DATOS!$I$2:$I$20000,"Conjunto"),""))</f>
        <v/>
      </c>
      <c r="Q562" t="str">
        <f>IF(M562="","",IFERROR(AVERAGEIFS(DATOS!$K$2:$K$20000,DATOS!$A$2:$A$20000,M562,DATOS!$G$2:$G$20000,CONFIG_METADATA!$B$4,DATOS!$I$2:$I$20000,"&lt;&gt;Lenguaje Musical",DATOS!$I$2:$I$20000,"&lt;&gt;Coro",DATOS!$I$2:$I$20000,"&lt;&gt;Conjunto"),""))</f>
        <v/>
      </c>
      <c r="T562" t="str">
        <f>IF(S562="","",IFERROR(AVERAGEIFS(DATOS!$K$2:$K$20000,DATOS!$A$2:$A$20000,S562,DATOS!$G$2:$G$20000,CONFIG_METADATA!$B$4,DATOS!$I$2:$I$20000,"Lenguaje Musical"),""))</f>
        <v/>
      </c>
      <c r="U562" t="str">
        <f>IF(S562="","",IFERROR(AVERAGEIFS(DATOS!$K$2:$K$20000,DATOS!$A$2:$A$20000,S562,DATOS!$G$2:$G$20000,CONFIG_METADATA!$B$4,DATOS!$I$2:$I$20000,"Coro"),""))</f>
        <v/>
      </c>
      <c r="V562" t="str">
        <f>IF(S562="","",IFERROR(AVERAGEIFS(DATOS!$K$2:$K$20000,DATOS!$A$2:$A$20000,S562,DATOS!$G$2:$G$20000,CONFIG_METADATA!$B$4,DATOS!$I$2:$I$20000,"Conjunto"),""))</f>
        <v/>
      </c>
      <c r="W562" t="str" cm="1">
        <f t="array" ref="W562">IF(S562="","",IFERROR(AVERAGE(IF((DATOS!$A$2:$A$20000=S562)*(DATOS!$G$2:$G$20000=CONFIG_METADATA!$B$4)*(DATOS!$I$2:$I$20000&lt;&gt;"Lenguaje Musical")*(DATOS!$I$2:$I$20000&lt;&gt;"Coro")*(DATOS!$I$2:$I$20000&lt;&gt;"Conjunto"),DATOS!$K$2:$K$20000)),""))</f>
        <v/>
      </c>
    </row>
    <row r="563" spans="2:23" x14ac:dyDescent="0.2">
      <c r="B563" t="str">
        <f>IF(A563="","",IFERROR(AVERAGEIFS(DATOS!$K$2:$K$20000,DATOS!$A$2:$A$20000,A563,DATOS!$G$2:$G$20000,CONFIG_METADATA!$B$4,DATOS!$I$2:$I$20000,"Lenguaje Musical"),""))</f>
        <v/>
      </c>
      <c r="C563" t="str">
        <f>IF(A563="","",IFERROR(AVERAGEIFS(DATOS!$K$2:$K$20000,DATOS!$A$2:$A$20000,A563,DATOS!$G$2:$G$20000,CONFIG_METADATA!$B$4,DATOS!$I$2:$I$20000,"Coro"),""))</f>
        <v/>
      </c>
      <c r="D563" t="str">
        <f>IF(A563="","",IFERROR(AVERAGEIFS(DATOS!$K$2:$K$20000,DATOS!$A$2:$A$20000,A563,DATOS!$G$2:$G$20000,CONFIG_METADATA!$B$4,DATOS!$I$2:$I$20000,"Conjunto"),""))</f>
        <v/>
      </c>
      <c r="E563" t="str">
        <f>IF(A563="","",IFERROR(AVERAGEIFS(DATOS!$K$2:$K$20000,DATOS!$A$2:$A$20000,A563,DATOS!$G$2:$G$20000,CONFIG_METADATA!$B$4,DATOS!$I$2:$I$20000,"&lt;&gt;Lenguaje Musical",DATOS!$I$2:$I$20000,"&lt;&gt;Coro",DATOS!$I$2:$I$20000,"&lt;&gt;Conjunto"),""))</f>
        <v/>
      </c>
      <c r="H563" t="str">
        <f>IF(G563="","",IFERROR(AVERAGEIFS(DATOS!$K$2:$K$20000,DATOS!$A$2:$A$20000,G563,DATOS!$G$2:$G$20000,CONFIG_METADATA!$B$4,DATOS!$I$2:$I$20000,"Lenguaje Musical"),""))</f>
        <v/>
      </c>
      <c r="I563" t="str">
        <f>IF(G563="","",IFERROR(AVERAGEIFS(DATOS!$K$2:$K$20000,DATOS!$A$2:$A$20000,G563,DATOS!$G$2:$G$20000,CONFIG_METADATA!$B$4,DATOS!$I$2:$I$20000,"Coro"),""))</f>
        <v/>
      </c>
      <c r="J563" t="str">
        <f>IF(G563="","",IFERROR(AVERAGEIFS(DATOS!$K$2:$K$20000,DATOS!$A$2:$A$20000,G563,DATOS!$G$2:$G$20000,CONFIG_METADATA!$B$4,DATOS!$I$2:$I$20000,"Conjunto"),""))</f>
        <v/>
      </c>
      <c r="K563" t="str" cm="1">
        <f t="array" ref="K563">IF(G563="","",IFERROR(AVERAGE(IF((DATOS!$A$2:$A$20000=G563)*(DATOS!$G$2:$G$20000=CONFIG_METADATA!$B$4)*(DATOS!$I$2:$I$20000&lt;&gt;"Lenguaje Musical")*(DATOS!$I$2:$I$20000&lt;&gt;"Coro")*(DATOS!$I$2:$I$20000&lt;&gt;"Conjunto"),DATOS!$K$2:$K$20000)),""))</f>
        <v/>
      </c>
      <c r="N563" t="str">
        <f>IF(M563="","",IFERROR(AVERAGEIFS(DATOS!$K$2:$K$20000,DATOS!$A$2:$A$20000,M563,DATOS!$G$2:$G$20000,CONFIG_METADATA!$B$4,DATOS!$I$2:$I$20000,"Lenguaje Musical"),""))</f>
        <v/>
      </c>
      <c r="O563" t="str">
        <f>IF(M563="","",IFERROR(AVERAGEIFS(DATOS!$K$2:$K$20000,DATOS!$A$2:$A$20000,M563,DATOS!$G$2:$G$20000,CONFIG_METADATA!$B$4,DATOS!$I$2:$I$20000,"Coro"),""))</f>
        <v/>
      </c>
      <c r="P563" t="str">
        <f>IF(M563="","",IFERROR(AVERAGEIFS(DATOS!$K$2:$K$20000,DATOS!$A$2:$A$20000,M563,DATOS!$G$2:$G$20000,CONFIG_METADATA!$B$4,DATOS!$I$2:$I$20000,"Conjunto"),""))</f>
        <v/>
      </c>
      <c r="Q563" t="str">
        <f>IF(M563="","",IFERROR(AVERAGEIFS(DATOS!$K$2:$K$20000,DATOS!$A$2:$A$20000,M563,DATOS!$G$2:$G$20000,CONFIG_METADATA!$B$4,DATOS!$I$2:$I$20000,"&lt;&gt;Lenguaje Musical",DATOS!$I$2:$I$20000,"&lt;&gt;Coro",DATOS!$I$2:$I$20000,"&lt;&gt;Conjunto"),""))</f>
        <v/>
      </c>
      <c r="T563" t="str">
        <f>IF(S563="","",IFERROR(AVERAGEIFS(DATOS!$K$2:$K$20000,DATOS!$A$2:$A$20000,S563,DATOS!$G$2:$G$20000,CONFIG_METADATA!$B$4,DATOS!$I$2:$I$20000,"Lenguaje Musical"),""))</f>
        <v/>
      </c>
      <c r="U563" t="str">
        <f>IF(S563="","",IFERROR(AVERAGEIFS(DATOS!$K$2:$K$20000,DATOS!$A$2:$A$20000,S563,DATOS!$G$2:$G$20000,CONFIG_METADATA!$B$4,DATOS!$I$2:$I$20000,"Coro"),""))</f>
        <v/>
      </c>
      <c r="V563" t="str">
        <f>IF(S563="","",IFERROR(AVERAGEIFS(DATOS!$K$2:$K$20000,DATOS!$A$2:$A$20000,S563,DATOS!$G$2:$G$20000,CONFIG_METADATA!$B$4,DATOS!$I$2:$I$20000,"Conjunto"),""))</f>
        <v/>
      </c>
      <c r="W563" t="str" cm="1">
        <f t="array" ref="W563">IF(S563="","",IFERROR(AVERAGE(IF((DATOS!$A$2:$A$20000=S563)*(DATOS!$G$2:$G$20000=CONFIG_METADATA!$B$4)*(DATOS!$I$2:$I$20000&lt;&gt;"Lenguaje Musical")*(DATOS!$I$2:$I$20000&lt;&gt;"Coro")*(DATOS!$I$2:$I$20000&lt;&gt;"Conjunto"),DATOS!$K$2:$K$20000)),""))</f>
        <v/>
      </c>
    </row>
    <row r="564" spans="2:23" x14ac:dyDescent="0.2">
      <c r="B564" t="str">
        <f>IF(A564="","",IFERROR(AVERAGEIFS(DATOS!$K$2:$K$20000,DATOS!$A$2:$A$20000,A564,DATOS!$G$2:$G$20000,CONFIG_METADATA!$B$4,DATOS!$I$2:$I$20000,"Lenguaje Musical"),""))</f>
        <v/>
      </c>
      <c r="C564" t="str">
        <f>IF(A564="","",IFERROR(AVERAGEIFS(DATOS!$K$2:$K$20000,DATOS!$A$2:$A$20000,A564,DATOS!$G$2:$G$20000,CONFIG_METADATA!$B$4,DATOS!$I$2:$I$20000,"Coro"),""))</f>
        <v/>
      </c>
      <c r="D564" t="str">
        <f>IF(A564="","",IFERROR(AVERAGEIFS(DATOS!$K$2:$K$20000,DATOS!$A$2:$A$20000,A564,DATOS!$G$2:$G$20000,CONFIG_METADATA!$B$4,DATOS!$I$2:$I$20000,"Conjunto"),""))</f>
        <v/>
      </c>
      <c r="E564" t="str">
        <f>IF(A564="","",IFERROR(AVERAGEIFS(DATOS!$K$2:$K$20000,DATOS!$A$2:$A$20000,A564,DATOS!$G$2:$G$20000,CONFIG_METADATA!$B$4,DATOS!$I$2:$I$20000,"&lt;&gt;Lenguaje Musical",DATOS!$I$2:$I$20000,"&lt;&gt;Coro",DATOS!$I$2:$I$20000,"&lt;&gt;Conjunto"),""))</f>
        <v/>
      </c>
      <c r="H564" t="str">
        <f>IF(G564="","",IFERROR(AVERAGEIFS(DATOS!$K$2:$K$20000,DATOS!$A$2:$A$20000,G564,DATOS!$G$2:$G$20000,CONFIG_METADATA!$B$4,DATOS!$I$2:$I$20000,"Lenguaje Musical"),""))</f>
        <v/>
      </c>
      <c r="I564" t="str">
        <f>IF(G564="","",IFERROR(AVERAGEIFS(DATOS!$K$2:$K$20000,DATOS!$A$2:$A$20000,G564,DATOS!$G$2:$G$20000,CONFIG_METADATA!$B$4,DATOS!$I$2:$I$20000,"Coro"),""))</f>
        <v/>
      </c>
      <c r="J564" t="str">
        <f>IF(G564="","",IFERROR(AVERAGEIFS(DATOS!$K$2:$K$20000,DATOS!$A$2:$A$20000,G564,DATOS!$G$2:$G$20000,CONFIG_METADATA!$B$4,DATOS!$I$2:$I$20000,"Conjunto"),""))</f>
        <v/>
      </c>
      <c r="K564" t="str" cm="1">
        <f t="array" ref="K564">IF(G564="","",IFERROR(AVERAGE(IF((DATOS!$A$2:$A$20000=G564)*(DATOS!$G$2:$G$20000=CONFIG_METADATA!$B$4)*(DATOS!$I$2:$I$20000&lt;&gt;"Lenguaje Musical")*(DATOS!$I$2:$I$20000&lt;&gt;"Coro")*(DATOS!$I$2:$I$20000&lt;&gt;"Conjunto"),DATOS!$K$2:$K$20000)),""))</f>
        <v/>
      </c>
      <c r="N564" t="str">
        <f>IF(M564="","",IFERROR(AVERAGEIFS(DATOS!$K$2:$K$20000,DATOS!$A$2:$A$20000,M564,DATOS!$G$2:$G$20000,CONFIG_METADATA!$B$4,DATOS!$I$2:$I$20000,"Lenguaje Musical"),""))</f>
        <v/>
      </c>
      <c r="O564" t="str">
        <f>IF(M564="","",IFERROR(AVERAGEIFS(DATOS!$K$2:$K$20000,DATOS!$A$2:$A$20000,M564,DATOS!$G$2:$G$20000,CONFIG_METADATA!$B$4,DATOS!$I$2:$I$20000,"Coro"),""))</f>
        <v/>
      </c>
      <c r="P564" t="str">
        <f>IF(M564="","",IFERROR(AVERAGEIFS(DATOS!$K$2:$K$20000,DATOS!$A$2:$A$20000,M564,DATOS!$G$2:$G$20000,CONFIG_METADATA!$B$4,DATOS!$I$2:$I$20000,"Conjunto"),""))</f>
        <v/>
      </c>
      <c r="Q564" t="str">
        <f>IF(M564="","",IFERROR(AVERAGEIFS(DATOS!$K$2:$K$20000,DATOS!$A$2:$A$20000,M564,DATOS!$G$2:$G$20000,CONFIG_METADATA!$B$4,DATOS!$I$2:$I$20000,"&lt;&gt;Lenguaje Musical",DATOS!$I$2:$I$20000,"&lt;&gt;Coro",DATOS!$I$2:$I$20000,"&lt;&gt;Conjunto"),""))</f>
        <v/>
      </c>
      <c r="T564" t="str">
        <f>IF(S564="","",IFERROR(AVERAGEIFS(DATOS!$K$2:$K$20000,DATOS!$A$2:$A$20000,S564,DATOS!$G$2:$G$20000,CONFIG_METADATA!$B$4,DATOS!$I$2:$I$20000,"Lenguaje Musical"),""))</f>
        <v/>
      </c>
      <c r="U564" t="str">
        <f>IF(S564="","",IFERROR(AVERAGEIFS(DATOS!$K$2:$K$20000,DATOS!$A$2:$A$20000,S564,DATOS!$G$2:$G$20000,CONFIG_METADATA!$B$4,DATOS!$I$2:$I$20000,"Coro"),""))</f>
        <v/>
      </c>
      <c r="V564" t="str">
        <f>IF(S564="","",IFERROR(AVERAGEIFS(DATOS!$K$2:$K$20000,DATOS!$A$2:$A$20000,S564,DATOS!$G$2:$G$20000,CONFIG_METADATA!$B$4,DATOS!$I$2:$I$20000,"Conjunto"),""))</f>
        <v/>
      </c>
      <c r="W564" t="str" cm="1">
        <f t="array" ref="W564">IF(S564="","",IFERROR(AVERAGE(IF((DATOS!$A$2:$A$20000=S564)*(DATOS!$G$2:$G$20000=CONFIG_METADATA!$B$4)*(DATOS!$I$2:$I$20000&lt;&gt;"Lenguaje Musical")*(DATOS!$I$2:$I$20000&lt;&gt;"Coro")*(DATOS!$I$2:$I$20000&lt;&gt;"Conjunto"),DATOS!$K$2:$K$20000)),""))</f>
        <v/>
      </c>
    </row>
    <row r="565" spans="2:23" x14ac:dyDescent="0.2">
      <c r="B565" t="str">
        <f>IF(A565="","",IFERROR(AVERAGEIFS(DATOS!$K$2:$K$20000,DATOS!$A$2:$A$20000,A565,DATOS!$G$2:$G$20000,CONFIG_METADATA!$B$4,DATOS!$I$2:$I$20000,"Lenguaje Musical"),""))</f>
        <v/>
      </c>
      <c r="C565" t="str">
        <f>IF(A565="","",IFERROR(AVERAGEIFS(DATOS!$K$2:$K$20000,DATOS!$A$2:$A$20000,A565,DATOS!$G$2:$G$20000,CONFIG_METADATA!$B$4,DATOS!$I$2:$I$20000,"Coro"),""))</f>
        <v/>
      </c>
      <c r="D565" t="str">
        <f>IF(A565="","",IFERROR(AVERAGEIFS(DATOS!$K$2:$K$20000,DATOS!$A$2:$A$20000,A565,DATOS!$G$2:$G$20000,CONFIG_METADATA!$B$4,DATOS!$I$2:$I$20000,"Conjunto"),""))</f>
        <v/>
      </c>
      <c r="E565" t="str">
        <f>IF(A565="","",IFERROR(AVERAGEIFS(DATOS!$K$2:$K$20000,DATOS!$A$2:$A$20000,A565,DATOS!$G$2:$G$20000,CONFIG_METADATA!$B$4,DATOS!$I$2:$I$20000,"&lt;&gt;Lenguaje Musical",DATOS!$I$2:$I$20000,"&lt;&gt;Coro",DATOS!$I$2:$I$20000,"&lt;&gt;Conjunto"),""))</f>
        <v/>
      </c>
      <c r="H565" t="str">
        <f>IF(G565="","",IFERROR(AVERAGEIFS(DATOS!$K$2:$K$20000,DATOS!$A$2:$A$20000,G565,DATOS!$G$2:$G$20000,CONFIG_METADATA!$B$4,DATOS!$I$2:$I$20000,"Lenguaje Musical"),""))</f>
        <v/>
      </c>
      <c r="I565" t="str">
        <f>IF(G565="","",IFERROR(AVERAGEIFS(DATOS!$K$2:$K$20000,DATOS!$A$2:$A$20000,G565,DATOS!$G$2:$G$20000,CONFIG_METADATA!$B$4,DATOS!$I$2:$I$20000,"Coro"),""))</f>
        <v/>
      </c>
      <c r="J565" t="str">
        <f>IF(G565="","",IFERROR(AVERAGEIFS(DATOS!$K$2:$K$20000,DATOS!$A$2:$A$20000,G565,DATOS!$G$2:$G$20000,CONFIG_METADATA!$B$4,DATOS!$I$2:$I$20000,"Conjunto"),""))</f>
        <v/>
      </c>
      <c r="K565" t="str" cm="1">
        <f t="array" ref="K565">IF(G565="","",IFERROR(AVERAGE(IF((DATOS!$A$2:$A$20000=G565)*(DATOS!$G$2:$G$20000=CONFIG_METADATA!$B$4)*(DATOS!$I$2:$I$20000&lt;&gt;"Lenguaje Musical")*(DATOS!$I$2:$I$20000&lt;&gt;"Coro")*(DATOS!$I$2:$I$20000&lt;&gt;"Conjunto"),DATOS!$K$2:$K$20000)),""))</f>
        <v/>
      </c>
      <c r="N565" t="str">
        <f>IF(M565="","",IFERROR(AVERAGEIFS(DATOS!$K$2:$K$20000,DATOS!$A$2:$A$20000,M565,DATOS!$G$2:$G$20000,CONFIG_METADATA!$B$4,DATOS!$I$2:$I$20000,"Lenguaje Musical"),""))</f>
        <v/>
      </c>
      <c r="O565" t="str">
        <f>IF(M565="","",IFERROR(AVERAGEIFS(DATOS!$K$2:$K$20000,DATOS!$A$2:$A$20000,M565,DATOS!$G$2:$G$20000,CONFIG_METADATA!$B$4,DATOS!$I$2:$I$20000,"Coro"),""))</f>
        <v/>
      </c>
      <c r="P565" t="str">
        <f>IF(M565="","",IFERROR(AVERAGEIFS(DATOS!$K$2:$K$20000,DATOS!$A$2:$A$20000,M565,DATOS!$G$2:$G$20000,CONFIG_METADATA!$B$4,DATOS!$I$2:$I$20000,"Conjunto"),""))</f>
        <v/>
      </c>
      <c r="Q565" t="str">
        <f>IF(M565="","",IFERROR(AVERAGEIFS(DATOS!$K$2:$K$20000,DATOS!$A$2:$A$20000,M565,DATOS!$G$2:$G$20000,CONFIG_METADATA!$B$4,DATOS!$I$2:$I$20000,"&lt;&gt;Lenguaje Musical",DATOS!$I$2:$I$20000,"&lt;&gt;Coro",DATOS!$I$2:$I$20000,"&lt;&gt;Conjunto"),""))</f>
        <v/>
      </c>
      <c r="T565" t="str">
        <f>IF(S565="","",IFERROR(AVERAGEIFS(DATOS!$K$2:$K$20000,DATOS!$A$2:$A$20000,S565,DATOS!$G$2:$G$20000,CONFIG_METADATA!$B$4,DATOS!$I$2:$I$20000,"Lenguaje Musical"),""))</f>
        <v/>
      </c>
      <c r="U565" t="str">
        <f>IF(S565="","",IFERROR(AVERAGEIFS(DATOS!$K$2:$K$20000,DATOS!$A$2:$A$20000,S565,DATOS!$G$2:$G$20000,CONFIG_METADATA!$B$4,DATOS!$I$2:$I$20000,"Coro"),""))</f>
        <v/>
      </c>
      <c r="V565" t="str">
        <f>IF(S565="","",IFERROR(AVERAGEIFS(DATOS!$K$2:$K$20000,DATOS!$A$2:$A$20000,S565,DATOS!$G$2:$G$20000,CONFIG_METADATA!$B$4,DATOS!$I$2:$I$20000,"Conjunto"),""))</f>
        <v/>
      </c>
      <c r="W565" t="str" cm="1">
        <f t="array" ref="W565">IF(S565="","",IFERROR(AVERAGE(IF((DATOS!$A$2:$A$20000=S565)*(DATOS!$G$2:$G$20000=CONFIG_METADATA!$B$4)*(DATOS!$I$2:$I$20000&lt;&gt;"Lenguaje Musical")*(DATOS!$I$2:$I$20000&lt;&gt;"Coro")*(DATOS!$I$2:$I$20000&lt;&gt;"Conjunto"),DATOS!$K$2:$K$20000)),""))</f>
        <v/>
      </c>
    </row>
    <row r="566" spans="2:23" x14ac:dyDescent="0.2">
      <c r="B566" t="str">
        <f>IF(A566="","",IFERROR(AVERAGEIFS(DATOS!$K$2:$K$20000,DATOS!$A$2:$A$20000,A566,DATOS!$G$2:$G$20000,CONFIG_METADATA!$B$4,DATOS!$I$2:$I$20000,"Lenguaje Musical"),""))</f>
        <v/>
      </c>
      <c r="C566" t="str">
        <f>IF(A566="","",IFERROR(AVERAGEIFS(DATOS!$K$2:$K$20000,DATOS!$A$2:$A$20000,A566,DATOS!$G$2:$G$20000,CONFIG_METADATA!$B$4,DATOS!$I$2:$I$20000,"Coro"),""))</f>
        <v/>
      </c>
      <c r="D566" t="str">
        <f>IF(A566="","",IFERROR(AVERAGEIFS(DATOS!$K$2:$K$20000,DATOS!$A$2:$A$20000,A566,DATOS!$G$2:$G$20000,CONFIG_METADATA!$B$4,DATOS!$I$2:$I$20000,"Conjunto"),""))</f>
        <v/>
      </c>
      <c r="E566" t="str">
        <f>IF(A566="","",IFERROR(AVERAGEIFS(DATOS!$K$2:$K$20000,DATOS!$A$2:$A$20000,A566,DATOS!$G$2:$G$20000,CONFIG_METADATA!$B$4,DATOS!$I$2:$I$20000,"&lt;&gt;Lenguaje Musical",DATOS!$I$2:$I$20000,"&lt;&gt;Coro",DATOS!$I$2:$I$20000,"&lt;&gt;Conjunto"),""))</f>
        <v/>
      </c>
      <c r="H566" t="str">
        <f>IF(G566="","",IFERROR(AVERAGEIFS(DATOS!$K$2:$K$20000,DATOS!$A$2:$A$20000,G566,DATOS!$G$2:$G$20000,CONFIG_METADATA!$B$4,DATOS!$I$2:$I$20000,"Lenguaje Musical"),""))</f>
        <v/>
      </c>
      <c r="I566" t="str">
        <f>IF(G566="","",IFERROR(AVERAGEIFS(DATOS!$K$2:$K$20000,DATOS!$A$2:$A$20000,G566,DATOS!$G$2:$G$20000,CONFIG_METADATA!$B$4,DATOS!$I$2:$I$20000,"Coro"),""))</f>
        <v/>
      </c>
      <c r="J566" t="str">
        <f>IF(G566="","",IFERROR(AVERAGEIFS(DATOS!$K$2:$K$20000,DATOS!$A$2:$A$20000,G566,DATOS!$G$2:$G$20000,CONFIG_METADATA!$B$4,DATOS!$I$2:$I$20000,"Conjunto"),""))</f>
        <v/>
      </c>
      <c r="K566" t="str" cm="1">
        <f t="array" ref="K566">IF(G566="","",IFERROR(AVERAGE(IF((DATOS!$A$2:$A$20000=G566)*(DATOS!$G$2:$G$20000=CONFIG_METADATA!$B$4)*(DATOS!$I$2:$I$20000&lt;&gt;"Lenguaje Musical")*(DATOS!$I$2:$I$20000&lt;&gt;"Coro")*(DATOS!$I$2:$I$20000&lt;&gt;"Conjunto"),DATOS!$K$2:$K$20000)),""))</f>
        <v/>
      </c>
      <c r="N566" t="str">
        <f>IF(M566="","",IFERROR(AVERAGEIFS(DATOS!$K$2:$K$20000,DATOS!$A$2:$A$20000,M566,DATOS!$G$2:$G$20000,CONFIG_METADATA!$B$4,DATOS!$I$2:$I$20000,"Lenguaje Musical"),""))</f>
        <v/>
      </c>
      <c r="O566" t="str">
        <f>IF(M566="","",IFERROR(AVERAGEIFS(DATOS!$K$2:$K$20000,DATOS!$A$2:$A$20000,M566,DATOS!$G$2:$G$20000,CONFIG_METADATA!$B$4,DATOS!$I$2:$I$20000,"Coro"),""))</f>
        <v/>
      </c>
      <c r="P566" t="str">
        <f>IF(M566="","",IFERROR(AVERAGEIFS(DATOS!$K$2:$K$20000,DATOS!$A$2:$A$20000,M566,DATOS!$G$2:$G$20000,CONFIG_METADATA!$B$4,DATOS!$I$2:$I$20000,"Conjunto"),""))</f>
        <v/>
      </c>
      <c r="Q566" t="str">
        <f>IF(M566="","",IFERROR(AVERAGEIFS(DATOS!$K$2:$K$20000,DATOS!$A$2:$A$20000,M566,DATOS!$G$2:$G$20000,CONFIG_METADATA!$B$4,DATOS!$I$2:$I$20000,"&lt;&gt;Lenguaje Musical",DATOS!$I$2:$I$20000,"&lt;&gt;Coro",DATOS!$I$2:$I$20000,"&lt;&gt;Conjunto"),""))</f>
        <v/>
      </c>
      <c r="T566" t="str">
        <f>IF(S566="","",IFERROR(AVERAGEIFS(DATOS!$K$2:$K$20000,DATOS!$A$2:$A$20000,S566,DATOS!$G$2:$G$20000,CONFIG_METADATA!$B$4,DATOS!$I$2:$I$20000,"Lenguaje Musical"),""))</f>
        <v/>
      </c>
      <c r="U566" t="str">
        <f>IF(S566="","",IFERROR(AVERAGEIFS(DATOS!$K$2:$K$20000,DATOS!$A$2:$A$20000,S566,DATOS!$G$2:$G$20000,CONFIG_METADATA!$B$4,DATOS!$I$2:$I$20000,"Coro"),""))</f>
        <v/>
      </c>
      <c r="V566" t="str">
        <f>IF(S566="","",IFERROR(AVERAGEIFS(DATOS!$K$2:$K$20000,DATOS!$A$2:$A$20000,S566,DATOS!$G$2:$G$20000,CONFIG_METADATA!$B$4,DATOS!$I$2:$I$20000,"Conjunto"),""))</f>
        <v/>
      </c>
      <c r="W566" t="str" cm="1">
        <f t="array" ref="W566">IF(S566="","",IFERROR(AVERAGE(IF((DATOS!$A$2:$A$20000=S566)*(DATOS!$G$2:$G$20000=CONFIG_METADATA!$B$4)*(DATOS!$I$2:$I$20000&lt;&gt;"Lenguaje Musical")*(DATOS!$I$2:$I$20000&lt;&gt;"Coro")*(DATOS!$I$2:$I$20000&lt;&gt;"Conjunto"),DATOS!$K$2:$K$20000)),""))</f>
        <v/>
      </c>
    </row>
    <row r="567" spans="2:23" x14ac:dyDescent="0.2">
      <c r="B567" t="str">
        <f>IF(A567="","",IFERROR(AVERAGEIFS(DATOS!$K$2:$K$20000,DATOS!$A$2:$A$20000,A567,DATOS!$G$2:$G$20000,CONFIG_METADATA!$B$4,DATOS!$I$2:$I$20000,"Lenguaje Musical"),""))</f>
        <v/>
      </c>
      <c r="C567" t="str">
        <f>IF(A567="","",IFERROR(AVERAGEIFS(DATOS!$K$2:$K$20000,DATOS!$A$2:$A$20000,A567,DATOS!$G$2:$G$20000,CONFIG_METADATA!$B$4,DATOS!$I$2:$I$20000,"Coro"),""))</f>
        <v/>
      </c>
      <c r="D567" t="str">
        <f>IF(A567="","",IFERROR(AVERAGEIFS(DATOS!$K$2:$K$20000,DATOS!$A$2:$A$20000,A567,DATOS!$G$2:$G$20000,CONFIG_METADATA!$B$4,DATOS!$I$2:$I$20000,"Conjunto"),""))</f>
        <v/>
      </c>
      <c r="E567" t="str">
        <f>IF(A567="","",IFERROR(AVERAGEIFS(DATOS!$K$2:$K$20000,DATOS!$A$2:$A$20000,A567,DATOS!$G$2:$G$20000,CONFIG_METADATA!$B$4,DATOS!$I$2:$I$20000,"&lt;&gt;Lenguaje Musical",DATOS!$I$2:$I$20000,"&lt;&gt;Coro",DATOS!$I$2:$I$20000,"&lt;&gt;Conjunto"),""))</f>
        <v/>
      </c>
      <c r="H567" t="str">
        <f>IF(G567="","",IFERROR(AVERAGEIFS(DATOS!$K$2:$K$20000,DATOS!$A$2:$A$20000,G567,DATOS!$G$2:$G$20000,CONFIG_METADATA!$B$4,DATOS!$I$2:$I$20000,"Lenguaje Musical"),""))</f>
        <v/>
      </c>
      <c r="I567" t="str">
        <f>IF(G567="","",IFERROR(AVERAGEIFS(DATOS!$K$2:$K$20000,DATOS!$A$2:$A$20000,G567,DATOS!$G$2:$G$20000,CONFIG_METADATA!$B$4,DATOS!$I$2:$I$20000,"Coro"),""))</f>
        <v/>
      </c>
      <c r="J567" t="str">
        <f>IF(G567="","",IFERROR(AVERAGEIFS(DATOS!$K$2:$K$20000,DATOS!$A$2:$A$20000,G567,DATOS!$G$2:$G$20000,CONFIG_METADATA!$B$4,DATOS!$I$2:$I$20000,"Conjunto"),""))</f>
        <v/>
      </c>
      <c r="K567" t="str" cm="1">
        <f t="array" ref="K567">IF(G567="","",IFERROR(AVERAGE(IF((DATOS!$A$2:$A$20000=G567)*(DATOS!$G$2:$G$20000=CONFIG_METADATA!$B$4)*(DATOS!$I$2:$I$20000&lt;&gt;"Lenguaje Musical")*(DATOS!$I$2:$I$20000&lt;&gt;"Coro")*(DATOS!$I$2:$I$20000&lt;&gt;"Conjunto"),DATOS!$K$2:$K$20000)),""))</f>
        <v/>
      </c>
      <c r="N567" t="str">
        <f>IF(M567="","",IFERROR(AVERAGEIFS(DATOS!$K$2:$K$20000,DATOS!$A$2:$A$20000,M567,DATOS!$G$2:$G$20000,CONFIG_METADATA!$B$4,DATOS!$I$2:$I$20000,"Lenguaje Musical"),""))</f>
        <v/>
      </c>
      <c r="O567" t="str">
        <f>IF(M567="","",IFERROR(AVERAGEIFS(DATOS!$K$2:$K$20000,DATOS!$A$2:$A$20000,M567,DATOS!$G$2:$G$20000,CONFIG_METADATA!$B$4,DATOS!$I$2:$I$20000,"Coro"),""))</f>
        <v/>
      </c>
      <c r="P567" t="str">
        <f>IF(M567="","",IFERROR(AVERAGEIFS(DATOS!$K$2:$K$20000,DATOS!$A$2:$A$20000,M567,DATOS!$G$2:$G$20000,CONFIG_METADATA!$B$4,DATOS!$I$2:$I$20000,"Conjunto"),""))</f>
        <v/>
      </c>
      <c r="Q567" t="str">
        <f>IF(M567="","",IFERROR(AVERAGEIFS(DATOS!$K$2:$K$20000,DATOS!$A$2:$A$20000,M567,DATOS!$G$2:$G$20000,CONFIG_METADATA!$B$4,DATOS!$I$2:$I$20000,"&lt;&gt;Lenguaje Musical",DATOS!$I$2:$I$20000,"&lt;&gt;Coro",DATOS!$I$2:$I$20000,"&lt;&gt;Conjunto"),""))</f>
        <v/>
      </c>
      <c r="T567" t="str">
        <f>IF(S567="","",IFERROR(AVERAGEIFS(DATOS!$K$2:$K$20000,DATOS!$A$2:$A$20000,S567,DATOS!$G$2:$G$20000,CONFIG_METADATA!$B$4,DATOS!$I$2:$I$20000,"Lenguaje Musical"),""))</f>
        <v/>
      </c>
      <c r="U567" t="str">
        <f>IF(S567="","",IFERROR(AVERAGEIFS(DATOS!$K$2:$K$20000,DATOS!$A$2:$A$20000,S567,DATOS!$G$2:$G$20000,CONFIG_METADATA!$B$4,DATOS!$I$2:$I$20000,"Coro"),""))</f>
        <v/>
      </c>
      <c r="V567" t="str">
        <f>IF(S567="","",IFERROR(AVERAGEIFS(DATOS!$K$2:$K$20000,DATOS!$A$2:$A$20000,S567,DATOS!$G$2:$G$20000,CONFIG_METADATA!$B$4,DATOS!$I$2:$I$20000,"Conjunto"),""))</f>
        <v/>
      </c>
      <c r="W567" t="str" cm="1">
        <f t="array" ref="W567">IF(S567="","",IFERROR(AVERAGE(IF((DATOS!$A$2:$A$20000=S567)*(DATOS!$G$2:$G$20000=CONFIG_METADATA!$B$4)*(DATOS!$I$2:$I$20000&lt;&gt;"Lenguaje Musical")*(DATOS!$I$2:$I$20000&lt;&gt;"Coro")*(DATOS!$I$2:$I$20000&lt;&gt;"Conjunto"),DATOS!$K$2:$K$20000)),""))</f>
        <v/>
      </c>
    </row>
    <row r="568" spans="2:23" x14ac:dyDescent="0.2">
      <c r="B568" t="str">
        <f>IF(A568="","",IFERROR(AVERAGEIFS(DATOS!$K$2:$K$20000,DATOS!$A$2:$A$20000,A568,DATOS!$G$2:$G$20000,CONFIG_METADATA!$B$4,DATOS!$I$2:$I$20000,"Lenguaje Musical"),""))</f>
        <v/>
      </c>
      <c r="C568" t="str">
        <f>IF(A568="","",IFERROR(AVERAGEIFS(DATOS!$K$2:$K$20000,DATOS!$A$2:$A$20000,A568,DATOS!$G$2:$G$20000,CONFIG_METADATA!$B$4,DATOS!$I$2:$I$20000,"Coro"),""))</f>
        <v/>
      </c>
      <c r="D568" t="str">
        <f>IF(A568="","",IFERROR(AVERAGEIFS(DATOS!$K$2:$K$20000,DATOS!$A$2:$A$20000,A568,DATOS!$G$2:$G$20000,CONFIG_METADATA!$B$4,DATOS!$I$2:$I$20000,"Conjunto"),""))</f>
        <v/>
      </c>
      <c r="E568" t="str">
        <f>IF(A568="","",IFERROR(AVERAGEIFS(DATOS!$K$2:$K$20000,DATOS!$A$2:$A$20000,A568,DATOS!$G$2:$G$20000,CONFIG_METADATA!$B$4,DATOS!$I$2:$I$20000,"&lt;&gt;Lenguaje Musical",DATOS!$I$2:$I$20000,"&lt;&gt;Coro",DATOS!$I$2:$I$20000,"&lt;&gt;Conjunto"),""))</f>
        <v/>
      </c>
      <c r="H568" t="str">
        <f>IF(G568="","",IFERROR(AVERAGEIFS(DATOS!$K$2:$K$20000,DATOS!$A$2:$A$20000,G568,DATOS!$G$2:$G$20000,CONFIG_METADATA!$B$4,DATOS!$I$2:$I$20000,"Lenguaje Musical"),""))</f>
        <v/>
      </c>
      <c r="I568" t="str">
        <f>IF(G568="","",IFERROR(AVERAGEIFS(DATOS!$K$2:$K$20000,DATOS!$A$2:$A$20000,G568,DATOS!$G$2:$G$20000,CONFIG_METADATA!$B$4,DATOS!$I$2:$I$20000,"Coro"),""))</f>
        <v/>
      </c>
      <c r="J568" t="str">
        <f>IF(G568="","",IFERROR(AVERAGEIFS(DATOS!$K$2:$K$20000,DATOS!$A$2:$A$20000,G568,DATOS!$G$2:$G$20000,CONFIG_METADATA!$B$4,DATOS!$I$2:$I$20000,"Conjunto"),""))</f>
        <v/>
      </c>
      <c r="K568" t="str" cm="1">
        <f t="array" ref="K568">IF(G568="","",IFERROR(AVERAGE(IF((DATOS!$A$2:$A$20000=G568)*(DATOS!$G$2:$G$20000=CONFIG_METADATA!$B$4)*(DATOS!$I$2:$I$20000&lt;&gt;"Lenguaje Musical")*(DATOS!$I$2:$I$20000&lt;&gt;"Coro")*(DATOS!$I$2:$I$20000&lt;&gt;"Conjunto"),DATOS!$K$2:$K$20000)),""))</f>
        <v/>
      </c>
      <c r="N568" t="str">
        <f>IF(M568="","",IFERROR(AVERAGEIFS(DATOS!$K$2:$K$20000,DATOS!$A$2:$A$20000,M568,DATOS!$G$2:$G$20000,CONFIG_METADATA!$B$4,DATOS!$I$2:$I$20000,"Lenguaje Musical"),""))</f>
        <v/>
      </c>
      <c r="O568" t="str">
        <f>IF(M568="","",IFERROR(AVERAGEIFS(DATOS!$K$2:$K$20000,DATOS!$A$2:$A$20000,M568,DATOS!$G$2:$G$20000,CONFIG_METADATA!$B$4,DATOS!$I$2:$I$20000,"Coro"),""))</f>
        <v/>
      </c>
      <c r="P568" t="str">
        <f>IF(M568="","",IFERROR(AVERAGEIFS(DATOS!$K$2:$K$20000,DATOS!$A$2:$A$20000,M568,DATOS!$G$2:$G$20000,CONFIG_METADATA!$B$4,DATOS!$I$2:$I$20000,"Conjunto"),""))</f>
        <v/>
      </c>
      <c r="Q568" t="str">
        <f>IF(M568="","",IFERROR(AVERAGEIFS(DATOS!$K$2:$K$20000,DATOS!$A$2:$A$20000,M568,DATOS!$G$2:$G$20000,CONFIG_METADATA!$B$4,DATOS!$I$2:$I$20000,"&lt;&gt;Lenguaje Musical",DATOS!$I$2:$I$20000,"&lt;&gt;Coro",DATOS!$I$2:$I$20000,"&lt;&gt;Conjunto"),""))</f>
        <v/>
      </c>
      <c r="T568" t="str">
        <f>IF(S568="","",IFERROR(AVERAGEIFS(DATOS!$K$2:$K$20000,DATOS!$A$2:$A$20000,S568,DATOS!$G$2:$G$20000,CONFIG_METADATA!$B$4,DATOS!$I$2:$I$20000,"Lenguaje Musical"),""))</f>
        <v/>
      </c>
      <c r="U568" t="str">
        <f>IF(S568="","",IFERROR(AVERAGEIFS(DATOS!$K$2:$K$20000,DATOS!$A$2:$A$20000,S568,DATOS!$G$2:$G$20000,CONFIG_METADATA!$B$4,DATOS!$I$2:$I$20000,"Coro"),""))</f>
        <v/>
      </c>
      <c r="V568" t="str">
        <f>IF(S568="","",IFERROR(AVERAGEIFS(DATOS!$K$2:$K$20000,DATOS!$A$2:$A$20000,S568,DATOS!$G$2:$G$20000,CONFIG_METADATA!$B$4,DATOS!$I$2:$I$20000,"Conjunto"),""))</f>
        <v/>
      </c>
      <c r="W568" t="str" cm="1">
        <f t="array" ref="W568">IF(S568="","",IFERROR(AVERAGE(IF((DATOS!$A$2:$A$20000=S568)*(DATOS!$G$2:$G$20000=CONFIG_METADATA!$B$4)*(DATOS!$I$2:$I$20000&lt;&gt;"Lenguaje Musical")*(DATOS!$I$2:$I$20000&lt;&gt;"Coro")*(DATOS!$I$2:$I$20000&lt;&gt;"Conjunto"),DATOS!$K$2:$K$20000)),""))</f>
        <v/>
      </c>
    </row>
    <row r="569" spans="2:23" x14ac:dyDescent="0.2">
      <c r="B569" t="str">
        <f>IF(A569="","",IFERROR(AVERAGEIFS(DATOS!$K$2:$K$20000,DATOS!$A$2:$A$20000,A569,DATOS!$G$2:$G$20000,CONFIG_METADATA!$B$4,DATOS!$I$2:$I$20000,"Lenguaje Musical"),""))</f>
        <v/>
      </c>
      <c r="C569" t="str">
        <f>IF(A569="","",IFERROR(AVERAGEIFS(DATOS!$K$2:$K$20000,DATOS!$A$2:$A$20000,A569,DATOS!$G$2:$G$20000,CONFIG_METADATA!$B$4,DATOS!$I$2:$I$20000,"Coro"),""))</f>
        <v/>
      </c>
      <c r="D569" t="str">
        <f>IF(A569="","",IFERROR(AVERAGEIFS(DATOS!$K$2:$K$20000,DATOS!$A$2:$A$20000,A569,DATOS!$G$2:$G$20000,CONFIG_METADATA!$B$4,DATOS!$I$2:$I$20000,"Conjunto"),""))</f>
        <v/>
      </c>
      <c r="E569" t="str">
        <f>IF(A569="","",IFERROR(AVERAGEIFS(DATOS!$K$2:$K$20000,DATOS!$A$2:$A$20000,A569,DATOS!$G$2:$G$20000,CONFIG_METADATA!$B$4,DATOS!$I$2:$I$20000,"&lt;&gt;Lenguaje Musical",DATOS!$I$2:$I$20000,"&lt;&gt;Coro",DATOS!$I$2:$I$20000,"&lt;&gt;Conjunto"),""))</f>
        <v/>
      </c>
      <c r="H569" t="str">
        <f>IF(G569="","",IFERROR(AVERAGEIFS(DATOS!$K$2:$K$20000,DATOS!$A$2:$A$20000,G569,DATOS!$G$2:$G$20000,CONFIG_METADATA!$B$4,DATOS!$I$2:$I$20000,"Lenguaje Musical"),""))</f>
        <v/>
      </c>
      <c r="I569" t="str">
        <f>IF(G569="","",IFERROR(AVERAGEIFS(DATOS!$K$2:$K$20000,DATOS!$A$2:$A$20000,G569,DATOS!$G$2:$G$20000,CONFIG_METADATA!$B$4,DATOS!$I$2:$I$20000,"Coro"),""))</f>
        <v/>
      </c>
      <c r="J569" t="str">
        <f>IF(G569="","",IFERROR(AVERAGEIFS(DATOS!$K$2:$K$20000,DATOS!$A$2:$A$20000,G569,DATOS!$G$2:$G$20000,CONFIG_METADATA!$B$4,DATOS!$I$2:$I$20000,"Conjunto"),""))</f>
        <v/>
      </c>
      <c r="K569" t="str" cm="1">
        <f t="array" ref="K569">IF(G569="","",IFERROR(AVERAGE(IF((DATOS!$A$2:$A$20000=G569)*(DATOS!$G$2:$G$20000=CONFIG_METADATA!$B$4)*(DATOS!$I$2:$I$20000&lt;&gt;"Lenguaje Musical")*(DATOS!$I$2:$I$20000&lt;&gt;"Coro")*(DATOS!$I$2:$I$20000&lt;&gt;"Conjunto"),DATOS!$K$2:$K$20000)),""))</f>
        <v/>
      </c>
      <c r="N569" t="str">
        <f>IF(M569="","",IFERROR(AVERAGEIFS(DATOS!$K$2:$K$20000,DATOS!$A$2:$A$20000,M569,DATOS!$G$2:$G$20000,CONFIG_METADATA!$B$4,DATOS!$I$2:$I$20000,"Lenguaje Musical"),""))</f>
        <v/>
      </c>
      <c r="O569" t="str">
        <f>IF(M569="","",IFERROR(AVERAGEIFS(DATOS!$K$2:$K$20000,DATOS!$A$2:$A$20000,M569,DATOS!$G$2:$G$20000,CONFIG_METADATA!$B$4,DATOS!$I$2:$I$20000,"Coro"),""))</f>
        <v/>
      </c>
      <c r="P569" t="str">
        <f>IF(M569="","",IFERROR(AVERAGEIFS(DATOS!$K$2:$K$20000,DATOS!$A$2:$A$20000,M569,DATOS!$G$2:$G$20000,CONFIG_METADATA!$B$4,DATOS!$I$2:$I$20000,"Conjunto"),""))</f>
        <v/>
      </c>
      <c r="Q569" t="str">
        <f>IF(M569="","",IFERROR(AVERAGEIFS(DATOS!$K$2:$K$20000,DATOS!$A$2:$A$20000,M569,DATOS!$G$2:$G$20000,CONFIG_METADATA!$B$4,DATOS!$I$2:$I$20000,"&lt;&gt;Lenguaje Musical",DATOS!$I$2:$I$20000,"&lt;&gt;Coro",DATOS!$I$2:$I$20000,"&lt;&gt;Conjunto"),""))</f>
        <v/>
      </c>
      <c r="T569" t="str">
        <f>IF(S569="","",IFERROR(AVERAGEIFS(DATOS!$K$2:$K$20000,DATOS!$A$2:$A$20000,S569,DATOS!$G$2:$G$20000,CONFIG_METADATA!$B$4,DATOS!$I$2:$I$20000,"Lenguaje Musical"),""))</f>
        <v/>
      </c>
      <c r="U569" t="str">
        <f>IF(S569="","",IFERROR(AVERAGEIFS(DATOS!$K$2:$K$20000,DATOS!$A$2:$A$20000,S569,DATOS!$G$2:$G$20000,CONFIG_METADATA!$B$4,DATOS!$I$2:$I$20000,"Coro"),""))</f>
        <v/>
      </c>
      <c r="V569" t="str">
        <f>IF(S569="","",IFERROR(AVERAGEIFS(DATOS!$K$2:$K$20000,DATOS!$A$2:$A$20000,S569,DATOS!$G$2:$G$20000,CONFIG_METADATA!$B$4,DATOS!$I$2:$I$20000,"Conjunto"),""))</f>
        <v/>
      </c>
      <c r="W569" t="str" cm="1">
        <f t="array" ref="W569">IF(S569="","",IFERROR(AVERAGE(IF((DATOS!$A$2:$A$20000=S569)*(DATOS!$G$2:$G$20000=CONFIG_METADATA!$B$4)*(DATOS!$I$2:$I$20000&lt;&gt;"Lenguaje Musical")*(DATOS!$I$2:$I$20000&lt;&gt;"Coro")*(DATOS!$I$2:$I$20000&lt;&gt;"Conjunto"),DATOS!$K$2:$K$20000)),""))</f>
        <v/>
      </c>
    </row>
    <row r="570" spans="2:23" x14ac:dyDescent="0.2">
      <c r="B570" t="str">
        <f>IF(A570="","",IFERROR(AVERAGEIFS(DATOS!$K$2:$K$20000,DATOS!$A$2:$A$20000,A570,DATOS!$G$2:$G$20000,CONFIG_METADATA!$B$4,DATOS!$I$2:$I$20000,"Lenguaje Musical"),""))</f>
        <v/>
      </c>
      <c r="C570" t="str">
        <f>IF(A570="","",IFERROR(AVERAGEIFS(DATOS!$K$2:$K$20000,DATOS!$A$2:$A$20000,A570,DATOS!$G$2:$G$20000,CONFIG_METADATA!$B$4,DATOS!$I$2:$I$20000,"Coro"),""))</f>
        <v/>
      </c>
      <c r="D570" t="str">
        <f>IF(A570="","",IFERROR(AVERAGEIFS(DATOS!$K$2:$K$20000,DATOS!$A$2:$A$20000,A570,DATOS!$G$2:$G$20000,CONFIG_METADATA!$B$4,DATOS!$I$2:$I$20000,"Conjunto"),""))</f>
        <v/>
      </c>
      <c r="E570" t="str">
        <f>IF(A570="","",IFERROR(AVERAGEIFS(DATOS!$K$2:$K$20000,DATOS!$A$2:$A$20000,A570,DATOS!$G$2:$G$20000,CONFIG_METADATA!$B$4,DATOS!$I$2:$I$20000,"&lt;&gt;Lenguaje Musical",DATOS!$I$2:$I$20000,"&lt;&gt;Coro",DATOS!$I$2:$I$20000,"&lt;&gt;Conjunto"),""))</f>
        <v/>
      </c>
      <c r="H570" t="str">
        <f>IF(G570="","",IFERROR(AVERAGEIFS(DATOS!$K$2:$K$20000,DATOS!$A$2:$A$20000,G570,DATOS!$G$2:$G$20000,CONFIG_METADATA!$B$4,DATOS!$I$2:$I$20000,"Lenguaje Musical"),""))</f>
        <v/>
      </c>
      <c r="I570" t="str">
        <f>IF(G570="","",IFERROR(AVERAGEIFS(DATOS!$K$2:$K$20000,DATOS!$A$2:$A$20000,G570,DATOS!$G$2:$G$20000,CONFIG_METADATA!$B$4,DATOS!$I$2:$I$20000,"Coro"),""))</f>
        <v/>
      </c>
      <c r="J570" t="str">
        <f>IF(G570="","",IFERROR(AVERAGEIFS(DATOS!$K$2:$K$20000,DATOS!$A$2:$A$20000,G570,DATOS!$G$2:$G$20000,CONFIG_METADATA!$B$4,DATOS!$I$2:$I$20000,"Conjunto"),""))</f>
        <v/>
      </c>
      <c r="K570" t="str" cm="1">
        <f t="array" ref="K570">IF(G570="","",IFERROR(AVERAGE(IF((DATOS!$A$2:$A$20000=G570)*(DATOS!$G$2:$G$20000=CONFIG_METADATA!$B$4)*(DATOS!$I$2:$I$20000&lt;&gt;"Lenguaje Musical")*(DATOS!$I$2:$I$20000&lt;&gt;"Coro")*(DATOS!$I$2:$I$20000&lt;&gt;"Conjunto"),DATOS!$K$2:$K$20000)),""))</f>
        <v/>
      </c>
      <c r="N570" t="str">
        <f>IF(M570="","",IFERROR(AVERAGEIFS(DATOS!$K$2:$K$20000,DATOS!$A$2:$A$20000,M570,DATOS!$G$2:$G$20000,CONFIG_METADATA!$B$4,DATOS!$I$2:$I$20000,"Lenguaje Musical"),""))</f>
        <v/>
      </c>
      <c r="O570" t="str">
        <f>IF(M570="","",IFERROR(AVERAGEIFS(DATOS!$K$2:$K$20000,DATOS!$A$2:$A$20000,M570,DATOS!$G$2:$G$20000,CONFIG_METADATA!$B$4,DATOS!$I$2:$I$20000,"Coro"),""))</f>
        <v/>
      </c>
      <c r="P570" t="str">
        <f>IF(M570="","",IFERROR(AVERAGEIFS(DATOS!$K$2:$K$20000,DATOS!$A$2:$A$20000,M570,DATOS!$G$2:$G$20000,CONFIG_METADATA!$B$4,DATOS!$I$2:$I$20000,"Conjunto"),""))</f>
        <v/>
      </c>
      <c r="Q570" t="str">
        <f>IF(M570="","",IFERROR(AVERAGEIFS(DATOS!$K$2:$K$20000,DATOS!$A$2:$A$20000,M570,DATOS!$G$2:$G$20000,CONFIG_METADATA!$B$4,DATOS!$I$2:$I$20000,"&lt;&gt;Lenguaje Musical",DATOS!$I$2:$I$20000,"&lt;&gt;Coro",DATOS!$I$2:$I$20000,"&lt;&gt;Conjunto"),""))</f>
        <v/>
      </c>
      <c r="T570" t="str">
        <f>IF(S570="","",IFERROR(AVERAGEIFS(DATOS!$K$2:$K$20000,DATOS!$A$2:$A$20000,S570,DATOS!$G$2:$G$20000,CONFIG_METADATA!$B$4,DATOS!$I$2:$I$20000,"Lenguaje Musical"),""))</f>
        <v/>
      </c>
      <c r="U570" t="str">
        <f>IF(S570="","",IFERROR(AVERAGEIFS(DATOS!$K$2:$K$20000,DATOS!$A$2:$A$20000,S570,DATOS!$G$2:$G$20000,CONFIG_METADATA!$B$4,DATOS!$I$2:$I$20000,"Coro"),""))</f>
        <v/>
      </c>
      <c r="V570" t="str">
        <f>IF(S570="","",IFERROR(AVERAGEIFS(DATOS!$K$2:$K$20000,DATOS!$A$2:$A$20000,S570,DATOS!$G$2:$G$20000,CONFIG_METADATA!$B$4,DATOS!$I$2:$I$20000,"Conjunto"),""))</f>
        <v/>
      </c>
      <c r="W570" t="str" cm="1">
        <f t="array" ref="W570">IF(S570="","",IFERROR(AVERAGE(IF((DATOS!$A$2:$A$20000=S570)*(DATOS!$G$2:$G$20000=CONFIG_METADATA!$B$4)*(DATOS!$I$2:$I$20000&lt;&gt;"Lenguaje Musical")*(DATOS!$I$2:$I$20000&lt;&gt;"Coro")*(DATOS!$I$2:$I$20000&lt;&gt;"Conjunto"),DATOS!$K$2:$K$20000)),""))</f>
        <v/>
      </c>
    </row>
    <row r="571" spans="2:23" x14ac:dyDescent="0.2">
      <c r="B571" t="str">
        <f>IF(A571="","",IFERROR(AVERAGEIFS(DATOS!$K$2:$K$20000,DATOS!$A$2:$A$20000,A571,DATOS!$G$2:$G$20000,CONFIG_METADATA!$B$4,DATOS!$I$2:$I$20000,"Lenguaje Musical"),""))</f>
        <v/>
      </c>
      <c r="C571" t="str">
        <f>IF(A571="","",IFERROR(AVERAGEIFS(DATOS!$K$2:$K$20000,DATOS!$A$2:$A$20000,A571,DATOS!$G$2:$G$20000,CONFIG_METADATA!$B$4,DATOS!$I$2:$I$20000,"Coro"),""))</f>
        <v/>
      </c>
      <c r="D571" t="str">
        <f>IF(A571="","",IFERROR(AVERAGEIFS(DATOS!$K$2:$K$20000,DATOS!$A$2:$A$20000,A571,DATOS!$G$2:$G$20000,CONFIG_METADATA!$B$4,DATOS!$I$2:$I$20000,"Conjunto"),""))</f>
        <v/>
      </c>
      <c r="E571" t="str">
        <f>IF(A571="","",IFERROR(AVERAGEIFS(DATOS!$K$2:$K$20000,DATOS!$A$2:$A$20000,A571,DATOS!$G$2:$G$20000,CONFIG_METADATA!$B$4,DATOS!$I$2:$I$20000,"&lt;&gt;Lenguaje Musical",DATOS!$I$2:$I$20000,"&lt;&gt;Coro",DATOS!$I$2:$I$20000,"&lt;&gt;Conjunto"),""))</f>
        <v/>
      </c>
      <c r="H571" t="str">
        <f>IF(G571="","",IFERROR(AVERAGEIFS(DATOS!$K$2:$K$20000,DATOS!$A$2:$A$20000,G571,DATOS!$G$2:$G$20000,CONFIG_METADATA!$B$4,DATOS!$I$2:$I$20000,"Lenguaje Musical"),""))</f>
        <v/>
      </c>
      <c r="I571" t="str">
        <f>IF(G571="","",IFERROR(AVERAGEIFS(DATOS!$K$2:$K$20000,DATOS!$A$2:$A$20000,G571,DATOS!$G$2:$G$20000,CONFIG_METADATA!$B$4,DATOS!$I$2:$I$20000,"Coro"),""))</f>
        <v/>
      </c>
      <c r="J571" t="str">
        <f>IF(G571="","",IFERROR(AVERAGEIFS(DATOS!$K$2:$K$20000,DATOS!$A$2:$A$20000,G571,DATOS!$G$2:$G$20000,CONFIG_METADATA!$B$4,DATOS!$I$2:$I$20000,"Conjunto"),""))</f>
        <v/>
      </c>
      <c r="K571" t="str" cm="1">
        <f t="array" ref="K571">IF(G571="","",IFERROR(AVERAGE(IF((DATOS!$A$2:$A$20000=G571)*(DATOS!$G$2:$G$20000=CONFIG_METADATA!$B$4)*(DATOS!$I$2:$I$20000&lt;&gt;"Lenguaje Musical")*(DATOS!$I$2:$I$20000&lt;&gt;"Coro")*(DATOS!$I$2:$I$20000&lt;&gt;"Conjunto"),DATOS!$K$2:$K$20000)),""))</f>
        <v/>
      </c>
      <c r="N571" t="str">
        <f>IF(M571="","",IFERROR(AVERAGEIFS(DATOS!$K$2:$K$20000,DATOS!$A$2:$A$20000,M571,DATOS!$G$2:$G$20000,CONFIG_METADATA!$B$4,DATOS!$I$2:$I$20000,"Lenguaje Musical"),""))</f>
        <v/>
      </c>
      <c r="O571" t="str">
        <f>IF(M571="","",IFERROR(AVERAGEIFS(DATOS!$K$2:$K$20000,DATOS!$A$2:$A$20000,M571,DATOS!$G$2:$G$20000,CONFIG_METADATA!$B$4,DATOS!$I$2:$I$20000,"Coro"),""))</f>
        <v/>
      </c>
      <c r="P571" t="str">
        <f>IF(M571="","",IFERROR(AVERAGEIFS(DATOS!$K$2:$K$20000,DATOS!$A$2:$A$20000,M571,DATOS!$G$2:$G$20000,CONFIG_METADATA!$B$4,DATOS!$I$2:$I$20000,"Conjunto"),""))</f>
        <v/>
      </c>
      <c r="Q571" t="str">
        <f>IF(M571="","",IFERROR(AVERAGEIFS(DATOS!$K$2:$K$20000,DATOS!$A$2:$A$20000,M571,DATOS!$G$2:$G$20000,CONFIG_METADATA!$B$4,DATOS!$I$2:$I$20000,"&lt;&gt;Lenguaje Musical",DATOS!$I$2:$I$20000,"&lt;&gt;Coro",DATOS!$I$2:$I$20000,"&lt;&gt;Conjunto"),""))</f>
        <v/>
      </c>
      <c r="T571" t="str">
        <f>IF(S571="","",IFERROR(AVERAGEIFS(DATOS!$K$2:$K$20000,DATOS!$A$2:$A$20000,S571,DATOS!$G$2:$G$20000,CONFIG_METADATA!$B$4,DATOS!$I$2:$I$20000,"Lenguaje Musical"),""))</f>
        <v/>
      </c>
      <c r="U571" t="str">
        <f>IF(S571="","",IFERROR(AVERAGEIFS(DATOS!$K$2:$K$20000,DATOS!$A$2:$A$20000,S571,DATOS!$G$2:$G$20000,CONFIG_METADATA!$B$4,DATOS!$I$2:$I$20000,"Coro"),""))</f>
        <v/>
      </c>
      <c r="V571" t="str">
        <f>IF(S571="","",IFERROR(AVERAGEIFS(DATOS!$K$2:$K$20000,DATOS!$A$2:$A$20000,S571,DATOS!$G$2:$G$20000,CONFIG_METADATA!$B$4,DATOS!$I$2:$I$20000,"Conjunto"),""))</f>
        <v/>
      </c>
      <c r="W571" t="str" cm="1">
        <f t="array" ref="W571">IF(S571="","",IFERROR(AVERAGE(IF((DATOS!$A$2:$A$20000=S571)*(DATOS!$G$2:$G$20000=CONFIG_METADATA!$B$4)*(DATOS!$I$2:$I$20000&lt;&gt;"Lenguaje Musical")*(DATOS!$I$2:$I$20000&lt;&gt;"Coro")*(DATOS!$I$2:$I$20000&lt;&gt;"Conjunto"),DATOS!$K$2:$K$20000)),""))</f>
        <v/>
      </c>
    </row>
    <row r="572" spans="2:23" x14ac:dyDescent="0.2">
      <c r="B572" t="str">
        <f>IF(A572="","",IFERROR(AVERAGEIFS(DATOS!$K$2:$K$20000,DATOS!$A$2:$A$20000,A572,DATOS!$G$2:$G$20000,CONFIG_METADATA!$B$4,DATOS!$I$2:$I$20000,"Lenguaje Musical"),""))</f>
        <v/>
      </c>
      <c r="C572" t="str">
        <f>IF(A572="","",IFERROR(AVERAGEIFS(DATOS!$K$2:$K$20000,DATOS!$A$2:$A$20000,A572,DATOS!$G$2:$G$20000,CONFIG_METADATA!$B$4,DATOS!$I$2:$I$20000,"Coro"),""))</f>
        <v/>
      </c>
      <c r="D572" t="str">
        <f>IF(A572="","",IFERROR(AVERAGEIFS(DATOS!$K$2:$K$20000,DATOS!$A$2:$A$20000,A572,DATOS!$G$2:$G$20000,CONFIG_METADATA!$B$4,DATOS!$I$2:$I$20000,"Conjunto"),""))</f>
        <v/>
      </c>
      <c r="E572" t="str">
        <f>IF(A572="","",IFERROR(AVERAGEIFS(DATOS!$K$2:$K$20000,DATOS!$A$2:$A$20000,A572,DATOS!$G$2:$G$20000,CONFIG_METADATA!$B$4,DATOS!$I$2:$I$20000,"&lt;&gt;Lenguaje Musical",DATOS!$I$2:$I$20000,"&lt;&gt;Coro",DATOS!$I$2:$I$20000,"&lt;&gt;Conjunto"),""))</f>
        <v/>
      </c>
      <c r="H572" t="str">
        <f>IF(G572="","",IFERROR(AVERAGEIFS(DATOS!$K$2:$K$20000,DATOS!$A$2:$A$20000,G572,DATOS!$G$2:$G$20000,CONFIG_METADATA!$B$4,DATOS!$I$2:$I$20000,"Lenguaje Musical"),""))</f>
        <v/>
      </c>
      <c r="I572" t="str">
        <f>IF(G572="","",IFERROR(AVERAGEIFS(DATOS!$K$2:$K$20000,DATOS!$A$2:$A$20000,G572,DATOS!$G$2:$G$20000,CONFIG_METADATA!$B$4,DATOS!$I$2:$I$20000,"Coro"),""))</f>
        <v/>
      </c>
      <c r="J572" t="str">
        <f>IF(G572="","",IFERROR(AVERAGEIFS(DATOS!$K$2:$K$20000,DATOS!$A$2:$A$20000,G572,DATOS!$G$2:$G$20000,CONFIG_METADATA!$B$4,DATOS!$I$2:$I$20000,"Conjunto"),""))</f>
        <v/>
      </c>
      <c r="K572" t="str" cm="1">
        <f t="array" ref="K572">IF(G572="","",IFERROR(AVERAGE(IF((DATOS!$A$2:$A$20000=G572)*(DATOS!$G$2:$G$20000=CONFIG_METADATA!$B$4)*(DATOS!$I$2:$I$20000&lt;&gt;"Lenguaje Musical")*(DATOS!$I$2:$I$20000&lt;&gt;"Coro")*(DATOS!$I$2:$I$20000&lt;&gt;"Conjunto"),DATOS!$K$2:$K$20000)),""))</f>
        <v/>
      </c>
      <c r="N572" t="str">
        <f>IF(M572="","",IFERROR(AVERAGEIFS(DATOS!$K$2:$K$20000,DATOS!$A$2:$A$20000,M572,DATOS!$G$2:$G$20000,CONFIG_METADATA!$B$4,DATOS!$I$2:$I$20000,"Lenguaje Musical"),""))</f>
        <v/>
      </c>
      <c r="O572" t="str">
        <f>IF(M572="","",IFERROR(AVERAGEIFS(DATOS!$K$2:$K$20000,DATOS!$A$2:$A$20000,M572,DATOS!$G$2:$G$20000,CONFIG_METADATA!$B$4,DATOS!$I$2:$I$20000,"Coro"),""))</f>
        <v/>
      </c>
      <c r="P572" t="str">
        <f>IF(M572="","",IFERROR(AVERAGEIFS(DATOS!$K$2:$K$20000,DATOS!$A$2:$A$20000,M572,DATOS!$G$2:$G$20000,CONFIG_METADATA!$B$4,DATOS!$I$2:$I$20000,"Conjunto"),""))</f>
        <v/>
      </c>
      <c r="Q572" t="str">
        <f>IF(M572="","",IFERROR(AVERAGEIFS(DATOS!$K$2:$K$20000,DATOS!$A$2:$A$20000,M572,DATOS!$G$2:$G$20000,CONFIG_METADATA!$B$4,DATOS!$I$2:$I$20000,"&lt;&gt;Lenguaje Musical",DATOS!$I$2:$I$20000,"&lt;&gt;Coro",DATOS!$I$2:$I$20000,"&lt;&gt;Conjunto"),""))</f>
        <v/>
      </c>
      <c r="T572" t="str">
        <f>IF(S572="","",IFERROR(AVERAGEIFS(DATOS!$K$2:$K$20000,DATOS!$A$2:$A$20000,S572,DATOS!$G$2:$G$20000,CONFIG_METADATA!$B$4,DATOS!$I$2:$I$20000,"Lenguaje Musical"),""))</f>
        <v/>
      </c>
      <c r="U572" t="str">
        <f>IF(S572="","",IFERROR(AVERAGEIFS(DATOS!$K$2:$K$20000,DATOS!$A$2:$A$20000,S572,DATOS!$G$2:$G$20000,CONFIG_METADATA!$B$4,DATOS!$I$2:$I$20000,"Coro"),""))</f>
        <v/>
      </c>
      <c r="V572" t="str">
        <f>IF(S572="","",IFERROR(AVERAGEIFS(DATOS!$K$2:$K$20000,DATOS!$A$2:$A$20000,S572,DATOS!$G$2:$G$20000,CONFIG_METADATA!$B$4,DATOS!$I$2:$I$20000,"Conjunto"),""))</f>
        <v/>
      </c>
      <c r="W572" t="str" cm="1">
        <f t="array" ref="W572">IF(S572="","",IFERROR(AVERAGE(IF((DATOS!$A$2:$A$20000=S572)*(DATOS!$G$2:$G$20000=CONFIG_METADATA!$B$4)*(DATOS!$I$2:$I$20000&lt;&gt;"Lenguaje Musical")*(DATOS!$I$2:$I$20000&lt;&gt;"Coro")*(DATOS!$I$2:$I$20000&lt;&gt;"Conjunto"),DATOS!$K$2:$K$20000)),""))</f>
        <v/>
      </c>
    </row>
    <row r="573" spans="2:23" x14ac:dyDescent="0.2">
      <c r="B573" t="str">
        <f>IF(A573="","",IFERROR(AVERAGEIFS(DATOS!$K$2:$K$20000,DATOS!$A$2:$A$20000,A573,DATOS!$G$2:$G$20000,CONFIG_METADATA!$B$4,DATOS!$I$2:$I$20000,"Lenguaje Musical"),""))</f>
        <v/>
      </c>
      <c r="C573" t="str">
        <f>IF(A573="","",IFERROR(AVERAGEIFS(DATOS!$K$2:$K$20000,DATOS!$A$2:$A$20000,A573,DATOS!$G$2:$G$20000,CONFIG_METADATA!$B$4,DATOS!$I$2:$I$20000,"Coro"),""))</f>
        <v/>
      </c>
      <c r="D573" t="str">
        <f>IF(A573="","",IFERROR(AVERAGEIFS(DATOS!$K$2:$K$20000,DATOS!$A$2:$A$20000,A573,DATOS!$G$2:$G$20000,CONFIG_METADATA!$B$4,DATOS!$I$2:$I$20000,"Conjunto"),""))</f>
        <v/>
      </c>
      <c r="E573" t="str">
        <f>IF(A573="","",IFERROR(AVERAGEIFS(DATOS!$K$2:$K$20000,DATOS!$A$2:$A$20000,A573,DATOS!$G$2:$G$20000,CONFIG_METADATA!$B$4,DATOS!$I$2:$I$20000,"&lt;&gt;Lenguaje Musical",DATOS!$I$2:$I$20000,"&lt;&gt;Coro",DATOS!$I$2:$I$20000,"&lt;&gt;Conjunto"),""))</f>
        <v/>
      </c>
      <c r="H573" t="str">
        <f>IF(G573="","",IFERROR(AVERAGEIFS(DATOS!$K$2:$K$20000,DATOS!$A$2:$A$20000,G573,DATOS!$G$2:$G$20000,CONFIG_METADATA!$B$4,DATOS!$I$2:$I$20000,"Lenguaje Musical"),""))</f>
        <v/>
      </c>
      <c r="I573" t="str">
        <f>IF(G573="","",IFERROR(AVERAGEIFS(DATOS!$K$2:$K$20000,DATOS!$A$2:$A$20000,G573,DATOS!$G$2:$G$20000,CONFIG_METADATA!$B$4,DATOS!$I$2:$I$20000,"Coro"),""))</f>
        <v/>
      </c>
      <c r="J573" t="str">
        <f>IF(G573="","",IFERROR(AVERAGEIFS(DATOS!$K$2:$K$20000,DATOS!$A$2:$A$20000,G573,DATOS!$G$2:$G$20000,CONFIG_METADATA!$B$4,DATOS!$I$2:$I$20000,"Conjunto"),""))</f>
        <v/>
      </c>
      <c r="K573" t="str" cm="1">
        <f t="array" ref="K573">IF(G573="","",IFERROR(AVERAGE(IF((DATOS!$A$2:$A$20000=G573)*(DATOS!$G$2:$G$20000=CONFIG_METADATA!$B$4)*(DATOS!$I$2:$I$20000&lt;&gt;"Lenguaje Musical")*(DATOS!$I$2:$I$20000&lt;&gt;"Coro")*(DATOS!$I$2:$I$20000&lt;&gt;"Conjunto"),DATOS!$K$2:$K$20000)),""))</f>
        <v/>
      </c>
      <c r="N573" t="str">
        <f>IF(M573="","",IFERROR(AVERAGEIFS(DATOS!$K$2:$K$20000,DATOS!$A$2:$A$20000,M573,DATOS!$G$2:$G$20000,CONFIG_METADATA!$B$4,DATOS!$I$2:$I$20000,"Lenguaje Musical"),""))</f>
        <v/>
      </c>
      <c r="O573" t="str">
        <f>IF(M573="","",IFERROR(AVERAGEIFS(DATOS!$K$2:$K$20000,DATOS!$A$2:$A$20000,M573,DATOS!$G$2:$G$20000,CONFIG_METADATA!$B$4,DATOS!$I$2:$I$20000,"Coro"),""))</f>
        <v/>
      </c>
      <c r="P573" t="str">
        <f>IF(M573="","",IFERROR(AVERAGEIFS(DATOS!$K$2:$K$20000,DATOS!$A$2:$A$20000,M573,DATOS!$G$2:$G$20000,CONFIG_METADATA!$B$4,DATOS!$I$2:$I$20000,"Conjunto"),""))</f>
        <v/>
      </c>
      <c r="Q573" t="str">
        <f>IF(M573="","",IFERROR(AVERAGEIFS(DATOS!$K$2:$K$20000,DATOS!$A$2:$A$20000,M573,DATOS!$G$2:$G$20000,CONFIG_METADATA!$B$4,DATOS!$I$2:$I$20000,"&lt;&gt;Lenguaje Musical",DATOS!$I$2:$I$20000,"&lt;&gt;Coro",DATOS!$I$2:$I$20000,"&lt;&gt;Conjunto"),""))</f>
        <v/>
      </c>
      <c r="T573" t="str">
        <f>IF(S573="","",IFERROR(AVERAGEIFS(DATOS!$K$2:$K$20000,DATOS!$A$2:$A$20000,S573,DATOS!$G$2:$G$20000,CONFIG_METADATA!$B$4,DATOS!$I$2:$I$20000,"Lenguaje Musical"),""))</f>
        <v/>
      </c>
      <c r="U573" t="str">
        <f>IF(S573="","",IFERROR(AVERAGEIFS(DATOS!$K$2:$K$20000,DATOS!$A$2:$A$20000,S573,DATOS!$G$2:$G$20000,CONFIG_METADATA!$B$4,DATOS!$I$2:$I$20000,"Coro"),""))</f>
        <v/>
      </c>
      <c r="V573" t="str">
        <f>IF(S573="","",IFERROR(AVERAGEIFS(DATOS!$K$2:$K$20000,DATOS!$A$2:$A$20000,S573,DATOS!$G$2:$G$20000,CONFIG_METADATA!$B$4,DATOS!$I$2:$I$20000,"Conjunto"),""))</f>
        <v/>
      </c>
      <c r="W573" t="str" cm="1">
        <f t="array" ref="W573">IF(S573="","",IFERROR(AVERAGE(IF((DATOS!$A$2:$A$20000=S573)*(DATOS!$G$2:$G$20000=CONFIG_METADATA!$B$4)*(DATOS!$I$2:$I$20000&lt;&gt;"Lenguaje Musical")*(DATOS!$I$2:$I$20000&lt;&gt;"Coro")*(DATOS!$I$2:$I$20000&lt;&gt;"Conjunto"),DATOS!$K$2:$K$20000)),""))</f>
        <v/>
      </c>
    </row>
    <row r="574" spans="2:23" x14ac:dyDescent="0.2">
      <c r="B574" t="str">
        <f>IF(A574="","",IFERROR(AVERAGEIFS(DATOS!$K$2:$K$20000,DATOS!$A$2:$A$20000,A574,DATOS!$G$2:$G$20000,CONFIG_METADATA!$B$4,DATOS!$I$2:$I$20000,"Lenguaje Musical"),""))</f>
        <v/>
      </c>
      <c r="C574" t="str">
        <f>IF(A574="","",IFERROR(AVERAGEIFS(DATOS!$K$2:$K$20000,DATOS!$A$2:$A$20000,A574,DATOS!$G$2:$G$20000,CONFIG_METADATA!$B$4,DATOS!$I$2:$I$20000,"Coro"),""))</f>
        <v/>
      </c>
      <c r="D574" t="str">
        <f>IF(A574="","",IFERROR(AVERAGEIFS(DATOS!$K$2:$K$20000,DATOS!$A$2:$A$20000,A574,DATOS!$G$2:$G$20000,CONFIG_METADATA!$B$4,DATOS!$I$2:$I$20000,"Conjunto"),""))</f>
        <v/>
      </c>
      <c r="E574" t="str">
        <f>IF(A574="","",IFERROR(AVERAGEIFS(DATOS!$K$2:$K$20000,DATOS!$A$2:$A$20000,A574,DATOS!$G$2:$G$20000,CONFIG_METADATA!$B$4,DATOS!$I$2:$I$20000,"&lt;&gt;Lenguaje Musical",DATOS!$I$2:$I$20000,"&lt;&gt;Coro",DATOS!$I$2:$I$20000,"&lt;&gt;Conjunto"),""))</f>
        <v/>
      </c>
      <c r="H574" t="str">
        <f>IF(G574="","",IFERROR(AVERAGEIFS(DATOS!$K$2:$K$20000,DATOS!$A$2:$A$20000,G574,DATOS!$G$2:$G$20000,CONFIG_METADATA!$B$4,DATOS!$I$2:$I$20000,"Lenguaje Musical"),""))</f>
        <v/>
      </c>
      <c r="I574" t="str">
        <f>IF(G574="","",IFERROR(AVERAGEIFS(DATOS!$K$2:$K$20000,DATOS!$A$2:$A$20000,G574,DATOS!$G$2:$G$20000,CONFIG_METADATA!$B$4,DATOS!$I$2:$I$20000,"Coro"),""))</f>
        <v/>
      </c>
      <c r="J574" t="str">
        <f>IF(G574="","",IFERROR(AVERAGEIFS(DATOS!$K$2:$K$20000,DATOS!$A$2:$A$20000,G574,DATOS!$G$2:$G$20000,CONFIG_METADATA!$B$4,DATOS!$I$2:$I$20000,"Conjunto"),""))</f>
        <v/>
      </c>
      <c r="K574" t="str" cm="1">
        <f t="array" ref="K574">IF(G574="","",IFERROR(AVERAGE(IF((DATOS!$A$2:$A$20000=G574)*(DATOS!$G$2:$G$20000=CONFIG_METADATA!$B$4)*(DATOS!$I$2:$I$20000&lt;&gt;"Lenguaje Musical")*(DATOS!$I$2:$I$20000&lt;&gt;"Coro")*(DATOS!$I$2:$I$20000&lt;&gt;"Conjunto"),DATOS!$K$2:$K$20000)),""))</f>
        <v/>
      </c>
      <c r="N574" t="str">
        <f>IF(M574="","",IFERROR(AVERAGEIFS(DATOS!$K$2:$K$20000,DATOS!$A$2:$A$20000,M574,DATOS!$G$2:$G$20000,CONFIG_METADATA!$B$4,DATOS!$I$2:$I$20000,"Lenguaje Musical"),""))</f>
        <v/>
      </c>
      <c r="O574" t="str">
        <f>IF(M574="","",IFERROR(AVERAGEIFS(DATOS!$K$2:$K$20000,DATOS!$A$2:$A$20000,M574,DATOS!$G$2:$G$20000,CONFIG_METADATA!$B$4,DATOS!$I$2:$I$20000,"Coro"),""))</f>
        <v/>
      </c>
      <c r="P574" t="str">
        <f>IF(M574="","",IFERROR(AVERAGEIFS(DATOS!$K$2:$K$20000,DATOS!$A$2:$A$20000,M574,DATOS!$G$2:$G$20000,CONFIG_METADATA!$B$4,DATOS!$I$2:$I$20000,"Conjunto"),""))</f>
        <v/>
      </c>
      <c r="Q574" t="str">
        <f>IF(M574="","",IFERROR(AVERAGEIFS(DATOS!$K$2:$K$20000,DATOS!$A$2:$A$20000,M574,DATOS!$G$2:$G$20000,CONFIG_METADATA!$B$4,DATOS!$I$2:$I$20000,"&lt;&gt;Lenguaje Musical",DATOS!$I$2:$I$20000,"&lt;&gt;Coro",DATOS!$I$2:$I$20000,"&lt;&gt;Conjunto"),""))</f>
        <v/>
      </c>
      <c r="T574" t="str">
        <f>IF(S574="","",IFERROR(AVERAGEIFS(DATOS!$K$2:$K$20000,DATOS!$A$2:$A$20000,S574,DATOS!$G$2:$G$20000,CONFIG_METADATA!$B$4,DATOS!$I$2:$I$20000,"Lenguaje Musical"),""))</f>
        <v/>
      </c>
      <c r="U574" t="str">
        <f>IF(S574="","",IFERROR(AVERAGEIFS(DATOS!$K$2:$K$20000,DATOS!$A$2:$A$20000,S574,DATOS!$G$2:$G$20000,CONFIG_METADATA!$B$4,DATOS!$I$2:$I$20000,"Coro"),""))</f>
        <v/>
      </c>
      <c r="V574" t="str">
        <f>IF(S574="","",IFERROR(AVERAGEIFS(DATOS!$K$2:$K$20000,DATOS!$A$2:$A$20000,S574,DATOS!$G$2:$G$20000,CONFIG_METADATA!$B$4,DATOS!$I$2:$I$20000,"Conjunto"),""))</f>
        <v/>
      </c>
      <c r="W574" t="str" cm="1">
        <f t="array" ref="W574">IF(S574="","",IFERROR(AVERAGE(IF((DATOS!$A$2:$A$20000=S574)*(DATOS!$G$2:$G$20000=CONFIG_METADATA!$B$4)*(DATOS!$I$2:$I$20000&lt;&gt;"Lenguaje Musical")*(DATOS!$I$2:$I$20000&lt;&gt;"Coro")*(DATOS!$I$2:$I$20000&lt;&gt;"Conjunto"),DATOS!$K$2:$K$20000)),""))</f>
        <v/>
      </c>
    </row>
    <row r="575" spans="2:23" x14ac:dyDescent="0.2">
      <c r="B575" t="str">
        <f>IF(A575="","",IFERROR(AVERAGEIFS(DATOS!$K$2:$K$20000,DATOS!$A$2:$A$20000,A575,DATOS!$G$2:$G$20000,CONFIG_METADATA!$B$4,DATOS!$I$2:$I$20000,"Lenguaje Musical"),""))</f>
        <v/>
      </c>
      <c r="C575" t="str">
        <f>IF(A575="","",IFERROR(AVERAGEIFS(DATOS!$K$2:$K$20000,DATOS!$A$2:$A$20000,A575,DATOS!$G$2:$G$20000,CONFIG_METADATA!$B$4,DATOS!$I$2:$I$20000,"Coro"),""))</f>
        <v/>
      </c>
      <c r="D575" t="str">
        <f>IF(A575="","",IFERROR(AVERAGEIFS(DATOS!$K$2:$K$20000,DATOS!$A$2:$A$20000,A575,DATOS!$G$2:$G$20000,CONFIG_METADATA!$B$4,DATOS!$I$2:$I$20000,"Conjunto"),""))</f>
        <v/>
      </c>
      <c r="E575" t="str">
        <f>IF(A575="","",IFERROR(AVERAGEIFS(DATOS!$K$2:$K$20000,DATOS!$A$2:$A$20000,A575,DATOS!$G$2:$G$20000,CONFIG_METADATA!$B$4,DATOS!$I$2:$I$20000,"&lt;&gt;Lenguaje Musical",DATOS!$I$2:$I$20000,"&lt;&gt;Coro",DATOS!$I$2:$I$20000,"&lt;&gt;Conjunto"),""))</f>
        <v/>
      </c>
      <c r="H575" t="str">
        <f>IF(G575="","",IFERROR(AVERAGEIFS(DATOS!$K$2:$K$20000,DATOS!$A$2:$A$20000,G575,DATOS!$G$2:$G$20000,CONFIG_METADATA!$B$4,DATOS!$I$2:$I$20000,"Lenguaje Musical"),""))</f>
        <v/>
      </c>
      <c r="I575" t="str">
        <f>IF(G575="","",IFERROR(AVERAGEIFS(DATOS!$K$2:$K$20000,DATOS!$A$2:$A$20000,G575,DATOS!$G$2:$G$20000,CONFIG_METADATA!$B$4,DATOS!$I$2:$I$20000,"Coro"),""))</f>
        <v/>
      </c>
      <c r="J575" t="str">
        <f>IF(G575="","",IFERROR(AVERAGEIFS(DATOS!$K$2:$K$20000,DATOS!$A$2:$A$20000,G575,DATOS!$G$2:$G$20000,CONFIG_METADATA!$B$4,DATOS!$I$2:$I$20000,"Conjunto"),""))</f>
        <v/>
      </c>
      <c r="K575" t="str" cm="1">
        <f t="array" ref="K575">IF(G575="","",IFERROR(AVERAGE(IF((DATOS!$A$2:$A$20000=G575)*(DATOS!$G$2:$G$20000=CONFIG_METADATA!$B$4)*(DATOS!$I$2:$I$20000&lt;&gt;"Lenguaje Musical")*(DATOS!$I$2:$I$20000&lt;&gt;"Coro")*(DATOS!$I$2:$I$20000&lt;&gt;"Conjunto"),DATOS!$K$2:$K$20000)),""))</f>
        <v/>
      </c>
      <c r="N575" t="str">
        <f>IF(M575="","",IFERROR(AVERAGEIFS(DATOS!$K$2:$K$20000,DATOS!$A$2:$A$20000,M575,DATOS!$G$2:$G$20000,CONFIG_METADATA!$B$4,DATOS!$I$2:$I$20000,"Lenguaje Musical"),""))</f>
        <v/>
      </c>
      <c r="O575" t="str">
        <f>IF(M575="","",IFERROR(AVERAGEIFS(DATOS!$K$2:$K$20000,DATOS!$A$2:$A$20000,M575,DATOS!$G$2:$G$20000,CONFIG_METADATA!$B$4,DATOS!$I$2:$I$20000,"Coro"),""))</f>
        <v/>
      </c>
      <c r="P575" t="str">
        <f>IF(M575="","",IFERROR(AVERAGEIFS(DATOS!$K$2:$K$20000,DATOS!$A$2:$A$20000,M575,DATOS!$G$2:$G$20000,CONFIG_METADATA!$B$4,DATOS!$I$2:$I$20000,"Conjunto"),""))</f>
        <v/>
      </c>
      <c r="Q575" t="str">
        <f>IF(M575="","",IFERROR(AVERAGEIFS(DATOS!$K$2:$K$20000,DATOS!$A$2:$A$20000,M575,DATOS!$G$2:$G$20000,CONFIG_METADATA!$B$4,DATOS!$I$2:$I$20000,"&lt;&gt;Lenguaje Musical",DATOS!$I$2:$I$20000,"&lt;&gt;Coro",DATOS!$I$2:$I$20000,"&lt;&gt;Conjunto"),""))</f>
        <v/>
      </c>
      <c r="T575" t="str">
        <f>IF(S575="","",IFERROR(AVERAGEIFS(DATOS!$K$2:$K$20000,DATOS!$A$2:$A$20000,S575,DATOS!$G$2:$G$20000,CONFIG_METADATA!$B$4,DATOS!$I$2:$I$20000,"Lenguaje Musical"),""))</f>
        <v/>
      </c>
      <c r="U575" t="str">
        <f>IF(S575="","",IFERROR(AVERAGEIFS(DATOS!$K$2:$K$20000,DATOS!$A$2:$A$20000,S575,DATOS!$G$2:$G$20000,CONFIG_METADATA!$B$4,DATOS!$I$2:$I$20000,"Coro"),""))</f>
        <v/>
      </c>
      <c r="V575" t="str">
        <f>IF(S575="","",IFERROR(AVERAGEIFS(DATOS!$K$2:$K$20000,DATOS!$A$2:$A$20000,S575,DATOS!$G$2:$G$20000,CONFIG_METADATA!$B$4,DATOS!$I$2:$I$20000,"Conjunto"),""))</f>
        <v/>
      </c>
      <c r="W575" t="str" cm="1">
        <f t="array" ref="W575">IF(S575="","",IFERROR(AVERAGE(IF((DATOS!$A$2:$A$20000=S575)*(DATOS!$G$2:$G$20000=CONFIG_METADATA!$B$4)*(DATOS!$I$2:$I$20000&lt;&gt;"Lenguaje Musical")*(DATOS!$I$2:$I$20000&lt;&gt;"Coro")*(DATOS!$I$2:$I$20000&lt;&gt;"Conjunto"),DATOS!$K$2:$K$20000)),""))</f>
        <v/>
      </c>
    </row>
    <row r="576" spans="2:23" x14ac:dyDescent="0.2">
      <c r="B576" t="str">
        <f>IF(A576="","",IFERROR(AVERAGEIFS(DATOS!$K$2:$K$20000,DATOS!$A$2:$A$20000,A576,DATOS!$G$2:$G$20000,CONFIG_METADATA!$B$4,DATOS!$I$2:$I$20000,"Lenguaje Musical"),""))</f>
        <v/>
      </c>
      <c r="C576" t="str">
        <f>IF(A576="","",IFERROR(AVERAGEIFS(DATOS!$K$2:$K$20000,DATOS!$A$2:$A$20000,A576,DATOS!$G$2:$G$20000,CONFIG_METADATA!$B$4,DATOS!$I$2:$I$20000,"Coro"),""))</f>
        <v/>
      </c>
      <c r="D576" t="str">
        <f>IF(A576="","",IFERROR(AVERAGEIFS(DATOS!$K$2:$K$20000,DATOS!$A$2:$A$20000,A576,DATOS!$G$2:$G$20000,CONFIG_METADATA!$B$4,DATOS!$I$2:$I$20000,"Conjunto"),""))</f>
        <v/>
      </c>
      <c r="E576" t="str">
        <f>IF(A576="","",IFERROR(AVERAGEIFS(DATOS!$K$2:$K$20000,DATOS!$A$2:$A$20000,A576,DATOS!$G$2:$G$20000,CONFIG_METADATA!$B$4,DATOS!$I$2:$I$20000,"&lt;&gt;Lenguaje Musical",DATOS!$I$2:$I$20000,"&lt;&gt;Coro",DATOS!$I$2:$I$20000,"&lt;&gt;Conjunto"),""))</f>
        <v/>
      </c>
      <c r="H576" t="str">
        <f>IF(G576="","",IFERROR(AVERAGEIFS(DATOS!$K$2:$K$20000,DATOS!$A$2:$A$20000,G576,DATOS!$G$2:$G$20000,CONFIG_METADATA!$B$4,DATOS!$I$2:$I$20000,"Lenguaje Musical"),""))</f>
        <v/>
      </c>
      <c r="I576" t="str">
        <f>IF(G576="","",IFERROR(AVERAGEIFS(DATOS!$K$2:$K$20000,DATOS!$A$2:$A$20000,G576,DATOS!$G$2:$G$20000,CONFIG_METADATA!$B$4,DATOS!$I$2:$I$20000,"Coro"),""))</f>
        <v/>
      </c>
      <c r="J576" t="str">
        <f>IF(G576="","",IFERROR(AVERAGEIFS(DATOS!$K$2:$K$20000,DATOS!$A$2:$A$20000,G576,DATOS!$G$2:$G$20000,CONFIG_METADATA!$B$4,DATOS!$I$2:$I$20000,"Conjunto"),""))</f>
        <v/>
      </c>
      <c r="K576" t="str" cm="1">
        <f t="array" ref="K576">IF(G576="","",IFERROR(AVERAGE(IF((DATOS!$A$2:$A$20000=G576)*(DATOS!$G$2:$G$20000=CONFIG_METADATA!$B$4)*(DATOS!$I$2:$I$20000&lt;&gt;"Lenguaje Musical")*(DATOS!$I$2:$I$20000&lt;&gt;"Coro")*(DATOS!$I$2:$I$20000&lt;&gt;"Conjunto"),DATOS!$K$2:$K$20000)),""))</f>
        <v/>
      </c>
      <c r="N576" t="str">
        <f>IF(M576="","",IFERROR(AVERAGEIFS(DATOS!$K$2:$K$20000,DATOS!$A$2:$A$20000,M576,DATOS!$G$2:$G$20000,CONFIG_METADATA!$B$4,DATOS!$I$2:$I$20000,"Lenguaje Musical"),""))</f>
        <v/>
      </c>
      <c r="O576" t="str">
        <f>IF(M576="","",IFERROR(AVERAGEIFS(DATOS!$K$2:$K$20000,DATOS!$A$2:$A$20000,M576,DATOS!$G$2:$G$20000,CONFIG_METADATA!$B$4,DATOS!$I$2:$I$20000,"Coro"),""))</f>
        <v/>
      </c>
      <c r="P576" t="str">
        <f>IF(M576="","",IFERROR(AVERAGEIFS(DATOS!$K$2:$K$20000,DATOS!$A$2:$A$20000,M576,DATOS!$G$2:$G$20000,CONFIG_METADATA!$B$4,DATOS!$I$2:$I$20000,"Conjunto"),""))</f>
        <v/>
      </c>
      <c r="Q576" t="str">
        <f>IF(M576="","",IFERROR(AVERAGEIFS(DATOS!$K$2:$K$20000,DATOS!$A$2:$A$20000,M576,DATOS!$G$2:$G$20000,CONFIG_METADATA!$B$4,DATOS!$I$2:$I$20000,"&lt;&gt;Lenguaje Musical",DATOS!$I$2:$I$20000,"&lt;&gt;Coro",DATOS!$I$2:$I$20000,"&lt;&gt;Conjunto"),""))</f>
        <v/>
      </c>
      <c r="T576" t="str">
        <f>IF(S576="","",IFERROR(AVERAGEIFS(DATOS!$K$2:$K$20000,DATOS!$A$2:$A$20000,S576,DATOS!$G$2:$G$20000,CONFIG_METADATA!$B$4,DATOS!$I$2:$I$20000,"Lenguaje Musical"),""))</f>
        <v/>
      </c>
      <c r="U576" t="str">
        <f>IF(S576="","",IFERROR(AVERAGEIFS(DATOS!$K$2:$K$20000,DATOS!$A$2:$A$20000,S576,DATOS!$G$2:$G$20000,CONFIG_METADATA!$B$4,DATOS!$I$2:$I$20000,"Coro"),""))</f>
        <v/>
      </c>
      <c r="V576" t="str">
        <f>IF(S576="","",IFERROR(AVERAGEIFS(DATOS!$K$2:$K$20000,DATOS!$A$2:$A$20000,S576,DATOS!$G$2:$G$20000,CONFIG_METADATA!$B$4,DATOS!$I$2:$I$20000,"Conjunto"),""))</f>
        <v/>
      </c>
      <c r="W576" t="str" cm="1">
        <f t="array" ref="W576">IF(S576="","",IFERROR(AVERAGE(IF((DATOS!$A$2:$A$20000=S576)*(DATOS!$G$2:$G$20000=CONFIG_METADATA!$B$4)*(DATOS!$I$2:$I$20000&lt;&gt;"Lenguaje Musical")*(DATOS!$I$2:$I$20000&lt;&gt;"Coro")*(DATOS!$I$2:$I$20000&lt;&gt;"Conjunto"),DATOS!$K$2:$K$20000)),""))</f>
        <v/>
      </c>
    </row>
    <row r="577" spans="2:23" x14ac:dyDescent="0.2">
      <c r="B577" t="str">
        <f>IF(A577="","",IFERROR(AVERAGEIFS(DATOS!$K$2:$K$20000,DATOS!$A$2:$A$20000,A577,DATOS!$G$2:$G$20000,CONFIG_METADATA!$B$4,DATOS!$I$2:$I$20000,"Lenguaje Musical"),""))</f>
        <v/>
      </c>
      <c r="C577" t="str">
        <f>IF(A577="","",IFERROR(AVERAGEIFS(DATOS!$K$2:$K$20000,DATOS!$A$2:$A$20000,A577,DATOS!$G$2:$G$20000,CONFIG_METADATA!$B$4,DATOS!$I$2:$I$20000,"Coro"),""))</f>
        <v/>
      </c>
      <c r="D577" t="str">
        <f>IF(A577="","",IFERROR(AVERAGEIFS(DATOS!$K$2:$K$20000,DATOS!$A$2:$A$20000,A577,DATOS!$G$2:$G$20000,CONFIG_METADATA!$B$4,DATOS!$I$2:$I$20000,"Conjunto"),""))</f>
        <v/>
      </c>
      <c r="E577" t="str">
        <f>IF(A577="","",IFERROR(AVERAGEIFS(DATOS!$K$2:$K$20000,DATOS!$A$2:$A$20000,A577,DATOS!$G$2:$G$20000,CONFIG_METADATA!$B$4,DATOS!$I$2:$I$20000,"&lt;&gt;Lenguaje Musical",DATOS!$I$2:$I$20000,"&lt;&gt;Coro",DATOS!$I$2:$I$20000,"&lt;&gt;Conjunto"),""))</f>
        <v/>
      </c>
      <c r="H577" t="str">
        <f>IF(G577="","",IFERROR(AVERAGEIFS(DATOS!$K$2:$K$20000,DATOS!$A$2:$A$20000,G577,DATOS!$G$2:$G$20000,CONFIG_METADATA!$B$4,DATOS!$I$2:$I$20000,"Lenguaje Musical"),""))</f>
        <v/>
      </c>
      <c r="I577" t="str">
        <f>IF(G577="","",IFERROR(AVERAGEIFS(DATOS!$K$2:$K$20000,DATOS!$A$2:$A$20000,G577,DATOS!$G$2:$G$20000,CONFIG_METADATA!$B$4,DATOS!$I$2:$I$20000,"Coro"),""))</f>
        <v/>
      </c>
      <c r="J577" t="str">
        <f>IF(G577="","",IFERROR(AVERAGEIFS(DATOS!$K$2:$K$20000,DATOS!$A$2:$A$20000,G577,DATOS!$G$2:$G$20000,CONFIG_METADATA!$B$4,DATOS!$I$2:$I$20000,"Conjunto"),""))</f>
        <v/>
      </c>
      <c r="K577" t="str" cm="1">
        <f t="array" ref="K577">IF(G577="","",IFERROR(AVERAGE(IF((DATOS!$A$2:$A$20000=G577)*(DATOS!$G$2:$G$20000=CONFIG_METADATA!$B$4)*(DATOS!$I$2:$I$20000&lt;&gt;"Lenguaje Musical")*(DATOS!$I$2:$I$20000&lt;&gt;"Coro")*(DATOS!$I$2:$I$20000&lt;&gt;"Conjunto"),DATOS!$K$2:$K$20000)),""))</f>
        <v/>
      </c>
      <c r="N577" t="str">
        <f>IF(M577="","",IFERROR(AVERAGEIFS(DATOS!$K$2:$K$20000,DATOS!$A$2:$A$20000,M577,DATOS!$G$2:$G$20000,CONFIG_METADATA!$B$4,DATOS!$I$2:$I$20000,"Lenguaje Musical"),""))</f>
        <v/>
      </c>
      <c r="O577" t="str">
        <f>IF(M577="","",IFERROR(AVERAGEIFS(DATOS!$K$2:$K$20000,DATOS!$A$2:$A$20000,M577,DATOS!$G$2:$G$20000,CONFIG_METADATA!$B$4,DATOS!$I$2:$I$20000,"Coro"),""))</f>
        <v/>
      </c>
      <c r="P577" t="str">
        <f>IF(M577="","",IFERROR(AVERAGEIFS(DATOS!$K$2:$K$20000,DATOS!$A$2:$A$20000,M577,DATOS!$G$2:$G$20000,CONFIG_METADATA!$B$4,DATOS!$I$2:$I$20000,"Conjunto"),""))</f>
        <v/>
      </c>
      <c r="Q577" t="str">
        <f>IF(M577="","",IFERROR(AVERAGEIFS(DATOS!$K$2:$K$20000,DATOS!$A$2:$A$20000,M577,DATOS!$G$2:$G$20000,CONFIG_METADATA!$B$4,DATOS!$I$2:$I$20000,"&lt;&gt;Lenguaje Musical",DATOS!$I$2:$I$20000,"&lt;&gt;Coro",DATOS!$I$2:$I$20000,"&lt;&gt;Conjunto"),""))</f>
        <v/>
      </c>
      <c r="T577" t="str">
        <f>IF(S577="","",IFERROR(AVERAGEIFS(DATOS!$K$2:$K$20000,DATOS!$A$2:$A$20000,S577,DATOS!$G$2:$G$20000,CONFIG_METADATA!$B$4,DATOS!$I$2:$I$20000,"Lenguaje Musical"),""))</f>
        <v/>
      </c>
      <c r="U577" t="str">
        <f>IF(S577="","",IFERROR(AVERAGEIFS(DATOS!$K$2:$K$20000,DATOS!$A$2:$A$20000,S577,DATOS!$G$2:$G$20000,CONFIG_METADATA!$B$4,DATOS!$I$2:$I$20000,"Coro"),""))</f>
        <v/>
      </c>
      <c r="V577" t="str">
        <f>IF(S577="","",IFERROR(AVERAGEIFS(DATOS!$K$2:$K$20000,DATOS!$A$2:$A$20000,S577,DATOS!$G$2:$G$20000,CONFIG_METADATA!$B$4,DATOS!$I$2:$I$20000,"Conjunto"),""))</f>
        <v/>
      </c>
      <c r="W577" t="str" cm="1">
        <f t="array" ref="W577">IF(S577="","",IFERROR(AVERAGE(IF((DATOS!$A$2:$A$20000=S577)*(DATOS!$G$2:$G$20000=CONFIG_METADATA!$B$4)*(DATOS!$I$2:$I$20000&lt;&gt;"Lenguaje Musical")*(DATOS!$I$2:$I$20000&lt;&gt;"Coro")*(DATOS!$I$2:$I$20000&lt;&gt;"Conjunto"),DATOS!$K$2:$K$20000)),""))</f>
        <v/>
      </c>
    </row>
    <row r="578" spans="2:23" x14ac:dyDescent="0.2">
      <c r="B578" t="str">
        <f>IF(A578="","",IFERROR(AVERAGEIFS(DATOS!$K$2:$K$20000,DATOS!$A$2:$A$20000,A578,DATOS!$G$2:$G$20000,CONFIG_METADATA!$B$4,DATOS!$I$2:$I$20000,"Lenguaje Musical"),""))</f>
        <v/>
      </c>
      <c r="C578" t="str">
        <f>IF(A578="","",IFERROR(AVERAGEIFS(DATOS!$K$2:$K$20000,DATOS!$A$2:$A$20000,A578,DATOS!$G$2:$G$20000,CONFIG_METADATA!$B$4,DATOS!$I$2:$I$20000,"Coro"),""))</f>
        <v/>
      </c>
      <c r="D578" t="str">
        <f>IF(A578="","",IFERROR(AVERAGEIFS(DATOS!$K$2:$K$20000,DATOS!$A$2:$A$20000,A578,DATOS!$G$2:$G$20000,CONFIG_METADATA!$B$4,DATOS!$I$2:$I$20000,"Conjunto"),""))</f>
        <v/>
      </c>
      <c r="E578" t="str">
        <f>IF(A578="","",IFERROR(AVERAGEIFS(DATOS!$K$2:$K$20000,DATOS!$A$2:$A$20000,A578,DATOS!$G$2:$G$20000,CONFIG_METADATA!$B$4,DATOS!$I$2:$I$20000,"&lt;&gt;Lenguaje Musical",DATOS!$I$2:$I$20000,"&lt;&gt;Coro",DATOS!$I$2:$I$20000,"&lt;&gt;Conjunto"),""))</f>
        <v/>
      </c>
      <c r="H578" t="str">
        <f>IF(G578="","",IFERROR(AVERAGEIFS(DATOS!$K$2:$K$20000,DATOS!$A$2:$A$20000,G578,DATOS!$G$2:$G$20000,CONFIG_METADATA!$B$4,DATOS!$I$2:$I$20000,"Lenguaje Musical"),""))</f>
        <v/>
      </c>
      <c r="I578" t="str">
        <f>IF(G578="","",IFERROR(AVERAGEIFS(DATOS!$K$2:$K$20000,DATOS!$A$2:$A$20000,G578,DATOS!$G$2:$G$20000,CONFIG_METADATA!$B$4,DATOS!$I$2:$I$20000,"Coro"),""))</f>
        <v/>
      </c>
      <c r="J578" t="str">
        <f>IF(G578="","",IFERROR(AVERAGEIFS(DATOS!$K$2:$K$20000,DATOS!$A$2:$A$20000,G578,DATOS!$G$2:$G$20000,CONFIG_METADATA!$B$4,DATOS!$I$2:$I$20000,"Conjunto"),""))</f>
        <v/>
      </c>
      <c r="K578" t="str" cm="1">
        <f t="array" ref="K578">IF(G578="","",IFERROR(AVERAGE(IF((DATOS!$A$2:$A$20000=G578)*(DATOS!$G$2:$G$20000=CONFIG_METADATA!$B$4)*(DATOS!$I$2:$I$20000&lt;&gt;"Lenguaje Musical")*(DATOS!$I$2:$I$20000&lt;&gt;"Coro")*(DATOS!$I$2:$I$20000&lt;&gt;"Conjunto"),DATOS!$K$2:$K$20000)),""))</f>
        <v/>
      </c>
      <c r="N578" t="str">
        <f>IF(M578="","",IFERROR(AVERAGEIFS(DATOS!$K$2:$K$20000,DATOS!$A$2:$A$20000,M578,DATOS!$G$2:$G$20000,CONFIG_METADATA!$B$4,DATOS!$I$2:$I$20000,"Lenguaje Musical"),""))</f>
        <v/>
      </c>
      <c r="O578" t="str">
        <f>IF(M578="","",IFERROR(AVERAGEIFS(DATOS!$K$2:$K$20000,DATOS!$A$2:$A$20000,M578,DATOS!$G$2:$G$20000,CONFIG_METADATA!$B$4,DATOS!$I$2:$I$20000,"Coro"),""))</f>
        <v/>
      </c>
      <c r="P578" t="str">
        <f>IF(M578="","",IFERROR(AVERAGEIFS(DATOS!$K$2:$K$20000,DATOS!$A$2:$A$20000,M578,DATOS!$G$2:$G$20000,CONFIG_METADATA!$B$4,DATOS!$I$2:$I$20000,"Conjunto"),""))</f>
        <v/>
      </c>
      <c r="Q578" t="str">
        <f>IF(M578="","",IFERROR(AVERAGEIFS(DATOS!$K$2:$K$20000,DATOS!$A$2:$A$20000,M578,DATOS!$G$2:$G$20000,CONFIG_METADATA!$B$4,DATOS!$I$2:$I$20000,"&lt;&gt;Lenguaje Musical",DATOS!$I$2:$I$20000,"&lt;&gt;Coro",DATOS!$I$2:$I$20000,"&lt;&gt;Conjunto"),""))</f>
        <v/>
      </c>
      <c r="T578" t="str">
        <f>IF(S578="","",IFERROR(AVERAGEIFS(DATOS!$K$2:$K$20000,DATOS!$A$2:$A$20000,S578,DATOS!$G$2:$G$20000,CONFIG_METADATA!$B$4,DATOS!$I$2:$I$20000,"Lenguaje Musical"),""))</f>
        <v/>
      </c>
      <c r="U578" t="str">
        <f>IF(S578="","",IFERROR(AVERAGEIFS(DATOS!$K$2:$K$20000,DATOS!$A$2:$A$20000,S578,DATOS!$G$2:$G$20000,CONFIG_METADATA!$B$4,DATOS!$I$2:$I$20000,"Coro"),""))</f>
        <v/>
      </c>
      <c r="V578" t="str">
        <f>IF(S578="","",IFERROR(AVERAGEIFS(DATOS!$K$2:$K$20000,DATOS!$A$2:$A$20000,S578,DATOS!$G$2:$G$20000,CONFIG_METADATA!$B$4,DATOS!$I$2:$I$20000,"Conjunto"),""))</f>
        <v/>
      </c>
      <c r="W578" t="str" cm="1">
        <f t="array" ref="W578">IF(S578="","",IFERROR(AVERAGE(IF((DATOS!$A$2:$A$20000=S578)*(DATOS!$G$2:$G$20000=CONFIG_METADATA!$B$4)*(DATOS!$I$2:$I$20000&lt;&gt;"Lenguaje Musical")*(DATOS!$I$2:$I$20000&lt;&gt;"Coro")*(DATOS!$I$2:$I$20000&lt;&gt;"Conjunto"),DATOS!$K$2:$K$20000)),""))</f>
        <v/>
      </c>
    </row>
    <row r="579" spans="2:23" x14ac:dyDescent="0.2">
      <c r="B579" t="str">
        <f>IF(A579="","",IFERROR(AVERAGEIFS(DATOS!$K$2:$K$20000,DATOS!$A$2:$A$20000,A579,DATOS!$G$2:$G$20000,CONFIG_METADATA!$B$4,DATOS!$I$2:$I$20000,"Lenguaje Musical"),""))</f>
        <v/>
      </c>
      <c r="C579" t="str">
        <f>IF(A579="","",IFERROR(AVERAGEIFS(DATOS!$K$2:$K$20000,DATOS!$A$2:$A$20000,A579,DATOS!$G$2:$G$20000,CONFIG_METADATA!$B$4,DATOS!$I$2:$I$20000,"Coro"),""))</f>
        <v/>
      </c>
      <c r="D579" t="str">
        <f>IF(A579="","",IFERROR(AVERAGEIFS(DATOS!$K$2:$K$20000,DATOS!$A$2:$A$20000,A579,DATOS!$G$2:$G$20000,CONFIG_METADATA!$B$4,DATOS!$I$2:$I$20000,"Conjunto"),""))</f>
        <v/>
      </c>
      <c r="E579" t="str">
        <f>IF(A579="","",IFERROR(AVERAGEIFS(DATOS!$K$2:$K$20000,DATOS!$A$2:$A$20000,A579,DATOS!$G$2:$G$20000,CONFIG_METADATA!$B$4,DATOS!$I$2:$I$20000,"&lt;&gt;Lenguaje Musical",DATOS!$I$2:$I$20000,"&lt;&gt;Coro",DATOS!$I$2:$I$20000,"&lt;&gt;Conjunto"),""))</f>
        <v/>
      </c>
      <c r="H579" t="str">
        <f>IF(G579="","",IFERROR(AVERAGEIFS(DATOS!$K$2:$K$20000,DATOS!$A$2:$A$20000,G579,DATOS!$G$2:$G$20000,CONFIG_METADATA!$B$4,DATOS!$I$2:$I$20000,"Lenguaje Musical"),""))</f>
        <v/>
      </c>
      <c r="I579" t="str">
        <f>IF(G579="","",IFERROR(AVERAGEIFS(DATOS!$K$2:$K$20000,DATOS!$A$2:$A$20000,G579,DATOS!$G$2:$G$20000,CONFIG_METADATA!$B$4,DATOS!$I$2:$I$20000,"Coro"),""))</f>
        <v/>
      </c>
      <c r="J579" t="str">
        <f>IF(G579="","",IFERROR(AVERAGEIFS(DATOS!$K$2:$K$20000,DATOS!$A$2:$A$20000,G579,DATOS!$G$2:$G$20000,CONFIG_METADATA!$B$4,DATOS!$I$2:$I$20000,"Conjunto"),""))</f>
        <v/>
      </c>
      <c r="K579" t="str" cm="1">
        <f t="array" ref="K579">IF(G579="","",IFERROR(AVERAGE(IF((DATOS!$A$2:$A$20000=G579)*(DATOS!$G$2:$G$20000=CONFIG_METADATA!$B$4)*(DATOS!$I$2:$I$20000&lt;&gt;"Lenguaje Musical")*(DATOS!$I$2:$I$20000&lt;&gt;"Coro")*(DATOS!$I$2:$I$20000&lt;&gt;"Conjunto"),DATOS!$K$2:$K$20000)),""))</f>
        <v/>
      </c>
      <c r="N579" t="str">
        <f>IF(M579="","",IFERROR(AVERAGEIFS(DATOS!$K$2:$K$20000,DATOS!$A$2:$A$20000,M579,DATOS!$G$2:$G$20000,CONFIG_METADATA!$B$4,DATOS!$I$2:$I$20000,"Lenguaje Musical"),""))</f>
        <v/>
      </c>
      <c r="O579" t="str">
        <f>IF(M579="","",IFERROR(AVERAGEIFS(DATOS!$K$2:$K$20000,DATOS!$A$2:$A$20000,M579,DATOS!$G$2:$G$20000,CONFIG_METADATA!$B$4,DATOS!$I$2:$I$20000,"Coro"),""))</f>
        <v/>
      </c>
      <c r="P579" t="str">
        <f>IF(M579="","",IFERROR(AVERAGEIFS(DATOS!$K$2:$K$20000,DATOS!$A$2:$A$20000,M579,DATOS!$G$2:$G$20000,CONFIG_METADATA!$B$4,DATOS!$I$2:$I$20000,"Conjunto"),""))</f>
        <v/>
      </c>
      <c r="Q579" t="str">
        <f>IF(M579="","",IFERROR(AVERAGEIFS(DATOS!$K$2:$K$20000,DATOS!$A$2:$A$20000,M579,DATOS!$G$2:$G$20000,CONFIG_METADATA!$B$4,DATOS!$I$2:$I$20000,"&lt;&gt;Lenguaje Musical",DATOS!$I$2:$I$20000,"&lt;&gt;Coro",DATOS!$I$2:$I$20000,"&lt;&gt;Conjunto"),""))</f>
        <v/>
      </c>
      <c r="T579" t="str">
        <f>IF(S579="","",IFERROR(AVERAGEIFS(DATOS!$K$2:$K$20000,DATOS!$A$2:$A$20000,S579,DATOS!$G$2:$G$20000,CONFIG_METADATA!$B$4,DATOS!$I$2:$I$20000,"Lenguaje Musical"),""))</f>
        <v/>
      </c>
      <c r="U579" t="str">
        <f>IF(S579="","",IFERROR(AVERAGEIFS(DATOS!$K$2:$K$20000,DATOS!$A$2:$A$20000,S579,DATOS!$G$2:$G$20000,CONFIG_METADATA!$B$4,DATOS!$I$2:$I$20000,"Coro"),""))</f>
        <v/>
      </c>
      <c r="V579" t="str">
        <f>IF(S579="","",IFERROR(AVERAGEIFS(DATOS!$K$2:$K$20000,DATOS!$A$2:$A$20000,S579,DATOS!$G$2:$G$20000,CONFIG_METADATA!$B$4,DATOS!$I$2:$I$20000,"Conjunto"),""))</f>
        <v/>
      </c>
      <c r="W579" t="str" cm="1">
        <f t="array" ref="W579">IF(S579="","",IFERROR(AVERAGE(IF((DATOS!$A$2:$A$20000=S579)*(DATOS!$G$2:$G$20000=CONFIG_METADATA!$B$4)*(DATOS!$I$2:$I$20000&lt;&gt;"Lenguaje Musical")*(DATOS!$I$2:$I$20000&lt;&gt;"Coro")*(DATOS!$I$2:$I$20000&lt;&gt;"Conjunto"),DATOS!$K$2:$K$20000)),""))</f>
        <v/>
      </c>
    </row>
    <row r="580" spans="2:23" x14ac:dyDescent="0.2">
      <c r="B580" t="str">
        <f>IF(A580="","",IFERROR(AVERAGEIFS(DATOS!$K$2:$K$20000,DATOS!$A$2:$A$20000,A580,DATOS!$G$2:$G$20000,CONFIG_METADATA!$B$4,DATOS!$I$2:$I$20000,"Lenguaje Musical"),""))</f>
        <v/>
      </c>
      <c r="C580" t="str">
        <f>IF(A580="","",IFERROR(AVERAGEIFS(DATOS!$K$2:$K$20000,DATOS!$A$2:$A$20000,A580,DATOS!$G$2:$G$20000,CONFIG_METADATA!$B$4,DATOS!$I$2:$I$20000,"Coro"),""))</f>
        <v/>
      </c>
      <c r="D580" t="str">
        <f>IF(A580="","",IFERROR(AVERAGEIFS(DATOS!$K$2:$K$20000,DATOS!$A$2:$A$20000,A580,DATOS!$G$2:$G$20000,CONFIG_METADATA!$B$4,DATOS!$I$2:$I$20000,"Conjunto"),""))</f>
        <v/>
      </c>
      <c r="E580" t="str">
        <f>IF(A580="","",IFERROR(AVERAGEIFS(DATOS!$K$2:$K$20000,DATOS!$A$2:$A$20000,A580,DATOS!$G$2:$G$20000,CONFIG_METADATA!$B$4,DATOS!$I$2:$I$20000,"&lt;&gt;Lenguaje Musical",DATOS!$I$2:$I$20000,"&lt;&gt;Coro",DATOS!$I$2:$I$20000,"&lt;&gt;Conjunto"),""))</f>
        <v/>
      </c>
      <c r="H580" t="str">
        <f>IF(G580="","",IFERROR(AVERAGEIFS(DATOS!$K$2:$K$20000,DATOS!$A$2:$A$20000,G580,DATOS!$G$2:$G$20000,CONFIG_METADATA!$B$4,DATOS!$I$2:$I$20000,"Lenguaje Musical"),""))</f>
        <v/>
      </c>
      <c r="I580" t="str">
        <f>IF(G580="","",IFERROR(AVERAGEIFS(DATOS!$K$2:$K$20000,DATOS!$A$2:$A$20000,G580,DATOS!$G$2:$G$20000,CONFIG_METADATA!$B$4,DATOS!$I$2:$I$20000,"Coro"),""))</f>
        <v/>
      </c>
      <c r="J580" t="str">
        <f>IF(G580="","",IFERROR(AVERAGEIFS(DATOS!$K$2:$K$20000,DATOS!$A$2:$A$20000,G580,DATOS!$G$2:$G$20000,CONFIG_METADATA!$B$4,DATOS!$I$2:$I$20000,"Conjunto"),""))</f>
        <v/>
      </c>
      <c r="K580" t="str" cm="1">
        <f t="array" ref="K580">IF(G580="","",IFERROR(AVERAGE(IF((DATOS!$A$2:$A$20000=G580)*(DATOS!$G$2:$G$20000=CONFIG_METADATA!$B$4)*(DATOS!$I$2:$I$20000&lt;&gt;"Lenguaje Musical")*(DATOS!$I$2:$I$20000&lt;&gt;"Coro")*(DATOS!$I$2:$I$20000&lt;&gt;"Conjunto"),DATOS!$K$2:$K$20000)),""))</f>
        <v/>
      </c>
      <c r="N580" t="str">
        <f>IF(M580="","",IFERROR(AVERAGEIFS(DATOS!$K$2:$K$20000,DATOS!$A$2:$A$20000,M580,DATOS!$G$2:$G$20000,CONFIG_METADATA!$B$4,DATOS!$I$2:$I$20000,"Lenguaje Musical"),""))</f>
        <v/>
      </c>
      <c r="O580" t="str">
        <f>IF(M580="","",IFERROR(AVERAGEIFS(DATOS!$K$2:$K$20000,DATOS!$A$2:$A$20000,M580,DATOS!$G$2:$G$20000,CONFIG_METADATA!$B$4,DATOS!$I$2:$I$20000,"Coro"),""))</f>
        <v/>
      </c>
      <c r="P580" t="str">
        <f>IF(M580="","",IFERROR(AVERAGEIFS(DATOS!$K$2:$K$20000,DATOS!$A$2:$A$20000,M580,DATOS!$G$2:$G$20000,CONFIG_METADATA!$B$4,DATOS!$I$2:$I$20000,"Conjunto"),""))</f>
        <v/>
      </c>
      <c r="Q580" t="str">
        <f>IF(M580="","",IFERROR(AVERAGEIFS(DATOS!$K$2:$K$20000,DATOS!$A$2:$A$20000,M580,DATOS!$G$2:$G$20000,CONFIG_METADATA!$B$4,DATOS!$I$2:$I$20000,"&lt;&gt;Lenguaje Musical",DATOS!$I$2:$I$20000,"&lt;&gt;Coro",DATOS!$I$2:$I$20000,"&lt;&gt;Conjunto"),""))</f>
        <v/>
      </c>
      <c r="T580" t="str">
        <f>IF(S580="","",IFERROR(AVERAGEIFS(DATOS!$K$2:$K$20000,DATOS!$A$2:$A$20000,S580,DATOS!$G$2:$G$20000,CONFIG_METADATA!$B$4,DATOS!$I$2:$I$20000,"Lenguaje Musical"),""))</f>
        <v/>
      </c>
      <c r="U580" t="str">
        <f>IF(S580="","",IFERROR(AVERAGEIFS(DATOS!$K$2:$K$20000,DATOS!$A$2:$A$20000,S580,DATOS!$G$2:$G$20000,CONFIG_METADATA!$B$4,DATOS!$I$2:$I$20000,"Coro"),""))</f>
        <v/>
      </c>
      <c r="V580" t="str">
        <f>IF(S580="","",IFERROR(AVERAGEIFS(DATOS!$K$2:$K$20000,DATOS!$A$2:$A$20000,S580,DATOS!$G$2:$G$20000,CONFIG_METADATA!$B$4,DATOS!$I$2:$I$20000,"Conjunto"),""))</f>
        <v/>
      </c>
      <c r="W580" t="str" cm="1">
        <f t="array" ref="W580">IF(S580="","",IFERROR(AVERAGE(IF((DATOS!$A$2:$A$20000=S580)*(DATOS!$G$2:$G$20000=CONFIG_METADATA!$B$4)*(DATOS!$I$2:$I$20000&lt;&gt;"Lenguaje Musical")*(DATOS!$I$2:$I$20000&lt;&gt;"Coro")*(DATOS!$I$2:$I$20000&lt;&gt;"Conjunto"),DATOS!$K$2:$K$20000)),""))</f>
        <v/>
      </c>
    </row>
    <row r="581" spans="2:23" x14ac:dyDescent="0.2">
      <c r="B581" t="str">
        <f>IF(A581="","",IFERROR(AVERAGEIFS(DATOS!$K$2:$K$20000,DATOS!$A$2:$A$20000,A581,DATOS!$G$2:$G$20000,CONFIG_METADATA!$B$4,DATOS!$I$2:$I$20000,"Lenguaje Musical"),""))</f>
        <v/>
      </c>
      <c r="C581" t="str">
        <f>IF(A581="","",IFERROR(AVERAGEIFS(DATOS!$K$2:$K$20000,DATOS!$A$2:$A$20000,A581,DATOS!$G$2:$G$20000,CONFIG_METADATA!$B$4,DATOS!$I$2:$I$20000,"Coro"),""))</f>
        <v/>
      </c>
      <c r="D581" t="str">
        <f>IF(A581="","",IFERROR(AVERAGEIFS(DATOS!$K$2:$K$20000,DATOS!$A$2:$A$20000,A581,DATOS!$G$2:$G$20000,CONFIG_METADATA!$B$4,DATOS!$I$2:$I$20000,"Conjunto"),""))</f>
        <v/>
      </c>
      <c r="E581" t="str">
        <f>IF(A581="","",IFERROR(AVERAGEIFS(DATOS!$K$2:$K$20000,DATOS!$A$2:$A$20000,A581,DATOS!$G$2:$G$20000,CONFIG_METADATA!$B$4,DATOS!$I$2:$I$20000,"&lt;&gt;Lenguaje Musical",DATOS!$I$2:$I$20000,"&lt;&gt;Coro",DATOS!$I$2:$I$20000,"&lt;&gt;Conjunto"),""))</f>
        <v/>
      </c>
      <c r="H581" t="str">
        <f>IF(G581="","",IFERROR(AVERAGEIFS(DATOS!$K$2:$K$20000,DATOS!$A$2:$A$20000,G581,DATOS!$G$2:$G$20000,CONFIG_METADATA!$B$4,DATOS!$I$2:$I$20000,"Lenguaje Musical"),""))</f>
        <v/>
      </c>
      <c r="I581" t="str">
        <f>IF(G581="","",IFERROR(AVERAGEIFS(DATOS!$K$2:$K$20000,DATOS!$A$2:$A$20000,G581,DATOS!$G$2:$G$20000,CONFIG_METADATA!$B$4,DATOS!$I$2:$I$20000,"Coro"),""))</f>
        <v/>
      </c>
      <c r="J581" t="str">
        <f>IF(G581="","",IFERROR(AVERAGEIFS(DATOS!$K$2:$K$20000,DATOS!$A$2:$A$20000,G581,DATOS!$G$2:$G$20000,CONFIG_METADATA!$B$4,DATOS!$I$2:$I$20000,"Conjunto"),""))</f>
        <v/>
      </c>
      <c r="K581" t="str" cm="1">
        <f t="array" ref="K581">IF(G581="","",IFERROR(AVERAGE(IF((DATOS!$A$2:$A$20000=G581)*(DATOS!$G$2:$G$20000=CONFIG_METADATA!$B$4)*(DATOS!$I$2:$I$20000&lt;&gt;"Lenguaje Musical")*(DATOS!$I$2:$I$20000&lt;&gt;"Coro")*(DATOS!$I$2:$I$20000&lt;&gt;"Conjunto"),DATOS!$K$2:$K$20000)),""))</f>
        <v/>
      </c>
      <c r="N581" t="str">
        <f>IF(M581="","",IFERROR(AVERAGEIFS(DATOS!$K$2:$K$20000,DATOS!$A$2:$A$20000,M581,DATOS!$G$2:$G$20000,CONFIG_METADATA!$B$4,DATOS!$I$2:$I$20000,"Lenguaje Musical"),""))</f>
        <v/>
      </c>
      <c r="O581" t="str">
        <f>IF(M581="","",IFERROR(AVERAGEIFS(DATOS!$K$2:$K$20000,DATOS!$A$2:$A$20000,M581,DATOS!$G$2:$G$20000,CONFIG_METADATA!$B$4,DATOS!$I$2:$I$20000,"Coro"),""))</f>
        <v/>
      </c>
      <c r="P581" t="str">
        <f>IF(M581="","",IFERROR(AVERAGEIFS(DATOS!$K$2:$K$20000,DATOS!$A$2:$A$20000,M581,DATOS!$G$2:$G$20000,CONFIG_METADATA!$B$4,DATOS!$I$2:$I$20000,"Conjunto"),""))</f>
        <v/>
      </c>
      <c r="Q581" t="str">
        <f>IF(M581="","",IFERROR(AVERAGEIFS(DATOS!$K$2:$K$20000,DATOS!$A$2:$A$20000,M581,DATOS!$G$2:$G$20000,CONFIG_METADATA!$B$4,DATOS!$I$2:$I$20000,"&lt;&gt;Lenguaje Musical",DATOS!$I$2:$I$20000,"&lt;&gt;Coro",DATOS!$I$2:$I$20000,"&lt;&gt;Conjunto"),""))</f>
        <v/>
      </c>
      <c r="T581" t="str">
        <f>IF(S581="","",IFERROR(AVERAGEIFS(DATOS!$K$2:$K$20000,DATOS!$A$2:$A$20000,S581,DATOS!$G$2:$G$20000,CONFIG_METADATA!$B$4,DATOS!$I$2:$I$20000,"Lenguaje Musical"),""))</f>
        <v/>
      </c>
      <c r="U581" t="str">
        <f>IF(S581="","",IFERROR(AVERAGEIFS(DATOS!$K$2:$K$20000,DATOS!$A$2:$A$20000,S581,DATOS!$G$2:$G$20000,CONFIG_METADATA!$B$4,DATOS!$I$2:$I$20000,"Coro"),""))</f>
        <v/>
      </c>
      <c r="V581" t="str">
        <f>IF(S581="","",IFERROR(AVERAGEIFS(DATOS!$K$2:$K$20000,DATOS!$A$2:$A$20000,S581,DATOS!$G$2:$G$20000,CONFIG_METADATA!$B$4,DATOS!$I$2:$I$20000,"Conjunto"),""))</f>
        <v/>
      </c>
      <c r="W581" t="str" cm="1">
        <f t="array" ref="W581">IF(S581="","",IFERROR(AVERAGE(IF((DATOS!$A$2:$A$20000=S581)*(DATOS!$G$2:$G$20000=CONFIG_METADATA!$B$4)*(DATOS!$I$2:$I$20000&lt;&gt;"Lenguaje Musical")*(DATOS!$I$2:$I$20000&lt;&gt;"Coro")*(DATOS!$I$2:$I$20000&lt;&gt;"Conjunto"),DATOS!$K$2:$K$20000)),""))</f>
        <v/>
      </c>
    </row>
    <row r="582" spans="2:23" x14ac:dyDescent="0.2">
      <c r="B582" t="str">
        <f>IF(A582="","",IFERROR(AVERAGEIFS(DATOS!$K$2:$K$20000,DATOS!$A$2:$A$20000,A582,DATOS!$G$2:$G$20000,CONFIG_METADATA!$B$4,DATOS!$I$2:$I$20000,"Lenguaje Musical"),""))</f>
        <v/>
      </c>
      <c r="C582" t="str">
        <f>IF(A582="","",IFERROR(AVERAGEIFS(DATOS!$K$2:$K$20000,DATOS!$A$2:$A$20000,A582,DATOS!$G$2:$G$20000,CONFIG_METADATA!$B$4,DATOS!$I$2:$I$20000,"Coro"),""))</f>
        <v/>
      </c>
      <c r="D582" t="str">
        <f>IF(A582="","",IFERROR(AVERAGEIFS(DATOS!$K$2:$K$20000,DATOS!$A$2:$A$20000,A582,DATOS!$G$2:$G$20000,CONFIG_METADATA!$B$4,DATOS!$I$2:$I$20000,"Conjunto"),""))</f>
        <v/>
      </c>
      <c r="E582" t="str">
        <f>IF(A582="","",IFERROR(AVERAGEIFS(DATOS!$K$2:$K$20000,DATOS!$A$2:$A$20000,A582,DATOS!$G$2:$G$20000,CONFIG_METADATA!$B$4,DATOS!$I$2:$I$20000,"&lt;&gt;Lenguaje Musical",DATOS!$I$2:$I$20000,"&lt;&gt;Coro",DATOS!$I$2:$I$20000,"&lt;&gt;Conjunto"),""))</f>
        <v/>
      </c>
      <c r="H582" t="str">
        <f>IF(G582="","",IFERROR(AVERAGEIFS(DATOS!$K$2:$K$20000,DATOS!$A$2:$A$20000,G582,DATOS!$G$2:$G$20000,CONFIG_METADATA!$B$4,DATOS!$I$2:$I$20000,"Lenguaje Musical"),""))</f>
        <v/>
      </c>
      <c r="I582" t="str">
        <f>IF(G582="","",IFERROR(AVERAGEIFS(DATOS!$K$2:$K$20000,DATOS!$A$2:$A$20000,G582,DATOS!$G$2:$G$20000,CONFIG_METADATA!$B$4,DATOS!$I$2:$I$20000,"Coro"),""))</f>
        <v/>
      </c>
      <c r="J582" t="str">
        <f>IF(G582="","",IFERROR(AVERAGEIFS(DATOS!$K$2:$K$20000,DATOS!$A$2:$A$20000,G582,DATOS!$G$2:$G$20000,CONFIG_METADATA!$B$4,DATOS!$I$2:$I$20000,"Conjunto"),""))</f>
        <v/>
      </c>
      <c r="K582" t="str" cm="1">
        <f t="array" ref="K582">IF(G582="","",IFERROR(AVERAGE(IF((DATOS!$A$2:$A$20000=G582)*(DATOS!$G$2:$G$20000=CONFIG_METADATA!$B$4)*(DATOS!$I$2:$I$20000&lt;&gt;"Lenguaje Musical")*(DATOS!$I$2:$I$20000&lt;&gt;"Coro")*(DATOS!$I$2:$I$20000&lt;&gt;"Conjunto"),DATOS!$K$2:$K$20000)),""))</f>
        <v/>
      </c>
      <c r="N582" t="str">
        <f>IF(M582="","",IFERROR(AVERAGEIFS(DATOS!$K$2:$K$20000,DATOS!$A$2:$A$20000,M582,DATOS!$G$2:$G$20000,CONFIG_METADATA!$B$4,DATOS!$I$2:$I$20000,"Lenguaje Musical"),""))</f>
        <v/>
      </c>
      <c r="O582" t="str">
        <f>IF(M582="","",IFERROR(AVERAGEIFS(DATOS!$K$2:$K$20000,DATOS!$A$2:$A$20000,M582,DATOS!$G$2:$G$20000,CONFIG_METADATA!$B$4,DATOS!$I$2:$I$20000,"Coro"),""))</f>
        <v/>
      </c>
      <c r="P582" t="str">
        <f>IF(M582="","",IFERROR(AVERAGEIFS(DATOS!$K$2:$K$20000,DATOS!$A$2:$A$20000,M582,DATOS!$G$2:$G$20000,CONFIG_METADATA!$B$4,DATOS!$I$2:$I$20000,"Conjunto"),""))</f>
        <v/>
      </c>
      <c r="Q582" t="str">
        <f>IF(M582="","",IFERROR(AVERAGEIFS(DATOS!$K$2:$K$20000,DATOS!$A$2:$A$20000,M582,DATOS!$G$2:$G$20000,CONFIG_METADATA!$B$4,DATOS!$I$2:$I$20000,"&lt;&gt;Lenguaje Musical",DATOS!$I$2:$I$20000,"&lt;&gt;Coro",DATOS!$I$2:$I$20000,"&lt;&gt;Conjunto"),""))</f>
        <v/>
      </c>
      <c r="T582" t="str">
        <f>IF(S582="","",IFERROR(AVERAGEIFS(DATOS!$K$2:$K$20000,DATOS!$A$2:$A$20000,S582,DATOS!$G$2:$G$20000,CONFIG_METADATA!$B$4,DATOS!$I$2:$I$20000,"Lenguaje Musical"),""))</f>
        <v/>
      </c>
      <c r="U582" t="str">
        <f>IF(S582="","",IFERROR(AVERAGEIFS(DATOS!$K$2:$K$20000,DATOS!$A$2:$A$20000,S582,DATOS!$G$2:$G$20000,CONFIG_METADATA!$B$4,DATOS!$I$2:$I$20000,"Coro"),""))</f>
        <v/>
      </c>
      <c r="V582" t="str">
        <f>IF(S582="","",IFERROR(AVERAGEIFS(DATOS!$K$2:$K$20000,DATOS!$A$2:$A$20000,S582,DATOS!$G$2:$G$20000,CONFIG_METADATA!$B$4,DATOS!$I$2:$I$20000,"Conjunto"),""))</f>
        <v/>
      </c>
      <c r="W582" t="str" cm="1">
        <f t="array" ref="W582">IF(S582="","",IFERROR(AVERAGE(IF((DATOS!$A$2:$A$20000=S582)*(DATOS!$G$2:$G$20000=CONFIG_METADATA!$B$4)*(DATOS!$I$2:$I$20000&lt;&gt;"Lenguaje Musical")*(DATOS!$I$2:$I$20000&lt;&gt;"Coro")*(DATOS!$I$2:$I$20000&lt;&gt;"Conjunto"),DATOS!$K$2:$K$20000)),""))</f>
        <v/>
      </c>
    </row>
    <row r="583" spans="2:23" x14ac:dyDescent="0.2">
      <c r="B583" t="str">
        <f>IF(A583="","",IFERROR(AVERAGEIFS(DATOS!$K$2:$K$20000,DATOS!$A$2:$A$20000,A583,DATOS!$G$2:$G$20000,CONFIG_METADATA!$B$4,DATOS!$I$2:$I$20000,"Lenguaje Musical"),""))</f>
        <v/>
      </c>
      <c r="C583" t="str">
        <f>IF(A583="","",IFERROR(AVERAGEIFS(DATOS!$K$2:$K$20000,DATOS!$A$2:$A$20000,A583,DATOS!$G$2:$G$20000,CONFIG_METADATA!$B$4,DATOS!$I$2:$I$20000,"Coro"),""))</f>
        <v/>
      </c>
      <c r="D583" t="str">
        <f>IF(A583="","",IFERROR(AVERAGEIFS(DATOS!$K$2:$K$20000,DATOS!$A$2:$A$20000,A583,DATOS!$G$2:$G$20000,CONFIG_METADATA!$B$4,DATOS!$I$2:$I$20000,"Conjunto"),""))</f>
        <v/>
      </c>
      <c r="E583" t="str">
        <f>IF(A583="","",IFERROR(AVERAGEIFS(DATOS!$K$2:$K$20000,DATOS!$A$2:$A$20000,A583,DATOS!$G$2:$G$20000,CONFIG_METADATA!$B$4,DATOS!$I$2:$I$20000,"&lt;&gt;Lenguaje Musical",DATOS!$I$2:$I$20000,"&lt;&gt;Coro",DATOS!$I$2:$I$20000,"&lt;&gt;Conjunto"),""))</f>
        <v/>
      </c>
      <c r="H583" t="str">
        <f>IF(G583="","",IFERROR(AVERAGEIFS(DATOS!$K$2:$K$20000,DATOS!$A$2:$A$20000,G583,DATOS!$G$2:$G$20000,CONFIG_METADATA!$B$4,DATOS!$I$2:$I$20000,"Lenguaje Musical"),""))</f>
        <v/>
      </c>
      <c r="I583" t="str">
        <f>IF(G583="","",IFERROR(AVERAGEIFS(DATOS!$K$2:$K$20000,DATOS!$A$2:$A$20000,G583,DATOS!$G$2:$G$20000,CONFIG_METADATA!$B$4,DATOS!$I$2:$I$20000,"Coro"),""))</f>
        <v/>
      </c>
      <c r="J583" t="str">
        <f>IF(G583="","",IFERROR(AVERAGEIFS(DATOS!$K$2:$K$20000,DATOS!$A$2:$A$20000,G583,DATOS!$G$2:$G$20000,CONFIG_METADATA!$B$4,DATOS!$I$2:$I$20000,"Conjunto"),""))</f>
        <v/>
      </c>
      <c r="K583" t="str" cm="1">
        <f t="array" ref="K583">IF(G583="","",IFERROR(AVERAGE(IF((DATOS!$A$2:$A$20000=G583)*(DATOS!$G$2:$G$20000=CONFIG_METADATA!$B$4)*(DATOS!$I$2:$I$20000&lt;&gt;"Lenguaje Musical")*(DATOS!$I$2:$I$20000&lt;&gt;"Coro")*(DATOS!$I$2:$I$20000&lt;&gt;"Conjunto"),DATOS!$K$2:$K$20000)),""))</f>
        <v/>
      </c>
      <c r="N583" t="str">
        <f>IF(M583="","",IFERROR(AVERAGEIFS(DATOS!$K$2:$K$20000,DATOS!$A$2:$A$20000,M583,DATOS!$G$2:$G$20000,CONFIG_METADATA!$B$4,DATOS!$I$2:$I$20000,"Lenguaje Musical"),""))</f>
        <v/>
      </c>
      <c r="O583" t="str">
        <f>IF(M583="","",IFERROR(AVERAGEIFS(DATOS!$K$2:$K$20000,DATOS!$A$2:$A$20000,M583,DATOS!$G$2:$G$20000,CONFIG_METADATA!$B$4,DATOS!$I$2:$I$20000,"Coro"),""))</f>
        <v/>
      </c>
      <c r="P583" t="str">
        <f>IF(M583="","",IFERROR(AVERAGEIFS(DATOS!$K$2:$K$20000,DATOS!$A$2:$A$20000,M583,DATOS!$G$2:$G$20000,CONFIG_METADATA!$B$4,DATOS!$I$2:$I$20000,"Conjunto"),""))</f>
        <v/>
      </c>
      <c r="Q583" t="str">
        <f>IF(M583="","",IFERROR(AVERAGEIFS(DATOS!$K$2:$K$20000,DATOS!$A$2:$A$20000,M583,DATOS!$G$2:$G$20000,CONFIG_METADATA!$B$4,DATOS!$I$2:$I$20000,"&lt;&gt;Lenguaje Musical",DATOS!$I$2:$I$20000,"&lt;&gt;Coro",DATOS!$I$2:$I$20000,"&lt;&gt;Conjunto"),""))</f>
        <v/>
      </c>
      <c r="T583" t="str">
        <f>IF(S583="","",IFERROR(AVERAGEIFS(DATOS!$K$2:$K$20000,DATOS!$A$2:$A$20000,S583,DATOS!$G$2:$G$20000,CONFIG_METADATA!$B$4,DATOS!$I$2:$I$20000,"Lenguaje Musical"),""))</f>
        <v/>
      </c>
      <c r="U583" t="str">
        <f>IF(S583="","",IFERROR(AVERAGEIFS(DATOS!$K$2:$K$20000,DATOS!$A$2:$A$20000,S583,DATOS!$G$2:$G$20000,CONFIG_METADATA!$B$4,DATOS!$I$2:$I$20000,"Coro"),""))</f>
        <v/>
      </c>
      <c r="V583" t="str">
        <f>IF(S583="","",IFERROR(AVERAGEIFS(DATOS!$K$2:$K$20000,DATOS!$A$2:$A$20000,S583,DATOS!$G$2:$G$20000,CONFIG_METADATA!$B$4,DATOS!$I$2:$I$20000,"Conjunto"),""))</f>
        <v/>
      </c>
      <c r="W583" t="str" cm="1">
        <f t="array" ref="W583">IF(S583="","",IFERROR(AVERAGE(IF((DATOS!$A$2:$A$20000=S583)*(DATOS!$G$2:$G$20000=CONFIG_METADATA!$B$4)*(DATOS!$I$2:$I$20000&lt;&gt;"Lenguaje Musical")*(DATOS!$I$2:$I$20000&lt;&gt;"Coro")*(DATOS!$I$2:$I$20000&lt;&gt;"Conjunto"),DATOS!$K$2:$K$20000)),""))</f>
        <v/>
      </c>
    </row>
    <row r="584" spans="2:23" x14ac:dyDescent="0.2">
      <c r="B584" t="str">
        <f>IF(A584="","",IFERROR(AVERAGEIFS(DATOS!$K$2:$K$20000,DATOS!$A$2:$A$20000,A584,DATOS!$G$2:$G$20000,CONFIG_METADATA!$B$4,DATOS!$I$2:$I$20000,"Lenguaje Musical"),""))</f>
        <v/>
      </c>
      <c r="C584" t="str">
        <f>IF(A584="","",IFERROR(AVERAGEIFS(DATOS!$K$2:$K$20000,DATOS!$A$2:$A$20000,A584,DATOS!$G$2:$G$20000,CONFIG_METADATA!$B$4,DATOS!$I$2:$I$20000,"Coro"),""))</f>
        <v/>
      </c>
      <c r="D584" t="str">
        <f>IF(A584="","",IFERROR(AVERAGEIFS(DATOS!$K$2:$K$20000,DATOS!$A$2:$A$20000,A584,DATOS!$G$2:$G$20000,CONFIG_METADATA!$B$4,DATOS!$I$2:$I$20000,"Conjunto"),""))</f>
        <v/>
      </c>
      <c r="E584" t="str">
        <f>IF(A584="","",IFERROR(AVERAGEIFS(DATOS!$K$2:$K$20000,DATOS!$A$2:$A$20000,A584,DATOS!$G$2:$G$20000,CONFIG_METADATA!$B$4,DATOS!$I$2:$I$20000,"&lt;&gt;Lenguaje Musical",DATOS!$I$2:$I$20000,"&lt;&gt;Coro",DATOS!$I$2:$I$20000,"&lt;&gt;Conjunto"),""))</f>
        <v/>
      </c>
      <c r="H584" t="str">
        <f>IF(G584="","",IFERROR(AVERAGEIFS(DATOS!$K$2:$K$20000,DATOS!$A$2:$A$20000,G584,DATOS!$G$2:$G$20000,CONFIG_METADATA!$B$4,DATOS!$I$2:$I$20000,"Lenguaje Musical"),""))</f>
        <v/>
      </c>
      <c r="I584" t="str">
        <f>IF(G584="","",IFERROR(AVERAGEIFS(DATOS!$K$2:$K$20000,DATOS!$A$2:$A$20000,G584,DATOS!$G$2:$G$20000,CONFIG_METADATA!$B$4,DATOS!$I$2:$I$20000,"Coro"),""))</f>
        <v/>
      </c>
      <c r="J584" t="str">
        <f>IF(G584="","",IFERROR(AVERAGEIFS(DATOS!$K$2:$K$20000,DATOS!$A$2:$A$20000,G584,DATOS!$G$2:$G$20000,CONFIG_METADATA!$B$4,DATOS!$I$2:$I$20000,"Conjunto"),""))</f>
        <v/>
      </c>
      <c r="K584" t="str" cm="1">
        <f t="array" ref="K584">IF(G584="","",IFERROR(AVERAGE(IF((DATOS!$A$2:$A$20000=G584)*(DATOS!$G$2:$G$20000=CONFIG_METADATA!$B$4)*(DATOS!$I$2:$I$20000&lt;&gt;"Lenguaje Musical")*(DATOS!$I$2:$I$20000&lt;&gt;"Coro")*(DATOS!$I$2:$I$20000&lt;&gt;"Conjunto"),DATOS!$K$2:$K$20000)),""))</f>
        <v/>
      </c>
      <c r="N584" t="str">
        <f>IF(M584="","",IFERROR(AVERAGEIFS(DATOS!$K$2:$K$20000,DATOS!$A$2:$A$20000,M584,DATOS!$G$2:$G$20000,CONFIG_METADATA!$B$4,DATOS!$I$2:$I$20000,"Lenguaje Musical"),""))</f>
        <v/>
      </c>
      <c r="O584" t="str">
        <f>IF(M584="","",IFERROR(AVERAGEIFS(DATOS!$K$2:$K$20000,DATOS!$A$2:$A$20000,M584,DATOS!$G$2:$G$20000,CONFIG_METADATA!$B$4,DATOS!$I$2:$I$20000,"Coro"),""))</f>
        <v/>
      </c>
      <c r="P584" t="str">
        <f>IF(M584="","",IFERROR(AVERAGEIFS(DATOS!$K$2:$K$20000,DATOS!$A$2:$A$20000,M584,DATOS!$G$2:$G$20000,CONFIG_METADATA!$B$4,DATOS!$I$2:$I$20000,"Conjunto"),""))</f>
        <v/>
      </c>
      <c r="Q584" t="str">
        <f>IF(M584="","",IFERROR(AVERAGEIFS(DATOS!$K$2:$K$20000,DATOS!$A$2:$A$20000,M584,DATOS!$G$2:$G$20000,CONFIG_METADATA!$B$4,DATOS!$I$2:$I$20000,"&lt;&gt;Lenguaje Musical",DATOS!$I$2:$I$20000,"&lt;&gt;Coro",DATOS!$I$2:$I$20000,"&lt;&gt;Conjunto"),""))</f>
        <v/>
      </c>
      <c r="T584" t="str">
        <f>IF(S584="","",IFERROR(AVERAGEIFS(DATOS!$K$2:$K$20000,DATOS!$A$2:$A$20000,S584,DATOS!$G$2:$G$20000,CONFIG_METADATA!$B$4,DATOS!$I$2:$I$20000,"Lenguaje Musical"),""))</f>
        <v/>
      </c>
      <c r="U584" t="str">
        <f>IF(S584="","",IFERROR(AVERAGEIFS(DATOS!$K$2:$K$20000,DATOS!$A$2:$A$20000,S584,DATOS!$G$2:$G$20000,CONFIG_METADATA!$B$4,DATOS!$I$2:$I$20000,"Coro"),""))</f>
        <v/>
      </c>
      <c r="V584" t="str">
        <f>IF(S584="","",IFERROR(AVERAGEIFS(DATOS!$K$2:$K$20000,DATOS!$A$2:$A$20000,S584,DATOS!$G$2:$G$20000,CONFIG_METADATA!$B$4,DATOS!$I$2:$I$20000,"Conjunto"),""))</f>
        <v/>
      </c>
      <c r="W584" t="str" cm="1">
        <f t="array" ref="W584">IF(S584="","",IFERROR(AVERAGE(IF((DATOS!$A$2:$A$20000=S584)*(DATOS!$G$2:$G$20000=CONFIG_METADATA!$B$4)*(DATOS!$I$2:$I$20000&lt;&gt;"Lenguaje Musical")*(DATOS!$I$2:$I$20000&lt;&gt;"Coro")*(DATOS!$I$2:$I$20000&lt;&gt;"Conjunto"),DATOS!$K$2:$K$20000)),""))</f>
        <v/>
      </c>
    </row>
    <row r="585" spans="2:23" x14ac:dyDescent="0.2">
      <c r="B585" t="str">
        <f>IF(A585="","",IFERROR(AVERAGEIFS(DATOS!$K$2:$K$20000,DATOS!$A$2:$A$20000,A585,DATOS!$G$2:$G$20000,CONFIG_METADATA!$B$4,DATOS!$I$2:$I$20000,"Lenguaje Musical"),""))</f>
        <v/>
      </c>
      <c r="C585" t="str">
        <f>IF(A585="","",IFERROR(AVERAGEIFS(DATOS!$K$2:$K$20000,DATOS!$A$2:$A$20000,A585,DATOS!$G$2:$G$20000,CONFIG_METADATA!$B$4,DATOS!$I$2:$I$20000,"Coro"),""))</f>
        <v/>
      </c>
      <c r="D585" t="str">
        <f>IF(A585="","",IFERROR(AVERAGEIFS(DATOS!$K$2:$K$20000,DATOS!$A$2:$A$20000,A585,DATOS!$G$2:$G$20000,CONFIG_METADATA!$B$4,DATOS!$I$2:$I$20000,"Conjunto"),""))</f>
        <v/>
      </c>
      <c r="E585" t="str">
        <f>IF(A585="","",IFERROR(AVERAGEIFS(DATOS!$K$2:$K$20000,DATOS!$A$2:$A$20000,A585,DATOS!$G$2:$G$20000,CONFIG_METADATA!$B$4,DATOS!$I$2:$I$20000,"&lt;&gt;Lenguaje Musical",DATOS!$I$2:$I$20000,"&lt;&gt;Coro",DATOS!$I$2:$I$20000,"&lt;&gt;Conjunto"),""))</f>
        <v/>
      </c>
      <c r="H585" t="str">
        <f>IF(G585="","",IFERROR(AVERAGEIFS(DATOS!$K$2:$K$20000,DATOS!$A$2:$A$20000,G585,DATOS!$G$2:$G$20000,CONFIG_METADATA!$B$4,DATOS!$I$2:$I$20000,"Lenguaje Musical"),""))</f>
        <v/>
      </c>
      <c r="I585" t="str">
        <f>IF(G585="","",IFERROR(AVERAGEIFS(DATOS!$K$2:$K$20000,DATOS!$A$2:$A$20000,G585,DATOS!$G$2:$G$20000,CONFIG_METADATA!$B$4,DATOS!$I$2:$I$20000,"Coro"),""))</f>
        <v/>
      </c>
      <c r="J585" t="str">
        <f>IF(G585="","",IFERROR(AVERAGEIFS(DATOS!$K$2:$K$20000,DATOS!$A$2:$A$20000,G585,DATOS!$G$2:$G$20000,CONFIG_METADATA!$B$4,DATOS!$I$2:$I$20000,"Conjunto"),""))</f>
        <v/>
      </c>
      <c r="K585" t="str" cm="1">
        <f t="array" ref="K585">IF(G585="","",IFERROR(AVERAGE(IF((DATOS!$A$2:$A$20000=G585)*(DATOS!$G$2:$G$20000=CONFIG_METADATA!$B$4)*(DATOS!$I$2:$I$20000&lt;&gt;"Lenguaje Musical")*(DATOS!$I$2:$I$20000&lt;&gt;"Coro")*(DATOS!$I$2:$I$20000&lt;&gt;"Conjunto"),DATOS!$K$2:$K$20000)),""))</f>
        <v/>
      </c>
      <c r="N585" t="str">
        <f>IF(M585="","",IFERROR(AVERAGEIFS(DATOS!$K$2:$K$20000,DATOS!$A$2:$A$20000,M585,DATOS!$G$2:$G$20000,CONFIG_METADATA!$B$4,DATOS!$I$2:$I$20000,"Lenguaje Musical"),""))</f>
        <v/>
      </c>
      <c r="O585" t="str">
        <f>IF(M585="","",IFERROR(AVERAGEIFS(DATOS!$K$2:$K$20000,DATOS!$A$2:$A$20000,M585,DATOS!$G$2:$G$20000,CONFIG_METADATA!$B$4,DATOS!$I$2:$I$20000,"Coro"),""))</f>
        <v/>
      </c>
      <c r="P585" t="str">
        <f>IF(M585="","",IFERROR(AVERAGEIFS(DATOS!$K$2:$K$20000,DATOS!$A$2:$A$20000,M585,DATOS!$G$2:$G$20000,CONFIG_METADATA!$B$4,DATOS!$I$2:$I$20000,"Conjunto"),""))</f>
        <v/>
      </c>
      <c r="Q585" t="str">
        <f>IF(M585="","",IFERROR(AVERAGEIFS(DATOS!$K$2:$K$20000,DATOS!$A$2:$A$20000,M585,DATOS!$G$2:$G$20000,CONFIG_METADATA!$B$4,DATOS!$I$2:$I$20000,"&lt;&gt;Lenguaje Musical",DATOS!$I$2:$I$20000,"&lt;&gt;Coro",DATOS!$I$2:$I$20000,"&lt;&gt;Conjunto"),""))</f>
        <v/>
      </c>
      <c r="T585" t="str">
        <f>IF(S585="","",IFERROR(AVERAGEIFS(DATOS!$K$2:$K$20000,DATOS!$A$2:$A$20000,S585,DATOS!$G$2:$G$20000,CONFIG_METADATA!$B$4,DATOS!$I$2:$I$20000,"Lenguaje Musical"),""))</f>
        <v/>
      </c>
      <c r="U585" t="str">
        <f>IF(S585="","",IFERROR(AVERAGEIFS(DATOS!$K$2:$K$20000,DATOS!$A$2:$A$20000,S585,DATOS!$G$2:$G$20000,CONFIG_METADATA!$B$4,DATOS!$I$2:$I$20000,"Coro"),""))</f>
        <v/>
      </c>
      <c r="V585" t="str">
        <f>IF(S585="","",IFERROR(AVERAGEIFS(DATOS!$K$2:$K$20000,DATOS!$A$2:$A$20000,S585,DATOS!$G$2:$G$20000,CONFIG_METADATA!$B$4,DATOS!$I$2:$I$20000,"Conjunto"),""))</f>
        <v/>
      </c>
      <c r="W585" t="str" cm="1">
        <f t="array" ref="W585">IF(S585="","",IFERROR(AVERAGE(IF((DATOS!$A$2:$A$20000=S585)*(DATOS!$G$2:$G$20000=CONFIG_METADATA!$B$4)*(DATOS!$I$2:$I$20000&lt;&gt;"Lenguaje Musical")*(DATOS!$I$2:$I$20000&lt;&gt;"Coro")*(DATOS!$I$2:$I$20000&lt;&gt;"Conjunto"),DATOS!$K$2:$K$20000)),""))</f>
        <v/>
      </c>
    </row>
    <row r="586" spans="2:23" x14ac:dyDescent="0.2">
      <c r="B586" t="str">
        <f>IF(A586="","",IFERROR(AVERAGEIFS(DATOS!$K$2:$K$20000,DATOS!$A$2:$A$20000,A586,DATOS!$G$2:$G$20000,CONFIG_METADATA!$B$4,DATOS!$I$2:$I$20000,"Lenguaje Musical"),""))</f>
        <v/>
      </c>
      <c r="C586" t="str">
        <f>IF(A586="","",IFERROR(AVERAGEIFS(DATOS!$K$2:$K$20000,DATOS!$A$2:$A$20000,A586,DATOS!$G$2:$G$20000,CONFIG_METADATA!$B$4,DATOS!$I$2:$I$20000,"Coro"),""))</f>
        <v/>
      </c>
      <c r="D586" t="str">
        <f>IF(A586="","",IFERROR(AVERAGEIFS(DATOS!$K$2:$K$20000,DATOS!$A$2:$A$20000,A586,DATOS!$G$2:$G$20000,CONFIG_METADATA!$B$4,DATOS!$I$2:$I$20000,"Conjunto"),""))</f>
        <v/>
      </c>
      <c r="E586" t="str">
        <f>IF(A586="","",IFERROR(AVERAGEIFS(DATOS!$K$2:$K$20000,DATOS!$A$2:$A$20000,A586,DATOS!$G$2:$G$20000,CONFIG_METADATA!$B$4,DATOS!$I$2:$I$20000,"&lt;&gt;Lenguaje Musical",DATOS!$I$2:$I$20000,"&lt;&gt;Coro",DATOS!$I$2:$I$20000,"&lt;&gt;Conjunto"),""))</f>
        <v/>
      </c>
      <c r="H586" t="str">
        <f>IF(G586="","",IFERROR(AVERAGEIFS(DATOS!$K$2:$K$20000,DATOS!$A$2:$A$20000,G586,DATOS!$G$2:$G$20000,CONFIG_METADATA!$B$4,DATOS!$I$2:$I$20000,"Lenguaje Musical"),""))</f>
        <v/>
      </c>
      <c r="I586" t="str">
        <f>IF(G586="","",IFERROR(AVERAGEIFS(DATOS!$K$2:$K$20000,DATOS!$A$2:$A$20000,G586,DATOS!$G$2:$G$20000,CONFIG_METADATA!$B$4,DATOS!$I$2:$I$20000,"Coro"),""))</f>
        <v/>
      </c>
      <c r="J586" t="str">
        <f>IF(G586="","",IFERROR(AVERAGEIFS(DATOS!$K$2:$K$20000,DATOS!$A$2:$A$20000,G586,DATOS!$G$2:$G$20000,CONFIG_METADATA!$B$4,DATOS!$I$2:$I$20000,"Conjunto"),""))</f>
        <v/>
      </c>
      <c r="K586" t="str" cm="1">
        <f t="array" ref="K586">IF(G586="","",IFERROR(AVERAGE(IF((DATOS!$A$2:$A$20000=G586)*(DATOS!$G$2:$G$20000=CONFIG_METADATA!$B$4)*(DATOS!$I$2:$I$20000&lt;&gt;"Lenguaje Musical")*(DATOS!$I$2:$I$20000&lt;&gt;"Coro")*(DATOS!$I$2:$I$20000&lt;&gt;"Conjunto"),DATOS!$K$2:$K$20000)),""))</f>
        <v/>
      </c>
      <c r="N586" t="str">
        <f>IF(M586="","",IFERROR(AVERAGEIFS(DATOS!$K$2:$K$20000,DATOS!$A$2:$A$20000,M586,DATOS!$G$2:$G$20000,CONFIG_METADATA!$B$4,DATOS!$I$2:$I$20000,"Lenguaje Musical"),""))</f>
        <v/>
      </c>
      <c r="O586" t="str">
        <f>IF(M586="","",IFERROR(AVERAGEIFS(DATOS!$K$2:$K$20000,DATOS!$A$2:$A$20000,M586,DATOS!$G$2:$G$20000,CONFIG_METADATA!$B$4,DATOS!$I$2:$I$20000,"Coro"),""))</f>
        <v/>
      </c>
      <c r="P586" t="str">
        <f>IF(M586="","",IFERROR(AVERAGEIFS(DATOS!$K$2:$K$20000,DATOS!$A$2:$A$20000,M586,DATOS!$G$2:$G$20000,CONFIG_METADATA!$B$4,DATOS!$I$2:$I$20000,"Conjunto"),""))</f>
        <v/>
      </c>
      <c r="Q586" t="str">
        <f>IF(M586="","",IFERROR(AVERAGEIFS(DATOS!$K$2:$K$20000,DATOS!$A$2:$A$20000,M586,DATOS!$G$2:$G$20000,CONFIG_METADATA!$B$4,DATOS!$I$2:$I$20000,"&lt;&gt;Lenguaje Musical",DATOS!$I$2:$I$20000,"&lt;&gt;Coro",DATOS!$I$2:$I$20000,"&lt;&gt;Conjunto"),""))</f>
        <v/>
      </c>
      <c r="T586" t="str">
        <f>IF(S586="","",IFERROR(AVERAGEIFS(DATOS!$K$2:$K$20000,DATOS!$A$2:$A$20000,S586,DATOS!$G$2:$G$20000,CONFIG_METADATA!$B$4,DATOS!$I$2:$I$20000,"Lenguaje Musical"),""))</f>
        <v/>
      </c>
      <c r="U586" t="str">
        <f>IF(S586="","",IFERROR(AVERAGEIFS(DATOS!$K$2:$K$20000,DATOS!$A$2:$A$20000,S586,DATOS!$G$2:$G$20000,CONFIG_METADATA!$B$4,DATOS!$I$2:$I$20000,"Coro"),""))</f>
        <v/>
      </c>
      <c r="V586" t="str">
        <f>IF(S586="","",IFERROR(AVERAGEIFS(DATOS!$K$2:$K$20000,DATOS!$A$2:$A$20000,S586,DATOS!$G$2:$G$20000,CONFIG_METADATA!$B$4,DATOS!$I$2:$I$20000,"Conjunto"),""))</f>
        <v/>
      </c>
      <c r="W586" t="str" cm="1">
        <f t="array" ref="W586">IF(S586="","",IFERROR(AVERAGE(IF((DATOS!$A$2:$A$20000=S586)*(DATOS!$G$2:$G$20000=CONFIG_METADATA!$B$4)*(DATOS!$I$2:$I$20000&lt;&gt;"Lenguaje Musical")*(DATOS!$I$2:$I$20000&lt;&gt;"Coro")*(DATOS!$I$2:$I$20000&lt;&gt;"Conjunto"),DATOS!$K$2:$K$20000)),""))</f>
        <v/>
      </c>
    </row>
    <row r="587" spans="2:23" x14ac:dyDescent="0.2">
      <c r="B587" t="str">
        <f>IF(A587="","",IFERROR(AVERAGEIFS(DATOS!$K$2:$K$20000,DATOS!$A$2:$A$20000,A587,DATOS!$G$2:$G$20000,CONFIG_METADATA!$B$4,DATOS!$I$2:$I$20000,"Lenguaje Musical"),""))</f>
        <v/>
      </c>
      <c r="C587" t="str">
        <f>IF(A587="","",IFERROR(AVERAGEIFS(DATOS!$K$2:$K$20000,DATOS!$A$2:$A$20000,A587,DATOS!$G$2:$G$20000,CONFIG_METADATA!$B$4,DATOS!$I$2:$I$20000,"Coro"),""))</f>
        <v/>
      </c>
      <c r="D587" t="str">
        <f>IF(A587="","",IFERROR(AVERAGEIFS(DATOS!$K$2:$K$20000,DATOS!$A$2:$A$20000,A587,DATOS!$G$2:$G$20000,CONFIG_METADATA!$B$4,DATOS!$I$2:$I$20000,"Conjunto"),""))</f>
        <v/>
      </c>
      <c r="E587" t="str">
        <f>IF(A587="","",IFERROR(AVERAGEIFS(DATOS!$K$2:$K$20000,DATOS!$A$2:$A$20000,A587,DATOS!$G$2:$G$20000,CONFIG_METADATA!$B$4,DATOS!$I$2:$I$20000,"&lt;&gt;Lenguaje Musical",DATOS!$I$2:$I$20000,"&lt;&gt;Coro",DATOS!$I$2:$I$20000,"&lt;&gt;Conjunto"),""))</f>
        <v/>
      </c>
      <c r="H587" t="str">
        <f>IF(G587="","",IFERROR(AVERAGEIFS(DATOS!$K$2:$K$20000,DATOS!$A$2:$A$20000,G587,DATOS!$G$2:$G$20000,CONFIG_METADATA!$B$4,DATOS!$I$2:$I$20000,"Lenguaje Musical"),""))</f>
        <v/>
      </c>
      <c r="I587" t="str">
        <f>IF(G587="","",IFERROR(AVERAGEIFS(DATOS!$K$2:$K$20000,DATOS!$A$2:$A$20000,G587,DATOS!$G$2:$G$20000,CONFIG_METADATA!$B$4,DATOS!$I$2:$I$20000,"Coro"),""))</f>
        <v/>
      </c>
      <c r="J587" t="str">
        <f>IF(G587="","",IFERROR(AVERAGEIFS(DATOS!$K$2:$K$20000,DATOS!$A$2:$A$20000,G587,DATOS!$G$2:$G$20000,CONFIG_METADATA!$B$4,DATOS!$I$2:$I$20000,"Conjunto"),""))</f>
        <v/>
      </c>
      <c r="K587" t="str" cm="1">
        <f t="array" ref="K587">IF(G587="","",IFERROR(AVERAGE(IF((DATOS!$A$2:$A$20000=G587)*(DATOS!$G$2:$G$20000=CONFIG_METADATA!$B$4)*(DATOS!$I$2:$I$20000&lt;&gt;"Lenguaje Musical")*(DATOS!$I$2:$I$20000&lt;&gt;"Coro")*(DATOS!$I$2:$I$20000&lt;&gt;"Conjunto"),DATOS!$K$2:$K$20000)),""))</f>
        <v/>
      </c>
      <c r="N587" t="str">
        <f>IF(M587="","",IFERROR(AVERAGEIFS(DATOS!$K$2:$K$20000,DATOS!$A$2:$A$20000,M587,DATOS!$G$2:$G$20000,CONFIG_METADATA!$B$4,DATOS!$I$2:$I$20000,"Lenguaje Musical"),""))</f>
        <v/>
      </c>
      <c r="O587" t="str">
        <f>IF(M587="","",IFERROR(AVERAGEIFS(DATOS!$K$2:$K$20000,DATOS!$A$2:$A$20000,M587,DATOS!$G$2:$G$20000,CONFIG_METADATA!$B$4,DATOS!$I$2:$I$20000,"Coro"),""))</f>
        <v/>
      </c>
      <c r="P587" t="str">
        <f>IF(M587="","",IFERROR(AVERAGEIFS(DATOS!$K$2:$K$20000,DATOS!$A$2:$A$20000,M587,DATOS!$G$2:$G$20000,CONFIG_METADATA!$B$4,DATOS!$I$2:$I$20000,"Conjunto"),""))</f>
        <v/>
      </c>
      <c r="Q587" t="str">
        <f>IF(M587="","",IFERROR(AVERAGEIFS(DATOS!$K$2:$K$20000,DATOS!$A$2:$A$20000,M587,DATOS!$G$2:$G$20000,CONFIG_METADATA!$B$4,DATOS!$I$2:$I$20000,"&lt;&gt;Lenguaje Musical",DATOS!$I$2:$I$20000,"&lt;&gt;Coro",DATOS!$I$2:$I$20000,"&lt;&gt;Conjunto"),""))</f>
        <v/>
      </c>
      <c r="T587" t="str">
        <f>IF(S587="","",IFERROR(AVERAGEIFS(DATOS!$K$2:$K$20000,DATOS!$A$2:$A$20000,S587,DATOS!$G$2:$G$20000,CONFIG_METADATA!$B$4,DATOS!$I$2:$I$20000,"Lenguaje Musical"),""))</f>
        <v/>
      </c>
      <c r="U587" t="str">
        <f>IF(S587="","",IFERROR(AVERAGEIFS(DATOS!$K$2:$K$20000,DATOS!$A$2:$A$20000,S587,DATOS!$G$2:$G$20000,CONFIG_METADATA!$B$4,DATOS!$I$2:$I$20000,"Coro"),""))</f>
        <v/>
      </c>
      <c r="V587" t="str">
        <f>IF(S587="","",IFERROR(AVERAGEIFS(DATOS!$K$2:$K$20000,DATOS!$A$2:$A$20000,S587,DATOS!$G$2:$G$20000,CONFIG_METADATA!$B$4,DATOS!$I$2:$I$20000,"Conjunto"),""))</f>
        <v/>
      </c>
      <c r="W587" t="str" cm="1">
        <f t="array" ref="W587">IF(S587="","",IFERROR(AVERAGE(IF((DATOS!$A$2:$A$20000=S587)*(DATOS!$G$2:$G$20000=CONFIG_METADATA!$B$4)*(DATOS!$I$2:$I$20000&lt;&gt;"Lenguaje Musical")*(DATOS!$I$2:$I$20000&lt;&gt;"Coro")*(DATOS!$I$2:$I$20000&lt;&gt;"Conjunto"),DATOS!$K$2:$K$20000)),""))</f>
        <v/>
      </c>
    </row>
    <row r="588" spans="2:23" x14ac:dyDescent="0.2">
      <c r="B588" t="str">
        <f>IF(A588="","",IFERROR(AVERAGEIFS(DATOS!$K$2:$K$20000,DATOS!$A$2:$A$20000,A588,DATOS!$G$2:$G$20000,CONFIG_METADATA!$B$4,DATOS!$I$2:$I$20000,"Lenguaje Musical"),""))</f>
        <v/>
      </c>
      <c r="C588" t="str">
        <f>IF(A588="","",IFERROR(AVERAGEIFS(DATOS!$K$2:$K$20000,DATOS!$A$2:$A$20000,A588,DATOS!$G$2:$G$20000,CONFIG_METADATA!$B$4,DATOS!$I$2:$I$20000,"Coro"),""))</f>
        <v/>
      </c>
      <c r="D588" t="str">
        <f>IF(A588="","",IFERROR(AVERAGEIFS(DATOS!$K$2:$K$20000,DATOS!$A$2:$A$20000,A588,DATOS!$G$2:$G$20000,CONFIG_METADATA!$B$4,DATOS!$I$2:$I$20000,"Conjunto"),""))</f>
        <v/>
      </c>
      <c r="E588" t="str">
        <f>IF(A588="","",IFERROR(AVERAGEIFS(DATOS!$K$2:$K$20000,DATOS!$A$2:$A$20000,A588,DATOS!$G$2:$G$20000,CONFIG_METADATA!$B$4,DATOS!$I$2:$I$20000,"&lt;&gt;Lenguaje Musical",DATOS!$I$2:$I$20000,"&lt;&gt;Coro",DATOS!$I$2:$I$20000,"&lt;&gt;Conjunto"),""))</f>
        <v/>
      </c>
      <c r="H588" t="str">
        <f>IF(G588="","",IFERROR(AVERAGEIFS(DATOS!$K$2:$K$20000,DATOS!$A$2:$A$20000,G588,DATOS!$G$2:$G$20000,CONFIG_METADATA!$B$4,DATOS!$I$2:$I$20000,"Lenguaje Musical"),""))</f>
        <v/>
      </c>
      <c r="I588" t="str">
        <f>IF(G588="","",IFERROR(AVERAGEIFS(DATOS!$K$2:$K$20000,DATOS!$A$2:$A$20000,G588,DATOS!$G$2:$G$20000,CONFIG_METADATA!$B$4,DATOS!$I$2:$I$20000,"Coro"),""))</f>
        <v/>
      </c>
      <c r="J588" t="str">
        <f>IF(G588="","",IFERROR(AVERAGEIFS(DATOS!$K$2:$K$20000,DATOS!$A$2:$A$20000,G588,DATOS!$G$2:$G$20000,CONFIG_METADATA!$B$4,DATOS!$I$2:$I$20000,"Conjunto"),""))</f>
        <v/>
      </c>
      <c r="K588" t="str" cm="1">
        <f t="array" ref="K588">IF(G588="","",IFERROR(AVERAGE(IF((DATOS!$A$2:$A$20000=G588)*(DATOS!$G$2:$G$20000=CONFIG_METADATA!$B$4)*(DATOS!$I$2:$I$20000&lt;&gt;"Lenguaje Musical")*(DATOS!$I$2:$I$20000&lt;&gt;"Coro")*(DATOS!$I$2:$I$20000&lt;&gt;"Conjunto"),DATOS!$K$2:$K$20000)),""))</f>
        <v/>
      </c>
      <c r="N588" t="str">
        <f>IF(M588="","",IFERROR(AVERAGEIFS(DATOS!$K$2:$K$20000,DATOS!$A$2:$A$20000,M588,DATOS!$G$2:$G$20000,CONFIG_METADATA!$B$4,DATOS!$I$2:$I$20000,"Lenguaje Musical"),""))</f>
        <v/>
      </c>
      <c r="O588" t="str">
        <f>IF(M588="","",IFERROR(AVERAGEIFS(DATOS!$K$2:$K$20000,DATOS!$A$2:$A$20000,M588,DATOS!$G$2:$G$20000,CONFIG_METADATA!$B$4,DATOS!$I$2:$I$20000,"Coro"),""))</f>
        <v/>
      </c>
      <c r="P588" t="str">
        <f>IF(M588="","",IFERROR(AVERAGEIFS(DATOS!$K$2:$K$20000,DATOS!$A$2:$A$20000,M588,DATOS!$G$2:$G$20000,CONFIG_METADATA!$B$4,DATOS!$I$2:$I$20000,"Conjunto"),""))</f>
        <v/>
      </c>
      <c r="Q588" t="str">
        <f>IF(M588="","",IFERROR(AVERAGEIFS(DATOS!$K$2:$K$20000,DATOS!$A$2:$A$20000,M588,DATOS!$G$2:$G$20000,CONFIG_METADATA!$B$4,DATOS!$I$2:$I$20000,"&lt;&gt;Lenguaje Musical",DATOS!$I$2:$I$20000,"&lt;&gt;Coro",DATOS!$I$2:$I$20000,"&lt;&gt;Conjunto"),""))</f>
        <v/>
      </c>
      <c r="T588" t="str">
        <f>IF(S588="","",IFERROR(AVERAGEIFS(DATOS!$K$2:$K$20000,DATOS!$A$2:$A$20000,S588,DATOS!$G$2:$G$20000,CONFIG_METADATA!$B$4,DATOS!$I$2:$I$20000,"Lenguaje Musical"),""))</f>
        <v/>
      </c>
      <c r="U588" t="str">
        <f>IF(S588="","",IFERROR(AVERAGEIFS(DATOS!$K$2:$K$20000,DATOS!$A$2:$A$20000,S588,DATOS!$G$2:$G$20000,CONFIG_METADATA!$B$4,DATOS!$I$2:$I$20000,"Coro"),""))</f>
        <v/>
      </c>
      <c r="V588" t="str">
        <f>IF(S588="","",IFERROR(AVERAGEIFS(DATOS!$K$2:$K$20000,DATOS!$A$2:$A$20000,S588,DATOS!$G$2:$G$20000,CONFIG_METADATA!$B$4,DATOS!$I$2:$I$20000,"Conjunto"),""))</f>
        <v/>
      </c>
      <c r="W588" t="str" cm="1">
        <f t="array" ref="W588">IF(S588="","",IFERROR(AVERAGE(IF((DATOS!$A$2:$A$20000=S588)*(DATOS!$G$2:$G$20000=CONFIG_METADATA!$B$4)*(DATOS!$I$2:$I$20000&lt;&gt;"Lenguaje Musical")*(DATOS!$I$2:$I$20000&lt;&gt;"Coro")*(DATOS!$I$2:$I$20000&lt;&gt;"Conjunto"),DATOS!$K$2:$K$20000)),""))</f>
        <v/>
      </c>
    </row>
    <row r="589" spans="2:23" x14ac:dyDescent="0.2">
      <c r="B589" t="str">
        <f>IF(A589="","",IFERROR(AVERAGEIFS(DATOS!$K$2:$K$20000,DATOS!$A$2:$A$20000,A589,DATOS!$G$2:$G$20000,CONFIG_METADATA!$B$4,DATOS!$I$2:$I$20000,"Lenguaje Musical"),""))</f>
        <v/>
      </c>
      <c r="C589" t="str">
        <f>IF(A589="","",IFERROR(AVERAGEIFS(DATOS!$K$2:$K$20000,DATOS!$A$2:$A$20000,A589,DATOS!$G$2:$G$20000,CONFIG_METADATA!$B$4,DATOS!$I$2:$I$20000,"Coro"),""))</f>
        <v/>
      </c>
      <c r="D589" t="str">
        <f>IF(A589="","",IFERROR(AVERAGEIFS(DATOS!$K$2:$K$20000,DATOS!$A$2:$A$20000,A589,DATOS!$G$2:$G$20000,CONFIG_METADATA!$B$4,DATOS!$I$2:$I$20000,"Conjunto"),""))</f>
        <v/>
      </c>
      <c r="E589" t="str">
        <f>IF(A589="","",IFERROR(AVERAGEIFS(DATOS!$K$2:$K$20000,DATOS!$A$2:$A$20000,A589,DATOS!$G$2:$G$20000,CONFIG_METADATA!$B$4,DATOS!$I$2:$I$20000,"&lt;&gt;Lenguaje Musical",DATOS!$I$2:$I$20000,"&lt;&gt;Coro",DATOS!$I$2:$I$20000,"&lt;&gt;Conjunto"),""))</f>
        <v/>
      </c>
      <c r="H589" t="str">
        <f>IF(G589="","",IFERROR(AVERAGEIFS(DATOS!$K$2:$K$20000,DATOS!$A$2:$A$20000,G589,DATOS!$G$2:$G$20000,CONFIG_METADATA!$B$4,DATOS!$I$2:$I$20000,"Lenguaje Musical"),""))</f>
        <v/>
      </c>
      <c r="I589" t="str">
        <f>IF(G589="","",IFERROR(AVERAGEIFS(DATOS!$K$2:$K$20000,DATOS!$A$2:$A$20000,G589,DATOS!$G$2:$G$20000,CONFIG_METADATA!$B$4,DATOS!$I$2:$I$20000,"Coro"),""))</f>
        <v/>
      </c>
      <c r="J589" t="str">
        <f>IF(G589="","",IFERROR(AVERAGEIFS(DATOS!$K$2:$K$20000,DATOS!$A$2:$A$20000,G589,DATOS!$G$2:$G$20000,CONFIG_METADATA!$B$4,DATOS!$I$2:$I$20000,"Conjunto"),""))</f>
        <v/>
      </c>
      <c r="K589" t="str" cm="1">
        <f t="array" ref="K589">IF(G589="","",IFERROR(AVERAGE(IF((DATOS!$A$2:$A$20000=G589)*(DATOS!$G$2:$G$20000=CONFIG_METADATA!$B$4)*(DATOS!$I$2:$I$20000&lt;&gt;"Lenguaje Musical")*(DATOS!$I$2:$I$20000&lt;&gt;"Coro")*(DATOS!$I$2:$I$20000&lt;&gt;"Conjunto"),DATOS!$K$2:$K$20000)),""))</f>
        <v/>
      </c>
      <c r="N589" t="str">
        <f>IF(M589="","",IFERROR(AVERAGEIFS(DATOS!$K$2:$K$20000,DATOS!$A$2:$A$20000,M589,DATOS!$G$2:$G$20000,CONFIG_METADATA!$B$4,DATOS!$I$2:$I$20000,"Lenguaje Musical"),""))</f>
        <v/>
      </c>
      <c r="O589" t="str">
        <f>IF(M589="","",IFERROR(AVERAGEIFS(DATOS!$K$2:$K$20000,DATOS!$A$2:$A$20000,M589,DATOS!$G$2:$G$20000,CONFIG_METADATA!$B$4,DATOS!$I$2:$I$20000,"Coro"),""))</f>
        <v/>
      </c>
      <c r="P589" t="str">
        <f>IF(M589="","",IFERROR(AVERAGEIFS(DATOS!$K$2:$K$20000,DATOS!$A$2:$A$20000,M589,DATOS!$G$2:$G$20000,CONFIG_METADATA!$B$4,DATOS!$I$2:$I$20000,"Conjunto"),""))</f>
        <v/>
      </c>
      <c r="Q589" t="str">
        <f>IF(M589="","",IFERROR(AVERAGEIFS(DATOS!$K$2:$K$20000,DATOS!$A$2:$A$20000,M589,DATOS!$G$2:$G$20000,CONFIG_METADATA!$B$4,DATOS!$I$2:$I$20000,"&lt;&gt;Lenguaje Musical",DATOS!$I$2:$I$20000,"&lt;&gt;Coro",DATOS!$I$2:$I$20000,"&lt;&gt;Conjunto"),""))</f>
        <v/>
      </c>
      <c r="T589" t="str">
        <f>IF(S589="","",IFERROR(AVERAGEIFS(DATOS!$K$2:$K$20000,DATOS!$A$2:$A$20000,S589,DATOS!$G$2:$G$20000,CONFIG_METADATA!$B$4,DATOS!$I$2:$I$20000,"Lenguaje Musical"),""))</f>
        <v/>
      </c>
      <c r="U589" t="str">
        <f>IF(S589="","",IFERROR(AVERAGEIFS(DATOS!$K$2:$K$20000,DATOS!$A$2:$A$20000,S589,DATOS!$G$2:$G$20000,CONFIG_METADATA!$B$4,DATOS!$I$2:$I$20000,"Coro"),""))</f>
        <v/>
      </c>
      <c r="V589" t="str">
        <f>IF(S589="","",IFERROR(AVERAGEIFS(DATOS!$K$2:$K$20000,DATOS!$A$2:$A$20000,S589,DATOS!$G$2:$G$20000,CONFIG_METADATA!$B$4,DATOS!$I$2:$I$20000,"Conjunto"),""))</f>
        <v/>
      </c>
      <c r="W589" t="str" cm="1">
        <f t="array" ref="W589">IF(S589="","",IFERROR(AVERAGE(IF((DATOS!$A$2:$A$20000=S589)*(DATOS!$G$2:$G$20000=CONFIG_METADATA!$B$4)*(DATOS!$I$2:$I$20000&lt;&gt;"Lenguaje Musical")*(DATOS!$I$2:$I$20000&lt;&gt;"Coro")*(DATOS!$I$2:$I$20000&lt;&gt;"Conjunto"),DATOS!$K$2:$K$20000)),""))</f>
        <v/>
      </c>
    </row>
    <row r="590" spans="2:23" x14ac:dyDescent="0.2">
      <c r="B590" t="str">
        <f>IF(A590="","",IFERROR(AVERAGEIFS(DATOS!$K$2:$K$20000,DATOS!$A$2:$A$20000,A590,DATOS!$G$2:$G$20000,CONFIG_METADATA!$B$4,DATOS!$I$2:$I$20000,"Lenguaje Musical"),""))</f>
        <v/>
      </c>
      <c r="C590" t="str">
        <f>IF(A590="","",IFERROR(AVERAGEIFS(DATOS!$K$2:$K$20000,DATOS!$A$2:$A$20000,A590,DATOS!$G$2:$G$20000,CONFIG_METADATA!$B$4,DATOS!$I$2:$I$20000,"Coro"),""))</f>
        <v/>
      </c>
      <c r="D590" t="str">
        <f>IF(A590="","",IFERROR(AVERAGEIFS(DATOS!$K$2:$K$20000,DATOS!$A$2:$A$20000,A590,DATOS!$G$2:$G$20000,CONFIG_METADATA!$B$4,DATOS!$I$2:$I$20000,"Conjunto"),""))</f>
        <v/>
      </c>
      <c r="E590" t="str">
        <f>IF(A590="","",IFERROR(AVERAGEIFS(DATOS!$K$2:$K$20000,DATOS!$A$2:$A$20000,A590,DATOS!$G$2:$G$20000,CONFIG_METADATA!$B$4,DATOS!$I$2:$I$20000,"&lt;&gt;Lenguaje Musical",DATOS!$I$2:$I$20000,"&lt;&gt;Coro",DATOS!$I$2:$I$20000,"&lt;&gt;Conjunto"),""))</f>
        <v/>
      </c>
      <c r="H590" t="str">
        <f>IF(G590="","",IFERROR(AVERAGEIFS(DATOS!$K$2:$K$20000,DATOS!$A$2:$A$20000,G590,DATOS!$G$2:$G$20000,CONFIG_METADATA!$B$4,DATOS!$I$2:$I$20000,"Lenguaje Musical"),""))</f>
        <v/>
      </c>
      <c r="I590" t="str">
        <f>IF(G590="","",IFERROR(AVERAGEIFS(DATOS!$K$2:$K$20000,DATOS!$A$2:$A$20000,G590,DATOS!$G$2:$G$20000,CONFIG_METADATA!$B$4,DATOS!$I$2:$I$20000,"Coro"),""))</f>
        <v/>
      </c>
      <c r="J590" t="str">
        <f>IF(G590="","",IFERROR(AVERAGEIFS(DATOS!$K$2:$K$20000,DATOS!$A$2:$A$20000,G590,DATOS!$G$2:$G$20000,CONFIG_METADATA!$B$4,DATOS!$I$2:$I$20000,"Conjunto"),""))</f>
        <v/>
      </c>
      <c r="K590" t="str" cm="1">
        <f t="array" ref="K590">IF(G590="","",IFERROR(AVERAGE(IF((DATOS!$A$2:$A$20000=G590)*(DATOS!$G$2:$G$20000=CONFIG_METADATA!$B$4)*(DATOS!$I$2:$I$20000&lt;&gt;"Lenguaje Musical")*(DATOS!$I$2:$I$20000&lt;&gt;"Coro")*(DATOS!$I$2:$I$20000&lt;&gt;"Conjunto"),DATOS!$K$2:$K$20000)),""))</f>
        <v/>
      </c>
      <c r="N590" t="str">
        <f>IF(M590="","",IFERROR(AVERAGEIFS(DATOS!$K$2:$K$20000,DATOS!$A$2:$A$20000,M590,DATOS!$G$2:$G$20000,CONFIG_METADATA!$B$4,DATOS!$I$2:$I$20000,"Lenguaje Musical"),""))</f>
        <v/>
      </c>
      <c r="O590" t="str">
        <f>IF(M590="","",IFERROR(AVERAGEIFS(DATOS!$K$2:$K$20000,DATOS!$A$2:$A$20000,M590,DATOS!$G$2:$G$20000,CONFIG_METADATA!$B$4,DATOS!$I$2:$I$20000,"Coro"),""))</f>
        <v/>
      </c>
      <c r="P590" t="str">
        <f>IF(M590="","",IFERROR(AVERAGEIFS(DATOS!$K$2:$K$20000,DATOS!$A$2:$A$20000,M590,DATOS!$G$2:$G$20000,CONFIG_METADATA!$B$4,DATOS!$I$2:$I$20000,"Conjunto"),""))</f>
        <v/>
      </c>
      <c r="Q590" t="str">
        <f>IF(M590="","",IFERROR(AVERAGEIFS(DATOS!$K$2:$K$20000,DATOS!$A$2:$A$20000,M590,DATOS!$G$2:$G$20000,CONFIG_METADATA!$B$4,DATOS!$I$2:$I$20000,"&lt;&gt;Lenguaje Musical",DATOS!$I$2:$I$20000,"&lt;&gt;Coro",DATOS!$I$2:$I$20000,"&lt;&gt;Conjunto"),""))</f>
        <v/>
      </c>
      <c r="T590" t="str">
        <f>IF(S590="","",IFERROR(AVERAGEIFS(DATOS!$K$2:$K$20000,DATOS!$A$2:$A$20000,S590,DATOS!$G$2:$G$20000,CONFIG_METADATA!$B$4,DATOS!$I$2:$I$20000,"Lenguaje Musical"),""))</f>
        <v/>
      </c>
      <c r="U590" t="str">
        <f>IF(S590="","",IFERROR(AVERAGEIFS(DATOS!$K$2:$K$20000,DATOS!$A$2:$A$20000,S590,DATOS!$G$2:$G$20000,CONFIG_METADATA!$B$4,DATOS!$I$2:$I$20000,"Coro"),""))</f>
        <v/>
      </c>
      <c r="V590" t="str">
        <f>IF(S590="","",IFERROR(AVERAGEIFS(DATOS!$K$2:$K$20000,DATOS!$A$2:$A$20000,S590,DATOS!$G$2:$G$20000,CONFIG_METADATA!$B$4,DATOS!$I$2:$I$20000,"Conjunto"),""))</f>
        <v/>
      </c>
      <c r="W590" t="str" cm="1">
        <f t="array" ref="W590">IF(S590="","",IFERROR(AVERAGE(IF((DATOS!$A$2:$A$20000=S590)*(DATOS!$G$2:$G$20000=CONFIG_METADATA!$B$4)*(DATOS!$I$2:$I$20000&lt;&gt;"Lenguaje Musical")*(DATOS!$I$2:$I$20000&lt;&gt;"Coro")*(DATOS!$I$2:$I$20000&lt;&gt;"Conjunto"),DATOS!$K$2:$K$20000)),""))</f>
        <v/>
      </c>
    </row>
    <row r="591" spans="2:23" x14ac:dyDescent="0.2">
      <c r="B591" t="str">
        <f>IF(A591="","",IFERROR(AVERAGEIFS(DATOS!$K$2:$K$20000,DATOS!$A$2:$A$20000,A591,DATOS!$G$2:$G$20000,CONFIG_METADATA!$B$4,DATOS!$I$2:$I$20000,"Lenguaje Musical"),""))</f>
        <v/>
      </c>
      <c r="C591" t="str">
        <f>IF(A591="","",IFERROR(AVERAGEIFS(DATOS!$K$2:$K$20000,DATOS!$A$2:$A$20000,A591,DATOS!$G$2:$G$20000,CONFIG_METADATA!$B$4,DATOS!$I$2:$I$20000,"Coro"),""))</f>
        <v/>
      </c>
      <c r="D591" t="str">
        <f>IF(A591="","",IFERROR(AVERAGEIFS(DATOS!$K$2:$K$20000,DATOS!$A$2:$A$20000,A591,DATOS!$G$2:$G$20000,CONFIG_METADATA!$B$4,DATOS!$I$2:$I$20000,"Conjunto"),""))</f>
        <v/>
      </c>
      <c r="E591" t="str">
        <f>IF(A591="","",IFERROR(AVERAGEIFS(DATOS!$K$2:$K$20000,DATOS!$A$2:$A$20000,A591,DATOS!$G$2:$G$20000,CONFIG_METADATA!$B$4,DATOS!$I$2:$I$20000,"&lt;&gt;Lenguaje Musical",DATOS!$I$2:$I$20000,"&lt;&gt;Coro",DATOS!$I$2:$I$20000,"&lt;&gt;Conjunto"),""))</f>
        <v/>
      </c>
      <c r="H591" t="str">
        <f>IF(G591="","",IFERROR(AVERAGEIFS(DATOS!$K$2:$K$20000,DATOS!$A$2:$A$20000,G591,DATOS!$G$2:$G$20000,CONFIG_METADATA!$B$4,DATOS!$I$2:$I$20000,"Lenguaje Musical"),""))</f>
        <v/>
      </c>
      <c r="I591" t="str">
        <f>IF(G591="","",IFERROR(AVERAGEIFS(DATOS!$K$2:$K$20000,DATOS!$A$2:$A$20000,G591,DATOS!$G$2:$G$20000,CONFIG_METADATA!$B$4,DATOS!$I$2:$I$20000,"Coro"),""))</f>
        <v/>
      </c>
      <c r="J591" t="str">
        <f>IF(G591="","",IFERROR(AVERAGEIFS(DATOS!$K$2:$K$20000,DATOS!$A$2:$A$20000,G591,DATOS!$G$2:$G$20000,CONFIG_METADATA!$B$4,DATOS!$I$2:$I$20000,"Conjunto"),""))</f>
        <v/>
      </c>
      <c r="K591" t="str" cm="1">
        <f t="array" ref="K591">IF(G591="","",IFERROR(AVERAGE(IF((DATOS!$A$2:$A$20000=G591)*(DATOS!$G$2:$G$20000=CONFIG_METADATA!$B$4)*(DATOS!$I$2:$I$20000&lt;&gt;"Lenguaje Musical")*(DATOS!$I$2:$I$20000&lt;&gt;"Coro")*(DATOS!$I$2:$I$20000&lt;&gt;"Conjunto"),DATOS!$K$2:$K$20000)),""))</f>
        <v/>
      </c>
      <c r="N591" t="str">
        <f>IF(M591="","",IFERROR(AVERAGEIFS(DATOS!$K$2:$K$20000,DATOS!$A$2:$A$20000,M591,DATOS!$G$2:$G$20000,CONFIG_METADATA!$B$4,DATOS!$I$2:$I$20000,"Lenguaje Musical"),""))</f>
        <v/>
      </c>
      <c r="O591" t="str">
        <f>IF(M591="","",IFERROR(AVERAGEIFS(DATOS!$K$2:$K$20000,DATOS!$A$2:$A$20000,M591,DATOS!$G$2:$G$20000,CONFIG_METADATA!$B$4,DATOS!$I$2:$I$20000,"Coro"),""))</f>
        <v/>
      </c>
      <c r="P591" t="str">
        <f>IF(M591="","",IFERROR(AVERAGEIFS(DATOS!$K$2:$K$20000,DATOS!$A$2:$A$20000,M591,DATOS!$G$2:$G$20000,CONFIG_METADATA!$B$4,DATOS!$I$2:$I$20000,"Conjunto"),""))</f>
        <v/>
      </c>
      <c r="Q591" t="str">
        <f>IF(M591="","",IFERROR(AVERAGEIFS(DATOS!$K$2:$K$20000,DATOS!$A$2:$A$20000,M591,DATOS!$G$2:$G$20000,CONFIG_METADATA!$B$4,DATOS!$I$2:$I$20000,"&lt;&gt;Lenguaje Musical",DATOS!$I$2:$I$20000,"&lt;&gt;Coro",DATOS!$I$2:$I$20000,"&lt;&gt;Conjunto"),""))</f>
        <v/>
      </c>
      <c r="T591" t="str">
        <f>IF(S591="","",IFERROR(AVERAGEIFS(DATOS!$K$2:$K$20000,DATOS!$A$2:$A$20000,S591,DATOS!$G$2:$G$20000,CONFIG_METADATA!$B$4,DATOS!$I$2:$I$20000,"Lenguaje Musical"),""))</f>
        <v/>
      </c>
      <c r="U591" t="str">
        <f>IF(S591="","",IFERROR(AVERAGEIFS(DATOS!$K$2:$K$20000,DATOS!$A$2:$A$20000,S591,DATOS!$G$2:$G$20000,CONFIG_METADATA!$B$4,DATOS!$I$2:$I$20000,"Coro"),""))</f>
        <v/>
      </c>
      <c r="V591" t="str">
        <f>IF(S591="","",IFERROR(AVERAGEIFS(DATOS!$K$2:$K$20000,DATOS!$A$2:$A$20000,S591,DATOS!$G$2:$G$20000,CONFIG_METADATA!$B$4,DATOS!$I$2:$I$20000,"Conjunto"),""))</f>
        <v/>
      </c>
      <c r="W591" t="str" cm="1">
        <f t="array" ref="W591">IF(S591="","",IFERROR(AVERAGE(IF((DATOS!$A$2:$A$20000=S591)*(DATOS!$G$2:$G$20000=CONFIG_METADATA!$B$4)*(DATOS!$I$2:$I$20000&lt;&gt;"Lenguaje Musical")*(DATOS!$I$2:$I$20000&lt;&gt;"Coro")*(DATOS!$I$2:$I$20000&lt;&gt;"Conjunto"),DATOS!$K$2:$K$20000)),""))</f>
        <v/>
      </c>
    </row>
    <row r="592" spans="2:23" x14ac:dyDescent="0.2">
      <c r="B592" t="str">
        <f>IF(A592="","",IFERROR(AVERAGEIFS(DATOS!$K$2:$K$20000,DATOS!$A$2:$A$20000,A592,DATOS!$G$2:$G$20000,CONFIG_METADATA!$B$4,DATOS!$I$2:$I$20000,"Lenguaje Musical"),""))</f>
        <v/>
      </c>
      <c r="C592" t="str">
        <f>IF(A592="","",IFERROR(AVERAGEIFS(DATOS!$K$2:$K$20000,DATOS!$A$2:$A$20000,A592,DATOS!$G$2:$G$20000,CONFIG_METADATA!$B$4,DATOS!$I$2:$I$20000,"Coro"),""))</f>
        <v/>
      </c>
      <c r="D592" t="str">
        <f>IF(A592="","",IFERROR(AVERAGEIFS(DATOS!$K$2:$K$20000,DATOS!$A$2:$A$20000,A592,DATOS!$G$2:$G$20000,CONFIG_METADATA!$B$4,DATOS!$I$2:$I$20000,"Conjunto"),""))</f>
        <v/>
      </c>
      <c r="E592" t="str">
        <f>IF(A592="","",IFERROR(AVERAGEIFS(DATOS!$K$2:$K$20000,DATOS!$A$2:$A$20000,A592,DATOS!$G$2:$G$20000,CONFIG_METADATA!$B$4,DATOS!$I$2:$I$20000,"&lt;&gt;Lenguaje Musical",DATOS!$I$2:$I$20000,"&lt;&gt;Coro",DATOS!$I$2:$I$20000,"&lt;&gt;Conjunto"),""))</f>
        <v/>
      </c>
      <c r="H592" t="str">
        <f>IF(G592="","",IFERROR(AVERAGEIFS(DATOS!$K$2:$K$20000,DATOS!$A$2:$A$20000,G592,DATOS!$G$2:$G$20000,CONFIG_METADATA!$B$4,DATOS!$I$2:$I$20000,"Lenguaje Musical"),""))</f>
        <v/>
      </c>
      <c r="I592" t="str">
        <f>IF(G592="","",IFERROR(AVERAGEIFS(DATOS!$K$2:$K$20000,DATOS!$A$2:$A$20000,G592,DATOS!$G$2:$G$20000,CONFIG_METADATA!$B$4,DATOS!$I$2:$I$20000,"Coro"),""))</f>
        <v/>
      </c>
      <c r="J592" t="str">
        <f>IF(G592="","",IFERROR(AVERAGEIFS(DATOS!$K$2:$K$20000,DATOS!$A$2:$A$20000,G592,DATOS!$G$2:$G$20000,CONFIG_METADATA!$B$4,DATOS!$I$2:$I$20000,"Conjunto"),""))</f>
        <v/>
      </c>
      <c r="K592" t="str" cm="1">
        <f t="array" ref="K592">IF(G592="","",IFERROR(AVERAGE(IF((DATOS!$A$2:$A$20000=G592)*(DATOS!$G$2:$G$20000=CONFIG_METADATA!$B$4)*(DATOS!$I$2:$I$20000&lt;&gt;"Lenguaje Musical")*(DATOS!$I$2:$I$20000&lt;&gt;"Coro")*(DATOS!$I$2:$I$20000&lt;&gt;"Conjunto"),DATOS!$K$2:$K$20000)),""))</f>
        <v/>
      </c>
      <c r="N592" t="str">
        <f>IF(M592="","",IFERROR(AVERAGEIFS(DATOS!$K$2:$K$20000,DATOS!$A$2:$A$20000,M592,DATOS!$G$2:$G$20000,CONFIG_METADATA!$B$4,DATOS!$I$2:$I$20000,"Lenguaje Musical"),""))</f>
        <v/>
      </c>
      <c r="O592" t="str">
        <f>IF(M592="","",IFERROR(AVERAGEIFS(DATOS!$K$2:$K$20000,DATOS!$A$2:$A$20000,M592,DATOS!$G$2:$G$20000,CONFIG_METADATA!$B$4,DATOS!$I$2:$I$20000,"Coro"),""))</f>
        <v/>
      </c>
      <c r="P592" t="str">
        <f>IF(M592="","",IFERROR(AVERAGEIFS(DATOS!$K$2:$K$20000,DATOS!$A$2:$A$20000,M592,DATOS!$G$2:$G$20000,CONFIG_METADATA!$B$4,DATOS!$I$2:$I$20000,"Conjunto"),""))</f>
        <v/>
      </c>
      <c r="Q592" t="str">
        <f>IF(M592="","",IFERROR(AVERAGEIFS(DATOS!$K$2:$K$20000,DATOS!$A$2:$A$20000,M592,DATOS!$G$2:$G$20000,CONFIG_METADATA!$B$4,DATOS!$I$2:$I$20000,"&lt;&gt;Lenguaje Musical",DATOS!$I$2:$I$20000,"&lt;&gt;Coro",DATOS!$I$2:$I$20000,"&lt;&gt;Conjunto"),""))</f>
        <v/>
      </c>
      <c r="T592" t="str">
        <f>IF(S592="","",IFERROR(AVERAGEIFS(DATOS!$K$2:$K$20000,DATOS!$A$2:$A$20000,S592,DATOS!$G$2:$G$20000,CONFIG_METADATA!$B$4,DATOS!$I$2:$I$20000,"Lenguaje Musical"),""))</f>
        <v/>
      </c>
      <c r="U592" t="str">
        <f>IF(S592="","",IFERROR(AVERAGEIFS(DATOS!$K$2:$K$20000,DATOS!$A$2:$A$20000,S592,DATOS!$G$2:$G$20000,CONFIG_METADATA!$B$4,DATOS!$I$2:$I$20000,"Coro"),""))</f>
        <v/>
      </c>
      <c r="V592" t="str">
        <f>IF(S592="","",IFERROR(AVERAGEIFS(DATOS!$K$2:$K$20000,DATOS!$A$2:$A$20000,S592,DATOS!$G$2:$G$20000,CONFIG_METADATA!$B$4,DATOS!$I$2:$I$20000,"Conjunto"),""))</f>
        <v/>
      </c>
      <c r="W592" t="str" cm="1">
        <f t="array" ref="W592">IF(S592="","",IFERROR(AVERAGE(IF((DATOS!$A$2:$A$20000=S592)*(DATOS!$G$2:$G$20000=CONFIG_METADATA!$B$4)*(DATOS!$I$2:$I$20000&lt;&gt;"Lenguaje Musical")*(DATOS!$I$2:$I$20000&lt;&gt;"Coro")*(DATOS!$I$2:$I$20000&lt;&gt;"Conjunto"),DATOS!$K$2:$K$20000)),""))</f>
        <v/>
      </c>
    </row>
    <row r="593" spans="2:23" x14ac:dyDescent="0.2">
      <c r="B593" t="str">
        <f>IF(A593="","",IFERROR(AVERAGEIFS(DATOS!$K$2:$K$20000,DATOS!$A$2:$A$20000,A593,DATOS!$G$2:$G$20000,CONFIG_METADATA!$B$4,DATOS!$I$2:$I$20000,"Lenguaje Musical"),""))</f>
        <v/>
      </c>
      <c r="C593" t="str">
        <f>IF(A593="","",IFERROR(AVERAGEIFS(DATOS!$K$2:$K$20000,DATOS!$A$2:$A$20000,A593,DATOS!$G$2:$G$20000,CONFIG_METADATA!$B$4,DATOS!$I$2:$I$20000,"Coro"),""))</f>
        <v/>
      </c>
      <c r="D593" t="str">
        <f>IF(A593="","",IFERROR(AVERAGEIFS(DATOS!$K$2:$K$20000,DATOS!$A$2:$A$20000,A593,DATOS!$G$2:$G$20000,CONFIG_METADATA!$B$4,DATOS!$I$2:$I$20000,"Conjunto"),""))</f>
        <v/>
      </c>
      <c r="E593" t="str">
        <f>IF(A593="","",IFERROR(AVERAGEIFS(DATOS!$K$2:$K$20000,DATOS!$A$2:$A$20000,A593,DATOS!$G$2:$G$20000,CONFIG_METADATA!$B$4,DATOS!$I$2:$I$20000,"&lt;&gt;Lenguaje Musical",DATOS!$I$2:$I$20000,"&lt;&gt;Coro",DATOS!$I$2:$I$20000,"&lt;&gt;Conjunto"),""))</f>
        <v/>
      </c>
      <c r="H593" t="str">
        <f>IF(G593="","",IFERROR(AVERAGEIFS(DATOS!$K$2:$K$20000,DATOS!$A$2:$A$20000,G593,DATOS!$G$2:$G$20000,CONFIG_METADATA!$B$4,DATOS!$I$2:$I$20000,"Lenguaje Musical"),""))</f>
        <v/>
      </c>
      <c r="I593" t="str">
        <f>IF(G593="","",IFERROR(AVERAGEIFS(DATOS!$K$2:$K$20000,DATOS!$A$2:$A$20000,G593,DATOS!$G$2:$G$20000,CONFIG_METADATA!$B$4,DATOS!$I$2:$I$20000,"Coro"),""))</f>
        <v/>
      </c>
      <c r="J593" t="str">
        <f>IF(G593="","",IFERROR(AVERAGEIFS(DATOS!$K$2:$K$20000,DATOS!$A$2:$A$20000,G593,DATOS!$G$2:$G$20000,CONFIG_METADATA!$B$4,DATOS!$I$2:$I$20000,"Conjunto"),""))</f>
        <v/>
      </c>
      <c r="K593" t="str" cm="1">
        <f t="array" ref="K593">IF(G593="","",IFERROR(AVERAGE(IF((DATOS!$A$2:$A$20000=G593)*(DATOS!$G$2:$G$20000=CONFIG_METADATA!$B$4)*(DATOS!$I$2:$I$20000&lt;&gt;"Lenguaje Musical")*(DATOS!$I$2:$I$20000&lt;&gt;"Coro")*(DATOS!$I$2:$I$20000&lt;&gt;"Conjunto"),DATOS!$K$2:$K$20000)),""))</f>
        <v/>
      </c>
      <c r="N593" t="str">
        <f>IF(M593="","",IFERROR(AVERAGEIFS(DATOS!$K$2:$K$20000,DATOS!$A$2:$A$20000,M593,DATOS!$G$2:$G$20000,CONFIG_METADATA!$B$4,DATOS!$I$2:$I$20000,"Lenguaje Musical"),""))</f>
        <v/>
      </c>
      <c r="O593" t="str">
        <f>IF(M593="","",IFERROR(AVERAGEIFS(DATOS!$K$2:$K$20000,DATOS!$A$2:$A$20000,M593,DATOS!$G$2:$G$20000,CONFIG_METADATA!$B$4,DATOS!$I$2:$I$20000,"Coro"),""))</f>
        <v/>
      </c>
      <c r="P593" t="str">
        <f>IF(M593="","",IFERROR(AVERAGEIFS(DATOS!$K$2:$K$20000,DATOS!$A$2:$A$20000,M593,DATOS!$G$2:$G$20000,CONFIG_METADATA!$B$4,DATOS!$I$2:$I$20000,"Conjunto"),""))</f>
        <v/>
      </c>
      <c r="Q593" t="str">
        <f>IF(M593="","",IFERROR(AVERAGEIFS(DATOS!$K$2:$K$20000,DATOS!$A$2:$A$20000,M593,DATOS!$G$2:$G$20000,CONFIG_METADATA!$B$4,DATOS!$I$2:$I$20000,"&lt;&gt;Lenguaje Musical",DATOS!$I$2:$I$20000,"&lt;&gt;Coro",DATOS!$I$2:$I$20000,"&lt;&gt;Conjunto"),""))</f>
        <v/>
      </c>
      <c r="T593" t="str">
        <f>IF(S593="","",IFERROR(AVERAGEIFS(DATOS!$K$2:$K$20000,DATOS!$A$2:$A$20000,S593,DATOS!$G$2:$G$20000,CONFIG_METADATA!$B$4,DATOS!$I$2:$I$20000,"Lenguaje Musical"),""))</f>
        <v/>
      </c>
      <c r="U593" t="str">
        <f>IF(S593="","",IFERROR(AVERAGEIFS(DATOS!$K$2:$K$20000,DATOS!$A$2:$A$20000,S593,DATOS!$G$2:$G$20000,CONFIG_METADATA!$B$4,DATOS!$I$2:$I$20000,"Coro"),""))</f>
        <v/>
      </c>
      <c r="V593" t="str">
        <f>IF(S593="","",IFERROR(AVERAGEIFS(DATOS!$K$2:$K$20000,DATOS!$A$2:$A$20000,S593,DATOS!$G$2:$G$20000,CONFIG_METADATA!$B$4,DATOS!$I$2:$I$20000,"Conjunto"),""))</f>
        <v/>
      </c>
      <c r="W593" t="str" cm="1">
        <f t="array" ref="W593">IF(S593="","",IFERROR(AVERAGE(IF((DATOS!$A$2:$A$20000=S593)*(DATOS!$G$2:$G$20000=CONFIG_METADATA!$B$4)*(DATOS!$I$2:$I$20000&lt;&gt;"Lenguaje Musical")*(DATOS!$I$2:$I$20000&lt;&gt;"Coro")*(DATOS!$I$2:$I$20000&lt;&gt;"Conjunto"),DATOS!$K$2:$K$20000)),""))</f>
        <v/>
      </c>
    </row>
    <row r="594" spans="2:23" x14ac:dyDescent="0.2">
      <c r="B594" t="str">
        <f>IF(A594="","",IFERROR(AVERAGEIFS(DATOS!$K$2:$K$20000,DATOS!$A$2:$A$20000,A594,DATOS!$G$2:$G$20000,CONFIG_METADATA!$B$4,DATOS!$I$2:$I$20000,"Lenguaje Musical"),""))</f>
        <v/>
      </c>
      <c r="C594" t="str">
        <f>IF(A594="","",IFERROR(AVERAGEIFS(DATOS!$K$2:$K$20000,DATOS!$A$2:$A$20000,A594,DATOS!$G$2:$G$20000,CONFIG_METADATA!$B$4,DATOS!$I$2:$I$20000,"Coro"),""))</f>
        <v/>
      </c>
      <c r="D594" t="str">
        <f>IF(A594="","",IFERROR(AVERAGEIFS(DATOS!$K$2:$K$20000,DATOS!$A$2:$A$20000,A594,DATOS!$G$2:$G$20000,CONFIG_METADATA!$B$4,DATOS!$I$2:$I$20000,"Conjunto"),""))</f>
        <v/>
      </c>
      <c r="E594" t="str">
        <f>IF(A594="","",IFERROR(AVERAGEIFS(DATOS!$K$2:$K$20000,DATOS!$A$2:$A$20000,A594,DATOS!$G$2:$G$20000,CONFIG_METADATA!$B$4,DATOS!$I$2:$I$20000,"&lt;&gt;Lenguaje Musical",DATOS!$I$2:$I$20000,"&lt;&gt;Coro",DATOS!$I$2:$I$20000,"&lt;&gt;Conjunto"),""))</f>
        <v/>
      </c>
      <c r="H594" t="str">
        <f>IF(G594="","",IFERROR(AVERAGEIFS(DATOS!$K$2:$K$20000,DATOS!$A$2:$A$20000,G594,DATOS!$G$2:$G$20000,CONFIG_METADATA!$B$4,DATOS!$I$2:$I$20000,"Lenguaje Musical"),""))</f>
        <v/>
      </c>
      <c r="I594" t="str">
        <f>IF(G594="","",IFERROR(AVERAGEIFS(DATOS!$K$2:$K$20000,DATOS!$A$2:$A$20000,G594,DATOS!$G$2:$G$20000,CONFIG_METADATA!$B$4,DATOS!$I$2:$I$20000,"Coro"),""))</f>
        <v/>
      </c>
      <c r="J594" t="str">
        <f>IF(G594="","",IFERROR(AVERAGEIFS(DATOS!$K$2:$K$20000,DATOS!$A$2:$A$20000,G594,DATOS!$G$2:$G$20000,CONFIG_METADATA!$B$4,DATOS!$I$2:$I$20000,"Conjunto"),""))</f>
        <v/>
      </c>
      <c r="K594" t="str" cm="1">
        <f t="array" ref="K594">IF(G594="","",IFERROR(AVERAGE(IF((DATOS!$A$2:$A$20000=G594)*(DATOS!$G$2:$G$20000=CONFIG_METADATA!$B$4)*(DATOS!$I$2:$I$20000&lt;&gt;"Lenguaje Musical")*(DATOS!$I$2:$I$20000&lt;&gt;"Coro")*(DATOS!$I$2:$I$20000&lt;&gt;"Conjunto"),DATOS!$K$2:$K$20000)),""))</f>
        <v/>
      </c>
      <c r="N594" t="str">
        <f>IF(M594="","",IFERROR(AVERAGEIFS(DATOS!$K$2:$K$20000,DATOS!$A$2:$A$20000,M594,DATOS!$G$2:$G$20000,CONFIG_METADATA!$B$4,DATOS!$I$2:$I$20000,"Lenguaje Musical"),""))</f>
        <v/>
      </c>
      <c r="O594" t="str">
        <f>IF(M594="","",IFERROR(AVERAGEIFS(DATOS!$K$2:$K$20000,DATOS!$A$2:$A$20000,M594,DATOS!$G$2:$G$20000,CONFIG_METADATA!$B$4,DATOS!$I$2:$I$20000,"Coro"),""))</f>
        <v/>
      </c>
      <c r="P594" t="str">
        <f>IF(M594="","",IFERROR(AVERAGEIFS(DATOS!$K$2:$K$20000,DATOS!$A$2:$A$20000,M594,DATOS!$G$2:$G$20000,CONFIG_METADATA!$B$4,DATOS!$I$2:$I$20000,"Conjunto"),""))</f>
        <v/>
      </c>
      <c r="Q594" t="str">
        <f>IF(M594="","",IFERROR(AVERAGEIFS(DATOS!$K$2:$K$20000,DATOS!$A$2:$A$20000,M594,DATOS!$G$2:$G$20000,CONFIG_METADATA!$B$4,DATOS!$I$2:$I$20000,"&lt;&gt;Lenguaje Musical",DATOS!$I$2:$I$20000,"&lt;&gt;Coro",DATOS!$I$2:$I$20000,"&lt;&gt;Conjunto"),""))</f>
        <v/>
      </c>
      <c r="T594" t="str">
        <f>IF(S594="","",IFERROR(AVERAGEIFS(DATOS!$K$2:$K$20000,DATOS!$A$2:$A$20000,S594,DATOS!$G$2:$G$20000,CONFIG_METADATA!$B$4,DATOS!$I$2:$I$20000,"Lenguaje Musical"),""))</f>
        <v/>
      </c>
      <c r="U594" t="str">
        <f>IF(S594="","",IFERROR(AVERAGEIFS(DATOS!$K$2:$K$20000,DATOS!$A$2:$A$20000,S594,DATOS!$G$2:$G$20000,CONFIG_METADATA!$B$4,DATOS!$I$2:$I$20000,"Coro"),""))</f>
        <v/>
      </c>
      <c r="V594" t="str">
        <f>IF(S594="","",IFERROR(AVERAGEIFS(DATOS!$K$2:$K$20000,DATOS!$A$2:$A$20000,S594,DATOS!$G$2:$G$20000,CONFIG_METADATA!$B$4,DATOS!$I$2:$I$20000,"Conjunto"),""))</f>
        <v/>
      </c>
      <c r="W594" t="str" cm="1">
        <f t="array" ref="W594">IF(S594="","",IFERROR(AVERAGE(IF((DATOS!$A$2:$A$20000=S594)*(DATOS!$G$2:$G$20000=CONFIG_METADATA!$B$4)*(DATOS!$I$2:$I$20000&lt;&gt;"Lenguaje Musical")*(DATOS!$I$2:$I$20000&lt;&gt;"Coro")*(DATOS!$I$2:$I$20000&lt;&gt;"Conjunto"),DATOS!$K$2:$K$20000)),""))</f>
        <v/>
      </c>
    </row>
    <row r="595" spans="2:23" x14ac:dyDescent="0.2">
      <c r="B595" t="str">
        <f>IF(A595="","",IFERROR(AVERAGEIFS(DATOS!$K$2:$K$20000,DATOS!$A$2:$A$20000,A595,DATOS!$G$2:$G$20000,CONFIG_METADATA!$B$4,DATOS!$I$2:$I$20000,"Lenguaje Musical"),""))</f>
        <v/>
      </c>
      <c r="C595" t="str">
        <f>IF(A595="","",IFERROR(AVERAGEIFS(DATOS!$K$2:$K$20000,DATOS!$A$2:$A$20000,A595,DATOS!$G$2:$G$20000,CONFIG_METADATA!$B$4,DATOS!$I$2:$I$20000,"Coro"),""))</f>
        <v/>
      </c>
      <c r="D595" t="str">
        <f>IF(A595="","",IFERROR(AVERAGEIFS(DATOS!$K$2:$K$20000,DATOS!$A$2:$A$20000,A595,DATOS!$G$2:$G$20000,CONFIG_METADATA!$B$4,DATOS!$I$2:$I$20000,"Conjunto"),""))</f>
        <v/>
      </c>
      <c r="E595" t="str">
        <f>IF(A595="","",IFERROR(AVERAGEIFS(DATOS!$K$2:$K$20000,DATOS!$A$2:$A$20000,A595,DATOS!$G$2:$G$20000,CONFIG_METADATA!$B$4,DATOS!$I$2:$I$20000,"&lt;&gt;Lenguaje Musical",DATOS!$I$2:$I$20000,"&lt;&gt;Coro",DATOS!$I$2:$I$20000,"&lt;&gt;Conjunto"),""))</f>
        <v/>
      </c>
      <c r="H595" t="str">
        <f>IF(G595="","",IFERROR(AVERAGEIFS(DATOS!$K$2:$K$20000,DATOS!$A$2:$A$20000,G595,DATOS!$G$2:$G$20000,CONFIG_METADATA!$B$4,DATOS!$I$2:$I$20000,"Lenguaje Musical"),""))</f>
        <v/>
      </c>
      <c r="I595" t="str">
        <f>IF(G595="","",IFERROR(AVERAGEIFS(DATOS!$K$2:$K$20000,DATOS!$A$2:$A$20000,G595,DATOS!$G$2:$G$20000,CONFIG_METADATA!$B$4,DATOS!$I$2:$I$20000,"Coro"),""))</f>
        <v/>
      </c>
      <c r="J595" t="str">
        <f>IF(G595="","",IFERROR(AVERAGEIFS(DATOS!$K$2:$K$20000,DATOS!$A$2:$A$20000,G595,DATOS!$G$2:$G$20000,CONFIG_METADATA!$B$4,DATOS!$I$2:$I$20000,"Conjunto"),""))</f>
        <v/>
      </c>
      <c r="K595" t="str" cm="1">
        <f t="array" ref="K595">IF(G595="","",IFERROR(AVERAGE(IF((DATOS!$A$2:$A$20000=G595)*(DATOS!$G$2:$G$20000=CONFIG_METADATA!$B$4)*(DATOS!$I$2:$I$20000&lt;&gt;"Lenguaje Musical")*(DATOS!$I$2:$I$20000&lt;&gt;"Coro")*(DATOS!$I$2:$I$20000&lt;&gt;"Conjunto"),DATOS!$K$2:$K$20000)),""))</f>
        <v/>
      </c>
      <c r="N595" t="str">
        <f>IF(M595="","",IFERROR(AVERAGEIFS(DATOS!$K$2:$K$20000,DATOS!$A$2:$A$20000,M595,DATOS!$G$2:$G$20000,CONFIG_METADATA!$B$4,DATOS!$I$2:$I$20000,"Lenguaje Musical"),""))</f>
        <v/>
      </c>
      <c r="O595" t="str">
        <f>IF(M595="","",IFERROR(AVERAGEIFS(DATOS!$K$2:$K$20000,DATOS!$A$2:$A$20000,M595,DATOS!$G$2:$G$20000,CONFIG_METADATA!$B$4,DATOS!$I$2:$I$20000,"Coro"),""))</f>
        <v/>
      </c>
      <c r="P595" t="str">
        <f>IF(M595="","",IFERROR(AVERAGEIFS(DATOS!$K$2:$K$20000,DATOS!$A$2:$A$20000,M595,DATOS!$G$2:$G$20000,CONFIG_METADATA!$B$4,DATOS!$I$2:$I$20000,"Conjunto"),""))</f>
        <v/>
      </c>
      <c r="Q595" t="str">
        <f>IF(M595="","",IFERROR(AVERAGEIFS(DATOS!$K$2:$K$20000,DATOS!$A$2:$A$20000,M595,DATOS!$G$2:$G$20000,CONFIG_METADATA!$B$4,DATOS!$I$2:$I$20000,"&lt;&gt;Lenguaje Musical",DATOS!$I$2:$I$20000,"&lt;&gt;Coro",DATOS!$I$2:$I$20000,"&lt;&gt;Conjunto"),""))</f>
        <v/>
      </c>
      <c r="T595" t="str">
        <f>IF(S595="","",IFERROR(AVERAGEIFS(DATOS!$K$2:$K$20000,DATOS!$A$2:$A$20000,S595,DATOS!$G$2:$G$20000,CONFIG_METADATA!$B$4,DATOS!$I$2:$I$20000,"Lenguaje Musical"),""))</f>
        <v/>
      </c>
      <c r="U595" t="str">
        <f>IF(S595="","",IFERROR(AVERAGEIFS(DATOS!$K$2:$K$20000,DATOS!$A$2:$A$20000,S595,DATOS!$G$2:$G$20000,CONFIG_METADATA!$B$4,DATOS!$I$2:$I$20000,"Coro"),""))</f>
        <v/>
      </c>
      <c r="V595" t="str">
        <f>IF(S595="","",IFERROR(AVERAGEIFS(DATOS!$K$2:$K$20000,DATOS!$A$2:$A$20000,S595,DATOS!$G$2:$G$20000,CONFIG_METADATA!$B$4,DATOS!$I$2:$I$20000,"Conjunto"),""))</f>
        <v/>
      </c>
      <c r="W595" t="str" cm="1">
        <f t="array" ref="W595">IF(S595="","",IFERROR(AVERAGE(IF((DATOS!$A$2:$A$20000=S595)*(DATOS!$G$2:$G$20000=CONFIG_METADATA!$B$4)*(DATOS!$I$2:$I$20000&lt;&gt;"Lenguaje Musical")*(DATOS!$I$2:$I$20000&lt;&gt;"Coro")*(DATOS!$I$2:$I$20000&lt;&gt;"Conjunto"),DATOS!$K$2:$K$20000)),""))</f>
        <v/>
      </c>
    </row>
    <row r="596" spans="2:23" x14ac:dyDescent="0.2">
      <c r="B596" t="str">
        <f>IF(A596="","",IFERROR(AVERAGEIFS(DATOS!$K$2:$K$20000,DATOS!$A$2:$A$20000,A596,DATOS!$G$2:$G$20000,CONFIG_METADATA!$B$4,DATOS!$I$2:$I$20000,"Lenguaje Musical"),""))</f>
        <v/>
      </c>
      <c r="C596" t="str">
        <f>IF(A596="","",IFERROR(AVERAGEIFS(DATOS!$K$2:$K$20000,DATOS!$A$2:$A$20000,A596,DATOS!$G$2:$G$20000,CONFIG_METADATA!$B$4,DATOS!$I$2:$I$20000,"Coro"),""))</f>
        <v/>
      </c>
      <c r="D596" t="str">
        <f>IF(A596="","",IFERROR(AVERAGEIFS(DATOS!$K$2:$K$20000,DATOS!$A$2:$A$20000,A596,DATOS!$G$2:$G$20000,CONFIG_METADATA!$B$4,DATOS!$I$2:$I$20000,"Conjunto"),""))</f>
        <v/>
      </c>
      <c r="E596" t="str">
        <f>IF(A596="","",IFERROR(AVERAGEIFS(DATOS!$K$2:$K$20000,DATOS!$A$2:$A$20000,A596,DATOS!$G$2:$G$20000,CONFIG_METADATA!$B$4,DATOS!$I$2:$I$20000,"&lt;&gt;Lenguaje Musical",DATOS!$I$2:$I$20000,"&lt;&gt;Coro",DATOS!$I$2:$I$20000,"&lt;&gt;Conjunto"),""))</f>
        <v/>
      </c>
      <c r="H596" t="str">
        <f>IF(G596="","",IFERROR(AVERAGEIFS(DATOS!$K$2:$K$20000,DATOS!$A$2:$A$20000,G596,DATOS!$G$2:$G$20000,CONFIG_METADATA!$B$4,DATOS!$I$2:$I$20000,"Lenguaje Musical"),""))</f>
        <v/>
      </c>
      <c r="I596" t="str">
        <f>IF(G596="","",IFERROR(AVERAGEIFS(DATOS!$K$2:$K$20000,DATOS!$A$2:$A$20000,G596,DATOS!$G$2:$G$20000,CONFIG_METADATA!$B$4,DATOS!$I$2:$I$20000,"Coro"),""))</f>
        <v/>
      </c>
      <c r="J596" t="str">
        <f>IF(G596="","",IFERROR(AVERAGEIFS(DATOS!$K$2:$K$20000,DATOS!$A$2:$A$20000,G596,DATOS!$G$2:$G$20000,CONFIG_METADATA!$B$4,DATOS!$I$2:$I$20000,"Conjunto"),""))</f>
        <v/>
      </c>
      <c r="K596" t="str" cm="1">
        <f t="array" ref="K596">IF(G596="","",IFERROR(AVERAGE(IF((DATOS!$A$2:$A$20000=G596)*(DATOS!$G$2:$G$20000=CONFIG_METADATA!$B$4)*(DATOS!$I$2:$I$20000&lt;&gt;"Lenguaje Musical")*(DATOS!$I$2:$I$20000&lt;&gt;"Coro")*(DATOS!$I$2:$I$20000&lt;&gt;"Conjunto"),DATOS!$K$2:$K$20000)),""))</f>
        <v/>
      </c>
      <c r="N596" t="str">
        <f>IF(M596="","",IFERROR(AVERAGEIFS(DATOS!$K$2:$K$20000,DATOS!$A$2:$A$20000,M596,DATOS!$G$2:$G$20000,CONFIG_METADATA!$B$4,DATOS!$I$2:$I$20000,"Lenguaje Musical"),""))</f>
        <v/>
      </c>
      <c r="O596" t="str">
        <f>IF(M596="","",IFERROR(AVERAGEIFS(DATOS!$K$2:$K$20000,DATOS!$A$2:$A$20000,M596,DATOS!$G$2:$G$20000,CONFIG_METADATA!$B$4,DATOS!$I$2:$I$20000,"Coro"),""))</f>
        <v/>
      </c>
      <c r="P596" t="str">
        <f>IF(M596="","",IFERROR(AVERAGEIFS(DATOS!$K$2:$K$20000,DATOS!$A$2:$A$20000,M596,DATOS!$G$2:$G$20000,CONFIG_METADATA!$B$4,DATOS!$I$2:$I$20000,"Conjunto"),""))</f>
        <v/>
      </c>
      <c r="Q596" t="str">
        <f>IF(M596="","",IFERROR(AVERAGEIFS(DATOS!$K$2:$K$20000,DATOS!$A$2:$A$20000,M596,DATOS!$G$2:$G$20000,CONFIG_METADATA!$B$4,DATOS!$I$2:$I$20000,"&lt;&gt;Lenguaje Musical",DATOS!$I$2:$I$20000,"&lt;&gt;Coro",DATOS!$I$2:$I$20000,"&lt;&gt;Conjunto"),""))</f>
        <v/>
      </c>
      <c r="T596" t="str">
        <f>IF(S596="","",IFERROR(AVERAGEIFS(DATOS!$K$2:$K$20000,DATOS!$A$2:$A$20000,S596,DATOS!$G$2:$G$20000,CONFIG_METADATA!$B$4,DATOS!$I$2:$I$20000,"Lenguaje Musical"),""))</f>
        <v/>
      </c>
      <c r="U596" t="str">
        <f>IF(S596="","",IFERROR(AVERAGEIFS(DATOS!$K$2:$K$20000,DATOS!$A$2:$A$20000,S596,DATOS!$G$2:$G$20000,CONFIG_METADATA!$B$4,DATOS!$I$2:$I$20000,"Coro"),""))</f>
        <v/>
      </c>
      <c r="V596" t="str">
        <f>IF(S596="","",IFERROR(AVERAGEIFS(DATOS!$K$2:$K$20000,DATOS!$A$2:$A$20000,S596,DATOS!$G$2:$G$20000,CONFIG_METADATA!$B$4,DATOS!$I$2:$I$20000,"Conjunto"),""))</f>
        <v/>
      </c>
      <c r="W596" t="str" cm="1">
        <f t="array" ref="W596">IF(S596="","",IFERROR(AVERAGE(IF((DATOS!$A$2:$A$20000=S596)*(DATOS!$G$2:$G$20000=CONFIG_METADATA!$B$4)*(DATOS!$I$2:$I$20000&lt;&gt;"Lenguaje Musical")*(DATOS!$I$2:$I$20000&lt;&gt;"Coro")*(DATOS!$I$2:$I$20000&lt;&gt;"Conjunto"),DATOS!$K$2:$K$20000)),""))</f>
        <v/>
      </c>
    </row>
    <row r="597" spans="2:23" x14ac:dyDescent="0.2">
      <c r="B597" t="str">
        <f>IF(A597="","",IFERROR(AVERAGEIFS(DATOS!$K$2:$K$20000,DATOS!$A$2:$A$20000,A597,DATOS!$G$2:$G$20000,CONFIG_METADATA!$B$4,DATOS!$I$2:$I$20000,"Lenguaje Musical"),""))</f>
        <v/>
      </c>
      <c r="C597" t="str">
        <f>IF(A597="","",IFERROR(AVERAGEIFS(DATOS!$K$2:$K$20000,DATOS!$A$2:$A$20000,A597,DATOS!$G$2:$G$20000,CONFIG_METADATA!$B$4,DATOS!$I$2:$I$20000,"Coro"),""))</f>
        <v/>
      </c>
      <c r="D597" t="str">
        <f>IF(A597="","",IFERROR(AVERAGEIFS(DATOS!$K$2:$K$20000,DATOS!$A$2:$A$20000,A597,DATOS!$G$2:$G$20000,CONFIG_METADATA!$B$4,DATOS!$I$2:$I$20000,"Conjunto"),""))</f>
        <v/>
      </c>
      <c r="E597" t="str">
        <f>IF(A597="","",IFERROR(AVERAGEIFS(DATOS!$K$2:$K$20000,DATOS!$A$2:$A$20000,A597,DATOS!$G$2:$G$20000,CONFIG_METADATA!$B$4,DATOS!$I$2:$I$20000,"&lt;&gt;Lenguaje Musical",DATOS!$I$2:$I$20000,"&lt;&gt;Coro",DATOS!$I$2:$I$20000,"&lt;&gt;Conjunto"),""))</f>
        <v/>
      </c>
      <c r="H597" t="str">
        <f>IF(G597="","",IFERROR(AVERAGEIFS(DATOS!$K$2:$K$20000,DATOS!$A$2:$A$20000,G597,DATOS!$G$2:$G$20000,CONFIG_METADATA!$B$4,DATOS!$I$2:$I$20000,"Lenguaje Musical"),""))</f>
        <v/>
      </c>
      <c r="I597" t="str">
        <f>IF(G597="","",IFERROR(AVERAGEIFS(DATOS!$K$2:$K$20000,DATOS!$A$2:$A$20000,G597,DATOS!$G$2:$G$20000,CONFIG_METADATA!$B$4,DATOS!$I$2:$I$20000,"Coro"),""))</f>
        <v/>
      </c>
      <c r="J597" t="str">
        <f>IF(G597="","",IFERROR(AVERAGEIFS(DATOS!$K$2:$K$20000,DATOS!$A$2:$A$20000,G597,DATOS!$G$2:$G$20000,CONFIG_METADATA!$B$4,DATOS!$I$2:$I$20000,"Conjunto"),""))</f>
        <v/>
      </c>
      <c r="K597" t="str" cm="1">
        <f t="array" ref="K597">IF(G597="","",IFERROR(AVERAGE(IF((DATOS!$A$2:$A$20000=G597)*(DATOS!$G$2:$G$20000=CONFIG_METADATA!$B$4)*(DATOS!$I$2:$I$20000&lt;&gt;"Lenguaje Musical")*(DATOS!$I$2:$I$20000&lt;&gt;"Coro")*(DATOS!$I$2:$I$20000&lt;&gt;"Conjunto"),DATOS!$K$2:$K$20000)),""))</f>
        <v/>
      </c>
      <c r="N597" t="str">
        <f>IF(M597="","",IFERROR(AVERAGEIFS(DATOS!$K$2:$K$20000,DATOS!$A$2:$A$20000,M597,DATOS!$G$2:$G$20000,CONFIG_METADATA!$B$4,DATOS!$I$2:$I$20000,"Lenguaje Musical"),""))</f>
        <v/>
      </c>
      <c r="O597" t="str">
        <f>IF(M597="","",IFERROR(AVERAGEIFS(DATOS!$K$2:$K$20000,DATOS!$A$2:$A$20000,M597,DATOS!$G$2:$G$20000,CONFIG_METADATA!$B$4,DATOS!$I$2:$I$20000,"Coro"),""))</f>
        <v/>
      </c>
      <c r="P597" t="str">
        <f>IF(M597="","",IFERROR(AVERAGEIFS(DATOS!$K$2:$K$20000,DATOS!$A$2:$A$20000,M597,DATOS!$G$2:$G$20000,CONFIG_METADATA!$B$4,DATOS!$I$2:$I$20000,"Conjunto"),""))</f>
        <v/>
      </c>
      <c r="Q597" t="str">
        <f>IF(M597="","",IFERROR(AVERAGEIFS(DATOS!$K$2:$K$20000,DATOS!$A$2:$A$20000,M597,DATOS!$G$2:$G$20000,CONFIG_METADATA!$B$4,DATOS!$I$2:$I$20000,"&lt;&gt;Lenguaje Musical",DATOS!$I$2:$I$20000,"&lt;&gt;Coro",DATOS!$I$2:$I$20000,"&lt;&gt;Conjunto"),""))</f>
        <v/>
      </c>
      <c r="T597" t="str">
        <f>IF(S597="","",IFERROR(AVERAGEIFS(DATOS!$K$2:$K$20000,DATOS!$A$2:$A$20000,S597,DATOS!$G$2:$G$20000,CONFIG_METADATA!$B$4,DATOS!$I$2:$I$20000,"Lenguaje Musical"),""))</f>
        <v/>
      </c>
      <c r="U597" t="str">
        <f>IF(S597="","",IFERROR(AVERAGEIFS(DATOS!$K$2:$K$20000,DATOS!$A$2:$A$20000,S597,DATOS!$G$2:$G$20000,CONFIG_METADATA!$B$4,DATOS!$I$2:$I$20000,"Coro"),""))</f>
        <v/>
      </c>
      <c r="V597" t="str">
        <f>IF(S597="","",IFERROR(AVERAGEIFS(DATOS!$K$2:$K$20000,DATOS!$A$2:$A$20000,S597,DATOS!$G$2:$G$20000,CONFIG_METADATA!$B$4,DATOS!$I$2:$I$20000,"Conjunto"),""))</f>
        <v/>
      </c>
      <c r="W597" t="str" cm="1">
        <f t="array" ref="W597">IF(S597="","",IFERROR(AVERAGE(IF((DATOS!$A$2:$A$20000=S597)*(DATOS!$G$2:$G$20000=CONFIG_METADATA!$B$4)*(DATOS!$I$2:$I$20000&lt;&gt;"Lenguaje Musical")*(DATOS!$I$2:$I$20000&lt;&gt;"Coro")*(DATOS!$I$2:$I$20000&lt;&gt;"Conjunto"),DATOS!$K$2:$K$20000)),""))</f>
        <v/>
      </c>
    </row>
    <row r="598" spans="2:23" x14ac:dyDescent="0.2">
      <c r="B598" t="str">
        <f>IF(A598="","",IFERROR(AVERAGEIFS(DATOS!$K$2:$K$20000,DATOS!$A$2:$A$20000,A598,DATOS!$G$2:$G$20000,CONFIG_METADATA!$B$4,DATOS!$I$2:$I$20000,"Lenguaje Musical"),""))</f>
        <v/>
      </c>
      <c r="C598" t="str">
        <f>IF(A598="","",IFERROR(AVERAGEIFS(DATOS!$K$2:$K$20000,DATOS!$A$2:$A$20000,A598,DATOS!$G$2:$G$20000,CONFIG_METADATA!$B$4,DATOS!$I$2:$I$20000,"Coro"),""))</f>
        <v/>
      </c>
      <c r="D598" t="str">
        <f>IF(A598="","",IFERROR(AVERAGEIFS(DATOS!$K$2:$K$20000,DATOS!$A$2:$A$20000,A598,DATOS!$G$2:$G$20000,CONFIG_METADATA!$B$4,DATOS!$I$2:$I$20000,"Conjunto"),""))</f>
        <v/>
      </c>
      <c r="E598" t="str">
        <f>IF(A598="","",IFERROR(AVERAGEIFS(DATOS!$K$2:$K$20000,DATOS!$A$2:$A$20000,A598,DATOS!$G$2:$G$20000,CONFIG_METADATA!$B$4,DATOS!$I$2:$I$20000,"&lt;&gt;Lenguaje Musical",DATOS!$I$2:$I$20000,"&lt;&gt;Coro",DATOS!$I$2:$I$20000,"&lt;&gt;Conjunto"),""))</f>
        <v/>
      </c>
      <c r="H598" t="str">
        <f>IF(G598="","",IFERROR(AVERAGEIFS(DATOS!$K$2:$K$20000,DATOS!$A$2:$A$20000,G598,DATOS!$G$2:$G$20000,CONFIG_METADATA!$B$4,DATOS!$I$2:$I$20000,"Lenguaje Musical"),""))</f>
        <v/>
      </c>
      <c r="I598" t="str">
        <f>IF(G598="","",IFERROR(AVERAGEIFS(DATOS!$K$2:$K$20000,DATOS!$A$2:$A$20000,G598,DATOS!$G$2:$G$20000,CONFIG_METADATA!$B$4,DATOS!$I$2:$I$20000,"Coro"),""))</f>
        <v/>
      </c>
      <c r="J598" t="str">
        <f>IF(G598="","",IFERROR(AVERAGEIFS(DATOS!$K$2:$K$20000,DATOS!$A$2:$A$20000,G598,DATOS!$G$2:$G$20000,CONFIG_METADATA!$B$4,DATOS!$I$2:$I$20000,"Conjunto"),""))</f>
        <v/>
      </c>
      <c r="K598" t="str" cm="1">
        <f t="array" ref="K598">IF(G598="","",IFERROR(AVERAGE(IF((DATOS!$A$2:$A$20000=G598)*(DATOS!$G$2:$G$20000=CONFIG_METADATA!$B$4)*(DATOS!$I$2:$I$20000&lt;&gt;"Lenguaje Musical")*(DATOS!$I$2:$I$20000&lt;&gt;"Coro")*(DATOS!$I$2:$I$20000&lt;&gt;"Conjunto"),DATOS!$K$2:$K$20000)),""))</f>
        <v/>
      </c>
      <c r="N598" t="str">
        <f>IF(M598="","",IFERROR(AVERAGEIFS(DATOS!$K$2:$K$20000,DATOS!$A$2:$A$20000,M598,DATOS!$G$2:$G$20000,CONFIG_METADATA!$B$4,DATOS!$I$2:$I$20000,"Lenguaje Musical"),""))</f>
        <v/>
      </c>
      <c r="O598" t="str">
        <f>IF(M598="","",IFERROR(AVERAGEIFS(DATOS!$K$2:$K$20000,DATOS!$A$2:$A$20000,M598,DATOS!$G$2:$G$20000,CONFIG_METADATA!$B$4,DATOS!$I$2:$I$20000,"Coro"),""))</f>
        <v/>
      </c>
      <c r="P598" t="str">
        <f>IF(M598="","",IFERROR(AVERAGEIFS(DATOS!$K$2:$K$20000,DATOS!$A$2:$A$20000,M598,DATOS!$G$2:$G$20000,CONFIG_METADATA!$B$4,DATOS!$I$2:$I$20000,"Conjunto"),""))</f>
        <v/>
      </c>
      <c r="Q598" t="str">
        <f>IF(M598="","",IFERROR(AVERAGEIFS(DATOS!$K$2:$K$20000,DATOS!$A$2:$A$20000,M598,DATOS!$G$2:$G$20000,CONFIG_METADATA!$B$4,DATOS!$I$2:$I$20000,"&lt;&gt;Lenguaje Musical",DATOS!$I$2:$I$20000,"&lt;&gt;Coro",DATOS!$I$2:$I$20000,"&lt;&gt;Conjunto"),""))</f>
        <v/>
      </c>
      <c r="T598" t="str">
        <f>IF(S598="","",IFERROR(AVERAGEIFS(DATOS!$K$2:$K$20000,DATOS!$A$2:$A$20000,S598,DATOS!$G$2:$G$20000,CONFIG_METADATA!$B$4,DATOS!$I$2:$I$20000,"Lenguaje Musical"),""))</f>
        <v/>
      </c>
      <c r="U598" t="str">
        <f>IF(S598="","",IFERROR(AVERAGEIFS(DATOS!$K$2:$K$20000,DATOS!$A$2:$A$20000,S598,DATOS!$G$2:$G$20000,CONFIG_METADATA!$B$4,DATOS!$I$2:$I$20000,"Coro"),""))</f>
        <v/>
      </c>
      <c r="V598" t="str">
        <f>IF(S598="","",IFERROR(AVERAGEIFS(DATOS!$K$2:$K$20000,DATOS!$A$2:$A$20000,S598,DATOS!$G$2:$G$20000,CONFIG_METADATA!$B$4,DATOS!$I$2:$I$20000,"Conjunto"),""))</f>
        <v/>
      </c>
      <c r="W598" t="str" cm="1">
        <f t="array" ref="W598">IF(S598="","",IFERROR(AVERAGE(IF((DATOS!$A$2:$A$20000=S598)*(DATOS!$G$2:$G$20000=CONFIG_METADATA!$B$4)*(DATOS!$I$2:$I$20000&lt;&gt;"Lenguaje Musical")*(DATOS!$I$2:$I$20000&lt;&gt;"Coro")*(DATOS!$I$2:$I$20000&lt;&gt;"Conjunto"),DATOS!$K$2:$K$20000)),""))</f>
        <v/>
      </c>
    </row>
    <row r="599" spans="2:23" x14ac:dyDescent="0.2">
      <c r="B599" t="str">
        <f>IF(A599="","",IFERROR(AVERAGEIFS(DATOS!$K$2:$K$20000,DATOS!$A$2:$A$20000,A599,DATOS!$G$2:$G$20000,CONFIG_METADATA!$B$4,DATOS!$I$2:$I$20000,"Lenguaje Musical"),""))</f>
        <v/>
      </c>
      <c r="C599" t="str">
        <f>IF(A599="","",IFERROR(AVERAGEIFS(DATOS!$K$2:$K$20000,DATOS!$A$2:$A$20000,A599,DATOS!$G$2:$G$20000,CONFIG_METADATA!$B$4,DATOS!$I$2:$I$20000,"Coro"),""))</f>
        <v/>
      </c>
      <c r="D599" t="str">
        <f>IF(A599="","",IFERROR(AVERAGEIFS(DATOS!$K$2:$K$20000,DATOS!$A$2:$A$20000,A599,DATOS!$G$2:$G$20000,CONFIG_METADATA!$B$4,DATOS!$I$2:$I$20000,"Conjunto"),""))</f>
        <v/>
      </c>
      <c r="E599" t="str">
        <f>IF(A599="","",IFERROR(AVERAGEIFS(DATOS!$K$2:$K$20000,DATOS!$A$2:$A$20000,A599,DATOS!$G$2:$G$20000,CONFIG_METADATA!$B$4,DATOS!$I$2:$I$20000,"&lt;&gt;Lenguaje Musical",DATOS!$I$2:$I$20000,"&lt;&gt;Coro",DATOS!$I$2:$I$20000,"&lt;&gt;Conjunto"),""))</f>
        <v/>
      </c>
      <c r="H599" t="str">
        <f>IF(G599="","",IFERROR(AVERAGEIFS(DATOS!$K$2:$K$20000,DATOS!$A$2:$A$20000,G599,DATOS!$G$2:$G$20000,CONFIG_METADATA!$B$4,DATOS!$I$2:$I$20000,"Lenguaje Musical"),""))</f>
        <v/>
      </c>
      <c r="I599" t="str">
        <f>IF(G599="","",IFERROR(AVERAGEIFS(DATOS!$K$2:$K$20000,DATOS!$A$2:$A$20000,G599,DATOS!$G$2:$G$20000,CONFIG_METADATA!$B$4,DATOS!$I$2:$I$20000,"Coro"),""))</f>
        <v/>
      </c>
      <c r="J599" t="str">
        <f>IF(G599="","",IFERROR(AVERAGEIFS(DATOS!$K$2:$K$20000,DATOS!$A$2:$A$20000,G599,DATOS!$G$2:$G$20000,CONFIG_METADATA!$B$4,DATOS!$I$2:$I$20000,"Conjunto"),""))</f>
        <v/>
      </c>
      <c r="K599" t="str" cm="1">
        <f t="array" ref="K599">IF(G599="","",IFERROR(AVERAGE(IF((DATOS!$A$2:$A$20000=G599)*(DATOS!$G$2:$G$20000=CONFIG_METADATA!$B$4)*(DATOS!$I$2:$I$20000&lt;&gt;"Lenguaje Musical")*(DATOS!$I$2:$I$20000&lt;&gt;"Coro")*(DATOS!$I$2:$I$20000&lt;&gt;"Conjunto"),DATOS!$K$2:$K$20000)),""))</f>
        <v/>
      </c>
      <c r="N599" t="str">
        <f>IF(M599="","",IFERROR(AVERAGEIFS(DATOS!$K$2:$K$20000,DATOS!$A$2:$A$20000,M599,DATOS!$G$2:$G$20000,CONFIG_METADATA!$B$4,DATOS!$I$2:$I$20000,"Lenguaje Musical"),""))</f>
        <v/>
      </c>
      <c r="O599" t="str">
        <f>IF(M599="","",IFERROR(AVERAGEIFS(DATOS!$K$2:$K$20000,DATOS!$A$2:$A$20000,M599,DATOS!$G$2:$G$20000,CONFIG_METADATA!$B$4,DATOS!$I$2:$I$20000,"Coro"),""))</f>
        <v/>
      </c>
      <c r="P599" t="str">
        <f>IF(M599="","",IFERROR(AVERAGEIFS(DATOS!$K$2:$K$20000,DATOS!$A$2:$A$20000,M599,DATOS!$G$2:$G$20000,CONFIG_METADATA!$B$4,DATOS!$I$2:$I$20000,"Conjunto"),""))</f>
        <v/>
      </c>
      <c r="Q599" t="str">
        <f>IF(M599="","",IFERROR(AVERAGEIFS(DATOS!$K$2:$K$20000,DATOS!$A$2:$A$20000,M599,DATOS!$G$2:$G$20000,CONFIG_METADATA!$B$4,DATOS!$I$2:$I$20000,"&lt;&gt;Lenguaje Musical",DATOS!$I$2:$I$20000,"&lt;&gt;Coro",DATOS!$I$2:$I$20000,"&lt;&gt;Conjunto"),""))</f>
        <v/>
      </c>
      <c r="T599" t="str">
        <f>IF(S599="","",IFERROR(AVERAGEIFS(DATOS!$K$2:$K$20000,DATOS!$A$2:$A$20000,S599,DATOS!$G$2:$G$20000,CONFIG_METADATA!$B$4,DATOS!$I$2:$I$20000,"Lenguaje Musical"),""))</f>
        <v/>
      </c>
      <c r="U599" t="str">
        <f>IF(S599="","",IFERROR(AVERAGEIFS(DATOS!$K$2:$K$20000,DATOS!$A$2:$A$20000,S599,DATOS!$G$2:$G$20000,CONFIG_METADATA!$B$4,DATOS!$I$2:$I$20000,"Coro"),""))</f>
        <v/>
      </c>
      <c r="V599" t="str">
        <f>IF(S599="","",IFERROR(AVERAGEIFS(DATOS!$K$2:$K$20000,DATOS!$A$2:$A$20000,S599,DATOS!$G$2:$G$20000,CONFIG_METADATA!$B$4,DATOS!$I$2:$I$20000,"Conjunto"),""))</f>
        <v/>
      </c>
      <c r="W599" t="str" cm="1">
        <f t="array" ref="W599">IF(S599="","",IFERROR(AVERAGE(IF((DATOS!$A$2:$A$20000=S599)*(DATOS!$G$2:$G$20000=CONFIG_METADATA!$B$4)*(DATOS!$I$2:$I$20000&lt;&gt;"Lenguaje Musical")*(DATOS!$I$2:$I$20000&lt;&gt;"Coro")*(DATOS!$I$2:$I$20000&lt;&gt;"Conjunto"),DATOS!$K$2:$K$20000)),""))</f>
        <v/>
      </c>
    </row>
    <row r="600" spans="2:23" x14ac:dyDescent="0.2">
      <c r="B600" t="str">
        <f>IF(A600="","",IFERROR(AVERAGEIFS(DATOS!$K$2:$K$20000,DATOS!$A$2:$A$20000,A600,DATOS!$G$2:$G$20000,CONFIG_METADATA!$B$4,DATOS!$I$2:$I$20000,"Lenguaje Musical"),""))</f>
        <v/>
      </c>
      <c r="C600" t="str">
        <f>IF(A600="","",IFERROR(AVERAGEIFS(DATOS!$K$2:$K$20000,DATOS!$A$2:$A$20000,A600,DATOS!$G$2:$G$20000,CONFIG_METADATA!$B$4,DATOS!$I$2:$I$20000,"Coro"),""))</f>
        <v/>
      </c>
      <c r="D600" t="str">
        <f>IF(A600="","",IFERROR(AVERAGEIFS(DATOS!$K$2:$K$20000,DATOS!$A$2:$A$20000,A600,DATOS!$G$2:$G$20000,CONFIG_METADATA!$B$4,DATOS!$I$2:$I$20000,"Conjunto"),""))</f>
        <v/>
      </c>
      <c r="E600" t="str">
        <f>IF(A600="","",IFERROR(AVERAGEIFS(DATOS!$K$2:$K$20000,DATOS!$A$2:$A$20000,A600,DATOS!$G$2:$G$20000,CONFIG_METADATA!$B$4,DATOS!$I$2:$I$20000,"&lt;&gt;Lenguaje Musical",DATOS!$I$2:$I$20000,"&lt;&gt;Coro",DATOS!$I$2:$I$20000,"&lt;&gt;Conjunto"),""))</f>
        <v/>
      </c>
      <c r="H600" t="str">
        <f>IF(G600="","",IFERROR(AVERAGEIFS(DATOS!$K$2:$K$20000,DATOS!$A$2:$A$20000,G600,DATOS!$G$2:$G$20000,CONFIG_METADATA!$B$4,DATOS!$I$2:$I$20000,"Lenguaje Musical"),""))</f>
        <v/>
      </c>
      <c r="I600" t="str">
        <f>IF(G600="","",IFERROR(AVERAGEIFS(DATOS!$K$2:$K$20000,DATOS!$A$2:$A$20000,G600,DATOS!$G$2:$G$20000,CONFIG_METADATA!$B$4,DATOS!$I$2:$I$20000,"Coro"),""))</f>
        <v/>
      </c>
      <c r="J600" t="str">
        <f>IF(G600="","",IFERROR(AVERAGEIFS(DATOS!$K$2:$K$20000,DATOS!$A$2:$A$20000,G600,DATOS!$G$2:$G$20000,CONFIG_METADATA!$B$4,DATOS!$I$2:$I$20000,"Conjunto"),""))</f>
        <v/>
      </c>
      <c r="K600" t="str" cm="1">
        <f t="array" ref="K600">IF(G600="","",IFERROR(AVERAGE(IF((DATOS!$A$2:$A$20000=G600)*(DATOS!$G$2:$G$20000=CONFIG_METADATA!$B$4)*(DATOS!$I$2:$I$20000&lt;&gt;"Lenguaje Musical")*(DATOS!$I$2:$I$20000&lt;&gt;"Coro")*(DATOS!$I$2:$I$20000&lt;&gt;"Conjunto"),DATOS!$K$2:$K$20000)),""))</f>
        <v/>
      </c>
      <c r="N600" t="str">
        <f>IF(M600="","",IFERROR(AVERAGEIFS(DATOS!$K$2:$K$20000,DATOS!$A$2:$A$20000,M600,DATOS!$G$2:$G$20000,CONFIG_METADATA!$B$4,DATOS!$I$2:$I$20000,"Lenguaje Musical"),""))</f>
        <v/>
      </c>
      <c r="O600" t="str">
        <f>IF(M600="","",IFERROR(AVERAGEIFS(DATOS!$K$2:$K$20000,DATOS!$A$2:$A$20000,M600,DATOS!$G$2:$G$20000,CONFIG_METADATA!$B$4,DATOS!$I$2:$I$20000,"Coro"),""))</f>
        <v/>
      </c>
      <c r="P600" t="str">
        <f>IF(M600="","",IFERROR(AVERAGEIFS(DATOS!$K$2:$K$20000,DATOS!$A$2:$A$20000,M600,DATOS!$G$2:$G$20000,CONFIG_METADATA!$B$4,DATOS!$I$2:$I$20000,"Conjunto"),""))</f>
        <v/>
      </c>
      <c r="Q600" t="str">
        <f>IF(M600="","",IFERROR(AVERAGEIFS(DATOS!$K$2:$K$20000,DATOS!$A$2:$A$20000,M600,DATOS!$G$2:$G$20000,CONFIG_METADATA!$B$4,DATOS!$I$2:$I$20000,"&lt;&gt;Lenguaje Musical",DATOS!$I$2:$I$20000,"&lt;&gt;Coro",DATOS!$I$2:$I$20000,"&lt;&gt;Conjunto"),""))</f>
        <v/>
      </c>
      <c r="T600" t="str">
        <f>IF(S600="","",IFERROR(AVERAGEIFS(DATOS!$K$2:$K$20000,DATOS!$A$2:$A$20000,S600,DATOS!$G$2:$G$20000,CONFIG_METADATA!$B$4,DATOS!$I$2:$I$20000,"Lenguaje Musical"),""))</f>
        <v/>
      </c>
      <c r="U600" t="str">
        <f>IF(S600="","",IFERROR(AVERAGEIFS(DATOS!$K$2:$K$20000,DATOS!$A$2:$A$20000,S600,DATOS!$G$2:$G$20000,CONFIG_METADATA!$B$4,DATOS!$I$2:$I$20000,"Coro"),""))</f>
        <v/>
      </c>
      <c r="V600" t="str">
        <f>IF(S600="","",IFERROR(AVERAGEIFS(DATOS!$K$2:$K$20000,DATOS!$A$2:$A$20000,S600,DATOS!$G$2:$G$20000,CONFIG_METADATA!$B$4,DATOS!$I$2:$I$20000,"Conjunto"),""))</f>
        <v/>
      </c>
      <c r="W600" t="str" cm="1">
        <f t="array" ref="W600">IF(S600="","",IFERROR(AVERAGE(IF((DATOS!$A$2:$A$20000=S600)*(DATOS!$G$2:$G$20000=CONFIG_METADATA!$B$4)*(DATOS!$I$2:$I$20000&lt;&gt;"Lenguaje Musical")*(DATOS!$I$2:$I$20000&lt;&gt;"Coro")*(DATOS!$I$2:$I$20000&lt;&gt;"Conjunto"),DATOS!$K$2:$K$20000)),""))</f>
        <v/>
      </c>
    </row>
    <row r="601" spans="2:23" x14ac:dyDescent="0.2">
      <c r="B601" t="str">
        <f>IF(A601="","",IFERROR(AVERAGEIFS(DATOS!$K$2:$K$20000,DATOS!$A$2:$A$20000,A601,DATOS!$G$2:$G$20000,CONFIG_METADATA!$B$4,DATOS!$I$2:$I$20000,"Lenguaje Musical"),""))</f>
        <v/>
      </c>
      <c r="C601" t="str">
        <f>IF(A601="","",IFERROR(AVERAGEIFS(DATOS!$K$2:$K$20000,DATOS!$A$2:$A$20000,A601,DATOS!$G$2:$G$20000,CONFIG_METADATA!$B$4,DATOS!$I$2:$I$20000,"Coro"),""))</f>
        <v/>
      </c>
      <c r="D601" t="str">
        <f>IF(A601="","",IFERROR(AVERAGEIFS(DATOS!$K$2:$K$20000,DATOS!$A$2:$A$20000,A601,DATOS!$G$2:$G$20000,CONFIG_METADATA!$B$4,DATOS!$I$2:$I$20000,"Conjunto"),""))</f>
        <v/>
      </c>
      <c r="E601" t="str">
        <f>IF(A601="","",IFERROR(AVERAGEIFS(DATOS!$K$2:$K$20000,DATOS!$A$2:$A$20000,A601,DATOS!$G$2:$G$20000,CONFIG_METADATA!$B$4,DATOS!$I$2:$I$20000,"&lt;&gt;Lenguaje Musical",DATOS!$I$2:$I$20000,"&lt;&gt;Coro",DATOS!$I$2:$I$20000,"&lt;&gt;Conjunto"),""))</f>
        <v/>
      </c>
      <c r="H601" t="str">
        <f>IF(G601="","",IFERROR(AVERAGEIFS(DATOS!$K$2:$K$20000,DATOS!$A$2:$A$20000,G601,DATOS!$G$2:$G$20000,CONFIG_METADATA!$B$4,DATOS!$I$2:$I$20000,"Lenguaje Musical"),""))</f>
        <v/>
      </c>
      <c r="I601" t="str">
        <f>IF(G601="","",IFERROR(AVERAGEIFS(DATOS!$K$2:$K$20000,DATOS!$A$2:$A$20000,G601,DATOS!$G$2:$G$20000,CONFIG_METADATA!$B$4,DATOS!$I$2:$I$20000,"Coro"),""))</f>
        <v/>
      </c>
      <c r="J601" t="str">
        <f>IF(G601="","",IFERROR(AVERAGEIFS(DATOS!$K$2:$K$20000,DATOS!$A$2:$A$20000,G601,DATOS!$G$2:$G$20000,CONFIG_METADATA!$B$4,DATOS!$I$2:$I$20000,"Conjunto"),""))</f>
        <v/>
      </c>
      <c r="K601" t="str" cm="1">
        <f t="array" ref="K601">IF(G601="","",IFERROR(AVERAGE(IF((DATOS!$A$2:$A$20000=G601)*(DATOS!$G$2:$G$20000=CONFIG_METADATA!$B$4)*(DATOS!$I$2:$I$20000&lt;&gt;"Lenguaje Musical")*(DATOS!$I$2:$I$20000&lt;&gt;"Coro")*(DATOS!$I$2:$I$20000&lt;&gt;"Conjunto"),DATOS!$K$2:$K$20000)),""))</f>
        <v/>
      </c>
      <c r="N601" t="str">
        <f>IF(M601="","",IFERROR(AVERAGEIFS(DATOS!$K$2:$K$20000,DATOS!$A$2:$A$20000,M601,DATOS!$G$2:$G$20000,CONFIG_METADATA!$B$4,DATOS!$I$2:$I$20000,"Lenguaje Musical"),""))</f>
        <v/>
      </c>
      <c r="O601" t="str">
        <f>IF(M601="","",IFERROR(AVERAGEIFS(DATOS!$K$2:$K$20000,DATOS!$A$2:$A$20000,M601,DATOS!$G$2:$G$20000,CONFIG_METADATA!$B$4,DATOS!$I$2:$I$20000,"Coro"),""))</f>
        <v/>
      </c>
      <c r="P601" t="str">
        <f>IF(M601="","",IFERROR(AVERAGEIFS(DATOS!$K$2:$K$20000,DATOS!$A$2:$A$20000,M601,DATOS!$G$2:$G$20000,CONFIG_METADATA!$B$4,DATOS!$I$2:$I$20000,"Conjunto"),""))</f>
        <v/>
      </c>
      <c r="Q601" t="str">
        <f>IF(M601="","",IFERROR(AVERAGEIFS(DATOS!$K$2:$K$20000,DATOS!$A$2:$A$20000,M601,DATOS!$G$2:$G$20000,CONFIG_METADATA!$B$4,DATOS!$I$2:$I$20000,"&lt;&gt;Lenguaje Musical",DATOS!$I$2:$I$20000,"&lt;&gt;Coro",DATOS!$I$2:$I$20000,"&lt;&gt;Conjunto"),""))</f>
        <v/>
      </c>
      <c r="T601" t="str">
        <f>IF(S601="","",IFERROR(AVERAGEIFS(DATOS!$K$2:$K$20000,DATOS!$A$2:$A$20000,S601,DATOS!$G$2:$G$20000,CONFIG_METADATA!$B$4,DATOS!$I$2:$I$20000,"Lenguaje Musical"),""))</f>
        <v/>
      </c>
      <c r="U601" t="str">
        <f>IF(S601="","",IFERROR(AVERAGEIFS(DATOS!$K$2:$K$20000,DATOS!$A$2:$A$20000,S601,DATOS!$G$2:$G$20000,CONFIG_METADATA!$B$4,DATOS!$I$2:$I$20000,"Coro"),""))</f>
        <v/>
      </c>
      <c r="V601" t="str">
        <f>IF(S601="","",IFERROR(AVERAGEIFS(DATOS!$K$2:$K$20000,DATOS!$A$2:$A$20000,S601,DATOS!$G$2:$G$20000,CONFIG_METADATA!$B$4,DATOS!$I$2:$I$20000,"Conjunto"),""))</f>
        <v/>
      </c>
      <c r="W601" t="str" cm="1">
        <f t="array" ref="W601">IF(S601="","",IFERROR(AVERAGE(IF((DATOS!$A$2:$A$20000=S601)*(DATOS!$G$2:$G$20000=CONFIG_METADATA!$B$4)*(DATOS!$I$2:$I$20000&lt;&gt;"Lenguaje Musical")*(DATOS!$I$2:$I$20000&lt;&gt;"Coro")*(DATOS!$I$2:$I$20000&lt;&gt;"Conjunto"),DATOS!$K$2:$K$20000)),""))</f>
        <v/>
      </c>
    </row>
    <row r="602" spans="2:23" x14ac:dyDescent="0.2">
      <c r="B602" t="str">
        <f>IF(A602="","",IFERROR(AVERAGEIFS(DATOS!$K$2:$K$20000,DATOS!$A$2:$A$20000,A602,DATOS!$G$2:$G$20000,CONFIG_METADATA!$B$4,DATOS!$I$2:$I$20000,"Lenguaje Musical"),""))</f>
        <v/>
      </c>
      <c r="C602" t="str">
        <f>IF(A602="","",IFERROR(AVERAGEIFS(DATOS!$K$2:$K$20000,DATOS!$A$2:$A$20000,A602,DATOS!$G$2:$G$20000,CONFIG_METADATA!$B$4,DATOS!$I$2:$I$20000,"Coro"),""))</f>
        <v/>
      </c>
      <c r="D602" t="str">
        <f>IF(A602="","",IFERROR(AVERAGEIFS(DATOS!$K$2:$K$20000,DATOS!$A$2:$A$20000,A602,DATOS!$G$2:$G$20000,CONFIG_METADATA!$B$4,DATOS!$I$2:$I$20000,"Conjunto"),""))</f>
        <v/>
      </c>
      <c r="E602" t="str">
        <f>IF(A602="","",IFERROR(AVERAGEIFS(DATOS!$K$2:$K$20000,DATOS!$A$2:$A$20000,A602,DATOS!$G$2:$G$20000,CONFIG_METADATA!$B$4,DATOS!$I$2:$I$20000,"&lt;&gt;Lenguaje Musical",DATOS!$I$2:$I$20000,"&lt;&gt;Coro",DATOS!$I$2:$I$20000,"&lt;&gt;Conjunto"),""))</f>
        <v/>
      </c>
      <c r="H602" t="str">
        <f>IF(G602="","",IFERROR(AVERAGEIFS(DATOS!$K$2:$K$20000,DATOS!$A$2:$A$20000,G602,DATOS!$G$2:$G$20000,CONFIG_METADATA!$B$4,DATOS!$I$2:$I$20000,"Lenguaje Musical"),""))</f>
        <v/>
      </c>
      <c r="I602" t="str">
        <f>IF(G602="","",IFERROR(AVERAGEIFS(DATOS!$K$2:$K$20000,DATOS!$A$2:$A$20000,G602,DATOS!$G$2:$G$20000,CONFIG_METADATA!$B$4,DATOS!$I$2:$I$20000,"Coro"),""))</f>
        <v/>
      </c>
      <c r="J602" t="str">
        <f>IF(G602="","",IFERROR(AVERAGEIFS(DATOS!$K$2:$K$20000,DATOS!$A$2:$A$20000,G602,DATOS!$G$2:$G$20000,CONFIG_METADATA!$B$4,DATOS!$I$2:$I$20000,"Conjunto"),""))</f>
        <v/>
      </c>
      <c r="K602" t="str" cm="1">
        <f t="array" ref="K602">IF(G602="","",IFERROR(AVERAGE(IF((DATOS!$A$2:$A$20000=G602)*(DATOS!$G$2:$G$20000=CONFIG_METADATA!$B$4)*(DATOS!$I$2:$I$20000&lt;&gt;"Lenguaje Musical")*(DATOS!$I$2:$I$20000&lt;&gt;"Coro")*(DATOS!$I$2:$I$20000&lt;&gt;"Conjunto"),DATOS!$K$2:$K$20000)),""))</f>
        <v/>
      </c>
      <c r="N602" t="str">
        <f>IF(M602="","",IFERROR(AVERAGEIFS(DATOS!$K$2:$K$20000,DATOS!$A$2:$A$20000,M602,DATOS!$G$2:$G$20000,CONFIG_METADATA!$B$4,DATOS!$I$2:$I$20000,"Lenguaje Musical"),""))</f>
        <v/>
      </c>
      <c r="O602" t="str">
        <f>IF(M602="","",IFERROR(AVERAGEIFS(DATOS!$K$2:$K$20000,DATOS!$A$2:$A$20000,M602,DATOS!$G$2:$G$20000,CONFIG_METADATA!$B$4,DATOS!$I$2:$I$20000,"Coro"),""))</f>
        <v/>
      </c>
      <c r="P602" t="str">
        <f>IF(M602="","",IFERROR(AVERAGEIFS(DATOS!$K$2:$K$20000,DATOS!$A$2:$A$20000,M602,DATOS!$G$2:$G$20000,CONFIG_METADATA!$B$4,DATOS!$I$2:$I$20000,"Conjunto"),""))</f>
        <v/>
      </c>
      <c r="Q602" t="str">
        <f>IF(M602="","",IFERROR(AVERAGEIFS(DATOS!$K$2:$K$20000,DATOS!$A$2:$A$20000,M602,DATOS!$G$2:$G$20000,CONFIG_METADATA!$B$4,DATOS!$I$2:$I$20000,"&lt;&gt;Lenguaje Musical",DATOS!$I$2:$I$20000,"&lt;&gt;Coro",DATOS!$I$2:$I$20000,"&lt;&gt;Conjunto"),""))</f>
        <v/>
      </c>
      <c r="T602" t="str">
        <f>IF(S602="","",IFERROR(AVERAGEIFS(DATOS!$K$2:$K$20000,DATOS!$A$2:$A$20000,S602,DATOS!$G$2:$G$20000,CONFIG_METADATA!$B$4,DATOS!$I$2:$I$20000,"Lenguaje Musical"),""))</f>
        <v/>
      </c>
      <c r="U602" t="str">
        <f>IF(S602="","",IFERROR(AVERAGEIFS(DATOS!$K$2:$K$20000,DATOS!$A$2:$A$20000,S602,DATOS!$G$2:$G$20000,CONFIG_METADATA!$B$4,DATOS!$I$2:$I$20000,"Coro"),""))</f>
        <v/>
      </c>
      <c r="V602" t="str">
        <f>IF(S602="","",IFERROR(AVERAGEIFS(DATOS!$K$2:$K$20000,DATOS!$A$2:$A$20000,S602,DATOS!$G$2:$G$20000,CONFIG_METADATA!$B$4,DATOS!$I$2:$I$20000,"Conjunto"),""))</f>
        <v/>
      </c>
      <c r="W602" t="str" cm="1">
        <f t="array" ref="W602">IF(S602="","",IFERROR(AVERAGE(IF((DATOS!$A$2:$A$20000=S602)*(DATOS!$G$2:$G$20000=CONFIG_METADATA!$B$4)*(DATOS!$I$2:$I$20000&lt;&gt;"Lenguaje Musical")*(DATOS!$I$2:$I$20000&lt;&gt;"Coro")*(DATOS!$I$2:$I$20000&lt;&gt;"Conjunto"),DATOS!$K$2:$K$20000)),""))</f>
        <v/>
      </c>
    </row>
    <row r="603" spans="2:23" x14ac:dyDescent="0.2">
      <c r="B603" t="str">
        <f>IF(A603="","",IFERROR(AVERAGEIFS(DATOS!$K$2:$K$20000,DATOS!$A$2:$A$20000,A603,DATOS!$G$2:$G$20000,CONFIG_METADATA!$B$4,DATOS!$I$2:$I$20000,"Lenguaje Musical"),""))</f>
        <v/>
      </c>
      <c r="C603" t="str">
        <f>IF(A603="","",IFERROR(AVERAGEIFS(DATOS!$K$2:$K$20000,DATOS!$A$2:$A$20000,A603,DATOS!$G$2:$G$20000,CONFIG_METADATA!$B$4,DATOS!$I$2:$I$20000,"Coro"),""))</f>
        <v/>
      </c>
      <c r="D603" t="str">
        <f>IF(A603="","",IFERROR(AVERAGEIFS(DATOS!$K$2:$K$20000,DATOS!$A$2:$A$20000,A603,DATOS!$G$2:$G$20000,CONFIG_METADATA!$B$4,DATOS!$I$2:$I$20000,"Conjunto"),""))</f>
        <v/>
      </c>
      <c r="E603" t="str">
        <f>IF(A603="","",IFERROR(AVERAGEIFS(DATOS!$K$2:$K$20000,DATOS!$A$2:$A$20000,A603,DATOS!$G$2:$G$20000,CONFIG_METADATA!$B$4,DATOS!$I$2:$I$20000,"&lt;&gt;Lenguaje Musical",DATOS!$I$2:$I$20000,"&lt;&gt;Coro",DATOS!$I$2:$I$20000,"&lt;&gt;Conjunto"),""))</f>
        <v/>
      </c>
      <c r="H603" t="str">
        <f>IF(G603="","",IFERROR(AVERAGEIFS(DATOS!$K$2:$K$20000,DATOS!$A$2:$A$20000,G603,DATOS!$G$2:$G$20000,CONFIG_METADATA!$B$4,DATOS!$I$2:$I$20000,"Lenguaje Musical"),""))</f>
        <v/>
      </c>
      <c r="I603" t="str">
        <f>IF(G603="","",IFERROR(AVERAGEIFS(DATOS!$K$2:$K$20000,DATOS!$A$2:$A$20000,G603,DATOS!$G$2:$G$20000,CONFIG_METADATA!$B$4,DATOS!$I$2:$I$20000,"Coro"),""))</f>
        <v/>
      </c>
      <c r="J603" t="str">
        <f>IF(G603="","",IFERROR(AVERAGEIFS(DATOS!$K$2:$K$20000,DATOS!$A$2:$A$20000,G603,DATOS!$G$2:$G$20000,CONFIG_METADATA!$B$4,DATOS!$I$2:$I$20000,"Conjunto"),""))</f>
        <v/>
      </c>
      <c r="K603" t="str" cm="1">
        <f t="array" ref="K603">IF(G603="","",IFERROR(AVERAGE(IF((DATOS!$A$2:$A$20000=G603)*(DATOS!$G$2:$G$20000=CONFIG_METADATA!$B$4)*(DATOS!$I$2:$I$20000&lt;&gt;"Lenguaje Musical")*(DATOS!$I$2:$I$20000&lt;&gt;"Coro")*(DATOS!$I$2:$I$20000&lt;&gt;"Conjunto"),DATOS!$K$2:$K$20000)),""))</f>
        <v/>
      </c>
      <c r="N603" t="str">
        <f>IF(M603="","",IFERROR(AVERAGEIFS(DATOS!$K$2:$K$20000,DATOS!$A$2:$A$20000,M603,DATOS!$G$2:$G$20000,CONFIG_METADATA!$B$4,DATOS!$I$2:$I$20000,"Lenguaje Musical"),""))</f>
        <v/>
      </c>
      <c r="O603" t="str">
        <f>IF(M603="","",IFERROR(AVERAGEIFS(DATOS!$K$2:$K$20000,DATOS!$A$2:$A$20000,M603,DATOS!$G$2:$G$20000,CONFIG_METADATA!$B$4,DATOS!$I$2:$I$20000,"Coro"),""))</f>
        <v/>
      </c>
      <c r="P603" t="str">
        <f>IF(M603="","",IFERROR(AVERAGEIFS(DATOS!$K$2:$K$20000,DATOS!$A$2:$A$20000,M603,DATOS!$G$2:$G$20000,CONFIG_METADATA!$B$4,DATOS!$I$2:$I$20000,"Conjunto"),""))</f>
        <v/>
      </c>
      <c r="Q603" t="str">
        <f>IF(M603="","",IFERROR(AVERAGEIFS(DATOS!$K$2:$K$20000,DATOS!$A$2:$A$20000,M603,DATOS!$G$2:$G$20000,CONFIG_METADATA!$B$4,DATOS!$I$2:$I$20000,"&lt;&gt;Lenguaje Musical",DATOS!$I$2:$I$20000,"&lt;&gt;Coro",DATOS!$I$2:$I$20000,"&lt;&gt;Conjunto"),""))</f>
        <v/>
      </c>
      <c r="T603" t="str">
        <f>IF(S603="","",IFERROR(AVERAGEIFS(DATOS!$K$2:$K$20000,DATOS!$A$2:$A$20000,S603,DATOS!$G$2:$G$20000,CONFIG_METADATA!$B$4,DATOS!$I$2:$I$20000,"Lenguaje Musical"),""))</f>
        <v/>
      </c>
      <c r="U603" t="str">
        <f>IF(S603="","",IFERROR(AVERAGEIFS(DATOS!$K$2:$K$20000,DATOS!$A$2:$A$20000,S603,DATOS!$G$2:$G$20000,CONFIG_METADATA!$B$4,DATOS!$I$2:$I$20000,"Coro"),""))</f>
        <v/>
      </c>
      <c r="V603" t="str">
        <f>IF(S603="","",IFERROR(AVERAGEIFS(DATOS!$K$2:$K$20000,DATOS!$A$2:$A$20000,S603,DATOS!$G$2:$G$20000,CONFIG_METADATA!$B$4,DATOS!$I$2:$I$20000,"Conjunto"),""))</f>
        <v/>
      </c>
      <c r="W603" t="str" cm="1">
        <f t="array" ref="W603">IF(S603="","",IFERROR(AVERAGE(IF((DATOS!$A$2:$A$20000=S603)*(DATOS!$G$2:$G$20000=CONFIG_METADATA!$B$4)*(DATOS!$I$2:$I$20000&lt;&gt;"Lenguaje Musical")*(DATOS!$I$2:$I$20000&lt;&gt;"Coro")*(DATOS!$I$2:$I$20000&lt;&gt;"Conjunto"),DATOS!$K$2:$K$20000)),""))</f>
        <v/>
      </c>
    </row>
    <row r="604" spans="2:23" x14ac:dyDescent="0.2">
      <c r="B604" t="str">
        <f>IF(A604="","",IFERROR(AVERAGEIFS(DATOS!$K$2:$K$20000,DATOS!$A$2:$A$20000,A604,DATOS!$G$2:$G$20000,CONFIG_METADATA!$B$4,DATOS!$I$2:$I$20000,"Lenguaje Musical"),""))</f>
        <v/>
      </c>
      <c r="C604" t="str">
        <f>IF(A604="","",IFERROR(AVERAGEIFS(DATOS!$K$2:$K$20000,DATOS!$A$2:$A$20000,A604,DATOS!$G$2:$G$20000,CONFIG_METADATA!$B$4,DATOS!$I$2:$I$20000,"Coro"),""))</f>
        <v/>
      </c>
      <c r="D604" t="str">
        <f>IF(A604="","",IFERROR(AVERAGEIFS(DATOS!$K$2:$K$20000,DATOS!$A$2:$A$20000,A604,DATOS!$G$2:$G$20000,CONFIG_METADATA!$B$4,DATOS!$I$2:$I$20000,"Conjunto"),""))</f>
        <v/>
      </c>
      <c r="E604" t="str">
        <f>IF(A604="","",IFERROR(AVERAGEIFS(DATOS!$K$2:$K$20000,DATOS!$A$2:$A$20000,A604,DATOS!$G$2:$G$20000,CONFIG_METADATA!$B$4,DATOS!$I$2:$I$20000,"&lt;&gt;Lenguaje Musical",DATOS!$I$2:$I$20000,"&lt;&gt;Coro",DATOS!$I$2:$I$20000,"&lt;&gt;Conjunto"),""))</f>
        <v/>
      </c>
      <c r="H604" t="str">
        <f>IF(G604="","",IFERROR(AVERAGEIFS(DATOS!$K$2:$K$20000,DATOS!$A$2:$A$20000,G604,DATOS!$G$2:$G$20000,CONFIG_METADATA!$B$4,DATOS!$I$2:$I$20000,"Lenguaje Musical"),""))</f>
        <v/>
      </c>
      <c r="I604" t="str">
        <f>IF(G604="","",IFERROR(AVERAGEIFS(DATOS!$K$2:$K$20000,DATOS!$A$2:$A$20000,G604,DATOS!$G$2:$G$20000,CONFIG_METADATA!$B$4,DATOS!$I$2:$I$20000,"Coro"),""))</f>
        <v/>
      </c>
      <c r="J604" t="str">
        <f>IF(G604="","",IFERROR(AVERAGEIFS(DATOS!$K$2:$K$20000,DATOS!$A$2:$A$20000,G604,DATOS!$G$2:$G$20000,CONFIG_METADATA!$B$4,DATOS!$I$2:$I$20000,"Conjunto"),""))</f>
        <v/>
      </c>
      <c r="K604" t="str" cm="1">
        <f t="array" ref="K604">IF(G604="","",IFERROR(AVERAGE(IF((DATOS!$A$2:$A$20000=G604)*(DATOS!$G$2:$G$20000=CONFIG_METADATA!$B$4)*(DATOS!$I$2:$I$20000&lt;&gt;"Lenguaje Musical")*(DATOS!$I$2:$I$20000&lt;&gt;"Coro")*(DATOS!$I$2:$I$20000&lt;&gt;"Conjunto"),DATOS!$K$2:$K$20000)),""))</f>
        <v/>
      </c>
      <c r="N604" t="str">
        <f>IF(M604="","",IFERROR(AVERAGEIFS(DATOS!$K$2:$K$20000,DATOS!$A$2:$A$20000,M604,DATOS!$G$2:$G$20000,CONFIG_METADATA!$B$4,DATOS!$I$2:$I$20000,"Lenguaje Musical"),""))</f>
        <v/>
      </c>
      <c r="O604" t="str">
        <f>IF(M604="","",IFERROR(AVERAGEIFS(DATOS!$K$2:$K$20000,DATOS!$A$2:$A$20000,M604,DATOS!$G$2:$G$20000,CONFIG_METADATA!$B$4,DATOS!$I$2:$I$20000,"Coro"),""))</f>
        <v/>
      </c>
      <c r="P604" t="str">
        <f>IF(M604="","",IFERROR(AVERAGEIFS(DATOS!$K$2:$K$20000,DATOS!$A$2:$A$20000,M604,DATOS!$G$2:$G$20000,CONFIG_METADATA!$B$4,DATOS!$I$2:$I$20000,"Conjunto"),""))</f>
        <v/>
      </c>
      <c r="Q604" t="str">
        <f>IF(M604="","",IFERROR(AVERAGEIFS(DATOS!$K$2:$K$20000,DATOS!$A$2:$A$20000,M604,DATOS!$G$2:$G$20000,CONFIG_METADATA!$B$4,DATOS!$I$2:$I$20000,"&lt;&gt;Lenguaje Musical",DATOS!$I$2:$I$20000,"&lt;&gt;Coro",DATOS!$I$2:$I$20000,"&lt;&gt;Conjunto"),""))</f>
        <v/>
      </c>
      <c r="T604" t="str">
        <f>IF(S604="","",IFERROR(AVERAGEIFS(DATOS!$K$2:$K$20000,DATOS!$A$2:$A$20000,S604,DATOS!$G$2:$G$20000,CONFIG_METADATA!$B$4,DATOS!$I$2:$I$20000,"Lenguaje Musical"),""))</f>
        <v/>
      </c>
      <c r="U604" t="str">
        <f>IF(S604="","",IFERROR(AVERAGEIFS(DATOS!$K$2:$K$20000,DATOS!$A$2:$A$20000,S604,DATOS!$G$2:$G$20000,CONFIG_METADATA!$B$4,DATOS!$I$2:$I$20000,"Coro"),""))</f>
        <v/>
      </c>
      <c r="V604" t="str">
        <f>IF(S604="","",IFERROR(AVERAGEIFS(DATOS!$K$2:$K$20000,DATOS!$A$2:$A$20000,S604,DATOS!$G$2:$G$20000,CONFIG_METADATA!$B$4,DATOS!$I$2:$I$20000,"Conjunto"),""))</f>
        <v/>
      </c>
      <c r="W604" t="str" cm="1">
        <f t="array" ref="W604">IF(S604="","",IFERROR(AVERAGE(IF((DATOS!$A$2:$A$20000=S604)*(DATOS!$G$2:$G$20000=CONFIG_METADATA!$B$4)*(DATOS!$I$2:$I$20000&lt;&gt;"Lenguaje Musical")*(DATOS!$I$2:$I$20000&lt;&gt;"Coro")*(DATOS!$I$2:$I$20000&lt;&gt;"Conjunto"),DATOS!$K$2:$K$20000)),""))</f>
        <v/>
      </c>
    </row>
    <row r="605" spans="2:23" x14ac:dyDescent="0.2">
      <c r="B605" t="str">
        <f>IF(A605="","",IFERROR(AVERAGEIFS(DATOS!$K$2:$K$20000,DATOS!$A$2:$A$20000,A605,DATOS!$G$2:$G$20000,CONFIG_METADATA!$B$4,DATOS!$I$2:$I$20000,"Lenguaje Musical"),""))</f>
        <v/>
      </c>
      <c r="C605" t="str">
        <f>IF(A605="","",IFERROR(AVERAGEIFS(DATOS!$K$2:$K$20000,DATOS!$A$2:$A$20000,A605,DATOS!$G$2:$G$20000,CONFIG_METADATA!$B$4,DATOS!$I$2:$I$20000,"Coro"),""))</f>
        <v/>
      </c>
      <c r="D605" t="str">
        <f>IF(A605="","",IFERROR(AVERAGEIFS(DATOS!$K$2:$K$20000,DATOS!$A$2:$A$20000,A605,DATOS!$G$2:$G$20000,CONFIG_METADATA!$B$4,DATOS!$I$2:$I$20000,"Conjunto"),""))</f>
        <v/>
      </c>
      <c r="E605" t="str">
        <f>IF(A605="","",IFERROR(AVERAGEIFS(DATOS!$K$2:$K$20000,DATOS!$A$2:$A$20000,A605,DATOS!$G$2:$G$20000,CONFIG_METADATA!$B$4,DATOS!$I$2:$I$20000,"&lt;&gt;Lenguaje Musical",DATOS!$I$2:$I$20000,"&lt;&gt;Coro",DATOS!$I$2:$I$20000,"&lt;&gt;Conjunto"),""))</f>
        <v/>
      </c>
      <c r="H605" t="str">
        <f>IF(G605="","",IFERROR(AVERAGEIFS(DATOS!$K$2:$K$20000,DATOS!$A$2:$A$20000,G605,DATOS!$G$2:$G$20000,CONFIG_METADATA!$B$4,DATOS!$I$2:$I$20000,"Lenguaje Musical"),""))</f>
        <v/>
      </c>
      <c r="I605" t="str">
        <f>IF(G605="","",IFERROR(AVERAGEIFS(DATOS!$K$2:$K$20000,DATOS!$A$2:$A$20000,G605,DATOS!$G$2:$G$20000,CONFIG_METADATA!$B$4,DATOS!$I$2:$I$20000,"Coro"),""))</f>
        <v/>
      </c>
      <c r="J605" t="str">
        <f>IF(G605="","",IFERROR(AVERAGEIFS(DATOS!$K$2:$K$20000,DATOS!$A$2:$A$20000,G605,DATOS!$G$2:$G$20000,CONFIG_METADATA!$B$4,DATOS!$I$2:$I$20000,"Conjunto"),""))</f>
        <v/>
      </c>
      <c r="K605" t="str" cm="1">
        <f t="array" ref="K605">IF(G605="","",IFERROR(AVERAGE(IF((DATOS!$A$2:$A$20000=G605)*(DATOS!$G$2:$G$20000=CONFIG_METADATA!$B$4)*(DATOS!$I$2:$I$20000&lt;&gt;"Lenguaje Musical")*(DATOS!$I$2:$I$20000&lt;&gt;"Coro")*(DATOS!$I$2:$I$20000&lt;&gt;"Conjunto"),DATOS!$K$2:$K$20000)),""))</f>
        <v/>
      </c>
      <c r="N605" t="str">
        <f>IF(M605="","",IFERROR(AVERAGEIFS(DATOS!$K$2:$K$20000,DATOS!$A$2:$A$20000,M605,DATOS!$G$2:$G$20000,CONFIG_METADATA!$B$4,DATOS!$I$2:$I$20000,"Lenguaje Musical"),""))</f>
        <v/>
      </c>
      <c r="O605" t="str">
        <f>IF(M605="","",IFERROR(AVERAGEIFS(DATOS!$K$2:$K$20000,DATOS!$A$2:$A$20000,M605,DATOS!$G$2:$G$20000,CONFIG_METADATA!$B$4,DATOS!$I$2:$I$20000,"Coro"),""))</f>
        <v/>
      </c>
      <c r="P605" t="str">
        <f>IF(M605="","",IFERROR(AVERAGEIFS(DATOS!$K$2:$K$20000,DATOS!$A$2:$A$20000,M605,DATOS!$G$2:$G$20000,CONFIG_METADATA!$B$4,DATOS!$I$2:$I$20000,"Conjunto"),""))</f>
        <v/>
      </c>
      <c r="Q605" t="str">
        <f>IF(M605="","",IFERROR(AVERAGEIFS(DATOS!$K$2:$K$20000,DATOS!$A$2:$A$20000,M605,DATOS!$G$2:$G$20000,CONFIG_METADATA!$B$4,DATOS!$I$2:$I$20000,"&lt;&gt;Lenguaje Musical",DATOS!$I$2:$I$20000,"&lt;&gt;Coro",DATOS!$I$2:$I$20000,"&lt;&gt;Conjunto"),""))</f>
        <v/>
      </c>
      <c r="T605" t="str">
        <f>IF(S605="","",IFERROR(AVERAGEIFS(DATOS!$K$2:$K$20000,DATOS!$A$2:$A$20000,S605,DATOS!$G$2:$G$20000,CONFIG_METADATA!$B$4,DATOS!$I$2:$I$20000,"Lenguaje Musical"),""))</f>
        <v/>
      </c>
      <c r="U605" t="str">
        <f>IF(S605="","",IFERROR(AVERAGEIFS(DATOS!$K$2:$K$20000,DATOS!$A$2:$A$20000,S605,DATOS!$G$2:$G$20000,CONFIG_METADATA!$B$4,DATOS!$I$2:$I$20000,"Coro"),""))</f>
        <v/>
      </c>
      <c r="V605" t="str">
        <f>IF(S605="","",IFERROR(AVERAGEIFS(DATOS!$K$2:$K$20000,DATOS!$A$2:$A$20000,S605,DATOS!$G$2:$G$20000,CONFIG_METADATA!$B$4,DATOS!$I$2:$I$20000,"Conjunto"),""))</f>
        <v/>
      </c>
      <c r="W605" t="str" cm="1">
        <f t="array" ref="W605">IF(S605="","",IFERROR(AVERAGE(IF((DATOS!$A$2:$A$20000=S605)*(DATOS!$G$2:$G$20000=CONFIG_METADATA!$B$4)*(DATOS!$I$2:$I$20000&lt;&gt;"Lenguaje Musical")*(DATOS!$I$2:$I$20000&lt;&gt;"Coro")*(DATOS!$I$2:$I$20000&lt;&gt;"Conjunto"),DATOS!$K$2:$K$20000)),""))</f>
        <v/>
      </c>
    </row>
    <row r="606" spans="2:23" x14ac:dyDescent="0.2">
      <c r="B606" t="str">
        <f>IF(A606="","",IFERROR(AVERAGEIFS(DATOS!$K$2:$K$20000,DATOS!$A$2:$A$20000,A606,DATOS!$G$2:$G$20000,CONFIG_METADATA!$B$4,DATOS!$I$2:$I$20000,"Lenguaje Musical"),""))</f>
        <v/>
      </c>
      <c r="C606" t="str">
        <f>IF(A606="","",IFERROR(AVERAGEIFS(DATOS!$K$2:$K$20000,DATOS!$A$2:$A$20000,A606,DATOS!$G$2:$G$20000,CONFIG_METADATA!$B$4,DATOS!$I$2:$I$20000,"Coro"),""))</f>
        <v/>
      </c>
      <c r="D606" t="str">
        <f>IF(A606="","",IFERROR(AVERAGEIFS(DATOS!$K$2:$K$20000,DATOS!$A$2:$A$20000,A606,DATOS!$G$2:$G$20000,CONFIG_METADATA!$B$4,DATOS!$I$2:$I$20000,"Conjunto"),""))</f>
        <v/>
      </c>
      <c r="E606" t="str">
        <f>IF(A606="","",IFERROR(AVERAGEIFS(DATOS!$K$2:$K$20000,DATOS!$A$2:$A$20000,A606,DATOS!$G$2:$G$20000,CONFIG_METADATA!$B$4,DATOS!$I$2:$I$20000,"&lt;&gt;Lenguaje Musical",DATOS!$I$2:$I$20000,"&lt;&gt;Coro",DATOS!$I$2:$I$20000,"&lt;&gt;Conjunto"),""))</f>
        <v/>
      </c>
      <c r="H606" t="str">
        <f>IF(G606="","",IFERROR(AVERAGEIFS(DATOS!$K$2:$K$20000,DATOS!$A$2:$A$20000,G606,DATOS!$G$2:$G$20000,CONFIG_METADATA!$B$4,DATOS!$I$2:$I$20000,"Lenguaje Musical"),""))</f>
        <v/>
      </c>
      <c r="I606" t="str">
        <f>IF(G606="","",IFERROR(AVERAGEIFS(DATOS!$K$2:$K$20000,DATOS!$A$2:$A$20000,G606,DATOS!$G$2:$G$20000,CONFIG_METADATA!$B$4,DATOS!$I$2:$I$20000,"Coro"),""))</f>
        <v/>
      </c>
      <c r="J606" t="str">
        <f>IF(G606="","",IFERROR(AVERAGEIFS(DATOS!$K$2:$K$20000,DATOS!$A$2:$A$20000,G606,DATOS!$G$2:$G$20000,CONFIG_METADATA!$B$4,DATOS!$I$2:$I$20000,"Conjunto"),""))</f>
        <v/>
      </c>
      <c r="K606" t="str" cm="1">
        <f t="array" ref="K606">IF(G606="","",IFERROR(AVERAGE(IF((DATOS!$A$2:$A$20000=G606)*(DATOS!$G$2:$G$20000=CONFIG_METADATA!$B$4)*(DATOS!$I$2:$I$20000&lt;&gt;"Lenguaje Musical")*(DATOS!$I$2:$I$20000&lt;&gt;"Coro")*(DATOS!$I$2:$I$20000&lt;&gt;"Conjunto"),DATOS!$K$2:$K$20000)),""))</f>
        <v/>
      </c>
      <c r="N606" t="str">
        <f>IF(M606="","",IFERROR(AVERAGEIFS(DATOS!$K$2:$K$20000,DATOS!$A$2:$A$20000,M606,DATOS!$G$2:$G$20000,CONFIG_METADATA!$B$4,DATOS!$I$2:$I$20000,"Lenguaje Musical"),""))</f>
        <v/>
      </c>
      <c r="O606" t="str">
        <f>IF(M606="","",IFERROR(AVERAGEIFS(DATOS!$K$2:$K$20000,DATOS!$A$2:$A$20000,M606,DATOS!$G$2:$G$20000,CONFIG_METADATA!$B$4,DATOS!$I$2:$I$20000,"Coro"),""))</f>
        <v/>
      </c>
      <c r="P606" t="str">
        <f>IF(M606="","",IFERROR(AVERAGEIFS(DATOS!$K$2:$K$20000,DATOS!$A$2:$A$20000,M606,DATOS!$G$2:$G$20000,CONFIG_METADATA!$B$4,DATOS!$I$2:$I$20000,"Conjunto"),""))</f>
        <v/>
      </c>
      <c r="Q606" t="str">
        <f>IF(M606="","",IFERROR(AVERAGEIFS(DATOS!$K$2:$K$20000,DATOS!$A$2:$A$20000,M606,DATOS!$G$2:$G$20000,CONFIG_METADATA!$B$4,DATOS!$I$2:$I$20000,"&lt;&gt;Lenguaje Musical",DATOS!$I$2:$I$20000,"&lt;&gt;Coro",DATOS!$I$2:$I$20000,"&lt;&gt;Conjunto"),""))</f>
        <v/>
      </c>
      <c r="T606" t="str">
        <f>IF(S606="","",IFERROR(AVERAGEIFS(DATOS!$K$2:$K$20000,DATOS!$A$2:$A$20000,S606,DATOS!$G$2:$G$20000,CONFIG_METADATA!$B$4,DATOS!$I$2:$I$20000,"Lenguaje Musical"),""))</f>
        <v/>
      </c>
      <c r="U606" t="str">
        <f>IF(S606="","",IFERROR(AVERAGEIFS(DATOS!$K$2:$K$20000,DATOS!$A$2:$A$20000,S606,DATOS!$G$2:$G$20000,CONFIG_METADATA!$B$4,DATOS!$I$2:$I$20000,"Coro"),""))</f>
        <v/>
      </c>
      <c r="V606" t="str">
        <f>IF(S606="","",IFERROR(AVERAGEIFS(DATOS!$K$2:$K$20000,DATOS!$A$2:$A$20000,S606,DATOS!$G$2:$G$20000,CONFIG_METADATA!$B$4,DATOS!$I$2:$I$20000,"Conjunto"),""))</f>
        <v/>
      </c>
      <c r="W606" t="str" cm="1">
        <f t="array" ref="W606">IF(S606="","",IFERROR(AVERAGE(IF((DATOS!$A$2:$A$20000=S606)*(DATOS!$G$2:$G$20000=CONFIG_METADATA!$B$4)*(DATOS!$I$2:$I$20000&lt;&gt;"Lenguaje Musical")*(DATOS!$I$2:$I$20000&lt;&gt;"Coro")*(DATOS!$I$2:$I$20000&lt;&gt;"Conjunto"),DATOS!$K$2:$K$20000)),""))</f>
        <v/>
      </c>
    </row>
    <row r="607" spans="2:23" x14ac:dyDescent="0.2">
      <c r="B607" t="str">
        <f>IF(A607="","",IFERROR(AVERAGEIFS(DATOS!$K$2:$K$20000,DATOS!$A$2:$A$20000,A607,DATOS!$G$2:$G$20000,CONFIG_METADATA!$B$4,DATOS!$I$2:$I$20000,"Lenguaje Musical"),""))</f>
        <v/>
      </c>
      <c r="C607" t="str">
        <f>IF(A607="","",IFERROR(AVERAGEIFS(DATOS!$K$2:$K$20000,DATOS!$A$2:$A$20000,A607,DATOS!$G$2:$G$20000,CONFIG_METADATA!$B$4,DATOS!$I$2:$I$20000,"Coro"),""))</f>
        <v/>
      </c>
      <c r="D607" t="str">
        <f>IF(A607="","",IFERROR(AVERAGEIFS(DATOS!$K$2:$K$20000,DATOS!$A$2:$A$20000,A607,DATOS!$G$2:$G$20000,CONFIG_METADATA!$B$4,DATOS!$I$2:$I$20000,"Conjunto"),""))</f>
        <v/>
      </c>
      <c r="E607" t="str">
        <f>IF(A607="","",IFERROR(AVERAGEIFS(DATOS!$K$2:$K$20000,DATOS!$A$2:$A$20000,A607,DATOS!$G$2:$G$20000,CONFIG_METADATA!$B$4,DATOS!$I$2:$I$20000,"&lt;&gt;Lenguaje Musical",DATOS!$I$2:$I$20000,"&lt;&gt;Coro",DATOS!$I$2:$I$20000,"&lt;&gt;Conjunto"),""))</f>
        <v/>
      </c>
      <c r="H607" t="str">
        <f>IF(G607="","",IFERROR(AVERAGEIFS(DATOS!$K$2:$K$20000,DATOS!$A$2:$A$20000,G607,DATOS!$G$2:$G$20000,CONFIG_METADATA!$B$4,DATOS!$I$2:$I$20000,"Lenguaje Musical"),""))</f>
        <v/>
      </c>
      <c r="I607" t="str">
        <f>IF(G607="","",IFERROR(AVERAGEIFS(DATOS!$K$2:$K$20000,DATOS!$A$2:$A$20000,G607,DATOS!$G$2:$G$20000,CONFIG_METADATA!$B$4,DATOS!$I$2:$I$20000,"Coro"),""))</f>
        <v/>
      </c>
      <c r="J607" t="str">
        <f>IF(G607="","",IFERROR(AVERAGEIFS(DATOS!$K$2:$K$20000,DATOS!$A$2:$A$20000,G607,DATOS!$G$2:$G$20000,CONFIG_METADATA!$B$4,DATOS!$I$2:$I$20000,"Conjunto"),""))</f>
        <v/>
      </c>
      <c r="K607" t="str" cm="1">
        <f t="array" ref="K607">IF(G607="","",IFERROR(AVERAGE(IF((DATOS!$A$2:$A$20000=G607)*(DATOS!$G$2:$G$20000=CONFIG_METADATA!$B$4)*(DATOS!$I$2:$I$20000&lt;&gt;"Lenguaje Musical")*(DATOS!$I$2:$I$20000&lt;&gt;"Coro")*(DATOS!$I$2:$I$20000&lt;&gt;"Conjunto"),DATOS!$K$2:$K$20000)),""))</f>
        <v/>
      </c>
      <c r="N607" t="str">
        <f>IF(M607="","",IFERROR(AVERAGEIFS(DATOS!$K$2:$K$20000,DATOS!$A$2:$A$20000,M607,DATOS!$G$2:$G$20000,CONFIG_METADATA!$B$4,DATOS!$I$2:$I$20000,"Lenguaje Musical"),""))</f>
        <v/>
      </c>
      <c r="O607" t="str">
        <f>IF(M607="","",IFERROR(AVERAGEIFS(DATOS!$K$2:$K$20000,DATOS!$A$2:$A$20000,M607,DATOS!$G$2:$G$20000,CONFIG_METADATA!$B$4,DATOS!$I$2:$I$20000,"Coro"),""))</f>
        <v/>
      </c>
      <c r="P607" t="str">
        <f>IF(M607="","",IFERROR(AVERAGEIFS(DATOS!$K$2:$K$20000,DATOS!$A$2:$A$20000,M607,DATOS!$G$2:$G$20000,CONFIG_METADATA!$B$4,DATOS!$I$2:$I$20000,"Conjunto"),""))</f>
        <v/>
      </c>
      <c r="Q607" t="str">
        <f>IF(M607="","",IFERROR(AVERAGEIFS(DATOS!$K$2:$K$20000,DATOS!$A$2:$A$20000,M607,DATOS!$G$2:$G$20000,CONFIG_METADATA!$B$4,DATOS!$I$2:$I$20000,"&lt;&gt;Lenguaje Musical",DATOS!$I$2:$I$20000,"&lt;&gt;Coro",DATOS!$I$2:$I$20000,"&lt;&gt;Conjunto"),""))</f>
        <v/>
      </c>
      <c r="T607" t="str">
        <f>IF(S607="","",IFERROR(AVERAGEIFS(DATOS!$K$2:$K$20000,DATOS!$A$2:$A$20000,S607,DATOS!$G$2:$G$20000,CONFIG_METADATA!$B$4,DATOS!$I$2:$I$20000,"Lenguaje Musical"),""))</f>
        <v/>
      </c>
      <c r="U607" t="str">
        <f>IF(S607="","",IFERROR(AVERAGEIFS(DATOS!$K$2:$K$20000,DATOS!$A$2:$A$20000,S607,DATOS!$G$2:$G$20000,CONFIG_METADATA!$B$4,DATOS!$I$2:$I$20000,"Coro"),""))</f>
        <v/>
      </c>
      <c r="V607" t="str">
        <f>IF(S607="","",IFERROR(AVERAGEIFS(DATOS!$K$2:$K$20000,DATOS!$A$2:$A$20000,S607,DATOS!$G$2:$G$20000,CONFIG_METADATA!$B$4,DATOS!$I$2:$I$20000,"Conjunto"),""))</f>
        <v/>
      </c>
      <c r="W607" t="str" cm="1">
        <f t="array" ref="W607">IF(S607="","",IFERROR(AVERAGE(IF((DATOS!$A$2:$A$20000=S607)*(DATOS!$G$2:$G$20000=CONFIG_METADATA!$B$4)*(DATOS!$I$2:$I$20000&lt;&gt;"Lenguaje Musical")*(DATOS!$I$2:$I$20000&lt;&gt;"Coro")*(DATOS!$I$2:$I$20000&lt;&gt;"Conjunto"),DATOS!$K$2:$K$20000)),""))</f>
        <v/>
      </c>
    </row>
    <row r="608" spans="2:23" x14ac:dyDescent="0.2">
      <c r="B608" t="str">
        <f>IF(A608="","",IFERROR(AVERAGEIFS(DATOS!$K$2:$K$20000,DATOS!$A$2:$A$20000,A608,DATOS!$G$2:$G$20000,CONFIG_METADATA!$B$4,DATOS!$I$2:$I$20000,"Lenguaje Musical"),""))</f>
        <v/>
      </c>
      <c r="C608" t="str">
        <f>IF(A608="","",IFERROR(AVERAGEIFS(DATOS!$K$2:$K$20000,DATOS!$A$2:$A$20000,A608,DATOS!$G$2:$G$20000,CONFIG_METADATA!$B$4,DATOS!$I$2:$I$20000,"Coro"),""))</f>
        <v/>
      </c>
      <c r="D608" t="str">
        <f>IF(A608="","",IFERROR(AVERAGEIFS(DATOS!$K$2:$K$20000,DATOS!$A$2:$A$20000,A608,DATOS!$G$2:$G$20000,CONFIG_METADATA!$B$4,DATOS!$I$2:$I$20000,"Conjunto"),""))</f>
        <v/>
      </c>
      <c r="E608" t="str">
        <f>IF(A608="","",IFERROR(AVERAGEIFS(DATOS!$K$2:$K$20000,DATOS!$A$2:$A$20000,A608,DATOS!$G$2:$G$20000,CONFIG_METADATA!$B$4,DATOS!$I$2:$I$20000,"&lt;&gt;Lenguaje Musical",DATOS!$I$2:$I$20000,"&lt;&gt;Coro",DATOS!$I$2:$I$20000,"&lt;&gt;Conjunto"),""))</f>
        <v/>
      </c>
      <c r="H608" t="str">
        <f>IF(G608="","",IFERROR(AVERAGEIFS(DATOS!$K$2:$K$20000,DATOS!$A$2:$A$20000,G608,DATOS!$G$2:$G$20000,CONFIG_METADATA!$B$4,DATOS!$I$2:$I$20000,"Lenguaje Musical"),""))</f>
        <v/>
      </c>
      <c r="I608" t="str">
        <f>IF(G608="","",IFERROR(AVERAGEIFS(DATOS!$K$2:$K$20000,DATOS!$A$2:$A$20000,G608,DATOS!$G$2:$G$20000,CONFIG_METADATA!$B$4,DATOS!$I$2:$I$20000,"Coro"),""))</f>
        <v/>
      </c>
      <c r="J608" t="str">
        <f>IF(G608="","",IFERROR(AVERAGEIFS(DATOS!$K$2:$K$20000,DATOS!$A$2:$A$20000,G608,DATOS!$G$2:$G$20000,CONFIG_METADATA!$B$4,DATOS!$I$2:$I$20000,"Conjunto"),""))</f>
        <v/>
      </c>
      <c r="K608" t="str" cm="1">
        <f t="array" ref="K608">IF(G608="","",IFERROR(AVERAGE(IF((DATOS!$A$2:$A$20000=G608)*(DATOS!$G$2:$G$20000=CONFIG_METADATA!$B$4)*(DATOS!$I$2:$I$20000&lt;&gt;"Lenguaje Musical")*(DATOS!$I$2:$I$20000&lt;&gt;"Coro")*(DATOS!$I$2:$I$20000&lt;&gt;"Conjunto"),DATOS!$K$2:$K$20000)),""))</f>
        <v/>
      </c>
      <c r="N608" t="str">
        <f>IF(M608="","",IFERROR(AVERAGEIFS(DATOS!$K$2:$K$20000,DATOS!$A$2:$A$20000,M608,DATOS!$G$2:$G$20000,CONFIG_METADATA!$B$4,DATOS!$I$2:$I$20000,"Lenguaje Musical"),""))</f>
        <v/>
      </c>
      <c r="O608" t="str">
        <f>IF(M608="","",IFERROR(AVERAGEIFS(DATOS!$K$2:$K$20000,DATOS!$A$2:$A$20000,M608,DATOS!$G$2:$G$20000,CONFIG_METADATA!$B$4,DATOS!$I$2:$I$20000,"Coro"),""))</f>
        <v/>
      </c>
      <c r="P608" t="str">
        <f>IF(M608="","",IFERROR(AVERAGEIFS(DATOS!$K$2:$K$20000,DATOS!$A$2:$A$20000,M608,DATOS!$G$2:$G$20000,CONFIG_METADATA!$B$4,DATOS!$I$2:$I$20000,"Conjunto"),""))</f>
        <v/>
      </c>
      <c r="Q608" t="str">
        <f>IF(M608="","",IFERROR(AVERAGEIFS(DATOS!$K$2:$K$20000,DATOS!$A$2:$A$20000,M608,DATOS!$G$2:$G$20000,CONFIG_METADATA!$B$4,DATOS!$I$2:$I$20000,"&lt;&gt;Lenguaje Musical",DATOS!$I$2:$I$20000,"&lt;&gt;Coro",DATOS!$I$2:$I$20000,"&lt;&gt;Conjunto"),""))</f>
        <v/>
      </c>
      <c r="T608" t="str">
        <f>IF(S608="","",IFERROR(AVERAGEIFS(DATOS!$K$2:$K$20000,DATOS!$A$2:$A$20000,S608,DATOS!$G$2:$G$20000,CONFIG_METADATA!$B$4,DATOS!$I$2:$I$20000,"Lenguaje Musical"),""))</f>
        <v/>
      </c>
      <c r="U608" t="str">
        <f>IF(S608="","",IFERROR(AVERAGEIFS(DATOS!$K$2:$K$20000,DATOS!$A$2:$A$20000,S608,DATOS!$G$2:$G$20000,CONFIG_METADATA!$B$4,DATOS!$I$2:$I$20000,"Coro"),""))</f>
        <v/>
      </c>
      <c r="V608" t="str">
        <f>IF(S608="","",IFERROR(AVERAGEIFS(DATOS!$K$2:$K$20000,DATOS!$A$2:$A$20000,S608,DATOS!$G$2:$G$20000,CONFIG_METADATA!$B$4,DATOS!$I$2:$I$20000,"Conjunto"),""))</f>
        <v/>
      </c>
      <c r="W608" t="str" cm="1">
        <f t="array" ref="W608">IF(S608="","",IFERROR(AVERAGE(IF((DATOS!$A$2:$A$20000=S608)*(DATOS!$G$2:$G$20000=CONFIG_METADATA!$B$4)*(DATOS!$I$2:$I$20000&lt;&gt;"Lenguaje Musical")*(DATOS!$I$2:$I$20000&lt;&gt;"Coro")*(DATOS!$I$2:$I$20000&lt;&gt;"Conjunto"),DATOS!$K$2:$K$20000)),""))</f>
        <v/>
      </c>
    </row>
    <row r="609" spans="2:23" x14ac:dyDescent="0.2">
      <c r="B609" t="str">
        <f>IF(A609="","",IFERROR(AVERAGEIFS(DATOS!$K$2:$K$20000,DATOS!$A$2:$A$20000,A609,DATOS!$G$2:$G$20000,CONFIG_METADATA!$B$4,DATOS!$I$2:$I$20000,"Lenguaje Musical"),""))</f>
        <v/>
      </c>
      <c r="C609" t="str">
        <f>IF(A609="","",IFERROR(AVERAGEIFS(DATOS!$K$2:$K$20000,DATOS!$A$2:$A$20000,A609,DATOS!$G$2:$G$20000,CONFIG_METADATA!$B$4,DATOS!$I$2:$I$20000,"Coro"),""))</f>
        <v/>
      </c>
      <c r="D609" t="str">
        <f>IF(A609="","",IFERROR(AVERAGEIFS(DATOS!$K$2:$K$20000,DATOS!$A$2:$A$20000,A609,DATOS!$G$2:$G$20000,CONFIG_METADATA!$B$4,DATOS!$I$2:$I$20000,"Conjunto"),""))</f>
        <v/>
      </c>
      <c r="E609" t="str">
        <f>IF(A609="","",IFERROR(AVERAGEIFS(DATOS!$K$2:$K$20000,DATOS!$A$2:$A$20000,A609,DATOS!$G$2:$G$20000,CONFIG_METADATA!$B$4,DATOS!$I$2:$I$20000,"&lt;&gt;Lenguaje Musical",DATOS!$I$2:$I$20000,"&lt;&gt;Coro",DATOS!$I$2:$I$20000,"&lt;&gt;Conjunto"),""))</f>
        <v/>
      </c>
      <c r="H609" t="str">
        <f>IF(G609="","",IFERROR(AVERAGEIFS(DATOS!$K$2:$K$20000,DATOS!$A$2:$A$20000,G609,DATOS!$G$2:$G$20000,CONFIG_METADATA!$B$4,DATOS!$I$2:$I$20000,"Lenguaje Musical"),""))</f>
        <v/>
      </c>
      <c r="I609" t="str">
        <f>IF(G609="","",IFERROR(AVERAGEIFS(DATOS!$K$2:$K$20000,DATOS!$A$2:$A$20000,G609,DATOS!$G$2:$G$20000,CONFIG_METADATA!$B$4,DATOS!$I$2:$I$20000,"Coro"),""))</f>
        <v/>
      </c>
      <c r="J609" t="str">
        <f>IF(G609="","",IFERROR(AVERAGEIFS(DATOS!$K$2:$K$20000,DATOS!$A$2:$A$20000,G609,DATOS!$G$2:$G$20000,CONFIG_METADATA!$B$4,DATOS!$I$2:$I$20000,"Conjunto"),""))</f>
        <v/>
      </c>
      <c r="K609" t="str" cm="1">
        <f t="array" ref="K609">IF(G609="","",IFERROR(AVERAGE(IF((DATOS!$A$2:$A$20000=G609)*(DATOS!$G$2:$G$20000=CONFIG_METADATA!$B$4)*(DATOS!$I$2:$I$20000&lt;&gt;"Lenguaje Musical")*(DATOS!$I$2:$I$20000&lt;&gt;"Coro")*(DATOS!$I$2:$I$20000&lt;&gt;"Conjunto"),DATOS!$K$2:$K$20000)),""))</f>
        <v/>
      </c>
      <c r="N609" t="str">
        <f>IF(M609="","",IFERROR(AVERAGEIFS(DATOS!$K$2:$K$20000,DATOS!$A$2:$A$20000,M609,DATOS!$G$2:$G$20000,CONFIG_METADATA!$B$4,DATOS!$I$2:$I$20000,"Lenguaje Musical"),""))</f>
        <v/>
      </c>
      <c r="O609" t="str">
        <f>IF(M609="","",IFERROR(AVERAGEIFS(DATOS!$K$2:$K$20000,DATOS!$A$2:$A$20000,M609,DATOS!$G$2:$G$20000,CONFIG_METADATA!$B$4,DATOS!$I$2:$I$20000,"Coro"),""))</f>
        <v/>
      </c>
      <c r="P609" t="str">
        <f>IF(M609="","",IFERROR(AVERAGEIFS(DATOS!$K$2:$K$20000,DATOS!$A$2:$A$20000,M609,DATOS!$G$2:$G$20000,CONFIG_METADATA!$B$4,DATOS!$I$2:$I$20000,"Conjunto"),""))</f>
        <v/>
      </c>
      <c r="Q609" t="str">
        <f>IF(M609="","",IFERROR(AVERAGEIFS(DATOS!$K$2:$K$20000,DATOS!$A$2:$A$20000,M609,DATOS!$G$2:$G$20000,CONFIG_METADATA!$B$4,DATOS!$I$2:$I$20000,"&lt;&gt;Lenguaje Musical",DATOS!$I$2:$I$20000,"&lt;&gt;Coro",DATOS!$I$2:$I$20000,"&lt;&gt;Conjunto"),""))</f>
        <v/>
      </c>
      <c r="T609" t="str">
        <f>IF(S609="","",IFERROR(AVERAGEIFS(DATOS!$K$2:$K$20000,DATOS!$A$2:$A$20000,S609,DATOS!$G$2:$G$20000,CONFIG_METADATA!$B$4,DATOS!$I$2:$I$20000,"Lenguaje Musical"),""))</f>
        <v/>
      </c>
      <c r="U609" t="str">
        <f>IF(S609="","",IFERROR(AVERAGEIFS(DATOS!$K$2:$K$20000,DATOS!$A$2:$A$20000,S609,DATOS!$G$2:$G$20000,CONFIG_METADATA!$B$4,DATOS!$I$2:$I$20000,"Coro"),""))</f>
        <v/>
      </c>
      <c r="V609" t="str">
        <f>IF(S609="","",IFERROR(AVERAGEIFS(DATOS!$K$2:$K$20000,DATOS!$A$2:$A$20000,S609,DATOS!$G$2:$G$20000,CONFIG_METADATA!$B$4,DATOS!$I$2:$I$20000,"Conjunto"),""))</f>
        <v/>
      </c>
      <c r="W609" t="str" cm="1">
        <f t="array" ref="W609">IF(S609="","",IFERROR(AVERAGE(IF((DATOS!$A$2:$A$20000=S609)*(DATOS!$G$2:$G$20000=CONFIG_METADATA!$B$4)*(DATOS!$I$2:$I$20000&lt;&gt;"Lenguaje Musical")*(DATOS!$I$2:$I$20000&lt;&gt;"Coro")*(DATOS!$I$2:$I$20000&lt;&gt;"Conjunto"),DATOS!$K$2:$K$20000)),""))</f>
        <v/>
      </c>
    </row>
    <row r="610" spans="2:23" x14ac:dyDescent="0.2">
      <c r="B610" t="str">
        <f>IF(A610="","",IFERROR(AVERAGEIFS(DATOS!$K$2:$K$20000,DATOS!$A$2:$A$20000,A610,DATOS!$G$2:$G$20000,CONFIG_METADATA!$B$4,DATOS!$I$2:$I$20000,"Lenguaje Musical"),""))</f>
        <v/>
      </c>
      <c r="C610" t="str">
        <f>IF(A610="","",IFERROR(AVERAGEIFS(DATOS!$K$2:$K$20000,DATOS!$A$2:$A$20000,A610,DATOS!$G$2:$G$20000,CONFIG_METADATA!$B$4,DATOS!$I$2:$I$20000,"Coro"),""))</f>
        <v/>
      </c>
      <c r="D610" t="str">
        <f>IF(A610="","",IFERROR(AVERAGEIFS(DATOS!$K$2:$K$20000,DATOS!$A$2:$A$20000,A610,DATOS!$G$2:$G$20000,CONFIG_METADATA!$B$4,DATOS!$I$2:$I$20000,"Conjunto"),""))</f>
        <v/>
      </c>
      <c r="E610" t="str">
        <f>IF(A610="","",IFERROR(AVERAGEIFS(DATOS!$K$2:$K$20000,DATOS!$A$2:$A$20000,A610,DATOS!$G$2:$G$20000,CONFIG_METADATA!$B$4,DATOS!$I$2:$I$20000,"&lt;&gt;Lenguaje Musical",DATOS!$I$2:$I$20000,"&lt;&gt;Coro",DATOS!$I$2:$I$20000,"&lt;&gt;Conjunto"),""))</f>
        <v/>
      </c>
      <c r="H610" t="str">
        <f>IF(G610="","",IFERROR(AVERAGEIFS(DATOS!$K$2:$K$20000,DATOS!$A$2:$A$20000,G610,DATOS!$G$2:$G$20000,CONFIG_METADATA!$B$4,DATOS!$I$2:$I$20000,"Lenguaje Musical"),""))</f>
        <v/>
      </c>
      <c r="I610" t="str">
        <f>IF(G610="","",IFERROR(AVERAGEIFS(DATOS!$K$2:$K$20000,DATOS!$A$2:$A$20000,G610,DATOS!$G$2:$G$20000,CONFIG_METADATA!$B$4,DATOS!$I$2:$I$20000,"Coro"),""))</f>
        <v/>
      </c>
      <c r="J610" t="str">
        <f>IF(G610="","",IFERROR(AVERAGEIFS(DATOS!$K$2:$K$20000,DATOS!$A$2:$A$20000,G610,DATOS!$G$2:$G$20000,CONFIG_METADATA!$B$4,DATOS!$I$2:$I$20000,"Conjunto"),""))</f>
        <v/>
      </c>
      <c r="K610" t="str" cm="1">
        <f t="array" ref="K610">IF(G610="","",IFERROR(AVERAGE(IF((DATOS!$A$2:$A$20000=G610)*(DATOS!$G$2:$G$20000=CONFIG_METADATA!$B$4)*(DATOS!$I$2:$I$20000&lt;&gt;"Lenguaje Musical")*(DATOS!$I$2:$I$20000&lt;&gt;"Coro")*(DATOS!$I$2:$I$20000&lt;&gt;"Conjunto"),DATOS!$K$2:$K$20000)),""))</f>
        <v/>
      </c>
      <c r="N610" t="str">
        <f>IF(M610="","",IFERROR(AVERAGEIFS(DATOS!$K$2:$K$20000,DATOS!$A$2:$A$20000,M610,DATOS!$G$2:$G$20000,CONFIG_METADATA!$B$4,DATOS!$I$2:$I$20000,"Lenguaje Musical"),""))</f>
        <v/>
      </c>
      <c r="O610" t="str">
        <f>IF(M610="","",IFERROR(AVERAGEIFS(DATOS!$K$2:$K$20000,DATOS!$A$2:$A$20000,M610,DATOS!$G$2:$G$20000,CONFIG_METADATA!$B$4,DATOS!$I$2:$I$20000,"Coro"),""))</f>
        <v/>
      </c>
      <c r="P610" t="str">
        <f>IF(M610="","",IFERROR(AVERAGEIFS(DATOS!$K$2:$K$20000,DATOS!$A$2:$A$20000,M610,DATOS!$G$2:$G$20000,CONFIG_METADATA!$B$4,DATOS!$I$2:$I$20000,"Conjunto"),""))</f>
        <v/>
      </c>
      <c r="Q610" t="str">
        <f>IF(M610="","",IFERROR(AVERAGEIFS(DATOS!$K$2:$K$20000,DATOS!$A$2:$A$20000,M610,DATOS!$G$2:$G$20000,CONFIG_METADATA!$B$4,DATOS!$I$2:$I$20000,"&lt;&gt;Lenguaje Musical",DATOS!$I$2:$I$20000,"&lt;&gt;Coro",DATOS!$I$2:$I$20000,"&lt;&gt;Conjunto"),""))</f>
        <v/>
      </c>
      <c r="T610" t="str">
        <f>IF(S610="","",IFERROR(AVERAGEIFS(DATOS!$K$2:$K$20000,DATOS!$A$2:$A$20000,S610,DATOS!$G$2:$G$20000,CONFIG_METADATA!$B$4,DATOS!$I$2:$I$20000,"Lenguaje Musical"),""))</f>
        <v/>
      </c>
      <c r="U610" t="str">
        <f>IF(S610="","",IFERROR(AVERAGEIFS(DATOS!$K$2:$K$20000,DATOS!$A$2:$A$20000,S610,DATOS!$G$2:$G$20000,CONFIG_METADATA!$B$4,DATOS!$I$2:$I$20000,"Coro"),""))</f>
        <v/>
      </c>
      <c r="V610" t="str">
        <f>IF(S610="","",IFERROR(AVERAGEIFS(DATOS!$K$2:$K$20000,DATOS!$A$2:$A$20000,S610,DATOS!$G$2:$G$20000,CONFIG_METADATA!$B$4,DATOS!$I$2:$I$20000,"Conjunto"),""))</f>
        <v/>
      </c>
      <c r="W610" t="str" cm="1">
        <f t="array" ref="W610">IF(S610="","",IFERROR(AVERAGE(IF((DATOS!$A$2:$A$20000=S610)*(DATOS!$G$2:$G$20000=CONFIG_METADATA!$B$4)*(DATOS!$I$2:$I$20000&lt;&gt;"Lenguaje Musical")*(DATOS!$I$2:$I$20000&lt;&gt;"Coro")*(DATOS!$I$2:$I$20000&lt;&gt;"Conjunto"),DATOS!$K$2:$K$20000)),""))</f>
        <v/>
      </c>
    </row>
    <row r="611" spans="2:23" x14ac:dyDescent="0.2">
      <c r="B611" t="str">
        <f>IF(A611="","",IFERROR(AVERAGEIFS(DATOS!$K$2:$K$20000,DATOS!$A$2:$A$20000,A611,DATOS!$G$2:$G$20000,CONFIG_METADATA!$B$4,DATOS!$I$2:$I$20000,"Lenguaje Musical"),""))</f>
        <v/>
      </c>
      <c r="C611" t="str">
        <f>IF(A611="","",IFERROR(AVERAGEIFS(DATOS!$K$2:$K$20000,DATOS!$A$2:$A$20000,A611,DATOS!$G$2:$G$20000,CONFIG_METADATA!$B$4,DATOS!$I$2:$I$20000,"Coro"),""))</f>
        <v/>
      </c>
      <c r="D611" t="str">
        <f>IF(A611="","",IFERROR(AVERAGEIFS(DATOS!$K$2:$K$20000,DATOS!$A$2:$A$20000,A611,DATOS!$G$2:$G$20000,CONFIG_METADATA!$B$4,DATOS!$I$2:$I$20000,"Conjunto"),""))</f>
        <v/>
      </c>
      <c r="E611" t="str">
        <f>IF(A611="","",IFERROR(AVERAGEIFS(DATOS!$K$2:$K$20000,DATOS!$A$2:$A$20000,A611,DATOS!$G$2:$G$20000,CONFIG_METADATA!$B$4,DATOS!$I$2:$I$20000,"&lt;&gt;Lenguaje Musical",DATOS!$I$2:$I$20000,"&lt;&gt;Coro",DATOS!$I$2:$I$20000,"&lt;&gt;Conjunto"),""))</f>
        <v/>
      </c>
      <c r="H611" t="str">
        <f>IF(G611="","",IFERROR(AVERAGEIFS(DATOS!$K$2:$K$20000,DATOS!$A$2:$A$20000,G611,DATOS!$G$2:$G$20000,CONFIG_METADATA!$B$4,DATOS!$I$2:$I$20000,"Lenguaje Musical"),""))</f>
        <v/>
      </c>
      <c r="I611" t="str">
        <f>IF(G611="","",IFERROR(AVERAGEIFS(DATOS!$K$2:$K$20000,DATOS!$A$2:$A$20000,G611,DATOS!$G$2:$G$20000,CONFIG_METADATA!$B$4,DATOS!$I$2:$I$20000,"Coro"),""))</f>
        <v/>
      </c>
      <c r="J611" t="str">
        <f>IF(G611="","",IFERROR(AVERAGEIFS(DATOS!$K$2:$K$20000,DATOS!$A$2:$A$20000,G611,DATOS!$G$2:$G$20000,CONFIG_METADATA!$B$4,DATOS!$I$2:$I$20000,"Conjunto"),""))</f>
        <v/>
      </c>
      <c r="K611" t="str" cm="1">
        <f t="array" ref="K611">IF(G611="","",IFERROR(AVERAGE(IF((DATOS!$A$2:$A$20000=G611)*(DATOS!$G$2:$G$20000=CONFIG_METADATA!$B$4)*(DATOS!$I$2:$I$20000&lt;&gt;"Lenguaje Musical")*(DATOS!$I$2:$I$20000&lt;&gt;"Coro")*(DATOS!$I$2:$I$20000&lt;&gt;"Conjunto"),DATOS!$K$2:$K$20000)),""))</f>
        <v/>
      </c>
      <c r="N611" t="str">
        <f>IF(M611="","",IFERROR(AVERAGEIFS(DATOS!$K$2:$K$20000,DATOS!$A$2:$A$20000,M611,DATOS!$G$2:$G$20000,CONFIG_METADATA!$B$4,DATOS!$I$2:$I$20000,"Lenguaje Musical"),""))</f>
        <v/>
      </c>
      <c r="O611" t="str">
        <f>IF(M611="","",IFERROR(AVERAGEIFS(DATOS!$K$2:$K$20000,DATOS!$A$2:$A$20000,M611,DATOS!$G$2:$G$20000,CONFIG_METADATA!$B$4,DATOS!$I$2:$I$20000,"Coro"),""))</f>
        <v/>
      </c>
      <c r="P611" t="str">
        <f>IF(M611="","",IFERROR(AVERAGEIFS(DATOS!$K$2:$K$20000,DATOS!$A$2:$A$20000,M611,DATOS!$G$2:$G$20000,CONFIG_METADATA!$B$4,DATOS!$I$2:$I$20000,"Conjunto"),""))</f>
        <v/>
      </c>
      <c r="Q611" t="str">
        <f>IF(M611="","",IFERROR(AVERAGEIFS(DATOS!$K$2:$K$20000,DATOS!$A$2:$A$20000,M611,DATOS!$G$2:$G$20000,CONFIG_METADATA!$B$4,DATOS!$I$2:$I$20000,"&lt;&gt;Lenguaje Musical",DATOS!$I$2:$I$20000,"&lt;&gt;Coro",DATOS!$I$2:$I$20000,"&lt;&gt;Conjunto"),""))</f>
        <v/>
      </c>
      <c r="T611" t="str">
        <f>IF(S611="","",IFERROR(AVERAGEIFS(DATOS!$K$2:$K$20000,DATOS!$A$2:$A$20000,S611,DATOS!$G$2:$G$20000,CONFIG_METADATA!$B$4,DATOS!$I$2:$I$20000,"Lenguaje Musical"),""))</f>
        <v/>
      </c>
      <c r="U611" t="str">
        <f>IF(S611="","",IFERROR(AVERAGEIFS(DATOS!$K$2:$K$20000,DATOS!$A$2:$A$20000,S611,DATOS!$G$2:$G$20000,CONFIG_METADATA!$B$4,DATOS!$I$2:$I$20000,"Coro"),""))</f>
        <v/>
      </c>
      <c r="V611" t="str">
        <f>IF(S611="","",IFERROR(AVERAGEIFS(DATOS!$K$2:$K$20000,DATOS!$A$2:$A$20000,S611,DATOS!$G$2:$G$20000,CONFIG_METADATA!$B$4,DATOS!$I$2:$I$20000,"Conjunto"),""))</f>
        <v/>
      </c>
      <c r="W611" t="str" cm="1">
        <f t="array" ref="W611">IF(S611="","",IFERROR(AVERAGE(IF((DATOS!$A$2:$A$20000=S611)*(DATOS!$G$2:$G$20000=CONFIG_METADATA!$B$4)*(DATOS!$I$2:$I$20000&lt;&gt;"Lenguaje Musical")*(DATOS!$I$2:$I$20000&lt;&gt;"Coro")*(DATOS!$I$2:$I$20000&lt;&gt;"Conjunto"),DATOS!$K$2:$K$20000)),""))</f>
        <v/>
      </c>
    </row>
    <row r="612" spans="2:23" x14ac:dyDescent="0.2">
      <c r="B612" t="str">
        <f>IF(A612="","",IFERROR(AVERAGEIFS(DATOS!$K$2:$K$20000,DATOS!$A$2:$A$20000,A612,DATOS!$G$2:$G$20000,CONFIG_METADATA!$B$4,DATOS!$I$2:$I$20000,"Lenguaje Musical"),""))</f>
        <v/>
      </c>
      <c r="C612" t="str">
        <f>IF(A612="","",IFERROR(AVERAGEIFS(DATOS!$K$2:$K$20000,DATOS!$A$2:$A$20000,A612,DATOS!$G$2:$G$20000,CONFIG_METADATA!$B$4,DATOS!$I$2:$I$20000,"Coro"),""))</f>
        <v/>
      </c>
      <c r="D612" t="str">
        <f>IF(A612="","",IFERROR(AVERAGEIFS(DATOS!$K$2:$K$20000,DATOS!$A$2:$A$20000,A612,DATOS!$G$2:$G$20000,CONFIG_METADATA!$B$4,DATOS!$I$2:$I$20000,"Conjunto"),""))</f>
        <v/>
      </c>
      <c r="E612" t="str">
        <f>IF(A612="","",IFERROR(AVERAGEIFS(DATOS!$K$2:$K$20000,DATOS!$A$2:$A$20000,A612,DATOS!$G$2:$G$20000,CONFIG_METADATA!$B$4,DATOS!$I$2:$I$20000,"&lt;&gt;Lenguaje Musical",DATOS!$I$2:$I$20000,"&lt;&gt;Coro",DATOS!$I$2:$I$20000,"&lt;&gt;Conjunto"),""))</f>
        <v/>
      </c>
      <c r="H612" t="str">
        <f>IF(G612="","",IFERROR(AVERAGEIFS(DATOS!$K$2:$K$20000,DATOS!$A$2:$A$20000,G612,DATOS!$G$2:$G$20000,CONFIG_METADATA!$B$4,DATOS!$I$2:$I$20000,"Lenguaje Musical"),""))</f>
        <v/>
      </c>
      <c r="I612" t="str">
        <f>IF(G612="","",IFERROR(AVERAGEIFS(DATOS!$K$2:$K$20000,DATOS!$A$2:$A$20000,G612,DATOS!$G$2:$G$20000,CONFIG_METADATA!$B$4,DATOS!$I$2:$I$20000,"Coro"),""))</f>
        <v/>
      </c>
      <c r="J612" t="str">
        <f>IF(G612="","",IFERROR(AVERAGEIFS(DATOS!$K$2:$K$20000,DATOS!$A$2:$A$20000,G612,DATOS!$G$2:$G$20000,CONFIG_METADATA!$B$4,DATOS!$I$2:$I$20000,"Conjunto"),""))</f>
        <v/>
      </c>
      <c r="K612" t="str" cm="1">
        <f t="array" ref="K612">IF(G612="","",IFERROR(AVERAGE(IF((DATOS!$A$2:$A$20000=G612)*(DATOS!$G$2:$G$20000=CONFIG_METADATA!$B$4)*(DATOS!$I$2:$I$20000&lt;&gt;"Lenguaje Musical")*(DATOS!$I$2:$I$20000&lt;&gt;"Coro")*(DATOS!$I$2:$I$20000&lt;&gt;"Conjunto"),DATOS!$K$2:$K$20000)),""))</f>
        <v/>
      </c>
      <c r="N612" t="str">
        <f>IF(M612="","",IFERROR(AVERAGEIFS(DATOS!$K$2:$K$20000,DATOS!$A$2:$A$20000,M612,DATOS!$G$2:$G$20000,CONFIG_METADATA!$B$4,DATOS!$I$2:$I$20000,"Lenguaje Musical"),""))</f>
        <v/>
      </c>
      <c r="O612" t="str">
        <f>IF(M612="","",IFERROR(AVERAGEIFS(DATOS!$K$2:$K$20000,DATOS!$A$2:$A$20000,M612,DATOS!$G$2:$G$20000,CONFIG_METADATA!$B$4,DATOS!$I$2:$I$20000,"Coro"),""))</f>
        <v/>
      </c>
      <c r="P612" t="str">
        <f>IF(M612="","",IFERROR(AVERAGEIFS(DATOS!$K$2:$K$20000,DATOS!$A$2:$A$20000,M612,DATOS!$G$2:$G$20000,CONFIG_METADATA!$B$4,DATOS!$I$2:$I$20000,"Conjunto"),""))</f>
        <v/>
      </c>
      <c r="Q612" t="str">
        <f>IF(M612="","",IFERROR(AVERAGEIFS(DATOS!$K$2:$K$20000,DATOS!$A$2:$A$20000,M612,DATOS!$G$2:$G$20000,CONFIG_METADATA!$B$4,DATOS!$I$2:$I$20000,"&lt;&gt;Lenguaje Musical",DATOS!$I$2:$I$20000,"&lt;&gt;Coro",DATOS!$I$2:$I$20000,"&lt;&gt;Conjunto"),""))</f>
        <v/>
      </c>
      <c r="T612" t="str">
        <f>IF(S612="","",IFERROR(AVERAGEIFS(DATOS!$K$2:$K$20000,DATOS!$A$2:$A$20000,S612,DATOS!$G$2:$G$20000,CONFIG_METADATA!$B$4,DATOS!$I$2:$I$20000,"Lenguaje Musical"),""))</f>
        <v/>
      </c>
      <c r="U612" t="str">
        <f>IF(S612="","",IFERROR(AVERAGEIFS(DATOS!$K$2:$K$20000,DATOS!$A$2:$A$20000,S612,DATOS!$G$2:$G$20000,CONFIG_METADATA!$B$4,DATOS!$I$2:$I$20000,"Coro"),""))</f>
        <v/>
      </c>
      <c r="V612" t="str">
        <f>IF(S612="","",IFERROR(AVERAGEIFS(DATOS!$K$2:$K$20000,DATOS!$A$2:$A$20000,S612,DATOS!$G$2:$G$20000,CONFIG_METADATA!$B$4,DATOS!$I$2:$I$20000,"Conjunto"),""))</f>
        <v/>
      </c>
      <c r="W612" t="str" cm="1">
        <f t="array" ref="W612">IF(S612="","",IFERROR(AVERAGE(IF((DATOS!$A$2:$A$20000=S612)*(DATOS!$G$2:$G$20000=CONFIG_METADATA!$B$4)*(DATOS!$I$2:$I$20000&lt;&gt;"Lenguaje Musical")*(DATOS!$I$2:$I$20000&lt;&gt;"Coro")*(DATOS!$I$2:$I$20000&lt;&gt;"Conjunto"),DATOS!$K$2:$K$20000)),""))</f>
        <v/>
      </c>
    </row>
    <row r="613" spans="2:23" x14ac:dyDescent="0.2">
      <c r="B613" t="str">
        <f>IF(A613="","",IFERROR(AVERAGEIFS(DATOS!$K$2:$K$20000,DATOS!$A$2:$A$20000,A613,DATOS!$G$2:$G$20000,CONFIG_METADATA!$B$4,DATOS!$I$2:$I$20000,"Lenguaje Musical"),""))</f>
        <v/>
      </c>
      <c r="C613" t="str">
        <f>IF(A613="","",IFERROR(AVERAGEIFS(DATOS!$K$2:$K$20000,DATOS!$A$2:$A$20000,A613,DATOS!$G$2:$G$20000,CONFIG_METADATA!$B$4,DATOS!$I$2:$I$20000,"Coro"),""))</f>
        <v/>
      </c>
      <c r="D613" t="str">
        <f>IF(A613="","",IFERROR(AVERAGEIFS(DATOS!$K$2:$K$20000,DATOS!$A$2:$A$20000,A613,DATOS!$G$2:$G$20000,CONFIG_METADATA!$B$4,DATOS!$I$2:$I$20000,"Conjunto"),""))</f>
        <v/>
      </c>
      <c r="E613" t="str">
        <f>IF(A613="","",IFERROR(AVERAGEIFS(DATOS!$K$2:$K$20000,DATOS!$A$2:$A$20000,A613,DATOS!$G$2:$G$20000,CONFIG_METADATA!$B$4,DATOS!$I$2:$I$20000,"&lt;&gt;Lenguaje Musical",DATOS!$I$2:$I$20000,"&lt;&gt;Coro",DATOS!$I$2:$I$20000,"&lt;&gt;Conjunto"),""))</f>
        <v/>
      </c>
      <c r="H613" t="str">
        <f>IF(G613="","",IFERROR(AVERAGEIFS(DATOS!$K$2:$K$20000,DATOS!$A$2:$A$20000,G613,DATOS!$G$2:$G$20000,CONFIG_METADATA!$B$4,DATOS!$I$2:$I$20000,"Lenguaje Musical"),""))</f>
        <v/>
      </c>
      <c r="I613" t="str">
        <f>IF(G613="","",IFERROR(AVERAGEIFS(DATOS!$K$2:$K$20000,DATOS!$A$2:$A$20000,G613,DATOS!$G$2:$G$20000,CONFIG_METADATA!$B$4,DATOS!$I$2:$I$20000,"Coro"),""))</f>
        <v/>
      </c>
      <c r="J613" t="str">
        <f>IF(G613="","",IFERROR(AVERAGEIFS(DATOS!$K$2:$K$20000,DATOS!$A$2:$A$20000,G613,DATOS!$G$2:$G$20000,CONFIG_METADATA!$B$4,DATOS!$I$2:$I$20000,"Conjunto"),""))</f>
        <v/>
      </c>
      <c r="K613" t="str" cm="1">
        <f t="array" ref="K613">IF(G613="","",IFERROR(AVERAGE(IF((DATOS!$A$2:$A$20000=G613)*(DATOS!$G$2:$G$20000=CONFIG_METADATA!$B$4)*(DATOS!$I$2:$I$20000&lt;&gt;"Lenguaje Musical")*(DATOS!$I$2:$I$20000&lt;&gt;"Coro")*(DATOS!$I$2:$I$20000&lt;&gt;"Conjunto"),DATOS!$K$2:$K$20000)),""))</f>
        <v/>
      </c>
      <c r="N613" t="str">
        <f>IF(M613="","",IFERROR(AVERAGEIFS(DATOS!$K$2:$K$20000,DATOS!$A$2:$A$20000,M613,DATOS!$G$2:$G$20000,CONFIG_METADATA!$B$4,DATOS!$I$2:$I$20000,"Lenguaje Musical"),""))</f>
        <v/>
      </c>
      <c r="O613" t="str">
        <f>IF(M613="","",IFERROR(AVERAGEIFS(DATOS!$K$2:$K$20000,DATOS!$A$2:$A$20000,M613,DATOS!$G$2:$G$20000,CONFIG_METADATA!$B$4,DATOS!$I$2:$I$20000,"Coro"),""))</f>
        <v/>
      </c>
      <c r="P613" t="str">
        <f>IF(M613="","",IFERROR(AVERAGEIFS(DATOS!$K$2:$K$20000,DATOS!$A$2:$A$20000,M613,DATOS!$G$2:$G$20000,CONFIG_METADATA!$B$4,DATOS!$I$2:$I$20000,"Conjunto"),""))</f>
        <v/>
      </c>
      <c r="Q613" t="str">
        <f>IF(M613="","",IFERROR(AVERAGEIFS(DATOS!$K$2:$K$20000,DATOS!$A$2:$A$20000,M613,DATOS!$G$2:$G$20000,CONFIG_METADATA!$B$4,DATOS!$I$2:$I$20000,"&lt;&gt;Lenguaje Musical",DATOS!$I$2:$I$20000,"&lt;&gt;Coro",DATOS!$I$2:$I$20000,"&lt;&gt;Conjunto"),""))</f>
        <v/>
      </c>
      <c r="T613" t="str">
        <f>IF(S613="","",IFERROR(AVERAGEIFS(DATOS!$K$2:$K$20000,DATOS!$A$2:$A$20000,S613,DATOS!$G$2:$G$20000,CONFIG_METADATA!$B$4,DATOS!$I$2:$I$20000,"Lenguaje Musical"),""))</f>
        <v/>
      </c>
      <c r="U613" t="str">
        <f>IF(S613="","",IFERROR(AVERAGEIFS(DATOS!$K$2:$K$20000,DATOS!$A$2:$A$20000,S613,DATOS!$G$2:$G$20000,CONFIG_METADATA!$B$4,DATOS!$I$2:$I$20000,"Coro"),""))</f>
        <v/>
      </c>
      <c r="V613" t="str">
        <f>IF(S613="","",IFERROR(AVERAGEIFS(DATOS!$K$2:$K$20000,DATOS!$A$2:$A$20000,S613,DATOS!$G$2:$G$20000,CONFIG_METADATA!$B$4,DATOS!$I$2:$I$20000,"Conjunto"),""))</f>
        <v/>
      </c>
      <c r="W613" t="str" cm="1">
        <f t="array" ref="W613">IF(S613="","",IFERROR(AVERAGE(IF((DATOS!$A$2:$A$20000=S613)*(DATOS!$G$2:$G$20000=CONFIG_METADATA!$B$4)*(DATOS!$I$2:$I$20000&lt;&gt;"Lenguaje Musical")*(DATOS!$I$2:$I$20000&lt;&gt;"Coro")*(DATOS!$I$2:$I$20000&lt;&gt;"Conjunto"),DATOS!$K$2:$K$20000)),""))</f>
        <v/>
      </c>
    </row>
    <row r="614" spans="2:23" x14ac:dyDescent="0.2">
      <c r="B614" t="str">
        <f>IF(A614="","",IFERROR(AVERAGEIFS(DATOS!$K$2:$K$20000,DATOS!$A$2:$A$20000,A614,DATOS!$G$2:$G$20000,CONFIG_METADATA!$B$4,DATOS!$I$2:$I$20000,"Lenguaje Musical"),""))</f>
        <v/>
      </c>
      <c r="C614" t="str">
        <f>IF(A614="","",IFERROR(AVERAGEIFS(DATOS!$K$2:$K$20000,DATOS!$A$2:$A$20000,A614,DATOS!$G$2:$G$20000,CONFIG_METADATA!$B$4,DATOS!$I$2:$I$20000,"Coro"),""))</f>
        <v/>
      </c>
      <c r="D614" t="str">
        <f>IF(A614="","",IFERROR(AVERAGEIFS(DATOS!$K$2:$K$20000,DATOS!$A$2:$A$20000,A614,DATOS!$G$2:$G$20000,CONFIG_METADATA!$B$4,DATOS!$I$2:$I$20000,"Conjunto"),""))</f>
        <v/>
      </c>
      <c r="E614" t="str">
        <f>IF(A614="","",IFERROR(AVERAGEIFS(DATOS!$K$2:$K$20000,DATOS!$A$2:$A$20000,A614,DATOS!$G$2:$G$20000,CONFIG_METADATA!$B$4,DATOS!$I$2:$I$20000,"&lt;&gt;Lenguaje Musical",DATOS!$I$2:$I$20000,"&lt;&gt;Coro",DATOS!$I$2:$I$20000,"&lt;&gt;Conjunto"),""))</f>
        <v/>
      </c>
      <c r="H614" t="str">
        <f>IF(G614="","",IFERROR(AVERAGEIFS(DATOS!$K$2:$K$20000,DATOS!$A$2:$A$20000,G614,DATOS!$G$2:$G$20000,CONFIG_METADATA!$B$4,DATOS!$I$2:$I$20000,"Lenguaje Musical"),""))</f>
        <v/>
      </c>
      <c r="I614" t="str">
        <f>IF(G614="","",IFERROR(AVERAGEIFS(DATOS!$K$2:$K$20000,DATOS!$A$2:$A$20000,G614,DATOS!$G$2:$G$20000,CONFIG_METADATA!$B$4,DATOS!$I$2:$I$20000,"Coro"),""))</f>
        <v/>
      </c>
      <c r="J614" t="str">
        <f>IF(G614="","",IFERROR(AVERAGEIFS(DATOS!$K$2:$K$20000,DATOS!$A$2:$A$20000,G614,DATOS!$G$2:$G$20000,CONFIG_METADATA!$B$4,DATOS!$I$2:$I$20000,"Conjunto"),""))</f>
        <v/>
      </c>
      <c r="K614" t="str" cm="1">
        <f t="array" ref="K614">IF(G614="","",IFERROR(AVERAGE(IF((DATOS!$A$2:$A$20000=G614)*(DATOS!$G$2:$G$20000=CONFIG_METADATA!$B$4)*(DATOS!$I$2:$I$20000&lt;&gt;"Lenguaje Musical")*(DATOS!$I$2:$I$20000&lt;&gt;"Coro")*(DATOS!$I$2:$I$20000&lt;&gt;"Conjunto"),DATOS!$K$2:$K$20000)),""))</f>
        <v/>
      </c>
      <c r="N614" t="str">
        <f>IF(M614="","",IFERROR(AVERAGEIFS(DATOS!$K$2:$K$20000,DATOS!$A$2:$A$20000,M614,DATOS!$G$2:$G$20000,CONFIG_METADATA!$B$4,DATOS!$I$2:$I$20000,"Lenguaje Musical"),""))</f>
        <v/>
      </c>
      <c r="O614" t="str">
        <f>IF(M614="","",IFERROR(AVERAGEIFS(DATOS!$K$2:$K$20000,DATOS!$A$2:$A$20000,M614,DATOS!$G$2:$G$20000,CONFIG_METADATA!$B$4,DATOS!$I$2:$I$20000,"Coro"),""))</f>
        <v/>
      </c>
      <c r="P614" t="str">
        <f>IF(M614="","",IFERROR(AVERAGEIFS(DATOS!$K$2:$K$20000,DATOS!$A$2:$A$20000,M614,DATOS!$G$2:$G$20000,CONFIG_METADATA!$B$4,DATOS!$I$2:$I$20000,"Conjunto"),""))</f>
        <v/>
      </c>
      <c r="Q614" t="str">
        <f>IF(M614="","",IFERROR(AVERAGEIFS(DATOS!$K$2:$K$20000,DATOS!$A$2:$A$20000,M614,DATOS!$G$2:$G$20000,CONFIG_METADATA!$B$4,DATOS!$I$2:$I$20000,"&lt;&gt;Lenguaje Musical",DATOS!$I$2:$I$20000,"&lt;&gt;Coro",DATOS!$I$2:$I$20000,"&lt;&gt;Conjunto"),""))</f>
        <v/>
      </c>
      <c r="T614" t="str">
        <f>IF(S614="","",IFERROR(AVERAGEIFS(DATOS!$K$2:$K$20000,DATOS!$A$2:$A$20000,S614,DATOS!$G$2:$G$20000,CONFIG_METADATA!$B$4,DATOS!$I$2:$I$20000,"Lenguaje Musical"),""))</f>
        <v/>
      </c>
      <c r="U614" t="str">
        <f>IF(S614="","",IFERROR(AVERAGEIFS(DATOS!$K$2:$K$20000,DATOS!$A$2:$A$20000,S614,DATOS!$G$2:$G$20000,CONFIG_METADATA!$B$4,DATOS!$I$2:$I$20000,"Coro"),""))</f>
        <v/>
      </c>
      <c r="V614" t="str">
        <f>IF(S614="","",IFERROR(AVERAGEIFS(DATOS!$K$2:$K$20000,DATOS!$A$2:$A$20000,S614,DATOS!$G$2:$G$20000,CONFIG_METADATA!$B$4,DATOS!$I$2:$I$20000,"Conjunto"),""))</f>
        <v/>
      </c>
      <c r="W614" t="str" cm="1">
        <f t="array" ref="W614">IF(S614="","",IFERROR(AVERAGE(IF((DATOS!$A$2:$A$20000=S614)*(DATOS!$G$2:$G$20000=CONFIG_METADATA!$B$4)*(DATOS!$I$2:$I$20000&lt;&gt;"Lenguaje Musical")*(DATOS!$I$2:$I$20000&lt;&gt;"Coro")*(DATOS!$I$2:$I$20000&lt;&gt;"Conjunto"),DATOS!$K$2:$K$20000)),""))</f>
        <v/>
      </c>
    </row>
    <row r="615" spans="2:23" x14ac:dyDescent="0.2">
      <c r="B615" t="str">
        <f>IF(A615="","",IFERROR(AVERAGEIFS(DATOS!$K$2:$K$20000,DATOS!$A$2:$A$20000,A615,DATOS!$G$2:$G$20000,CONFIG_METADATA!$B$4,DATOS!$I$2:$I$20000,"Lenguaje Musical"),""))</f>
        <v/>
      </c>
      <c r="C615" t="str">
        <f>IF(A615="","",IFERROR(AVERAGEIFS(DATOS!$K$2:$K$20000,DATOS!$A$2:$A$20000,A615,DATOS!$G$2:$G$20000,CONFIG_METADATA!$B$4,DATOS!$I$2:$I$20000,"Coro"),""))</f>
        <v/>
      </c>
      <c r="D615" t="str">
        <f>IF(A615="","",IFERROR(AVERAGEIFS(DATOS!$K$2:$K$20000,DATOS!$A$2:$A$20000,A615,DATOS!$G$2:$G$20000,CONFIG_METADATA!$B$4,DATOS!$I$2:$I$20000,"Conjunto"),""))</f>
        <v/>
      </c>
      <c r="E615" t="str">
        <f>IF(A615="","",IFERROR(AVERAGEIFS(DATOS!$K$2:$K$20000,DATOS!$A$2:$A$20000,A615,DATOS!$G$2:$G$20000,CONFIG_METADATA!$B$4,DATOS!$I$2:$I$20000,"&lt;&gt;Lenguaje Musical",DATOS!$I$2:$I$20000,"&lt;&gt;Coro",DATOS!$I$2:$I$20000,"&lt;&gt;Conjunto"),""))</f>
        <v/>
      </c>
      <c r="H615" t="str">
        <f>IF(G615="","",IFERROR(AVERAGEIFS(DATOS!$K$2:$K$20000,DATOS!$A$2:$A$20000,G615,DATOS!$G$2:$G$20000,CONFIG_METADATA!$B$4,DATOS!$I$2:$I$20000,"Lenguaje Musical"),""))</f>
        <v/>
      </c>
      <c r="I615" t="str">
        <f>IF(G615="","",IFERROR(AVERAGEIFS(DATOS!$K$2:$K$20000,DATOS!$A$2:$A$20000,G615,DATOS!$G$2:$G$20000,CONFIG_METADATA!$B$4,DATOS!$I$2:$I$20000,"Coro"),""))</f>
        <v/>
      </c>
      <c r="J615" t="str">
        <f>IF(G615="","",IFERROR(AVERAGEIFS(DATOS!$K$2:$K$20000,DATOS!$A$2:$A$20000,G615,DATOS!$G$2:$G$20000,CONFIG_METADATA!$B$4,DATOS!$I$2:$I$20000,"Conjunto"),""))</f>
        <v/>
      </c>
      <c r="K615" t="str" cm="1">
        <f t="array" ref="K615">IF(G615="","",IFERROR(AVERAGE(IF((DATOS!$A$2:$A$20000=G615)*(DATOS!$G$2:$G$20000=CONFIG_METADATA!$B$4)*(DATOS!$I$2:$I$20000&lt;&gt;"Lenguaje Musical")*(DATOS!$I$2:$I$20000&lt;&gt;"Coro")*(DATOS!$I$2:$I$20000&lt;&gt;"Conjunto"),DATOS!$K$2:$K$20000)),""))</f>
        <v/>
      </c>
      <c r="N615" t="str">
        <f>IF(M615="","",IFERROR(AVERAGEIFS(DATOS!$K$2:$K$20000,DATOS!$A$2:$A$20000,M615,DATOS!$G$2:$G$20000,CONFIG_METADATA!$B$4,DATOS!$I$2:$I$20000,"Lenguaje Musical"),""))</f>
        <v/>
      </c>
      <c r="O615" t="str">
        <f>IF(M615="","",IFERROR(AVERAGEIFS(DATOS!$K$2:$K$20000,DATOS!$A$2:$A$20000,M615,DATOS!$G$2:$G$20000,CONFIG_METADATA!$B$4,DATOS!$I$2:$I$20000,"Coro"),""))</f>
        <v/>
      </c>
      <c r="P615" t="str">
        <f>IF(M615="","",IFERROR(AVERAGEIFS(DATOS!$K$2:$K$20000,DATOS!$A$2:$A$20000,M615,DATOS!$G$2:$G$20000,CONFIG_METADATA!$B$4,DATOS!$I$2:$I$20000,"Conjunto"),""))</f>
        <v/>
      </c>
      <c r="Q615" t="str">
        <f>IF(M615="","",IFERROR(AVERAGEIFS(DATOS!$K$2:$K$20000,DATOS!$A$2:$A$20000,M615,DATOS!$G$2:$G$20000,CONFIG_METADATA!$B$4,DATOS!$I$2:$I$20000,"&lt;&gt;Lenguaje Musical",DATOS!$I$2:$I$20000,"&lt;&gt;Coro",DATOS!$I$2:$I$20000,"&lt;&gt;Conjunto"),""))</f>
        <v/>
      </c>
      <c r="T615" t="str">
        <f>IF(S615="","",IFERROR(AVERAGEIFS(DATOS!$K$2:$K$20000,DATOS!$A$2:$A$20000,S615,DATOS!$G$2:$G$20000,CONFIG_METADATA!$B$4,DATOS!$I$2:$I$20000,"Lenguaje Musical"),""))</f>
        <v/>
      </c>
      <c r="U615" t="str">
        <f>IF(S615="","",IFERROR(AVERAGEIFS(DATOS!$K$2:$K$20000,DATOS!$A$2:$A$20000,S615,DATOS!$G$2:$G$20000,CONFIG_METADATA!$B$4,DATOS!$I$2:$I$20000,"Coro"),""))</f>
        <v/>
      </c>
      <c r="V615" t="str">
        <f>IF(S615="","",IFERROR(AVERAGEIFS(DATOS!$K$2:$K$20000,DATOS!$A$2:$A$20000,S615,DATOS!$G$2:$G$20000,CONFIG_METADATA!$B$4,DATOS!$I$2:$I$20000,"Conjunto"),""))</f>
        <v/>
      </c>
      <c r="W615" t="str" cm="1">
        <f t="array" ref="W615">IF(S615="","",IFERROR(AVERAGE(IF((DATOS!$A$2:$A$20000=S615)*(DATOS!$G$2:$G$20000=CONFIG_METADATA!$B$4)*(DATOS!$I$2:$I$20000&lt;&gt;"Lenguaje Musical")*(DATOS!$I$2:$I$20000&lt;&gt;"Coro")*(DATOS!$I$2:$I$20000&lt;&gt;"Conjunto"),DATOS!$K$2:$K$20000)),""))</f>
        <v/>
      </c>
    </row>
    <row r="616" spans="2:23" x14ac:dyDescent="0.2">
      <c r="B616" t="str">
        <f>IF(A616="","",IFERROR(AVERAGEIFS(DATOS!$K$2:$K$20000,DATOS!$A$2:$A$20000,A616,DATOS!$G$2:$G$20000,CONFIG_METADATA!$B$4,DATOS!$I$2:$I$20000,"Lenguaje Musical"),""))</f>
        <v/>
      </c>
      <c r="C616" t="str">
        <f>IF(A616="","",IFERROR(AVERAGEIFS(DATOS!$K$2:$K$20000,DATOS!$A$2:$A$20000,A616,DATOS!$G$2:$G$20000,CONFIG_METADATA!$B$4,DATOS!$I$2:$I$20000,"Coro"),""))</f>
        <v/>
      </c>
      <c r="D616" t="str">
        <f>IF(A616="","",IFERROR(AVERAGEIFS(DATOS!$K$2:$K$20000,DATOS!$A$2:$A$20000,A616,DATOS!$G$2:$G$20000,CONFIG_METADATA!$B$4,DATOS!$I$2:$I$20000,"Conjunto"),""))</f>
        <v/>
      </c>
      <c r="E616" t="str">
        <f>IF(A616="","",IFERROR(AVERAGEIFS(DATOS!$K$2:$K$20000,DATOS!$A$2:$A$20000,A616,DATOS!$G$2:$G$20000,CONFIG_METADATA!$B$4,DATOS!$I$2:$I$20000,"&lt;&gt;Lenguaje Musical",DATOS!$I$2:$I$20000,"&lt;&gt;Coro",DATOS!$I$2:$I$20000,"&lt;&gt;Conjunto"),""))</f>
        <v/>
      </c>
      <c r="H616" t="str">
        <f>IF(G616="","",IFERROR(AVERAGEIFS(DATOS!$K$2:$K$20000,DATOS!$A$2:$A$20000,G616,DATOS!$G$2:$G$20000,CONFIG_METADATA!$B$4,DATOS!$I$2:$I$20000,"Lenguaje Musical"),""))</f>
        <v/>
      </c>
      <c r="I616" t="str">
        <f>IF(G616="","",IFERROR(AVERAGEIFS(DATOS!$K$2:$K$20000,DATOS!$A$2:$A$20000,G616,DATOS!$G$2:$G$20000,CONFIG_METADATA!$B$4,DATOS!$I$2:$I$20000,"Coro"),""))</f>
        <v/>
      </c>
      <c r="J616" t="str">
        <f>IF(G616="","",IFERROR(AVERAGEIFS(DATOS!$K$2:$K$20000,DATOS!$A$2:$A$20000,G616,DATOS!$G$2:$G$20000,CONFIG_METADATA!$B$4,DATOS!$I$2:$I$20000,"Conjunto"),""))</f>
        <v/>
      </c>
      <c r="K616" t="str" cm="1">
        <f t="array" ref="K616">IF(G616="","",IFERROR(AVERAGE(IF((DATOS!$A$2:$A$20000=G616)*(DATOS!$G$2:$G$20000=CONFIG_METADATA!$B$4)*(DATOS!$I$2:$I$20000&lt;&gt;"Lenguaje Musical")*(DATOS!$I$2:$I$20000&lt;&gt;"Coro")*(DATOS!$I$2:$I$20000&lt;&gt;"Conjunto"),DATOS!$K$2:$K$20000)),""))</f>
        <v/>
      </c>
      <c r="N616" t="str">
        <f>IF(M616="","",IFERROR(AVERAGEIFS(DATOS!$K$2:$K$20000,DATOS!$A$2:$A$20000,M616,DATOS!$G$2:$G$20000,CONFIG_METADATA!$B$4,DATOS!$I$2:$I$20000,"Lenguaje Musical"),""))</f>
        <v/>
      </c>
      <c r="O616" t="str">
        <f>IF(M616="","",IFERROR(AVERAGEIFS(DATOS!$K$2:$K$20000,DATOS!$A$2:$A$20000,M616,DATOS!$G$2:$G$20000,CONFIG_METADATA!$B$4,DATOS!$I$2:$I$20000,"Coro"),""))</f>
        <v/>
      </c>
      <c r="P616" t="str">
        <f>IF(M616="","",IFERROR(AVERAGEIFS(DATOS!$K$2:$K$20000,DATOS!$A$2:$A$20000,M616,DATOS!$G$2:$G$20000,CONFIG_METADATA!$B$4,DATOS!$I$2:$I$20000,"Conjunto"),""))</f>
        <v/>
      </c>
      <c r="Q616" t="str">
        <f>IF(M616="","",IFERROR(AVERAGEIFS(DATOS!$K$2:$K$20000,DATOS!$A$2:$A$20000,M616,DATOS!$G$2:$G$20000,CONFIG_METADATA!$B$4,DATOS!$I$2:$I$20000,"&lt;&gt;Lenguaje Musical",DATOS!$I$2:$I$20000,"&lt;&gt;Coro",DATOS!$I$2:$I$20000,"&lt;&gt;Conjunto"),""))</f>
        <v/>
      </c>
      <c r="T616" t="str">
        <f>IF(S616="","",IFERROR(AVERAGEIFS(DATOS!$K$2:$K$20000,DATOS!$A$2:$A$20000,S616,DATOS!$G$2:$G$20000,CONFIG_METADATA!$B$4,DATOS!$I$2:$I$20000,"Lenguaje Musical"),""))</f>
        <v/>
      </c>
      <c r="U616" t="str">
        <f>IF(S616="","",IFERROR(AVERAGEIFS(DATOS!$K$2:$K$20000,DATOS!$A$2:$A$20000,S616,DATOS!$G$2:$G$20000,CONFIG_METADATA!$B$4,DATOS!$I$2:$I$20000,"Coro"),""))</f>
        <v/>
      </c>
      <c r="V616" t="str">
        <f>IF(S616="","",IFERROR(AVERAGEIFS(DATOS!$K$2:$K$20000,DATOS!$A$2:$A$20000,S616,DATOS!$G$2:$G$20000,CONFIG_METADATA!$B$4,DATOS!$I$2:$I$20000,"Conjunto"),""))</f>
        <v/>
      </c>
      <c r="W616" t="str" cm="1">
        <f t="array" ref="W616">IF(S616="","",IFERROR(AVERAGE(IF((DATOS!$A$2:$A$20000=S616)*(DATOS!$G$2:$G$20000=CONFIG_METADATA!$B$4)*(DATOS!$I$2:$I$20000&lt;&gt;"Lenguaje Musical")*(DATOS!$I$2:$I$20000&lt;&gt;"Coro")*(DATOS!$I$2:$I$20000&lt;&gt;"Conjunto"),DATOS!$K$2:$K$20000)),""))</f>
        <v/>
      </c>
    </row>
    <row r="617" spans="2:23" x14ac:dyDescent="0.2">
      <c r="B617" t="str">
        <f>IF(A617="","",IFERROR(AVERAGEIFS(DATOS!$K$2:$K$20000,DATOS!$A$2:$A$20000,A617,DATOS!$G$2:$G$20000,CONFIG_METADATA!$B$4,DATOS!$I$2:$I$20000,"Lenguaje Musical"),""))</f>
        <v/>
      </c>
      <c r="C617" t="str">
        <f>IF(A617="","",IFERROR(AVERAGEIFS(DATOS!$K$2:$K$20000,DATOS!$A$2:$A$20000,A617,DATOS!$G$2:$G$20000,CONFIG_METADATA!$B$4,DATOS!$I$2:$I$20000,"Coro"),""))</f>
        <v/>
      </c>
      <c r="D617" t="str">
        <f>IF(A617="","",IFERROR(AVERAGEIFS(DATOS!$K$2:$K$20000,DATOS!$A$2:$A$20000,A617,DATOS!$G$2:$G$20000,CONFIG_METADATA!$B$4,DATOS!$I$2:$I$20000,"Conjunto"),""))</f>
        <v/>
      </c>
      <c r="E617" t="str">
        <f>IF(A617="","",IFERROR(AVERAGEIFS(DATOS!$K$2:$K$20000,DATOS!$A$2:$A$20000,A617,DATOS!$G$2:$G$20000,CONFIG_METADATA!$B$4,DATOS!$I$2:$I$20000,"&lt;&gt;Lenguaje Musical",DATOS!$I$2:$I$20000,"&lt;&gt;Coro",DATOS!$I$2:$I$20000,"&lt;&gt;Conjunto"),""))</f>
        <v/>
      </c>
      <c r="H617" t="str">
        <f>IF(G617="","",IFERROR(AVERAGEIFS(DATOS!$K$2:$K$20000,DATOS!$A$2:$A$20000,G617,DATOS!$G$2:$G$20000,CONFIG_METADATA!$B$4,DATOS!$I$2:$I$20000,"Lenguaje Musical"),""))</f>
        <v/>
      </c>
      <c r="I617" t="str">
        <f>IF(G617="","",IFERROR(AVERAGEIFS(DATOS!$K$2:$K$20000,DATOS!$A$2:$A$20000,G617,DATOS!$G$2:$G$20000,CONFIG_METADATA!$B$4,DATOS!$I$2:$I$20000,"Coro"),""))</f>
        <v/>
      </c>
      <c r="J617" t="str">
        <f>IF(G617="","",IFERROR(AVERAGEIFS(DATOS!$K$2:$K$20000,DATOS!$A$2:$A$20000,G617,DATOS!$G$2:$G$20000,CONFIG_METADATA!$B$4,DATOS!$I$2:$I$20000,"Conjunto"),""))</f>
        <v/>
      </c>
      <c r="K617" t="str" cm="1">
        <f t="array" ref="K617">IF(G617="","",IFERROR(AVERAGE(IF((DATOS!$A$2:$A$20000=G617)*(DATOS!$G$2:$G$20000=CONFIG_METADATA!$B$4)*(DATOS!$I$2:$I$20000&lt;&gt;"Lenguaje Musical")*(DATOS!$I$2:$I$20000&lt;&gt;"Coro")*(DATOS!$I$2:$I$20000&lt;&gt;"Conjunto"),DATOS!$K$2:$K$20000)),""))</f>
        <v/>
      </c>
      <c r="N617" t="str">
        <f>IF(M617="","",IFERROR(AVERAGEIFS(DATOS!$K$2:$K$20000,DATOS!$A$2:$A$20000,M617,DATOS!$G$2:$G$20000,CONFIG_METADATA!$B$4,DATOS!$I$2:$I$20000,"Lenguaje Musical"),""))</f>
        <v/>
      </c>
      <c r="O617" t="str">
        <f>IF(M617="","",IFERROR(AVERAGEIFS(DATOS!$K$2:$K$20000,DATOS!$A$2:$A$20000,M617,DATOS!$G$2:$G$20000,CONFIG_METADATA!$B$4,DATOS!$I$2:$I$20000,"Coro"),""))</f>
        <v/>
      </c>
      <c r="P617" t="str">
        <f>IF(M617="","",IFERROR(AVERAGEIFS(DATOS!$K$2:$K$20000,DATOS!$A$2:$A$20000,M617,DATOS!$G$2:$G$20000,CONFIG_METADATA!$B$4,DATOS!$I$2:$I$20000,"Conjunto"),""))</f>
        <v/>
      </c>
      <c r="Q617" t="str">
        <f>IF(M617="","",IFERROR(AVERAGEIFS(DATOS!$K$2:$K$20000,DATOS!$A$2:$A$20000,M617,DATOS!$G$2:$G$20000,CONFIG_METADATA!$B$4,DATOS!$I$2:$I$20000,"&lt;&gt;Lenguaje Musical",DATOS!$I$2:$I$20000,"&lt;&gt;Coro",DATOS!$I$2:$I$20000,"&lt;&gt;Conjunto"),""))</f>
        <v/>
      </c>
      <c r="T617" t="str">
        <f>IF(S617="","",IFERROR(AVERAGEIFS(DATOS!$K$2:$K$20000,DATOS!$A$2:$A$20000,S617,DATOS!$G$2:$G$20000,CONFIG_METADATA!$B$4,DATOS!$I$2:$I$20000,"Lenguaje Musical"),""))</f>
        <v/>
      </c>
      <c r="U617" t="str">
        <f>IF(S617="","",IFERROR(AVERAGEIFS(DATOS!$K$2:$K$20000,DATOS!$A$2:$A$20000,S617,DATOS!$G$2:$G$20000,CONFIG_METADATA!$B$4,DATOS!$I$2:$I$20000,"Coro"),""))</f>
        <v/>
      </c>
      <c r="V617" t="str">
        <f>IF(S617="","",IFERROR(AVERAGEIFS(DATOS!$K$2:$K$20000,DATOS!$A$2:$A$20000,S617,DATOS!$G$2:$G$20000,CONFIG_METADATA!$B$4,DATOS!$I$2:$I$20000,"Conjunto"),""))</f>
        <v/>
      </c>
      <c r="W617" t="str" cm="1">
        <f t="array" ref="W617">IF(S617="","",IFERROR(AVERAGE(IF((DATOS!$A$2:$A$20000=S617)*(DATOS!$G$2:$G$20000=CONFIG_METADATA!$B$4)*(DATOS!$I$2:$I$20000&lt;&gt;"Lenguaje Musical")*(DATOS!$I$2:$I$20000&lt;&gt;"Coro")*(DATOS!$I$2:$I$20000&lt;&gt;"Conjunto"),DATOS!$K$2:$K$20000)),""))</f>
        <v/>
      </c>
    </row>
    <row r="618" spans="2:23" x14ac:dyDescent="0.2">
      <c r="B618" t="str">
        <f>IF(A618="","",IFERROR(AVERAGEIFS(DATOS!$K$2:$K$20000,DATOS!$A$2:$A$20000,A618,DATOS!$G$2:$G$20000,CONFIG_METADATA!$B$4,DATOS!$I$2:$I$20000,"Lenguaje Musical"),""))</f>
        <v/>
      </c>
      <c r="C618" t="str">
        <f>IF(A618="","",IFERROR(AVERAGEIFS(DATOS!$K$2:$K$20000,DATOS!$A$2:$A$20000,A618,DATOS!$G$2:$G$20000,CONFIG_METADATA!$B$4,DATOS!$I$2:$I$20000,"Coro"),""))</f>
        <v/>
      </c>
      <c r="D618" t="str">
        <f>IF(A618="","",IFERROR(AVERAGEIFS(DATOS!$K$2:$K$20000,DATOS!$A$2:$A$20000,A618,DATOS!$G$2:$G$20000,CONFIG_METADATA!$B$4,DATOS!$I$2:$I$20000,"Conjunto"),""))</f>
        <v/>
      </c>
      <c r="E618" t="str">
        <f>IF(A618="","",IFERROR(AVERAGEIFS(DATOS!$K$2:$K$20000,DATOS!$A$2:$A$20000,A618,DATOS!$G$2:$G$20000,CONFIG_METADATA!$B$4,DATOS!$I$2:$I$20000,"&lt;&gt;Lenguaje Musical",DATOS!$I$2:$I$20000,"&lt;&gt;Coro",DATOS!$I$2:$I$20000,"&lt;&gt;Conjunto"),""))</f>
        <v/>
      </c>
      <c r="H618" t="str">
        <f>IF(G618="","",IFERROR(AVERAGEIFS(DATOS!$K$2:$K$20000,DATOS!$A$2:$A$20000,G618,DATOS!$G$2:$G$20000,CONFIG_METADATA!$B$4,DATOS!$I$2:$I$20000,"Lenguaje Musical"),""))</f>
        <v/>
      </c>
      <c r="I618" t="str">
        <f>IF(G618="","",IFERROR(AVERAGEIFS(DATOS!$K$2:$K$20000,DATOS!$A$2:$A$20000,G618,DATOS!$G$2:$G$20000,CONFIG_METADATA!$B$4,DATOS!$I$2:$I$20000,"Coro"),""))</f>
        <v/>
      </c>
      <c r="J618" t="str">
        <f>IF(G618="","",IFERROR(AVERAGEIFS(DATOS!$K$2:$K$20000,DATOS!$A$2:$A$20000,G618,DATOS!$G$2:$G$20000,CONFIG_METADATA!$B$4,DATOS!$I$2:$I$20000,"Conjunto"),""))</f>
        <v/>
      </c>
      <c r="K618" t="str" cm="1">
        <f t="array" ref="K618">IF(G618="","",IFERROR(AVERAGE(IF((DATOS!$A$2:$A$20000=G618)*(DATOS!$G$2:$G$20000=CONFIG_METADATA!$B$4)*(DATOS!$I$2:$I$20000&lt;&gt;"Lenguaje Musical")*(DATOS!$I$2:$I$20000&lt;&gt;"Coro")*(DATOS!$I$2:$I$20000&lt;&gt;"Conjunto"),DATOS!$K$2:$K$20000)),""))</f>
        <v/>
      </c>
      <c r="N618" t="str">
        <f>IF(M618="","",IFERROR(AVERAGEIFS(DATOS!$K$2:$K$20000,DATOS!$A$2:$A$20000,M618,DATOS!$G$2:$G$20000,CONFIG_METADATA!$B$4,DATOS!$I$2:$I$20000,"Lenguaje Musical"),""))</f>
        <v/>
      </c>
      <c r="O618" t="str">
        <f>IF(M618="","",IFERROR(AVERAGEIFS(DATOS!$K$2:$K$20000,DATOS!$A$2:$A$20000,M618,DATOS!$G$2:$G$20000,CONFIG_METADATA!$B$4,DATOS!$I$2:$I$20000,"Coro"),""))</f>
        <v/>
      </c>
      <c r="P618" t="str">
        <f>IF(M618="","",IFERROR(AVERAGEIFS(DATOS!$K$2:$K$20000,DATOS!$A$2:$A$20000,M618,DATOS!$G$2:$G$20000,CONFIG_METADATA!$B$4,DATOS!$I$2:$I$20000,"Conjunto"),""))</f>
        <v/>
      </c>
      <c r="Q618" t="str">
        <f>IF(M618="","",IFERROR(AVERAGEIFS(DATOS!$K$2:$K$20000,DATOS!$A$2:$A$20000,M618,DATOS!$G$2:$G$20000,CONFIG_METADATA!$B$4,DATOS!$I$2:$I$20000,"&lt;&gt;Lenguaje Musical",DATOS!$I$2:$I$20000,"&lt;&gt;Coro",DATOS!$I$2:$I$20000,"&lt;&gt;Conjunto"),""))</f>
        <v/>
      </c>
      <c r="T618" t="str">
        <f>IF(S618="","",IFERROR(AVERAGEIFS(DATOS!$K$2:$K$20000,DATOS!$A$2:$A$20000,S618,DATOS!$G$2:$G$20000,CONFIG_METADATA!$B$4,DATOS!$I$2:$I$20000,"Lenguaje Musical"),""))</f>
        <v/>
      </c>
      <c r="U618" t="str">
        <f>IF(S618="","",IFERROR(AVERAGEIFS(DATOS!$K$2:$K$20000,DATOS!$A$2:$A$20000,S618,DATOS!$G$2:$G$20000,CONFIG_METADATA!$B$4,DATOS!$I$2:$I$20000,"Coro"),""))</f>
        <v/>
      </c>
      <c r="V618" t="str">
        <f>IF(S618="","",IFERROR(AVERAGEIFS(DATOS!$K$2:$K$20000,DATOS!$A$2:$A$20000,S618,DATOS!$G$2:$G$20000,CONFIG_METADATA!$B$4,DATOS!$I$2:$I$20000,"Conjunto"),""))</f>
        <v/>
      </c>
      <c r="W618" t="str" cm="1">
        <f t="array" ref="W618">IF(S618="","",IFERROR(AVERAGE(IF((DATOS!$A$2:$A$20000=S618)*(DATOS!$G$2:$G$20000=CONFIG_METADATA!$B$4)*(DATOS!$I$2:$I$20000&lt;&gt;"Lenguaje Musical")*(DATOS!$I$2:$I$20000&lt;&gt;"Coro")*(DATOS!$I$2:$I$20000&lt;&gt;"Conjunto"),DATOS!$K$2:$K$20000)),""))</f>
        <v/>
      </c>
    </row>
    <row r="619" spans="2:23" x14ac:dyDescent="0.2">
      <c r="B619" t="str">
        <f>IF(A619="","",IFERROR(AVERAGEIFS(DATOS!$K$2:$K$20000,DATOS!$A$2:$A$20000,A619,DATOS!$G$2:$G$20000,CONFIG_METADATA!$B$4,DATOS!$I$2:$I$20000,"Lenguaje Musical"),""))</f>
        <v/>
      </c>
      <c r="C619" t="str">
        <f>IF(A619="","",IFERROR(AVERAGEIFS(DATOS!$K$2:$K$20000,DATOS!$A$2:$A$20000,A619,DATOS!$G$2:$G$20000,CONFIG_METADATA!$B$4,DATOS!$I$2:$I$20000,"Coro"),""))</f>
        <v/>
      </c>
      <c r="D619" t="str">
        <f>IF(A619="","",IFERROR(AVERAGEIFS(DATOS!$K$2:$K$20000,DATOS!$A$2:$A$20000,A619,DATOS!$G$2:$G$20000,CONFIG_METADATA!$B$4,DATOS!$I$2:$I$20000,"Conjunto"),""))</f>
        <v/>
      </c>
      <c r="E619" t="str">
        <f>IF(A619="","",IFERROR(AVERAGEIFS(DATOS!$K$2:$K$20000,DATOS!$A$2:$A$20000,A619,DATOS!$G$2:$G$20000,CONFIG_METADATA!$B$4,DATOS!$I$2:$I$20000,"&lt;&gt;Lenguaje Musical",DATOS!$I$2:$I$20000,"&lt;&gt;Coro",DATOS!$I$2:$I$20000,"&lt;&gt;Conjunto"),""))</f>
        <v/>
      </c>
      <c r="H619" t="str">
        <f>IF(G619="","",IFERROR(AVERAGEIFS(DATOS!$K$2:$K$20000,DATOS!$A$2:$A$20000,G619,DATOS!$G$2:$G$20000,CONFIG_METADATA!$B$4,DATOS!$I$2:$I$20000,"Lenguaje Musical"),""))</f>
        <v/>
      </c>
      <c r="I619" t="str">
        <f>IF(G619="","",IFERROR(AVERAGEIFS(DATOS!$K$2:$K$20000,DATOS!$A$2:$A$20000,G619,DATOS!$G$2:$G$20000,CONFIG_METADATA!$B$4,DATOS!$I$2:$I$20000,"Coro"),""))</f>
        <v/>
      </c>
      <c r="J619" t="str">
        <f>IF(G619="","",IFERROR(AVERAGEIFS(DATOS!$K$2:$K$20000,DATOS!$A$2:$A$20000,G619,DATOS!$G$2:$G$20000,CONFIG_METADATA!$B$4,DATOS!$I$2:$I$20000,"Conjunto"),""))</f>
        <v/>
      </c>
      <c r="K619" t="str" cm="1">
        <f t="array" ref="K619">IF(G619="","",IFERROR(AVERAGE(IF((DATOS!$A$2:$A$20000=G619)*(DATOS!$G$2:$G$20000=CONFIG_METADATA!$B$4)*(DATOS!$I$2:$I$20000&lt;&gt;"Lenguaje Musical")*(DATOS!$I$2:$I$20000&lt;&gt;"Coro")*(DATOS!$I$2:$I$20000&lt;&gt;"Conjunto"),DATOS!$K$2:$K$20000)),""))</f>
        <v/>
      </c>
      <c r="N619" t="str">
        <f>IF(M619="","",IFERROR(AVERAGEIFS(DATOS!$K$2:$K$20000,DATOS!$A$2:$A$20000,M619,DATOS!$G$2:$G$20000,CONFIG_METADATA!$B$4,DATOS!$I$2:$I$20000,"Lenguaje Musical"),""))</f>
        <v/>
      </c>
      <c r="O619" t="str">
        <f>IF(M619="","",IFERROR(AVERAGEIFS(DATOS!$K$2:$K$20000,DATOS!$A$2:$A$20000,M619,DATOS!$G$2:$G$20000,CONFIG_METADATA!$B$4,DATOS!$I$2:$I$20000,"Coro"),""))</f>
        <v/>
      </c>
      <c r="P619" t="str">
        <f>IF(M619="","",IFERROR(AVERAGEIFS(DATOS!$K$2:$K$20000,DATOS!$A$2:$A$20000,M619,DATOS!$G$2:$G$20000,CONFIG_METADATA!$B$4,DATOS!$I$2:$I$20000,"Conjunto"),""))</f>
        <v/>
      </c>
      <c r="Q619" t="str">
        <f>IF(M619="","",IFERROR(AVERAGEIFS(DATOS!$K$2:$K$20000,DATOS!$A$2:$A$20000,M619,DATOS!$G$2:$G$20000,CONFIG_METADATA!$B$4,DATOS!$I$2:$I$20000,"&lt;&gt;Lenguaje Musical",DATOS!$I$2:$I$20000,"&lt;&gt;Coro",DATOS!$I$2:$I$20000,"&lt;&gt;Conjunto"),""))</f>
        <v/>
      </c>
      <c r="T619" t="str">
        <f>IF(S619="","",IFERROR(AVERAGEIFS(DATOS!$K$2:$K$20000,DATOS!$A$2:$A$20000,S619,DATOS!$G$2:$G$20000,CONFIG_METADATA!$B$4,DATOS!$I$2:$I$20000,"Lenguaje Musical"),""))</f>
        <v/>
      </c>
      <c r="U619" t="str">
        <f>IF(S619="","",IFERROR(AVERAGEIFS(DATOS!$K$2:$K$20000,DATOS!$A$2:$A$20000,S619,DATOS!$G$2:$G$20000,CONFIG_METADATA!$B$4,DATOS!$I$2:$I$20000,"Coro"),""))</f>
        <v/>
      </c>
      <c r="V619" t="str">
        <f>IF(S619="","",IFERROR(AVERAGEIFS(DATOS!$K$2:$K$20000,DATOS!$A$2:$A$20000,S619,DATOS!$G$2:$G$20000,CONFIG_METADATA!$B$4,DATOS!$I$2:$I$20000,"Conjunto"),""))</f>
        <v/>
      </c>
      <c r="W619" t="str" cm="1">
        <f t="array" ref="W619">IF(S619="","",IFERROR(AVERAGE(IF((DATOS!$A$2:$A$20000=S619)*(DATOS!$G$2:$G$20000=CONFIG_METADATA!$B$4)*(DATOS!$I$2:$I$20000&lt;&gt;"Lenguaje Musical")*(DATOS!$I$2:$I$20000&lt;&gt;"Coro")*(DATOS!$I$2:$I$20000&lt;&gt;"Conjunto"),DATOS!$K$2:$K$20000)),""))</f>
        <v/>
      </c>
    </row>
    <row r="620" spans="2:23" x14ac:dyDescent="0.2">
      <c r="B620" t="str">
        <f>IF(A620="","",IFERROR(AVERAGEIFS(DATOS!$K$2:$K$20000,DATOS!$A$2:$A$20000,A620,DATOS!$G$2:$G$20000,CONFIG_METADATA!$B$4,DATOS!$I$2:$I$20000,"Lenguaje Musical"),""))</f>
        <v/>
      </c>
      <c r="C620" t="str">
        <f>IF(A620="","",IFERROR(AVERAGEIFS(DATOS!$K$2:$K$20000,DATOS!$A$2:$A$20000,A620,DATOS!$G$2:$G$20000,CONFIG_METADATA!$B$4,DATOS!$I$2:$I$20000,"Coro"),""))</f>
        <v/>
      </c>
      <c r="D620" t="str">
        <f>IF(A620="","",IFERROR(AVERAGEIFS(DATOS!$K$2:$K$20000,DATOS!$A$2:$A$20000,A620,DATOS!$G$2:$G$20000,CONFIG_METADATA!$B$4,DATOS!$I$2:$I$20000,"Conjunto"),""))</f>
        <v/>
      </c>
      <c r="E620" t="str">
        <f>IF(A620="","",IFERROR(AVERAGEIFS(DATOS!$K$2:$K$20000,DATOS!$A$2:$A$20000,A620,DATOS!$G$2:$G$20000,CONFIG_METADATA!$B$4,DATOS!$I$2:$I$20000,"&lt;&gt;Lenguaje Musical",DATOS!$I$2:$I$20000,"&lt;&gt;Coro",DATOS!$I$2:$I$20000,"&lt;&gt;Conjunto"),""))</f>
        <v/>
      </c>
      <c r="H620" t="str">
        <f>IF(G620="","",IFERROR(AVERAGEIFS(DATOS!$K$2:$K$20000,DATOS!$A$2:$A$20000,G620,DATOS!$G$2:$G$20000,CONFIG_METADATA!$B$4,DATOS!$I$2:$I$20000,"Lenguaje Musical"),""))</f>
        <v/>
      </c>
      <c r="I620" t="str">
        <f>IF(G620="","",IFERROR(AVERAGEIFS(DATOS!$K$2:$K$20000,DATOS!$A$2:$A$20000,G620,DATOS!$G$2:$G$20000,CONFIG_METADATA!$B$4,DATOS!$I$2:$I$20000,"Coro"),""))</f>
        <v/>
      </c>
      <c r="J620" t="str">
        <f>IF(G620="","",IFERROR(AVERAGEIFS(DATOS!$K$2:$K$20000,DATOS!$A$2:$A$20000,G620,DATOS!$G$2:$G$20000,CONFIG_METADATA!$B$4,DATOS!$I$2:$I$20000,"Conjunto"),""))</f>
        <v/>
      </c>
      <c r="K620" t="str" cm="1">
        <f t="array" ref="K620">IF(G620="","",IFERROR(AVERAGE(IF((DATOS!$A$2:$A$20000=G620)*(DATOS!$G$2:$G$20000=CONFIG_METADATA!$B$4)*(DATOS!$I$2:$I$20000&lt;&gt;"Lenguaje Musical")*(DATOS!$I$2:$I$20000&lt;&gt;"Coro")*(DATOS!$I$2:$I$20000&lt;&gt;"Conjunto"),DATOS!$K$2:$K$20000)),""))</f>
        <v/>
      </c>
      <c r="N620" t="str">
        <f>IF(M620="","",IFERROR(AVERAGEIFS(DATOS!$K$2:$K$20000,DATOS!$A$2:$A$20000,M620,DATOS!$G$2:$G$20000,CONFIG_METADATA!$B$4,DATOS!$I$2:$I$20000,"Lenguaje Musical"),""))</f>
        <v/>
      </c>
      <c r="O620" t="str">
        <f>IF(M620="","",IFERROR(AVERAGEIFS(DATOS!$K$2:$K$20000,DATOS!$A$2:$A$20000,M620,DATOS!$G$2:$G$20000,CONFIG_METADATA!$B$4,DATOS!$I$2:$I$20000,"Coro"),""))</f>
        <v/>
      </c>
      <c r="P620" t="str">
        <f>IF(M620="","",IFERROR(AVERAGEIFS(DATOS!$K$2:$K$20000,DATOS!$A$2:$A$20000,M620,DATOS!$G$2:$G$20000,CONFIG_METADATA!$B$4,DATOS!$I$2:$I$20000,"Conjunto"),""))</f>
        <v/>
      </c>
      <c r="Q620" t="str">
        <f>IF(M620="","",IFERROR(AVERAGEIFS(DATOS!$K$2:$K$20000,DATOS!$A$2:$A$20000,M620,DATOS!$G$2:$G$20000,CONFIG_METADATA!$B$4,DATOS!$I$2:$I$20000,"&lt;&gt;Lenguaje Musical",DATOS!$I$2:$I$20000,"&lt;&gt;Coro",DATOS!$I$2:$I$20000,"&lt;&gt;Conjunto"),""))</f>
        <v/>
      </c>
      <c r="T620" t="str">
        <f>IF(S620="","",IFERROR(AVERAGEIFS(DATOS!$K$2:$K$20000,DATOS!$A$2:$A$20000,S620,DATOS!$G$2:$G$20000,CONFIG_METADATA!$B$4,DATOS!$I$2:$I$20000,"Lenguaje Musical"),""))</f>
        <v/>
      </c>
      <c r="U620" t="str">
        <f>IF(S620="","",IFERROR(AVERAGEIFS(DATOS!$K$2:$K$20000,DATOS!$A$2:$A$20000,S620,DATOS!$G$2:$G$20000,CONFIG_METADATA!$B$4,DATOS!$I$2:$I$20000,"Coro"),""))</f>
        <v/>
      </c>
      <c r="V620" t="str">
        <f>IF(S620="","",IFERROR(AVERAGEIFS(DATOS!$K$2:$K$20000,DATOS!$A$2:$A$20000,S620,DATOS!$G$2:$G$20000,CONFIG_METADATA!$B$4,DATOS!$I$2:$I$20000,"Conjunto"),""))</f>
        <v/>
      </c>
      <c r="W620" t="str" cm="1">
        <f t="array" ref="W620">IF(S620="","",IFERROR(AVERAGE(IF((DATOS!$A$2:$A$20000=S620)*(DATOS!$G$2:$G$20000=CONFIG_METADATA!$B$4)*(DATOS!$I$2:$I$20000&lt;&gt;"Lenguaje Musical")*(DATOS!$I$2:$I$20000&lt;&gt;"Coro")*(DATOS!$I$2:$I$20000&lt;&gt;"Conjunto"),DATOS!$K$2:$K$20000)),""))</f>
        <v/>
      </c>
    </row>
    <row r="621" spans="2:23" x14ac:dyDescent="0.2">
      <c r="B621" t="str">
        <f>IF(A621="","",IFERROR(AVERAGEIFS(DATOS!$K$2:$K$20000,DATOS!$A$2:$A$20000,A621,DATOS!$G$2:$G$20000,CONFIG_METADATA!$B$4,DATOS!$I$2:$I$20000,"Lenguaje Musical"),""))</f>
        <v/>
      </c>
      <c r="C621" t="str">
        <f>IF(A621="","",IFERROR(AVERAGEIFS(DATOS!$K$2:$K$20000,DATOS!$A$2:$A$20000,A621,DATOS!$G$2:$G$20000,CONFIG_METADATA!$B$4,DATOS!$I$2:$I$20000,"Coro"),""))</f>
        <v/>
      </c>
      <c r="D621" t="str">
        <f>IF(A621="","",IFERROR(AVERAGEIFS(DATOS!$K$2:$K$20000,DATOS!$A$2:$A$20000,A621,DATOS!$G$2:$G$20000,CONFIG_METADATA!$B$4,DATOS!$I$2:$I$20000,"Conjunto"),""))</f>
        <v/>
      </c>
      <c r="E621" t="str">
        <f>IF(A621="","",IFERROR(AVERAGEIFS(DATOS!$K$2:$K$20000,DATOS!$A$2:$A$20000,A621,DATOS!$G$2:$G$20000,CONFIG_METADATA!$B$4,DATOS!$I$2:$I$20000,"&lt;&gt;Lenguaje Musical",DATOS!$I$2:$I$20000,"&lt;&gt;Coro",DATOS!$I$2:$I$20000,"&lt;&gt;Conjunto"),""))</f>
        <v/>
      </c>
      <c r="H621" t="str">
        <f>IF(G621="","",IFERROR(AVERAGEIFS(DATOS!$K$2:$K$20000,DATOS!$A$2:$A$20000,G621,DATOS!$G$2:$G$20000,CONFIG_METADATA!$B$4,DATOS!$I$2:$I$20000,"Lenguaje Musical"),""))</f>
        <v/>
      </c>
      <c r="I621" t="str">
        <f>IF(G621="","",IFERROR(AVERAGEIFS(DATOS!$K$2:$K$20000,DATOS!$A$2:$A$20000,G621,DATOS!$G$2:$G$20000,CONFIG_METADATA!$B$4,DATOS!$I$2:$I$20000,"Coro"),""))</f>
        <v/>
      </c>
      <c r="J621" t="str">
        <f>IF(G621="","",IFERROR(AVERAGEIFS(DATOS!$K$2:$K$20000,DATOS!$A$2:$A$20000,G621,DATOS!$G$2:$G$20000,CONFIG_METADATA!$B$4,DATOS!$I$2:$I$20000,"Conjunto"),""))</f>
        <v/>
      </c>
      <c r="K621" t="str" cm="1">
        <f t="array" ref="K621">IF(G621="","",IFERROR(AVERAGE(IF((DATOS!$A$2:$A$20000=G621)*(DATOS!$G$2:$G$20000=CONFIG_METADATA!$B$4)*(DATOS!$I$2:$I$20000&lt;&gt;"Lenguaje Musical")*(DATOS!$I$2:$I$20000&lt;&gt;"Coro")*(DATOS!$I$2:$I$20000&lt;&gt;"Conjunto"),DATOS!$K$2:$K$20000)),""))</f>
        <v/>
      </c>
      <c r="N621" t="str">
        <f>IF(M621="","",IFERROR(AVERAGEIFS(DATOS!$K$2:$K$20000,DATOS!$A$2:$A$20000,M621,DATOS!$G$2:$G$20000,CONFIG_METADATA!$B$4,DATOS!$I$2:$I$20000,"Lenguaje Musical"),""))</f>
        <v/>
      </c>
      <c r="O621" t="str">
        <f>IF(M621="","",IFERROR(AVERAGEIFS(DATOS!$K$2:$K$20000,DATOS!$A$2:$A$20000,M621,DATOS!$G$2:$G$20000,CONFIG_METADATA!$B$4,DATOS!$I$2:$I$20000,"Coro"),""))</f>
        <v/>
      </c>
      <c r="P621" t="str">
        <f>IF(M621="","",IFERROR(AVERAGEIFS(DATOS!$K$2:$K$20000,DATOS!$A$2:$A$20000,M621,DATOS!$G$2:$G$20000,CONFIG_METADATA!$B$4,DATOS!$I$2:$I$20000,"Conjunto"),""))</f>
        <v/>
      </c>
      <c r="Q621" t="str">
        <f>IF(M621="","",IFERROR(AVERAGEIFS(DATOS!$K$2:$K$20000,DATOS!$A$2:$A$20000,M621,DATOS!$G$2:$G$20000,CONFIG_METADATA!$B$4,DATOS!$I$2:$I$20000,"&lt;&gt;Lenguaje Musical",DATOS!$I$2:$I$20000,"&lt;&gt;Coro",DATOS!$I$2:$I$20000,"&lt;&gt;Conjunto"),""))</f>
        <v/>
      </c>
      <c r="T621" t="str">
        <f>IF(S621="","",IFERROR(AVERAGEIFS(DATOS!$K$2:$K$20000,DATOS!$A$2:$A$20000,S621,DATOS!$G$2:$G$20000,CONFIG_METADATA!$B$4,DATOS!$I$2:$I$20000,"Lenguaje Musical"),""))</f>
        <v/>
      </c>
      <c r="U621" t="str">
        <f>IF(S621="","",IFERROR(AVERAGEIFS(DATOS!$K$2:$K$20000,DATOS!$A$2:$A$20000,S621,DATOS!$G$2:$G$20000,CONFIG_METADATA!$B$4,DATOS!$I$2:$I$20000,"Coro"),""))</f>
        <v/>
      </c>
      <c r="V621" t="str">
        <f>IF(S621="","",IFERROR(AVERAGEIFS(DATOS!$K$2:$K$20000,DATOS!$A$2:$A$20000,S621,DATOS!$G$2:$G$20000,CONFIG_METADATA!$B$4,DATOS!$I$2:$I$20000,"Conjunto"),""))</f>
        <v/>
      </c>
      <c r="W621" t="str" cm="1">
        <f t="array" ref="W621">IF(S621="","",IFERROR(AVERAGE(IF((DATOS!$A$2:$A$20000=S621)*(DATOS!$G$2:$G$20000=CONFIG_METADATA!$B$4)*(DATOS!$I$2:$I$20000&lt;&gt;"Lenguaje Musical")*(DATOS!$I$2:$I$20000&lt;&gt;"Coro")*(DATOS!$I$2:$I$20000&lt;&gt;"Conjunto"),DATOS!$K$2:$K$20000)),""))</f>
        <v/>
      </c>
    </row>
    <row r="622" spans="2:23" x14ac:dyDescent="0.2">
      <c r="B622" t="str">
        <f>IF(A622="","",IFERROR(AVERAGEIFS(DATOS!$K$2:$K$20000,DATOS!$A$2:$A$20000,A622,DATOS!$G$2:$G$20000,CONFIG_METADATA!$B$4,DATOS!$I$2:$I$20000,"Lenguaje Musical"),""))</f>
        <v/>
      </c>
      <c r="C622" t="str">
        <f>IF(A622="","",IFERROR(AVERAGEIFS(DATOS!$K$2:$K$20000,DATOS!$A$2:$A$20000,A622,DATOS!$G$2:$G$20000,CONFIG_METADATA!$B$4,DATOS!$I$2:$I$20000,"Coro"),""))</f>
        <v/>
      </c>
      <c r="D622" t="str">
        <f>IF(A622="","",IFERROR(AVERAGEIFS(DATOS!$K$2:$K$20000,DATOS!$A$2:$A$20000,A622,DATOS!$G$2:$G$20000,CONFIG_METADATA!$B$4,DATOS!$I$2:$I$20000,"Conjunto"),""))</f>
        <v/>
      </c>
      <c r="E622" t="str">
        <f>IF(A622="","",IFERROR(AVERAGEIFS(DATOS!$K$2:$K$20000,DATOS!$A$2:$A$20000,A622,DATOS!$G$2:$G$20000,CONFIG_METADATA!$B$4,DATOS!$I$2:$I$20000,"&lt;&gt;Lenguaje Musical",DATOS!$I$2:$I$20000,"&lt;&gt;Coro",DATOS!$I$2:$I$20000,"&lt;&gt;Conjunto"),""))</f>
        <v/>
      </c>
      <c r="H622" t="str">
        <f>IF(G622="","",IFERROR(AVERAGEIFS(DATOS!$K$2:$K$20000,DATOS!$A$2:$A$20000,G622,DATOS!$G$2:$G$20000,CONFIG_METADATA!$B$4,DATOS!$I$2:$I$20000,"Lenguaje Musical"),""))</f>
        <v/>
      </c>
      <c r="I622" t="str">
        <f>IF(G622="","",IFERROR(AVERAGEIFS(DATOS!$K$2:$K$20000,DATOS!$A$2:$A$20000,G622,DATOS!$G$2:$G$20000,CONFIG_METADATA!$B$4,DATOS!$I$2:$I$20000,"Coro"),""))</f>
        <v/>
      </c>
      <c r="J622" t="str">
        <f>IF(G622="","",IFERROR(AVERAGEIFS(DATOS!$K$2:$K$20000,DATOS!$A$2:$A$20000,G622,DATOS!$G$2:$G$20000,CONFIG_METADATA!$B$4,DATOS!$I$2:$I$20000,"Conjunto"),""))</f>
        <v/>
      </c>
      <c r="K622" t="str" cm="1">
        <f t="array" ref="K622">IF(G622="","",IFERROR(AVERAGE(IF((DATOS!$A$2:$A$20000=G622)*(DATOS!$G$2:$G$20000=CONFIG_METADATA!$B$4)*(DATOS!$I$2:$I$20000&lt;&gt;"Lenguaje Musical")*(DATOS!$I$2:$I$20000&lt;&gt;"Coro")*(DATOS!$I$2:$I$20000&lt;&gt;"Conjunto"),DATOS!$K$2:$K$20000)),""))</f>
        <v/>
      </c>
      <c r="N622" t="str">
        <f>IF(M622="","",IFERROR(AVERAGEIFS(DATOS!$K$2:$K$20000,DATOS!$A$2:$A$20000,M622,DATOS!$G$2:$G$20000,CONFIG_METADATA!$B$4,DATOS!$I$2:$I$20000,"Lenguaje Musical"),""))</f>
        <v/>
      </c>
      <c r="O622" t="str">
        <f>IF(M622="","",IFERROR(AVERAGEIFS(DATOS!$K$2:$K$20000,DATOS!$A$2:$A$20000,M622,DATOS!$G$2:$G$20000,CONFIG_METADATA!$B$4,DATOS!$I$2:$I$20000,"Coro"),""))</f>
        <v/>
      </c>
      <c r="P622" t="str">
        <f>IF(M622="","",IFERROR(AVERAGEIFS(DATOS!$K$2:$K$20000,DATOS!$A$2:$A$20000,M622,DATOS!$G$2:$G$20000,CONFIG_METADATA!$B$4,DATOS!$I$2:$I$20000,"Conjunto"),""))</f>
        <v/>
      </c>
      <c r="Q622" t="str">
        <f>IF(M622="","",IFERROR(AVERAGEIFS(DATOS!$K$2:$K$20000,DATOS!$A$2:$A$20000,M622,DATOS!$G$2:$G$20000,CONFIG_METADATA!$B$4,DATOS!$I$2:$I$20000,"&lt;&gt;Lenguaje Musical",DATOS!$I$2:$I$20000,"&lt;&gt;Coro",DATOS!$I$2:$I$20000,"&lt;&gt;Conjunto"),""))</f>
        <v/>
      </c>
      <c r="T622" t="str">
        <f>IF(S622="","",IFERROR(AVERAGEIFS(DATOS!$K$2:$K$20000,DATOS!$A$2:$A$20000,S622,DATOS!$G$2:$G$20000,CONFIG_METADATA!$B$4,DATOS!$I$2:$I$20000,"Lenguaje Musical"),""))</f>
        <v/>
      </c>
      <c r="U622" t="str">
        <f>IF(S622="","",IFERROR(AVERAGEIFS(DATOS!$K$2:$K$20000,DATOS!$A$2:$A$20000,S622,DATOS!$G$2:$G$20000,CONFIG_METADATA!$B$4,DATOS!$I$2:$I$20000,"Coro"),""))</f>
        <v/>
      </c>
      <c r="V622" t="str">
        <f>IF(S622="","",IFERROR(AVERAGEIFS(DATOS!$K$2:$K$20000,DATOS!$A$2:$A$20000,S622,DATOS!$G$2:$G$20000,CONFIG_METADATA!$B$4,DATOS!$I$2:$I$20000,"Conjunto"),""))</f>
        <v/>
      </c>
      <c r="W622" t="str" cm="1">
        <f t="array" ref="W622">IF(S622="","",IFERROR(AVERAGE(IF((DATOS!$A$2:$A$20000=S622)*(DATOS!$G$2:$G$20000=CONFIG_METADATA!$B$4)*(DATOS!$I$2:$I$20000&lt;&gt;"Lenguaje Musical")*(DATOS!$I$2:$I$20000&lt;&gt;"Coro")*(DATOS!$I$2:$I$20000&lt;&gt;"Conjunto"),DATOS!$K$2:$K$20000)),""))</f>
        <v/>
      </c>
    </row>
    <row r="623" spans="2:23" x14ac:dyDescent="0.2">
      <c r="B623" t="str">
        <f>IF(A623="","",IFERROR(AVERAGEIFS(DATOS!$K$2:$K$20000,DATOS!$A$2:$A$20000,A623,DATOS!$G$2:$G$20000,CONFIG_METADATA!$B$4,DATOS!$I$2:$I$20000,"Lenguaje Musical"),""))</f>
        <v/>
      </c>
      <c r="C623" t="str">
        <f>IF(A623="","",IFERROR(AVERAGEIFS(DATOS!$K$2:$K$20000,DATOS!$A$2:$A$20000,A623,DATOS!$G$2:$G$20000,CONFIG_METADATA!$B$4,DATOS!$I$2:$I$20000,"Coro"),""))</f>
        <v/>
      </c>
      <c r="D623" t="str">
        <f>IF(A623="","",IFERROR(AVERAGEIFS(DATOS!$K$2:$K$20000,DATOS!$A$2:$A$20000,A623,DATOS!$G$2:$G$20000,CONFIG_METADATA!$B$4,DATOS!$I$2:$I$20000,"Conjunto"),""))</f>
        <v/>
      </c>
      <c r="E623" t="str">
        <f>IF(A623="","",IFERROR(AVERAGEIFS(DATOS!$K$2:$K$20000,DATOS!$A$2:$A$20000,A623,DATOS!$G$2:$G$20000,CONFIG_METADATA!$B$4,DATOS!$I$2:$I$20000,"&lt;&gt;Lenguaje Musical",DATOS!$I$2:$I$20000,"&lt;&gt;Coro",DATOS!$I$2:$I$20000,"&lt;&gt;Conjunto"),""))</f>
        <v/>
      </c>
      <c r="H623" t="str">
        <f>IF(G623="","",IFERROR(AVERAGEIFS(DATOS!$K$2:$K$20000,DATOS!$A$2:$A$20000,G623,DATOS!$G$2:$G$20000,CONFIG_METADATA!$B$4,DATOS!$I$2:$I$20000,"Lenguaje Musical"),""))</f>
        <v/>
      </c>
      <c r="I623" t="str">
        <f>IF(G623="","",IFERROR(AVERAGEIFS(DATOS!$K$2:$K$20000,DATOS!$A$2:$A$20000,G623,DATOS!$G$2:$G$20000,CONFIG_METADATA!$B$4,DATOS!$I$2:$I$20000,"Coro"),""))</f>
        <v/>
      </c>
      <c r="J623" t="str">
        <f>IF(G623="","",IFERROR(AVERAGEIFS(DATOS!$K$2:$K$20000,DATOS!$A$2:$A$20000,G623,DATOS!$G$2:$G$20000,CONFIG_METADATA!$B$4,DATOS!$I$2:$I$20000,"Conjunto"),""))</f>
        <v/>
      </c>
      <c r="K623" t="str" cm="1">
        <f t="array" ref="K623">IF(G623="","",IFERROR(AVERAGE(IF((DATOS!$A$2:$A$20000=G623)*(DATOS!$G$2:$G$20000=CONFIG_METADATA!$B$4)*(DATOS!$I$2:$I$20000&lt;&gt;"Lenguaje Musical")*(DATOS!$I$2:$I$20000&lt;&gt;"Coro")*(DATOS!$I$2:$I$20000&lt;&gt;"Conjunto"),DATOS!$K$2:$K$20000)),""))</f>
        <v/>
      </c>
      <c r="N623" t="str">
        <f>IF(M623="","",IFERROR(AVERAGEIFS(DATOS!$K$2:$K$20000,DATOS!$A$2:$A$20000,M623,DATOS!$G$2:$G$20000,CONFIG_METADATA!$B$4,DATOS!$I$2:$I$20000,"Lenguaje Musical"),""))</f>
        <v/>
      </c>
      <c r="O623" t="str">
        <f>IF(M623="","",IFERROR(AVERAGEIFS(DATOS!$K$2:$K$20000,DATOS!$A$2:$A$20000,M623,DATOS!$G$2:$G$20000,CONFIG_METADATA!$B$4,DATOS!$I$2:$I$20000,"Coro"),""))</f>
        <v/>
      </c>
      <c r="P623" t="str">
        <f>IF(M623="","",IFERROR(AVERAGEIFS(DATOS!$K$2:$K$20000,DATOS!$A$2:$A$20000,M623,DATOS!$G$2:$G$20000,CONFIG_METADATA!$B$4,DATOS!$I$2:$I$20000,"Conjunto"),""))</f>
        <v/>
      </c>
      <c r="Q623" t="str">
        <f>IF(M623="","",IFERROR(AVERAGEIFS(DATOS!$K$2:$K$20000,DATOS!$A$2:$A$20000,M623,DATOS!$G$2:$G$20000,CONFIG_METADATA!$B$4,DATOS!$I$2:$I$20000,"&lt;&gt;Lenguaje Musical",DATOS!$I$2:$I$20000,"&lt;&gt;Coro",DATOS!$I$2:$I$20000,"&lt;&gt;Conjunto"),""))</f>
        <v/>
      </c>
      <c r="T623" t="str">
        <f>IF(S623="","",IFERROR(AVERAGEIFS(DATOS!$K$2:$K$20000,DATOS!$A$2:$A$20000,S623,DATOS!$G$2:$G$20000,CONFIG_METADATA!$B$4,DATOS!$I$2:$I$20000,"Lenguaje Musical"),""))</f>
        <v/>
      </c>
      <c r="U623" t="str">
        <f>IF(S623="","",IFERROR(AVERAGEIFS(DATOS!$K$2:$K$20000,DATOS!$A$2:$A$20000,S623,DATOS!$G$2:$G$20000,CONFIG_METADATA!$B$4,DATOS!$I$2:$I$20000,"Coro"),""))</f>
        <v/>
      </c>
      <c r="V623" t="str">
        <f>IF(S623="","",IFERROR(AVERAGEIFS(DATOS!$K$2:$K$20000,DATOS!$A$2:$A$20000,S623,DATOS!$G$2:$G$20000,CONFIG_METADATA!$B$4,DATOS!$I$2:$I$20000,"Conjunto"),""))</f>
        <v/>
      </c>
      <c r="W623" t="str" cm="1">
        <f t="array" ref="W623">IF(S623="","",IFERROR(AVERAGE(IF((DATOS!$A$2:$A$20000=S623)*(DATOS!$G$2:$G$20000=CONFIG_METADATA!$B$4)*(DATOS!$I$2:$I$20000&lt;&gt;"Lenguaje Musical")*(DATOS!$I$2:$I$20000&lt;&gt;"Coro")*(DATOS!$I$2:$I$20000&lt;&gt;"Conjunto"),DATOS!$K$2:$K$20000)),""))</f>
        <v/>
      </c>
    </row>
    <row r="624" spans="2:23" x14ac:dyDescent="0.2">
      <c r="B624" t="str">
        <f>IF(A624="","",IFERROR(AVERAGEIFS(DATOS!$K$2:$K$20000,DATOS!$A$2:$A$20000,A624,DATOS!$G$2:$G$20000,CONFIG_METADATA!$B$4,DATOS!$I$2:$I$20000,"Lenguaje Musical"),""))</f>
        <v/>
      </c>
      <c r="C624" t="str">
        <f>IF(A624="","",IFERROR(AVERAGEIFS(DATOS!$K$2:$K$20000,DATOS!$A$2:$A$20000,A624,DATOS!$G$2:$G$20000,CONFIG_METADATA!$B$4,DATOS!$I$2:$I$20000,"Coro"),""))</f>
        <v/>
      </c>
      <c r="D624" t="str">
        <f>IF(A624="","",IFERROR(AVERAGEIFS(DATOS!$K$2:$K$20000,DATOS!$A$2:$A$20000,A624,DATOS!$G$2:$G$20000,CONFIG_METADATA!$B$4,DATOS!$I$2:$I$20000,"Conjunto"),""))</f>
        <v/>
      </c>
      <c r="E624" t="str">
        <f>IF(A624="","",IFERROR(AVERAGEIFS(DATOS!$K$2:$K$20000,DATOS!$A$2:$A$20000,A624,DATOS!$G$2:$G$20000,CONFIG_METADATA!$B$4,DATOS!$I$2:$I$20000,"&lt;&gt;Lenguaje Musical",DATOS!$I$2:$I$20000,"&lt;&gt;Coro",DATOS!$I$2:$I$20000,"&lt;&gt;Conjunto"),""))</f>
        <v/>
      </c>
      <c r="H624" t="str">
        <f>IF(G624="","",IFERROR(AVERAGEIFS(DATOS!$K$2:$K$20000,DATOS!$A$2:$A$20000,G624,DATOS!$G$2:$G$20000,CONFIG_METADATA!$B$4,DATOS!$I$2:$I$20000,"Lenguaje Musical"),""))</f>
        <v/>
      </c>
      <c r="I624" t="str">
        <f>IF(G624="","",IFERROR(AVERAGEIFS(DATOS!$K$2:$K$20000,DATOS!$A$2:$A$20000,G624,DATOS!$G$2:$G$20000,CONFIG_METADATA!$B$4,DATOS!$I$2:$I$20000,"Coro"),""))</f>
        <v/>
      </c>
      <c r="J624" t="str">
        <f>IF(G624="","",IFERROR(AVERAGEIFS(DATOS!$K$2:$K$20000,DATOS!$A$2:$A$20000,G624,DATOS!$G$2:$G$20000,CONFIG_METADATA!$B$4,DATOS!$I$2:$I$20000,"Conjunto"),""))</f>
        <v/>
      </c>
      <c r="K624" t="str" cm="1">
        <f t="array" ref="K624">IF(G624="","",IFERROR(AVERAGE(IF((DATOS!$A$2:$A$20000=G624)*(DATOS!$G$2:$G$20000=CONFIG_METADATA!$B$4)*(DATOS!$I$2:$I$20000&lt;&gt;"Lenguaje Musical")*(DATOS!$I$2:$I$20000&lt;&gt;"Coro")*(DATOS!$I$2:$I$20000&lt;&gt;"Conjunto"),DATOS!$K$2:$K$20000)),""))</f>
        <v/>
      </c>
      <c r="N624" t="str">
        <f>IF(M624="","",IFERROR(AVERAGEIFS(DATOS!$K$2:$K$20000,DATOS!$A$2:$A$20000,M624,DATOS!$G$2:$G$20000,CONFIG_METADATA!$B$4,DATOS!$I$2:$I$20000,"Lenguaje Musical"),""))</f>
        <v/>
      </c>
      <c r="O624" t="str">
        <f>IF(M624="","",IFERROR(AVERAGEIFS(DATOS!$K$2:$K$20000,DATOS!$A$2:$A$20000,M624,DATOS!$G$2:$G$20000,CONFIG_METADATA!$B$4,DATOS!$I$2:$I$20000,"Coro"),""))</f>
        <v/>
      </c>
      <c r="P624" t="str">
        <f>IF(M624="","",IFERROR(AVERAGEIFS(DATOS!$K$2:$K$20000,DATOS!$A$2:$A$20000,M624,DATOS!$G$2:$G$20000,CONFIG_METADATA!$B$4,DATOS!$I$2:$I$20000,"Conjunto"),""))</f>
        <v/>
      </c>
      <c r="Q624" t="str">
        <f>IF(M624="","",IFERROR(AVERAGEIFS(DATOS!$K$2:$K$20000,DATOS!$A$2:$A$20000,M624,DATOS!$G$2:$G$20000,CONFIG_METADATA!$B$4,DATOS!$I$2:$I$20000,"&lt;&gt;Lenguaje Musical",DATOS!$I$2:$I$20000,"&lt;&gt;Coro",DATOS!$I$2:$I$20000,"&lt;&gt;Conjunto"),""))</f>
        <v/>
      </c>
      <c r="T624" t="str">
        <f>IF(S624="","",IFERROR(AVERAGEIFS(DATOS!$K$2:$K$20000,DATOS!$A$2:$A$20000,S624,DATOS!$G$2:$G$20000,CONFIG_METADATA!$B$4,DATOS!$I$2:$I$20000,"Lenguaje Musical"),""))</f>
        <v/>
      </c>
      <c r="U624" t="str">
        <f>IF(S624="","",IFERROR(AVERAGEIFS(DATOS!$K$2:$K$20000,DATOS!$A$2:$A$20000,S624,DATOS!$G$2:$G$20000,CONFIG_METADATA!$B$4,DATOS!$I$2:$I$20000,"Coro"),""))</f>
        <v/>
      </c>
      <c r="V624" t="str">
        <f>IF(S624="","",IFERROR(AVERAGEIFS(DATOS!$K$2:$K$20000,DATOS!$A$2:$A$20000,S624,DATOS!$G$2:$G$20000,CONFIG_METADATA!$B$4,DATOS!$I$2:$I$20000,"Conjunto"),""))</f>
        <v/>
      </c>
      <c r="W624" t="str" cm="1">
        <f t="array" ref="W624">IF(S624="","",IFERROR(AVERAGE(IF((DATOS!$A$2:$A$20000=S624)*(DATOS!$G$2:$G$20000=CONFIG_METADATA!$B$4)*(DATOS!$I$2:$I$20000&lt;&gt;"Lenguaje Musical")*(DATOS!$I$2:$I$20000&lt;&gt;"Coro")*(DATOS!$I$2:$I$20000&lt;&gt;"Conjunto"),DATOS!$K$2:$K$20000)),""))</f>
        <v/>
      </c>
    </row>
    <row r="625" spans="2:23" x14ac:dyDescent="0.2">
      <c r="B625" t="str">
        <f>IF(A625="","",IFERROR(AVERAGEIFS(DATOS!$K$2:$K$20000,DATOS!$A$2:$A$20000,A625,DATOS!$G$2:$G$20000,CONFIG_METADATA!$B$4,DATOS!$I$2:$I$20000,"Lenguaje Musical"),""))</f>
        <v/>
      </c>
      <c r="C625" t="str">
        <f>IF(A625="","",IFERROR(AVERAGEIFS(DATOS!$K$2:$K$20000,DATOS!$A$2:$A$20000,A625,DATOS!$G$2:$G$20000,CONFIG_METADATA!$B$4,DATOS!$I$2:$I$20000,"Coro"),""))</f>
        <v/>
      </c>
      <c r="D625" t="str">
        <f>IF(A625="","",IFERROR(AVERAGEIFS(DATOS!$K$2:$K$20000,DATOS!$A$2:$A$20000,A625,DATOS!$G$2:$G$20000,CONFIG_METADATA!$B$4,DATOS!$I$2:$I$20000,"Conjunto"),""))</f>
        <v/>
      </c>
      <c r="E625" t="str">
        <f>IF(A625="","",IFERROR(AVERAGEIFS(DATOS!$K$2:$K$20000,DATOS!$A$2:$A$20000,A625,DATOS!$G$2:$G$20000,CONFIG_METADATA!$B$4,DATOS!$I$2:$I$20000,"&lt;&gt;Lenguaje Musical",DATOS!$I$2:$I$20000,"&lt;&gt;Coro",DATOS!$I$2:$I$20000,"&lt;&gt;Conjunto"),""))</f>
        <v/>
      </c>
      <c r="H625" t="str">
        <f>IF(G625="","",IFERROR(AVERAGEIFS(DATOS!$K$2:$K$20000,DATOS!$A$2:$A$20000,G625,DATOS!$G$2:$G$20000,CONFIG_METADATA!$B$4,DATOS!$I$2:$I$20000,"Lenguaje Musical"),""))</f>
        <v/>
      </c>
      <c r="I625" t="str">
        <f>IF(G625="","",IFERROR(AVERAGEIFS(DATOS!$K$2:$K$20000,DATOS!$A$2:$A$20000,G625,DATOS!$G$2:$G$20000,CONFIG_METADATA!$B$4,DATOS!$I$2:$I$20000,"Coro"),""))</f>
        <v/>
      </c>
      <c r="J625" t="str">
        <f>IF(G625="","",IFERROR(AVERAGEIFS(DATOS!$K$2:$K$20000,DATOS!$A$2:$A$20000,G625,DATOS!$G$2:$G$20000,CONFIG_METADATA!$B$4,DATOS!$I$2:$I$20000,"Conjunto"),""))</f>
        <v/>
      </c>
      <c r="K625" t="str" cm="1">
        <f t="array" ref="K625">IF(G625="","",IFERROR(AVERAGE(IF((DATOS!$A$2:$A$20000=G625)*(DATOS!$G$2:$G$20000=CONFIG_METADATA!$B$4)*(DATOS!$I$2:$I$20000&lt;&gt;"Lenguaje Musical")*(DATOS!$I$2:$I$20000&lt;&gt;"Coro")*(DATOS!$I$2:$I$20000&lt;&gt;"Conjunto"),DATOS!$K$2:$K$20000)),""))</f>
        <v/>
      </c>
      <c r="N625" t="str">
        <f>IF(M625="","",IFERROR(AVERAGEIFS(DATOS!$K$2:$K$20000,DATOS!$A$2:$A$20000,M625,DATOS!$G$2:$G$20000,CONFIG_METADATA!$B$4,DATOS!$I$2:$I$20000,"Lenguaje Musical"),""))</f>
        <v/>
      </c>
      <c r="O625" t="str">
        <f>IF(M625="","",IFERROR(AVERAGEIFS(DATOS!$K$2:$K$20000,DATOS!$A$2:$A$20000,M625,DATOS!$G$2:$G$20000,CONFIG_METADATA!$B$4,DATOS!$I$2:$I$20000,"Coro"),""))</f>
        <v/>
      </c>
      <c r="P625" t="str">
        <f>IF(M625="","",IFERROR(AVERAGEIFS(DATOS!$K$2:$K$20000,DATOS!$A$2:$A$20000,M625,DATOS!$G$2:$G$20000,CONFIG_METADATA!$B$4,DATOS!$I$2:$I$20000,"Conjunto"),""))</f>
        <v/>
      </c>
      <c r="Q625" t="str">
        <f>IF(M625="","",IFERROR(AVERAGEIFS(DATOS!$K$2:$K$20000,DATOS!$A$2:$A$20000,M625,DATOS!$G$2:$G$20000,CONFIG_METADATA!$B$4,DATOS!$I$2:$I$20000,"&lt;&gt;Lenguaje Musical",DATOS!$I$2:$I$20000,"&lt;&gt;Coro",DATOS!$I$2:$I$20000,"&lt;&gt;Conjunto"),""))</f>
        <v/>
      </c>
      <c r="T625" t="str">
        <f>IF(S625="","",IFERROR(AVERAGEIFS(DATOS!$K$2:$K$20000,DATOS!$A$2:$A$20000,S625,DATOS!$G$2:$G$20000,CONFIG_METADATA!$B$4,DATOS!$I$2:$I$20000,"Lenguaje Musical"),""))</f>
        <v/>
      </c>
      <c r="U625" t="str">
        <f>IF(S625="","",IFERROR(AVERAGEIFS(DATOS!$K$2:$K$20000,DATOS!$A$2:$A$20000,S625,DATOS!$G$2:$G$20000,CONFIG_METADATA!$B$4,DATOS!$I$2:$I$20000,"Coro"),""))</f>
        <v/>
      </c>
      <c r="V625" t="str">
        <f>IF(S625="","",IFERROR(AVERAGEIFS(DATOS!$K$2:$K$20000,DATOS!$A$2:$A$20000,S625,DATOS!$G$2:$G$20000,CONFIG_METADATA!$B$4,DATOS!$I$2:$I$20000,"Conjunto"),""))</f>
        <v/>
      </c>
      <c r="W625" t="str" cm="1">
        <f t="array" ref="W625">IF(S625="","",IFERROR(AVERAGE(IF((DATOS!$A$2:$A$20000=S625)*(DATOS!$G$2:$G$20000=CONFIG_METADATA!$B$4)*(DATOS!$I$2:$I$20000&lt;&gt;"Lenguaje Musical")*(DATOS!$I$2:$I$20000&lt;&gt;"Coro")*(DATOS!$I$2:$I$20000&lt;&gt;"Conjunto"),DATOS!$K$2:$K$20000)),""))</f>
        <v/>
      </c>
    </row>
    <row r="626" spans="2:23" x14ac:dyDescent="0.2">
      <c r="B626" t="str">
        <f>IF(A626="","",IFERROR(AVERAGEIFS(DATOS!$K$2:$K$20000,DATOS!$A$2:$A$20000,A626,DATOS!$G$2:$G$20000,CONFIG_METADATA!$B$4,DATOS!$I$2:$I$20000,"Lenguaje Musical"),""))</f>
        <v/>
      </c>
      <c r="C626" t="str">
        <f>IF(A626="","",IFERROR(AVERAGEIFS(DATOS!$K$2:$K$20000,DATOS!$A$2:$A$20000,A626,DATOS!$G$2:$G$20000,CONFIG_METADATA!$B$4,DATOS!$I$2:$I$20000,"Coro"),""))</f>
        <v/>
      </c>
      <c r="D626" t="str">
        <f>IF(A626="","",IFERROR(AVERAGEIFS(DATOS!$K$2:$K$20000,DATOS!$A$2:$A$20000,A626,DATOS!$G$2:$G$20000,CONFIG_METADATA!$B$4,DATOS!$I$2:$I$20000,"Conjunto"),""))</f>
        <v/>
      </c>
      <c r="E626" t="str">
        <f>IF(A626="","",IFERROR(AVERAGEIFS(DATOS!$K$2:$K$20000,DATOS!$A$2:$A$20000,A626,DATOS!$G$2:$G$20000,CONFIG_METADATA!$B$4,DATOS!$I$2:$I$20000,"&lt;&gt;Lenguaje Musical",DATOS!$I$2:$I$20000,"&lt;&gt;Coro",DATOS!$I$2:$I$20000,"&lt;&gt;Conjunto"),""))</f>
        <v/>
      </c>
      <c r="H626" t="str">
        <f>IF(G626="","",IFERROR(AVERAGEIFS(DATOS!$K$2:$K$20000,DATOS!$A$2:$A$20000,G626,DATOS!$G$2:$G$20000,CONFIG_METADATA!$B$4,DATOS!$I$2:$I$20000,"Lenguaje Musical"),""))</f>
        <v/>
      </c>
      <c r="I626" t="str">
        <f>IF(G626="","",IFERROR(AVERAGEIFS(DATOS!$K$2:$K$20000,DATOS!$A$2:$A$20000,G626,DATOS!$G$2:$G$20000,CONFIG_METADATA!$B$4,DATOS!$I$2:$I$20000,"Coro"),""))</f>
        <v/>
      </c>
      <c r="J626" t="str">
        <f>IF(G626="","",IFERROR(AVERAGEIFS(DATOS!$K$2:$K$20000,DATOS!$A$2:$A$20000,G626,DATOS!$G$2:$G$20000,CONFIG_METADATA!$B$4,DATOS!$I$2:$I$20000,"Conjunto"),""))</f>
        <v/>
      </c>
      <c r="K626" t="str" cm="1">
        <f t="array" ref="K626">IF(G626="","",IFERROR(AVERAGE(IF((DATOS!$A$2:$A$20000=G626)*(DATOS!$G$2:$G$20000=CONFIG_METADATA!$B$4)*(DATOS!$I$2:$I$20000&lt;&gt;"Lenguaje Musical")*(DATOS!$I$2:$I$20000&lt;&gt;"Coro")*(DATOS!$I$2:$I$20000&lt;&gt;"Conjunto"),DATOS!$K$2:$K$20000)),""))</f>
        <v/>
      </c>
      <c r="N626" t="str">
        <f>IF(M626="","",IFERROR(AVERAGEIFS(DATOS!$K$2:$K$20000,DATOS!$A$2:$A$20000,M626,DATOS!$G$2:$G$20000,CONFIG_METADATA!$B$4,DATOS!$I$2:$I$20000,"Lenguaje Musical"),""))</f>
        <v/>
      </c>
      <c r="O626" t="str">
        <f>IF(M626="","",IFERROR(AVERAGEIFS(DATOS!$K$2:$K$20000,DATOS!$A$2:$A$20000,M626,DATOS!$G$2:$G$20000,CONFIG_METADATA!$B$4,DATOS!$I$2:$I$20000,"Coro"),""))</f>
        <v/>
      </c>
      <c r="P626" t="str">
        <f>IF(M626="","",IFERROR(AVERAGEIFS(DATOS!$K$2:$K$20000,DATOS!$A$2:$A$20000,M626,DATOS!$G$2:$G$20000,CONFIG_METADATA!$B$4,DATOS!$I$2:$I$20000,"Conjunto"),""))</f>
        <v/>
      </c>
      <c r="Q626" t="str">
        <f>IF(M626="","",IFERROR(AVERAGEIFS(DATOS!$K$2:$K$20000,DATOS!$A$2:$A$20000,M626,DATOS!$G$2:$G$20000,CONFIG_METADATA!$B$4,DATOS!$I$2:$I$20000,"&lt;&gt;Lenguaje Musical",DATOS!$I$2:$I$20000,"&lt;&gt;Coro",DATOS!$I$2:$I$20000,"&lt;&gt;Conjunto"),""))</f>
        <v/>
      </c>
      <c r="T626" t="str">
        <f>IF(S626="","",IFERROR(AVERAGEIFS(DATOS!$K$2:$K$20000,DATOS!$A$2:$A$20000,S626,DATOS!$G$2:$G$20000,CONFIG_METADATA!$B$4,DATOS!$I$2:$I$20000,"Lenguaje Musical"),""))</f>
        <v/>
      </c>
      <c r="U626" t="str">
        <f>IF(S626="","",IFERROR(AVERAGEIFS(DATOS!$K$2:$K$20000,DATOS!$A$2:$A$20000,S626,DATOS!$G$2:$G$20000,CONFIG_METADATA!$B$4,DATOS!$I$2:$I$20000,"Coro"),""))</f>
        <v/>
      </c>
      <c r="V626" t="str">
        <f>IF(S626="","",IFERROR(AVERAGEIFS(DATOS!$K$2:$K$20000,DATOS!$A$2:$A$20000,S626,DATOS!$G$2:$G$20000,CONFIG_METADATA!$B$4,DATOS!$I$2:$I$20000,"Conjunto"),""))</f>
        <v/>
      </c>
      <c r="W626" t="str" cm="1">
        <f t="array" ref="W626">IF(S626="","",IFERROR(AVERAGE(IF((DATOS!$A$2:$A$20000=S626)*(DATOS!$G$2:$G$20000=CONFIG_METADATA!$B$4)*(DATOS!$I$2:$I$20000&lt;&gt;"Lenguaje Musical")*(DATOS!$I$2:$I$20000&lt;&gt;"Coro")*(DATOS!$I$2:$I$20000&lt;&gt;"Conjunto"),DATOS!$K$2:$K$20000)),""))</f>
        <v/>
      </c>
    </row>
    <row r="627" spans="2:23" x14ac:dyDescent="0.2">
      <c r="B627" t="str">
        <f>IF(A627="","",IFERROR(AVERAGEIFS(DATOS!$K$2:$K$20000,DATOS!$A$2:$A$20000,A627,DATOS!$G$2:$G$20000,CONFIG_METADATA!$B$4,DATOS!$I$2:$I$20000,"Lenguaje Musical"),""))</f>
        <v/>
      </c>
      <c r="C627" t="str">
        <f>IF(A627="","",IFERROR(AVERAGEIFS(DATOS!$K$2:$K$20000,DATOS!$A$2:$A$20000,A627,DATOS!$G$2:$G$20000,CONFIG_METADATA!$B$4,DATOS!$I$2:$I$20000,"Coro"),""))</f>
        <v/>
      </c>
      <c r="D627" t="str">
        <f>IF(A627="","",IFERROR(AVERAGEIFS(DATOS!$K$2:$K$20000,DATOS!$A$2:$A$20000,A627,DATOS!$G$2:$G$20000,CONFIG_METADATA!$B$4,DATOS!$I$2:$I$20000,"Conjunto"),""))</f>
        <v/>
      </c>
      <c r="E627" t="str">
        <f>IF(A627="","",IFERROR(AVERAGEIFS(DATOS!$K$2:$K$20000,DATOS!$A$2:$A$20000,A627,DATOS!$G$2:$G$20000,CONFIG_METADATA!$B$4,DATOS!$I$2:$I$20000,"&lt;&gt;Lenguaje Musical",DATOS!$I$2:$I$20000,"&lt;&gt;Coro",DATOS!$I$2:$I$20000,"&lt;&gt;Conjunto"),""))</f>
        <v/>
      </c>
      <c r="H627" t="str">
        <f>IF(G627="","",IFERROR(AVERAGEIFS(DATOS!$K$2:$K$20000,DATOS!$A$2:$A$20000,G627,DATOS!$G$2:$G$20000,CONFIG_METADATA!$B$4,DATOS!$I$2:$I$20000,"Lenguaje Musical"),""))</f>
        <v/>
      </c>
      <c r="I627" t="str">
        <f>IF(G627="","",IFERROR(AVERAGEIFS(DATOS!$K$2:$K$20000,DATOS!$A$2:$A$20000,G627,DATOS!$G$2:$G$20000,CONFIG_METADATA!$B$4,DATOS!$I$2:$I$20000,"Coro"),""))</f>
        <v/>
      </c>
      <c r="J627" t="str">
        <f>IF(G627="","",IFERROR(AVERAGEIFS(DATOS!$K$2:$K$20000,DATOS!$A$2:$A$20000,G627,DATOS!$G$2:$G$20000,CONFIG_METADATA!$B$4,DATOS!$I$2:$I$20000,"Conjunto"),""))</f>
        <v/>
      </c>
      <c r="K627" t="str" cm="1">
        <f t="array" ref="K627">IF(G627="","",IFERROR(AVERAGE(IF((DATOS!$A$2:$A$20000=G627)*(DATOS!$G$2:$G$20000=CONFIG_METADATA!$B$4)*(DATOS!$I$2:$I$20000&lt;&gt;"Lenguaje Musical")*(DATOS!$I$2:$I$20000&lt;&gt;"Coro")*(DATOS!$I$2:$I$20000&lt;&gt;"Conjunto"),DATOS!$K$2:$K$20000)),""))</f>
        <v/>
      </c>
      <c r="N627" t="str">
        <f>IF(M627="","",IFERROR(AVERAGEIFS(DATOS!$K$2:$K$20000,DATOS!$A$2:$A$20000,M627,DATOS!$G$2:$G$20000,CONFIG_METADATA!$B$4,DATOS!$I$2:$I$20000,"Lenguaje Musical"),""))</f>
        <v/>
      </c>
      <c r="O627" t="str">
        <f>IF(M627="","",IFERROR(AVERAGEIFS(DATOS!$K$2:$K$20000,DATOS!$A$2:$A$20000,M627,DATOS!$G$2:$G$20000,CONFIG_METADATA!$B$4,DATOS!$I$2:$I$20000,"Coro"),""))</f>
        <v/>
      </c>
      <c r="P627" t="str">
        <f>IF(M627="","",IFERROR(AVERAGEIFS(DATOS!$K$2:$K$20000,DATOS!$A$2:$A$20000,M627,DATOS!$G$2:$G$20000,CONFIG_METADATA!$B$4,DATOS!$I$2:$I$20000,"Conjunto"),""))</f>
        <v/>
      </c>
      <c r="Q627" t="str">
        <f>IF(M627="","",IFERROR(AVERAGEIFS(DATOS!$K$2:$K$20000,DATOS!$A$2:$A$20000,M627,DATOS!$G$2:$G$20000,CONFIG_METADATA!$B$4,DATOS!$I$2:$I$20000,"&lt;&gt;Lenguaje Musical",DATOS!$I$2:$I$20000,"&lt;&gt;Coro",DATOS!$I$2:$I$20000,"&lt;&gt;Conjunto"),""))</f>
        <v/>
      </c>
      <c r="T627" t="str">
        <f>IF(S627="","",IFERROR(AVERAGEIFS(DATOS!$K$2:$K$20000,DATOS!$A$2:$A$20000,S627,DATOS!$G$2:$G$20000,CONFIG_METADATA!$B$4,DATOS!$I$2:$I$20000,"Lenguaje Musical"),""))</f>
        <v/>
      </c>
      <c r="U627" t="str">
        <f>IF(S627="","",IFERROR(AVERAGEIFS(DATOS!$K$2:$K$20000,DATOS!$A$2:$A$20000,S627,DATOS!$G$2:$G$20000,CONFIG_METADATA!$B$4,DATOS!$I$2:$I$20000,"Coro"),""))</f>
        <v/>
      </c>
      <c r="V627" t="str">
        <f>IF(S627="","",IFERROR(AVERAGEIFS(DATOS!$K$2:$K$20000,DATOS!$A$2:$A$20000,S627,DATOS!$G$2:$G$20000,CONFIG_METADATA!$B$4,DATOS!$I$2:$I$20000,"Conjunto"),""))</f>
        <v/>
      </c>
      <c r="W627" t="str" cm="1">
        <f t="array" ref="W627">IF(S627="","",IFERROR(AVERAGE(IF((DATOS!$A$2:$A$20000=S627)*(DATOS!$G$2:$G$20000=CONFIG_METADATA!$B$4)*(DATOS!$I$2:$I$20000&lt;&gt;"Lenguaje Musical")*(DATOS!$I$2:$I$20000&lt;&gt;"Coro")*(DATOS!$I$2:$I$20000&lt;&gt;"Conjunto"),DATOS!$K$2:$K$20000)),""))</f>
        <v/>
      </c>
    </row>
    <row r="628" spans="2:23" x14ac:dyDescent="0.2">
      <c r="B628" t="str">
        <f>IF(A628="","",IFERROR(AVERAGEIFS(DATOS!$K$2:$K$20000,DATOS!$A$2:$A$20000,A628,DATOS!$G$2:$G$20000,CONFIG_METADATA!$B$4,DATOS!$I$2:$I$20000,"Lenguaje Musical"),""))</f>
        <v/>
      </c>
      <c r="C628" t="str">
        <f>IF(A628="","",IFERROR(AVERAGEIFS(DATOS!$K$2:$K$20000,DATOS!$A$2:$A$20000,A628,DATOS!$G$2:$G$20000,CONFIG_METADATA!$B$4,DATOS!$I$2:$I$20000,"Coro"),""))</f>
        <v/>
      </c>
      <c r="D628" t="str">
        <f>IF(A628="","",IFERROR(AVERAGEIFS(DATOS!$K$2:$K$20000,DATOS!$A$2:$A$20000,A628,DATOS!$G$2:$G$20000,CONFIG_METADATA!$B$4,DATOS!$I$2:$I$20000,"Conjunto"),""))</f>
        <v/>
      </c>
      <c r="E628" t="str">
        <f>IF(A628="","",IFERROR(AVERAGEIFS(DATOS!$K$2:$K$20000,DATOS!$A$2:$A$20000,A628,DATOS!$G$2:$G$20000,CONFIG_METADATA!$B$4,DATOS!$I$2:$I$20000,"&lt;&gt;Lenguaje Musical",DATOS!$I$2:$I$20000,"&lt;&gt;Coro",DATOS!$I$2:$I$20000,"&lt;&gt;Conjunto"),""))</f>
        <v/>
      </c>
      <c r="H628" t="str">
        <f>IF(G628="","",IFERROR(AVERAGEIFS(DATOS!$K$2:$K$20000,DATOS!$A$2:$A$20000,G628,DATOS!$G$2:$G$20000,CONFIG_METADATA!$B$4,DATOS!$I$2:$I$20000,"Lenguaje Musical"),""))</f>
        <v/>
      </c>
      <c r="I628" t="str">
        <f>IF(G628="","",IFERROR(AVERAGEIFS(DATOS!$K$2:$K$20000,DATOS!$A$2:$A$20000,G628,DATOS!$G$2:$G$20000,CONFIG_METADATA!$B$4,DATOS!$I$2:$I$20000,"Coro"),""))</f>
        <v/>
      </c>
      <c r="J628" t="str">
        <f>IF(G628="","",IFERROR(AVERAGEIFS(DATOS!$K$2:$K$20000,DATOS!$A$2:$A$20000,G628,DATOS!$G$2:$G$20000,CONFIG_METADATA!$B$4,DATOS!$I$2:$I$20000,"Conjunto"),""))</f>
        <v/>
      </c>
      <c r="K628" t="str" cm="1">
        <f t="array" ref="K628">IF(G628="","",IFERROR(AVERAGE(IF((DATOS!$A$2:$A$20000=G628)*(DATOS!$G$2:$G$20000=CONFIG_METADATA!$B$4)*(DATOS!$I$2:$I$20000&lt;&gt;"Lenguaje Musical")*(DATOS!$I$2:$I$20000&lt;&gt;"Coro")*(DATOS!$I$2:$I$20000&lt;&gt;"Conjunto"),DATOS!$K$2:$K$20000)),""))</f>
        <v/>
      </c>
      <c r="N628" t="str">
        <f>IF(M628="","",IFERROR(AVERAGEIFS(DATOS!$K$2:$K$20000,DATOS!$A$2:$A$20000,M628,DATOS!$G$2:$G$20000,CONFIG_METADATA!$B$4,DATOS!$I$2:$I$20000,"Lenguaje Musical"),""))</f>
        <v/>
      </c>
      <c r="O628" t="str">
        <f>IF(M628="","",IFERROR(AVERAGEIFS(DATOS!$K$2:$K$20000,DATOS!$A$2:$A$20000,M628,DATOS!$G$2:$G$20000,CONFIG_METADATA!$B$4,DATOS!$I$2:$I$20000,"Coro"),""))</f>
        <v/>
      </c>
      <c r="P628" t="str">
        <f>IF(M628="","",IFERROR(AVERAGEIFS(DATOS!$K$2:$K$20000,DATOS!$A$2:$A$20000,M628,DATOS!$G$2:$G$20000,CONFIG_METADATA!$B$4,DATOS!$I$2:$I$20000,"Conjunto"),""))</f>
        <v/>
      </c>
      <c r="Q628" t="str">
        <f>IF(M628="","",IFERROR(AVERAGEIFS(DATOS!$K$2:$K$20000,DATOS!$A$2:$A$20000,M628,DATOS!$G$2:$G$20000,CONFIG_METADATA!$B$4,DATOS!$I$2:$I$20000,"&lt;&gt;Lenguaje Musical",DATOS!$I$2:$I$20000,"&lt;&gt;Coro",DATOS!$I$2:$I$20000,"&lt;&gt;Conjunto"),""))</f>
        <v/>
      </c>
      <c r="T628" t="str">
        <f>IF(S628="","",IFERROR(AVERAGEIFS(DATOS!$K$2:$K$20000,DATOS!$A$2:$A$20000,S628,DATOS!$G$2:$G$20000,CONFIG_METADATA!$B$4,DATOS!$I$2:$I$20000,"Lenguaje Musical"),""))</f>
        <v/>
      </c>
      <c r="U628" t="str">
        <f>IF(S628="","",IFERROR(AVERAGEIFS(DATOS!$K$2:$K$20000,DATOS!$A$2:$A$20000,S628,DATOS!$G$2:$G$20000,CONFIG_METADATA!$B$4,DATOS!$I$2:$I$20000,"Coro"),""))</f>
        <v/>
      </c>
      <c r="V628" t="str">
        <f>IF(S628="","",IFERROR(AVERAGEIFS(DATOS!$K$2:$K$20000,DATOS!$A$2:$A$20000,S628,DATOS!$G$2:$G$20000,CONFIG_METADATA!$B$4,DATOS!$I$2:$I$20000,"Conjunto"),""))</f>
        <v/>
      </c>
      <c r="W628" t="str" cm="1">
        <f t="array" ref="W628">IF(S628="","",IFERROR(AVERAGE(IF((DATOS!$A$2:$A$20000=S628)*(DATOS!$G$2:$G$20000=CONFIG_METADATA!$B$4)*(DATOS!$I$2:$I$20000&lt;&gt;"Lenguaje Musical")*(DATOS!$I$2:$I$20000&lt;&gt;"Coro")*(DATOS!$I$2:$I$20000&lt;&gt;"Conjunto"),DATOS!$K$2:$K$20000)),""))</f>
        <v/>
      </c>
    </row>
    <row r="629" spans="2:23" x14ac:dyDescent="0.2">
      <c r="B629" t="str">
        <f>IF(A629="","",IFERROR(AVERAGEIFS(DATOS!$K$2:$K$20000,DATOS!$A$2:$A$20000,A629,DATOS!$G$2:$G$20000,CONFIG_METADATA!$B$4,DATOS!$I$2:$I$20000,"Lenguaje Musical"),""))</f>
        <v/>
      </c>
      <c r="C629" t="str">
        <f>IF(A629="","",IFERROR(AVERAGEIFS(DATOS!$K$2:$K$20000,DATOS!$A$2:$A$20000,A629,DATOS!$G$2:$G$20000,CONFIG_METADATA!$B$4,DATOS!$I$2:$I$20000,"Coro"),""))</f>
        <v/>
      </c>
      <c r="D629" t="str">
        <f>IF(A629="","",IFERROR(AVERAGEIFS(DATOS!$K$2:$K$20000,DATOS!$A$2:$A$20000,A629,DATOS!$G$2:$G$20000,CONFIG_METADATA!$B$4,DATOS!$I$2:$I$20000,"Conjunto"),""))</f>
        <v/>
      </c>
      <c r="E629" t="str">
        <f>IF(A629="","",IFERROR(AVERAGEIFS(DATOS!$K$2:$K$20000,DATOS!$A$2:$A$20000,A629,DATOS!$G$2:$G$20000,CONFIG_METADATA!$B$4,DATOS!$I$2:$I$20000,"&lt;&gt;Lenguaje Musical",DATOS!$I$2:$I$20000,"&lt;&gt;Coro",DATOS!$I$2:$I$20000,"&lt;&gt;Conjunto"),""))</f>
        <v/>
      </c>
      <c r="H629" t="str">
        <f>IF(G629="","",IFERROR(AVERAGEIFS(DATOS!$K$2:$K$20000,DATOS!$A$2:$A$20000,G629,DATOS!$G$2:$G$20000,CONFIG_METADATA!$B$4,DATOS!$I$2:$I$20000,"Lenguaje Musical"),""))</f>
        <v/>
      </c>
      <c r="I629" t="str">
        <f>IF(G629="","",IFERROR(AVERAGEIFS(DATOS!$K$2:$K$20000,DATOS!$A$2:$A$20000,G629,DATOS!$G$2:$G$20000,CONFIG_METADATA!$B$4,DATOS!$I$2:$I$20000,"Coro"),""))</f>
        <v/>
      </c>
      <c r="J629" t="str">
        <f>IF(G629="","",IFERROR(AVERAGEIFS(DATOS!$K$2:$K$20000,DATOS!$A$2:$A$20000,G629,DATOS!$G$2:$G$20000,CONFIG_METADATA!$B$4,DATOS!$I$2:$I$20000,"Conjunto"),""))</f>
        <v/>
      </c>
      <c r="K629" t="str" cm="1">
        <f t="array" ref="K629">IF(G629="","",IFERROR(AVERAGE(IF((DATOS!$A$2:$A$20000=G629)*(DATOS!$G$2:$G$20000=CONFIG_METADATA!$B$4)*(DATOS!$I$2:$I$20000&lt;&gt;"Lenguaje Musical")*(DATOS!$I$2:$I$20000&lt;&gt;"Coro")*(DATOS!$I$2:$I$20000&lt;&gt;"Conjunto"),DATOS!$K$2:$K$20000)),""))</f>
        <v/>
      </c>
      <c r="N629" t="str">
        <f>IF(M629="","",IFERROR(AVERAGEIFS(DATOS!$K$2:$K$20000,DATOS!$A$2:$A$20000,M629,DATOS!$G$2:$G$20000,CONFIG_METADATA!$B$4,DATOS!$I$2:$I$20000,"Lenguaje Musical"),""))</f>
        <v/>
      </c>
      <c r="O629" t="str">
        <f>IF(M629="","",IFERROR(AVERAGEIFS(DATOS!$K$2:$K$20000,DATOS!$A$2:$A$20000,M629,DATOS!$G$2:$G$20000,CONFIG_METADATA!$B$4,DATOS!$I$2:$I$20000,"Coro"),""))</f>
        <v/>
      </c>
      <c r="P629" t="str">
        <f>IF(M629="","",IFERROR(AVERAGEIFS(DATOS!$K$2:$K$20000,DATOS!$A$2:$A$20000,M629,DATOS!$G$2:$G$20000,CONFIG_METADATA!$B$4,DATOS!$I$2:$I$20000,"Conjunto"),""))</f>
        <v/>
      </c>
      <c r="Q629" t="str">
        <f>IF(M629="","",IFERROR(AVERAGEIFS(DATOS!$K$2:$K$20000,DATOS!$A$2:$A$20000,M629,DATOS!$G$2:$G$20000,CONFIG_METADATA!$B$4,DATOS!$I$2:$I$20000,"&lt;&gt;Lenguaje Musical",DATOS!$I$2:$I$20000,"&lt;&gt;Coro",DATOS!$I$2:$I$20000,"&lt;&gt;Conjunto"),""))</f>
        <v/>
      </c>
      <c r="T629" t="str">
        <f>IF(S629="","",IFERROR(AVERAGEIFS(DATOS!$K$2:$K$20000,DATOS!$A$2:$A$20000,S629,DATOS!$G$2:$G$20000,CONFIG_METADATA!$B$4,DATOS!$I$2:$I$20000,"Lenguaje Musical"),""))</f>
        <v/>
      </c>
      <c r="U629" t="str">
        <f>IF(S629="","",IFERROR(AVERAGEIFS(DATOS!$K$2:$K$20000,DATOS!$A$2:$A$20000,S629,DATOS!$G$2:$G$20000,CONFIG_METADATA!$B$4,DATOS!$I$2:$I$20000,"Coro"),""))</f>
        <v/>
      </c>
      <c r="V629" t="str">
        <f>IF(S629="","",IFERROR(AVERAGEIFS(DATOS!$K$2:$K$20000,DATOS!$A$2:$A$20000,S629,DATOS!$G$2:$G$20000,CONFIG_METADATA!$B$4,DATOS!$I$2:$I$20000,"Conjunto"),""))</f>
        <v/>
      </c>
      <c r="W629" t="str" cm="1">
        <f t="array" ref="W629">IF(S629="","",IFERROR(AVERAGE(IF((DATOS!$A$2:$A$20000=S629)*(DATOS!$G$2:$G$20000=CONFIG_METADATA!$B$4)*(DATOS!$I$2:$I$20000&lt;&gt;"Lenguaje Musical")*(DATOS!$I$2:$I$20000&lt;&gt;"Coro")*(DATOS!$I$2:$I$20000&lt;&gt;"Conjunto"),DATOS!$K$2:$K$20000)),""))</f>
        <v/>
      </c>
    </row>
    <row r="630" spans="2:23" x14ac:dyDescent="0.2">
      <c r="B630" t="str">
        <f>IF(A630="","",IFERROR(AVERAGEIFS(DATOS!$K$2:$K$20000,DATOS!$A$2:$A$20000,A630,DATOS!$G$2:$G$20000,CONFIG_METADATA!$B$4,DATOS!$I$2:$I$20000,"Lenguaje Musical"),""))</f>
        <v/>
      </c>
      <c r="C630" t="str">
        <f>IF(A630="","",IFERROR(AVERAGEIFS(DATOS!$K$2:$K$20000,DATOS!$A$2:$A$20000,A630,DATOS!$G$2:$G$20000,CONFIG_METADATA!$B$4,DATOS!$I$2:$I$20000,"Coro"),""))</f>
        <v/>
      </c>
      <c r="D630" t="str">
        <f>IF(A630="","",IFERROR(AVERAGEIFS(DATOS!$K$2:$K$20000,DATOS!$A$2:$A$20000,A630,DATOS!$G$2:$G$20000,CONFIG_METADATA!$B$4,DATOS!$I$2:$I$20000,"Conjunto"),""))</f>
        <v/>
      </c>
      <c r="E630" t="str">
        <f>IF(A630="","",IFERROR(AVERAGEIFS(DATOS!$K$2:$K$20000,DATOS!$A$2:$A$20000,A630,DATOS!$G$2:$G$20000,CONFIG_METADATA!$B$4,DATOS!$I$2:$I$20000,"&lt;&gt;Lenguaje Musical",DATOS!$I$2:$I$20000,"&lt;&gt;Coro",DATOS!$I$2:$I$20000,"&lt;&gt;Conjunto"),""))</f>
        <v/>
      </c>
      <c r="H630" t="str">
        <f>IF(G630="","",IFERROR(AVERAGEIFS(DATOS!$K$2:$K$20000,DATOS!$A$2:$A$20000,G630,DATOS!$G$2:$G$20000,CONFIG_METADATA!$B$4,DATOS!$I$2:$I$20000,"Lenguaje Musical"),""))</f>
        <v/>
      </c>
      <c r="I630" t="str">
        <f>IF(G630="","",IFERROR(AVERAGEIFS(DATOS!$K$2:$K$20000,DATOS!$A$2:$A$20000,G630,DATOS!$G$2:$G$20000,CONFIG_METADATA!$B$4,DATOS!$I$2:$I$20000,"Coro"),""))</f>
        <v/>
      </c>
      <c r="J630" t="str">
        <f>IF(G630="","",IFERROR(AVERAGEIFS(DATOS!$K$2:$K$20000,DATOS!$A$2:$A$20000,G630,DATOS!$G$2:$G$20000,CONFIG_METADATA!$B$4,DATOS!$I$2:$I$20000,"Conjunto"),""))</f>
        <v/>
      </c>
      <c r="K630" t="str" cm="1">
        <f t="array" ref="K630">IF(G630="","",IFERROR(AVERAGE(IF((DATOS!$A$2:$A$20000=G630)*(DATOS!$G$2:$G$20000=CONFIG_METADATA!$B$4)*(DATOS!$I$2:$I$20000&lt;&gt;"Lenguaje Musical")*(DATOS!$I$2:$I$20000&lt;&gt;"Coro")*(DATOS!$I$2:$I$20000&lt;&gt;"Conjunto"),DATOS!$K$2:$K$20000)),""))</f>
        <v/>
      </c>
      <c r="N630" t="str">
        <f>IF(M630="","",IFERROR(AVERAGEIFS(DATOS!$K$2:$K$20000,DATOS!$A$2:$A$20000,M630,DATOS!$G$2:$G$20000,CONFIG_METADATA!$B$4,DATOS!$I$2:$I$20000,"Lenguaje Musical"),""))</f>
        <v/>
      </c>
      <c r="O630" t="str">
        <f>IF(M630="","",IFERROR(AVERAGEIFS(DATOS!$K$2:$K$20000,DATOS!$A$2:$A$20000,M630,DATOS!$G$2:$G$20000,CONFIG_METADATA!$B$4,DATOS!$I$2:$I$20000,"Coro"),""))</f>
        <v/>
      </c>
      <c r="P630" t="str">
        <f>IF(M630="","",IFERROR(AVERAGEIFS(DATOS!$K$2:$K$20000,DATOS!$A$2:$A$20000,M630,DATOS!$G$2:$G$20000,CONFIG_METADATA!$B$4,DATOS!$I$2:$I$20000,"Conjunto"),""))</f>
        <v/>
      </c>
      <c r="Q630" t="str">
        <f>IF(M630="","",IFERROR(AVERAGEIFS(DATOS!$K$2:$K$20000,DATOS!$A$2:$A$20000,M630,DATOS!$G$2:$G$20000,CONFIG_METADATA!$B$4,DATOS!$I$2:$I$20000,"&lt;&gt;Lenguaje Musical",DATOS!$I$2:$I$20000,"&lt;&gt;Coro",DATOS!$I$2:$I$20000,"&lt;&gt;Conjunto"),""))</f>
        <v/>
      </c>
      <c r="T630" t="str">
        <f>IF(S630="","",IFERROR(AVERAGEIFS(DATOS!$K$2:$K$20000,DATOS!$A$2:$A$20000,S630,DATOS!$G$2:$G$20000,CONFIG_METADATA!$B$4,DATOS!$I$2:$I$20000,"Lenguaje Musical"),""))</f>
        <v/>
      </c>
      <c r="U630" t="str">
        <f>IF(S630="","",IFERROR(AVERAGEIFS(DATOS!$K$2:$K$20000,DATOS!$A$2:$A$20000,S630,DATOS!$G$2:$G$20000,CONFIG_METADATA!$B$4,DATOS!$I$2:$I$20000,"Coro"),""))</f>
        <v/>
      </c>
      <c r="V630" t="str">
        <f>IF(S630="","",IFERROR(AVERAGEIFS(DATOS!$K$2:$K$20000,DATOS!$A$2:$A$20000,S630,DATOS!$G$2:$G$20000,CONFIG_METADATA!$B$4,DATOS!$I$2:$I$20000,"Conjunto"),""))</f>
        <v/>
      </c>
      <c r="W630" t="str" cm="1">
        <f t="array" ref="W630">IF(S630="","",IFERROR(AVERAGE(IF((DATOS!$A$2:$A$20000=S630)*(DATOS!$G$2:$G$20000=CONFIG_METADATA!$B$4)*(DATOS!$I$2:$I$20000&lt;&gt;"Lenguaje Musical")*(DATOS!$I$2:$I$20000&lt;&gt;"Coro")*(DATOS!$I$2:$I$20000&lt;&gt;"Conjunto"),DATOS!$K$2:$K$20000)),""))</f>
        <v/>
      </c>
    </row>
    <row r="631" spans="2:23" x14ac:dyDescent="0.2">
      <c r="B631" t="str">
        <f>IF(A631="","",IFERROR(AVERAGEIFS(DATOS!$K$2:$K$20000,DATOS!$A$2:$A$20000,A631,DATOS!$G$2:$G$20000,CONFIG_METADATA!$B$4,DATOS!$I$2:$I$20000,"Lenguaje Musical"),""))</f>
        <v/>
      </c>
      <c r="C631" t="str">
        <f>IF(A631="","",IFERROR(AVERAGEIFS(DATOS!$K$2:$K$20000,DATOS!$A$2:$A$20000,A631,DATOS!$G$2:$G$20000,CONFIG_METADATA!$B$4,DATOS!$I$2:$I$20000,"Coro"),""))</f>
        <v/>
      </c>
      <c r="D631" t="str">
        <f>IF(A631="","",IFERROR(AVERAGEIFS(DATOS!$K$2:$K$20000,DATOS!$A$2:$A$20000,A631,DATOS!$G$2:$G$20000,CONFIG_METADATA!$B$4,DATOS!$I$2:$I$20000,"Conjunto"),""))</f>
        <v/>
      </c>
      <c r="E631" t="str">
        <f>IF(A631="","",IFERROR(AVERAGEIFS(DATOS!$K$2:$K$20000,DATOS!$A$2:$A$20000,A631,DATOS!$G$2:$G$20000,CONFIG_METADATA!$B$4,DATOS!$I$2:$I$20000,"&lt;&gt;Lenguaje Musical",DATOS!$I$2:$I$20000,"&lt;&gt;Coro",DATOS!$I$2:$I$20000,"&lt;&gt;Conjunto"),""))</f>
        <v/>
      </c>
      <c r="H631" t="str">
        <f>IF(G631="","",IFERROR(AVERAGEIFS(DATOS!$K$2:$K$20000,DATOS!$A$2:$A$20000,G631,DATOS!$G$2:$G$20000,CONFIG_METADATA!$B$4,DATOS!$I$2:$I$20000,"Lenguaje Musical"),""))</f>
        <v/>
      </c>
      <c r="I631" t="str">
        <f>IF(G631="","",IFERROR(AVERAGEIFS(DATOS!$K$2:$K$20000,DATOS!$A$2:$A$20000,G631,DATOS!$G$2:$G$20000,CONFIG_METADATA!$B$4,DATOS!$I$2:$I$20000,"Coro"),""))</f>
        <v/>
      </c>
      <c r="J631" t="str">
        <f>IF(G631="","",IFERROR(AVERAGEIFS(DATOS!$K$2:$K$20000,DATOS!$A$2:$A$20000,G631,DATOS!$G$2:$G$20000,CONFIG_METADATA!$B$4,DATOS!$I$2:$I$20000,"Conjunto"),""))</f>
        <v/>
      </c>
      <c r="K631" t="str" cm="1">
        <f t="array" ref="K631">IF(G631="","",IFERROR(AVERAGE(IF((DATOS!$A$2:$A$20000=G631)*(DATOS!$G$2:$G$20000=CONFIG_METADATA!$B$4)*(DATOS!$I$2:$I$20000&lt;&gt;"Lenguaje Musical")*(DATOS!$I$2:$I$20000&lt;&gt;"Coro")*(DATOS!$I$2:$I$20000&lt;&gt;"Conjunto"),DATOS!$K$2:$K$20000)),""))</f>
        <v/>
      </c>
      <c r="N631" t="str">
        <f>IF(M631="","",IFERROR(AVERAGEIFS(DATOS!$K$2:$K$20000,DATOS!$A$2:$A$20000,M631,DATOS!$G$2:$G$20000,CONFIG_METADATA!$B$4,DATOS!$I$2:$I$20000,"Lenguaje Musical"),""))</f>
        <v/>
      </c>
      <c r="O631" t="str">
        <f>IF(M631="","",IFERROR(AVERAGEIFS(DATOS!$K$2:$K$20000,DATOS!$A$2:$A$20000,M631,DATOS!$G$2:$G$20000,CONFIG_METADATA!$B$4,DATOS!$I$2:$I$20000,"Coro"),""))</f>
        <v/>
      </c>
      <c r="P631" t="str">
        <f>IF(M631="","",IFERROR(AVERAGEIFS(DATOS!$K$2:$K$20000,DATOS!$A$2:$A$20000,M631,DATOS!$G$2:$G$20000,CONFIG_METADATA!$B$4,DATOS!$I$2:$I$20000,"Conjunto"),""))</f>
        <v/>
      </c>
      <c r="Q631" t="str">
        <f>IF(M631="","",IFERROR(AVERAGEIFS(DATOS!$K$2:$K$20000,DATOS!$A$2:$A$20000,M631,DATOS!$G$2:$G$20000,CONFIG_METADATA!$B$4,DATOS!$I$2:$I$20000,"&lt;&gt;Lenguaje Musical",DATOS!$I$2:$I$20000,"&lt;&gt;Coro",DATOS!$I$2:$I$20000,"&lt;&gt;Conjunto"),""))</f>
        <v/>
      </c>
      <c r="T631" t="str">
        <f>IF(S631="","",IFERROR(AVERAGEIFS(DATOS!$K$2:$K$20000,DATOS!$A$2:$A$20000,S631,DATOS!$G$2:$G$20000,CONFIG_METADATA!$B$4,DATOS!$I$2:$I$20000,"Lenguaje Musical"),""))</f>
        <v/>
      </c>
      <c r="U631" t="str">
        <f>IF(S631="","",IFERROR(AVERAGEIFS(DATOS!$K$2:$K$20000,DATOS!$A$2:$A$20000,S631,DATOS!$G$2:$G$20000,CONFIG_METADATA!$B$4,DATOS!$I$2:$I$20000,"Coro"),""))</f>
        <v/>
      </c>
      <c r="V631" t="str">
        <f>IF(S631="","",IFERROR(AVERAGEIFS(DATOS!$K$2:$K$20000,DATOS!$A$2:$A$20000,S631,DATOS!$G$2:$G$20000,CONFIG_METADATA!$B$4,DATOS!$I$2:$I$20000,"Conjunto"),""))</f>
        <v/>
      </c>
      <c r="W631" t="str" cm="1">
        <f t="array" ref="W631">IF(S631="","",IFERROR(AVERAGE(IF((DATOS!$A$2:$A$20000=S631)*(DATOS!$G$2:$G$20000=CONFIG_METADATA!$B$4)*(DATOS!$I$2:$I$20000&lt;&gt;"Lenguaje Musical")*(DATOS!$I$2:$I$20000&lt;&gt;"Coro")*(DATOS!$I$2:$I$20000&lt;&gt;"Conjunto"),DATOS!$K$2:$K$20000)),""))</f>
        <v/>
      </c>
    </row>
    <row r="632" spans="2:23" x14ac:dyDescent="0.2">
      <c r="B632" t="str">
        <f>IF(A632="","",IFERROR(AVERAGEIFS(DATOS!$K$2:$K$20000,DATOS!$A$2:$A$20000,A632,DATOS!$G$2:$G$20000,CONFIG_METADATA!$B$4,DATOS!$I$2:$I$20000,"Lenguaje Musical"),""))</f>
        <v/>
      </c>
      <c r="C632" t="str">
        <f>IF(A632="","",IFERROR(AVERAGEIFS(DATOS!$K$2:$K$20000,DATOS!$A$2:$A$20000,A632,DATOS!$G$2:$G$20000,CONFIG_METADATA!$B$4,DATOS!$I$2:$I$20000,"Coro"),""))</f>
        <v/>
      </c>
      <c r="D632" t="str">
        <f>IF(A632="","",IFERROR(AVERAGEIFS(DATOS!$K$2:$K$20000,DATOS!$A$2:$A$20000,A632,DATOS!$G$2:$G$20000,CONFIG_METADATA!$B$4,DATOS!$I$2:$I$20000,"Conjunto"),""))</f>
        <v/>
      </c>
      <c r="E632" t="str">
        <f>IF(A632="","",IFERROR(AVERAGEIFS(DATOS!$K$2:$K$20000,DATOS!$A$2:$A$20000,A632,DATOS!$G$2:$G$20000,CONFIG_METADATA!$B$4,DATOS!$I$2:$I$20000,"&lt;&gt;Lenguaje Musical",DATOS!$I$2:$I$20000,"&lt;&gt;Coro",DATOS!$I$2:$I$20000,"&lt;&gt;Conjunto"),""))</f>
        <v/>
      </c>
      <c r="H632" t="str">
        <f>IF(G632="","",IFERROR(AVERAGEIFS(DATOS!$K$2:$K$20000,DATOS!$A$2:$A$20000,G632,DATOS!$G$2:$G$20000,CONFIG_METADATA!$B$4,DATOS!$I$2:$I$20000,"Lenguaje Musical"),""))</f>
        <v/>
      </c>
      <c r="I632" t="str">
        <f>IF(G632="","",IFERROR(AVERAGEIFS(DATOS!$K$2:$K$20000,DATOS!$A$2:$A$20000,G632,DATOS!$G$2:$G$20000,CONFIG_METADATA!$B$4,DATOS!$I$2:$I$20000,"Coro"),""))</f>
        <v/>
      </c>
      <c r="J632" t="str">
        <f>IF(G632="","",IFERROR(AVERAGEIFS(DATOS!$K$2:$K$20000,DATOS!$A$2:$A$20000,G632,DATOS!$G$2:$G$20000,CONFIG_METADATA!$B$4,DATOS!$I$2:$I$20000,"Conjunto"),""))</f>
        <v/>
      </c>
      <c r="K632" t="str" cm="1">
        <f t="array" ref="K632">IF(G632="","",IFERROR(AVERAGE(IF((DATOS!$A$2:$A$20000=G632)*(DATOS!$G$2:$G$20000=CONFIG_METADATA!$B$4)*(DATOS!$I$2:$I$20000&lt;&gt;"Lenguaje Musical")*(DATOS!$I$2:$I$20000&lt;&gt;"Coro")*(DATOS!$I$2:$I$20000&lt;&gt;"Conjunto"),DATOS!$K$2:$K$20000)),""))</f>
        <v/>
      </c>
      <c r="N632" t="str">
        <f>IF(M632="","",IFERROR(AVERAGEIFS(DATOS!$K$2:$K$20000,DATOS!$A$2:$A$20000,M632,DATOS!$G$2:$G$20000,CONFIG_METADATA!$B$4,DATOS!$I$2:$I$20000,"Lenguaje Musical"),""))</f>
        <v/>
      </c>
      <c r="O632" t="str">
        <f>IF(M632="","",IFERROR(AVERAGEIFS(DATOS!$K$2:$K$20000,DATOS!$A$2:$A$20000,M632,DATOS!$G$2:$G$20000,CONFIG_METADATA!$B$4,DATOS!$I$2:$I$20000,"Coro"),""))</f>
        <v/>
      </c>
      <c r="P632" t="str">
        <f>IF(M632="","",IFERROR(AVERAGEIFS(DATOS!$K$2:$K$20000,DATOS!$A$2:$A$20000,M632,DATOS!$G$2:$G$20000,CONFIG_METADATA!$B$4,DATOS!$I$2:$I$20000,"Conjunto"),""))</f>
        <v/>
      </c>
      <c r="Q632" t="str">
        <f>IF(M632="","",IFERROR(AVERAGEIFS(DATOS!$K$2:$K$20000,DATOS!$A$2:$A$20000,M632,DATOS!$G$2:$G$20000,CONFIG_METADATA!$B$4,DATOS!$I$2:$I$20000,"&lt;&gt;Lenguaje Musical",DATOS!$I$2:$I$20000,"&lt;&gt;Coro",DATOS!$I$2:$I$20000,"&lt;&gt;Conjunto"),""))</f>
        <v/>
      </c>
      <c r="T632" t="str">
        <f>IF(S632="","",IFERROR(AVERAGEIFS(DATOS!$K$2:$K$20000,DATOS!$A$2:$A$20000,S632,DATOS!$G$2:$G$20000,CONFIG_METADATA!$B$4,DATOS!$I$2:$I$20000,"Lenguaje Musical"),""))</f>
        <v/>
      </c>
      <c r="U632" t="str">
        <f>IF(S632="","",IFERROR(AVERAGEIFS(DATOS!$K$2:$K$20000,DATOS!$A$2:$A$20000,S632,DATOS!$G$2:$G$20000,CONFIG_METADATA!$B$4,DATOS!$I$2:$I$20000,"Coro"),""))</f>
        <v/>
      </c>
      <c r="V632" t="str">
        <f>IF(S632="","",IFERROR(AVERAGEIFS(DATOS!$K$2:$K$20000,DATOS!$A$2:$A$20000,S632,DATOS!$G$2:$G$20000,CONFIG_METADATA!$B$4,DATOS!$I$2:$I$20000,"Conjunto"),""))</f>
        <v/>
      </c>
      <c r="W632" t="str" cm="1">
        <f t="array" ref="W632">IF(S632="","",IFERROR(AVERAGE(IF((DATOS!$A$2:$A$20000=S632)*(DATOS!$G$2:$G$20000=CONFIG_METADATA!$B$4)*(DATOS!$I$2:$I$20000&lt;&gt;"Lenguaje Musical")*(DATOS!$I$2:$I$20000&lt;&gt;"Coro")*(DATOS!$I$2:$I$20000&lt;&gt;"Conjunto"),DATOS!$K$2:$K$20000)),""))</f>
        <v/>
      </c>
    </row>
    <row r="633" spans="2:23" x14ac:dyDescent="0.2">
      <c r="B633" t="str">
        <f>IF(A633="","",IFERROR(AVERAGEIFS(DATOS!$K$2:$K$20000,DATOS!$A$2:$A$20000,A633,DATOS!$G$2:$G$20000,CONFIG_METADATA!$B$4,DATOS!$I$2:$I$20000,"Lenguaje Musical"),""))</f>
        <v/>
      </c>
      <c r="C633" t="str">
        <f>IF(A633="","",IFERROR(AVERAGEIFS(DATOS!$K$2:$K$20000,DATOS!$A$2:$A$20000,A633,DATOS!$G$2:$G$20000,CONFIG_METADATA!$B$4,DATOS!$I$2:$I$20000,"Coro"),""))</f>
        <v/>
      </c>
      <c r="D633" t="str">
        <f>IF(A633="","",IFERROR(AVERAGEIFS(DATOS!$K$2:$K$20000,DATOS!$A$2:$A$20000,A633,DATOS!$G$2:$G$20000,CONFIG_METADATA!$B$4,DATOS!$I$2:$I$20000,"Conjunto"),""))</f>
        <v/>
      </c>
      <c r="E633" t="str">
        <f>IF(A633="","",IFERROR(AVERAGEIFS(DATOS!$K$2:$K$20000,DATOS!$A$2:$A$20000,A633,DATOS!$G$2:$G$20000,CONFIG_METADATA!$B$4,DATOS!$I$2:$I$20000,"&lt;&gt;Lenguaje Musical",DATOS!$I$2:$I$20000,"&lt;&gt;Coro",DATOS!$I$2:$I$20000,"&lt;&gt;Conjunto"),""))</f>
        <v/>
      </c>
      <c r="H633" t="str">
        <f>IF(G633="","",IFERROR(AVERAGEIFS(DATOS!$K$2:$K$20000,DATOS!$A$2:$A$20000,G633,DATOS!$G$2:$G$20000,CONFIG_METADATA!$B$4,DATOS!$I$2:$I$20000,"Lenguaje Musical"),""))</f>
        <v/>
      </c>
      <c r="I633" t="str">
        <f>IF(G633="","",IFERROR(AVERAGEIFS(DATOS!$K$2:$K$20000,DATOS!$A$2:$A$20000,G633,DATOS!$G$2:$G$20000,CONFIG_METADATA!$B$4,DATOS!$I$2:$I$20000,"Coro"),""))</f>
        <v/>
      </c>
      <c r="J633" t="str">
        <f>IF(G633="","",IFERROR(AVERAGEIFS(DATOS!$K$2:$K$20000,DATOS!$A$2:$A$20000,G633,DATOS!$G$2:$G$20000,CONFIG_METADATA!$B$4,DATOS!$I$2:$I$20000,"Conjunto"),""))</f>
        <v/>
      </c>
      <c r="K633" t="str" cm="1">
        <f t="array" ref="K633">IF(G633="","",IFERROR(AVERAGE(IF((DATOS!$A$2:$A$20000=G633)*(DATOS!$G$2:$G$20000=CONFIG_METADATA!$B$4)*(DATOS!$I$2:$I$20000&lt;&gt;"Lenguaje Musical")*(DATOS!$I$2:$I$20000&lt;&gt;"Coro")*(DATOS!$I$2:$I$20000&lt;&gt;"Conjunto"),DATOS!$K$2:$K$20000)),""))</f>
        <v/>
      </c>
      <c r="N633" t="str">
        <f>IF(M633="","",IFERROR(AVERAGEIFS(DATOS!$K$2:$K$20000,DATOS!$A$2:$A$20000,M633,DATOS!$G$2:$G$20000,CONFIG_METADATA!$B$4,DATOS!$I$2:$I$20000,"Lenguaje Musical"),""))</f>
        <v/>
      </c>
      <c r="O633" t="str">
        <f>IF(M633="","",IFERROR(AVERAGEIFS(DATOS!$K$2:$K$20000,DATOS!$A$2:$A$20000,M633,DATOS!$G$2:$G$20000,CONFIG_METADATA!$B$4,DATOS!$I$2:$I$20000,"Coro"),""))</f>
        <v/>
      </c>
      <c r="P633" t="str">
        <f>IF(M633="","",IFERROR(AVERAGEIFS(DATOS!$K$2:$K$20000,DATOS!$A$2:$A$20000,M633,DATOS!$G$2:$G$20000,CONFIG_METADATA!$B$4,DATOS!$I$2:$I$20000,"Conjunto"),""))</f>
        <v/>
      </c>
      <c r="Q633" t="str">
        <f>IF(M633="","",IFERROR(AVERAGEIFS(DATOS!$K$2:$K$20000,DATOS!$A$2:$A$20000,M633,DATOS!$G$2:$G$20000,CONFIG_METADATA!$B$4,DATOS!$I$2:$I$20000,"&lt;&gt;Lenguaje Musical",DATOS!$I$2:$I$20000,"&lt;&gt;Coro",DATOS!$I$2:$I$20000,"&lt;&gt;Conjunto"),""))</f>
        <v/>
      </c>
      <c r="T633" t="str">
        <f>IF(S633="","",IFERROR(AVERAGEIFS(DATOS!$K$2:$K$20000,DATOS!$A$2:$A$20000,S633,DATOS!$G$2:$G$20000,CONFIG_METADATA!$B$4,DATOS!$I$2:$I$20000,"Lenguaje Musical"),""))</f>
        <v/>
      </c>
      <c r="U633" t="str">
        <f>IF(S633="","",IFERROR(AVERAGEIFS(DATOS!$K$2:$K$20000,DATOS!$A$2:$A$20000,S633,DATOS!$G$2:$G$20000,CONFIG_METADATA!$B$4,DATOS!$I$2:$I$20000,"Coro"),""))</f>
        <v/>
      </c>
      <c r="V633" t="str">
        <f>IF(S633="","",IFERROR(AVERAGEIFS(DATOS!$K$2:$K$20000,DATOS!$A$2:$A$20000,S633,DATOS!$G$2:$G$20000,CONFIG_METADATA!$B$4,DATOS!$I$2:$I$20000,"Conjunto"),""))</f>
        <v/>
      </c>
      <c r="W633" t="str" cm="1">
        <f t="array" ref="W633">IF(S633="","",IFERROR(AVERAGE(IF((DATOS!$A$2:$A$20000=S633)*(DATOS!$G$2:$G$20000=CONFIG_METADATA!$B$4)*(DATOS!$I$2:$I$20000&lt;&gt;"Lenguaje Musical")*(DATOS!$I$2:$I$20000&lt;&gt;"Coro")*(DATOS!$I$2:$I$20000&lt;&gt;"Conjunto"),DATOS!$K$2:$K$20000)),""))</f>
        <v/>
      </c>
    </row>
    <row r="634" spans="2:23" x14ac:dyDescent="0.2">
      <c r="B634" t="str">
        <f>IF(A634="","",IFERROR(AVERAGEIFS(DATOS!$K$2:$K$20000,DATOS!$A$2:$A$20000,A634,DATOS!$G$2:$G$20000,CONFIG_METADATA!$B$4,DATOS!$I$2:$I$20000,"Lenguaje Musical"),""))</f>
        <v/>
      </c>
      <c r="C634" t="str">
        <f>IF(A634="","",IFERROR(AVERAGEIFS(DATOS!$K$2:$K$20000,DATOS!$A$2:$A$20000,A634,DATOS!$G$2:$G$20000,CONFIG_METADATA!$B$4,DATOS!$I$2:$I$20000,"Coro"),""))</f>
        <v/>
      </c>
      <c r="D634" t="str">
        <f>IF(A634="","",IFERROR(AVERAGEIFS(DATOS!$K$2:$K$20000,DATOS!$A$2:$A$20000,A634,DATOS!$G$2:$G$20000,CONFIG_METADATA!$B$4,DATOS!$I$2:$I$20000,"Conjunto"),""))</f>
        <v/>
      </c>
      <c r="E634" t="str">
        <f>IF(A634="","",IFERROR(AVERAGEIFS(DATOS!$K$2:$K$20000,DATOS!$A$2:$A$20000,A634,DATOS!$G$2:$G$20000,CONFIG_METADATA!$B$4,DATOS!$I$2:$I$20000,"&lt;&gt;Lenguaje Musical",DATOS!$I$2:$I$20000,"&lt;&gt;Coro",DATOS!$I$2:$I$20000,"&lt;&gt;Conjunto"),""))</f>
        <v/>
      </c>
      <c r="H634" t="str">
        <f>IF(G634="","",IFERROR(AVERAGEIFS(DATOS!$K$2:$K$20000,DATOS!$A$2:$A$20000,G634,DATOS!$G$2:$G$20000,CONFIG_METADATA!$B$4,DATOS!$I$2:$I$20000,"Lenguaje Musical"),""))</f>
        <v/>
      </c>
      <c r="I634" t="str">
        <f>IF(G634="","",IFERROR(AVERAGEIFS(DATOS!$K$2:$K$20000,DATOS!$A$2:$A$20000,G634,DATOS!$G$2:$G$20000,CONFIG_METADATA!$B$4,DATOS!$I$2:$I$20000,"Coro"),""))</f>
        <v/>
      </c>
      <c r="J634" t="str">
        <f>IF(G634="","",IFERROR(AVERAGEIFS(DATOS!$K$2:$K$20000,DATOS!$A$2:$A$20000,G634,DATOS!$G$2:$G$20000,CONFIG_METADATA!$B$4,DATOS!$I$2:$I$20000,"Conjunto"),""))</f>
        <v/>
      </c>
      <c r="K634" t="str" cm="1">
        <f t="array" ref="K634">IF(G634="","",IFERROR(AVERAGE(IF((DATOS!$A$2:$A$20000=G634)*(DATOS!$G$2:$G$20000=CONFIG_METADATA!$B$4)*(DATOS!$I$2:$I$20000&lt;&gt;"Lenguaje Musical")*(DATOS!$I$2:$I$20000&lt;&gt;"Coro")*(DATOS!$I$2:$I$20000&lt;&gt;"Conjunto"),DATOS!$K$2:$K$20000)),""))</f>
        <v/>
      </c>
      <c r="N634" t="str">
        <f>IF(M634="","",IFERROR(AVERAGEIFS(DATOS!$K$2:$K$20000,DATOS!$A$2:$A$20000,M634,DATOS!$G$2:$G$20000,CONFIG_METADATA!$B$4,DATOS!$I$2:$I$20000,"Lenguaje Musical"),""))</f>
        <v/>
      </c>
      <c r="O634" t="str">
        <f>IF(M634="","",IFERROR(AVERAGEIFS(DATOS!$K$2:$K$20000,DATOS!$A$2:$A$20000,M634,DATOS!$G$2:$G$20000,CONFIG_METADATA!$B$4,DATOS!$I$2:$I$20000,"Coro"),""))</f>
        <v/>
      </c>
      <c r="P634" t="str">
        <f>IF(M634="","",IFERROR(AVERAGEIFS(DATOS!$K$2:$K$20000,DATOS!$A$2:$A$20000,M634,DATOS!$G$2:$G$20000,CONFIG_METADATA!$B$4,DATOS!$I$2:$I$20000,"Conjunto"),""))</f>
        <v/>
      </c>
      <c r="Q634" t="str">
        <f>IF(M634="","",IFERROR(AVERAGEIFS(DATOS!$K$2:$K$20000,DATOS!$A$2:$A$20000,M634,DATOS!$G$2:$G$20000,CONFIG_METADATA!$B$4,DATOS!$I$2:$I$20000,"&lt;&gt;Lenguaje Musical",DATOS!$I$2:$I$20000,"&lt;&gt;Coro",DATOS!$I$2:$I$20000,"&lt;&gt;Conjunto"),""))</f>
        <v/>
      </c>
      <c r="T634" t="str">
        <f>IF(S634="","",IFERROR(AVERAGEIFS(DATOS!$K$2:$K$20000,DATOS!$A$2:$A$20000,S634,DATOS!$G$2:$G$20000,CONFIG_METADATA!$B$4,DATOS!$I$2:$I$20000,"Lenguaje Musical"),""))</f>
        <v/>
      </c>
      <c r="U634" t="str">
        <f>IF(S634="","",IFERROR(AVERAGEIFS(DATOS!$K$2:$K$20000,DATOS!$A$2:$A$20000,S634,DATOS!$G$2:$G$20000,CONFIG_METADATA!$B$4,DATOS!$I$2:$I$20000,"Coro"),""))</f>
        <v/>
      </c>
      <c r="V634" t="str">
        <f>IF(S634="","",IFERROR(AVERAGEIFS(DATOS!$K$2:$K$20000,DATOS!$A$2:$A$20000,S634,DATOS!$G$2:$G$20000,CONFIG_METADATA!$B$4,DATOS!$I$2:$I$20000,"Conjunto"),""))</f>
        <v/>
      </c>
      <c r="W634" t="str" cm="1">
        <f t="array" ref="W634">IF(S634="","",IFERROR(AVERAGE(IF((DATOS!$A$2:$A$20000=S634)*(DATOS!$G$2:$G$20000=CONFIG_METADATA!$B$4)*(DATOS!$I$2:$I$20000&lt;&gt;"Lenguaje Musical")*(DATOS!$I$2:$I$20000&lt;&gt;"Coro")*(DATOS!$I$2:$I$20000&lt;&gt;"Conjunto"),DATOS!$K$2:$K$20000)),""))</f>
        <v/>
      </c>
    </row>
    <row r="635" spans="2:23" x14ac:dyDescent="0.2">
      <c r="B635" t="str">
        <f>IF(A635="","",IFERROR(AVERAGEIFS(DATOS!$K$2:$K$20000,DATOS!$A$2:$A$20000,A635,DATOS!$G$2:$G$20000,CONFIG_METADATA!$B$4,DATOS!$I$2:$I$20000,"Lenguaje Musical"),""))</f>
        <v/>
      </c>
      <c r="C635" t="str">
        <f>IF(A635="","",IFERROR(AVERAGEIFS(DATOS!$K$2:$K$20000,DATOS!$A$2:$A$20000,A635,DATOS!$G$2:$G$20000,CONFIG_METADATA!$B$4,DATOS!$I$2:$I$20000,"Coro"),""))</f>
        <v/>
      </c>
      <c r="D635" t="str">
        <f>IF(A635="","",IFERROR(AVERAGEIFS(DATOS!$K$2:$K$20000,DATOS!$A$2:$A$20000,A635,DATOS!$G$2:$G$20000,CONFIG_METADATA!$B$4,DATOS!$I$2:$I$20000,"Conjunto"),""))</f>
        <v/>
      </c>
      <c r="E635" t="str">
        <f>IF(A635="","",IFERROR(AVERAGEIFS(DATOS!$K$2:$K$20000,DATOS!$A$2:$A$20000,A635,DATOS!$G$2:$G$20000,CONFIG_METADATA!$B$4,DATOS!$I$2:$I$20000,"&lt;&gt;Lenguaje Musical",DATOS!$I$2:$I$20000,"&lt;&gt;Coro",DATOS!$I$2:$I$20000,"&lt;&gt;Conjunto"),""))</f>
        <v/>
      </c>
      <c r="H635" t="str">
        <f>IF(G635="","",IFERROR(AVERAGEIFS(DATOS!$K$2:$K$20000,DATOS!$A$2:$A$20000,G635,DATOS!$G$2:$G$20000,CONFIG_METADATA!$B$4,DATOS!$I$2:$I$20000,"Lenguaje Musical"),""))</f>
        <v/>
      </c>
      <c r="I635" t="str">
        <f>IF(G635="","",IFERROR(AVERAGEIFS(DATOS!$K$2:$K$20000,DATOS!$A$2:$A$20000,G635,DATOS!$G$2:$G$20000,CONFIG_METADATA!$B$4,DATOS!$I$2:$I$20000,"Coro"),""))</f>
        <v/>
      </c>
      <c r="J635" t="str">
        <f>IF(G635="","",IFERROR(AVERAGEIFS(DATOS!$K$2:$K$20000,DATOS!$A$2:$A$20000,G635,DATOS!$G$2:$G$20000,CONFIG_METADATA!$B$4,DATOS!$I$2:$I$20000,"Conjunto"),""))</f>
        <v/>
      </c>
      <c r="K635" t="str" cm="1">
        <f t="array" ref="K635">IF(G635="","",IFERROR(AVERAGE(IF((DATOS!$A$2:$A$20000=G635)*(DATOS!$G$2:$G$20000=CONFIG_METADATA!$B$4)*(DATOS!$I$2:$I$20000&lt;&gt;"Lenguaje Musical")*(DATOS!$I$2:$I$20000&lt;&gt;"Coro")*(DATOS!$I$2:$I$20000&lt;&gt;"Conjunto"),DATOS!$K$2:$K$20000)),""))</f>
        <v/>
      </c>
      <c r="N635" t="str">
        <f>IF(M635="","",IFERROR(AVERAGEIFS(DATOS!$K$2:$K$20000,DATOS!$A$2:$A$20000,M635,DATOS!$G$2:$G$20000,CONFIG_METADATA!$B$4,DATOS!$I$2:$I$20000,"Lenguaje Musical"),""))</f>
        <v/>
      </c>
      <c r="O635" t="str">
        <f>IF(M635="","",IFERROR(AVERAGEIFS(DATOS!$K$2:$K$20000,DATOS!$A$2:$A$20000,M635,DATOS!$G$2:$G$20000,CONFIG_METADATA!$B$4,DATOS!$I$2:$I$20000,"Coro"),""))</f>
        <v/>
      </c>
      <c r="P635" t="str">
        <f>IF(M635="","",IFERROR(AVERAGEIFS(DATOS!$K$2:$K$20000,DATOS!$A$2:$A$20000,M635,DATOS!$G$2:$G$20000,CONFIG_METADATA!$B$4,DATOS!$I$2:$I$20000,"Conjunto"),""))</f>
        <v/>
      </c>
      <c r="Q635" t="str">
        <f>IF(M635="","",IFERROR(AVERAGEIFS(DATOS!$K$2:$K$20000,DATOS!$A$2:$A$20000,M635,DATOS!$G$2:$G$20000,CONFIG_METADATA!$B$4,DATOS!$I$2:$I$20000,"&lt;&gt;Lenguaje Musical",DATOS!$I$2:$I$20000,"&lt;&gt;Coro",DATOS!$I$2:$I$20000,"&lt;&gt;Conjunto"),""))</f>
        <v/>
      </c>
      <c r="T635" t="str">
        <f>IF(S635="","",IFERROR(AVERAGEIFS(DATOS!$K$2:$K$20000,DATOS!$A$2:$A$20000,S635,DATOS!$G$2:$G$20000,CONFIG_METADATA!$B$4,DATOS!$I$2:$I$20000,"Lenguaje Musical"),""))</f>
        <v/>
      </c>
      <c r="U635" t="str">
        <f>IF(S635="","",IFERROR(AVERAGEIFS(DATOS!$K$2:$K$20000,DATOS!$A$2:$A$20000,S635,DATOS!$G$2:$G$20000,CONFIG_METADATA!$B$4,DATOS!$I$2:$I$20000,"Coro"),""))</f>
        <v/>
      </c>
      <c r="V635" t="str">
        <f>IF(S635="","",IFERROR(AVERAGEIFS(DATOS!$K$2:$K$20000,DATOS!$A$2:$A$20000,S635,DATOS!$G$2:$G$20000,CONFIG_METADATA!$B$4,DATOS!$I$2:$I$20000,"Conjunto"),""))</f>
        <v/>
      </c>
      <c r="W635" t="str" cm="1">
        <f t="array" ref="W635">IF(S635="","",IFERROR(AVERAGE(IF((DATOS!$A$2:$A$20000=S635)*(DATOS!$G$2:$G$20000=CONFIG_METADATA!$B$4)*(DATOS!$I$2:$I$20000&lt;&gt;"Lenguaje Musical")*(DATOS!$I$2:$I$20000&lt;&gt;"Coro")*(DATOS!$I$2:$I$20000&lt;&gt;"Conjunto"),DATOS!$K$2:$K$20000)),""))</f>
        <v/>
      </c>
    </row>
    <row r="636" spans="2:23" x14ac:dyDescent="0.2">
      <c r="B636" t="str">
        <f>IF(A636="","",IFERROR(AVERAGEIFS(DATOS!$K$2:$K$20000,DATOS!$A$2:$A$20000,A636,DATOS!$G$2:$G$20000,CONFIG_METADATA!$B$4,DATOS!$I$2:$I$20000,"Lenguaje Musical"),""))</f>
        <v/>
      </c>
      <c r="C636" t="str">
        <f>IF(A636="","",IFERROR(AVERAGEIFS(DATOS!$K$2:$K$20000,DATOS!$A$2:$A$20000,A636,DATOS!$G$2:$G$20000,CONFIG_METADATA!$B$4,DATOS!$I$2:$I$20000,"Coro"),""))</f>
        <v/>
      </c>
      <c r="D636" t="str">
        <f>IF(A636="","",IFERROR(AVERAGEIFS(DATOS!$K$2:$K$20000,DATOS!$A$2:$A$20000,A636,DATOS!$G$2:$G$20000,CONFIG_METADATA!$B$4,DATOS!$I$2:$I$20000,"Conjunto"),""))</f>
        <v/>
      </c>
      <c r="E636" t="str">
        <f>IF(A636="","",IFERROR(AVERAGEIFS(DATOS!$K$2:$K$20000,DATOS!$A$2:$A$20000,A636,DATOS!$G$2:$G$20000,CONFIG_METADATA!$B$4,DATOS!$I$2:$I$20000,"&lt;&gt;Lenguaje Musical",DATOS!$I$2:$I$20000,"&lt;&gt;Coro",DATOS!$I$2:$I$20000,"&lt;&gt;Conjunto"),""))</f>
        <v/>
      </c>
      <c r="H636" t="str">
        <f>IF(G636="","",IFERROR(AVERAGEIFS(DATOS!$K$2:$K$20000,DATOS!$A$2:$A$20000,G636,DATOS!$G$2:$G$20000,CONFIG_METADATA!$B$4,DATOS!$I$2:$I$20000,"Lenguaje Musical"),""))</f>
        <v/>
      </c>
      <c r="I636" t="str">
        <f>IF(G636="","",IFERROR(AVERAGEIFS(DATOS!$K$2:$K$20000,DATOS!$A$2:$A$20000,G636,DATOS!$G$2:$G$20000,CONFIG_METADATA!$B$4,DATOS!$I$2:$I$20000,"Coro"),""))</f>
        <v/>
      </c>
      <c r="J636" t="str">
        <f>IF(G636="","",IFERROR(AVERAGEIFS(DATOS!$K$2:$K$20000,DATOS!$A$2:$A$20000,G636,DATOS!$G$2:$G$20000,CONFIG_METADATA!$B$4,DATOS!$I$2:$I$20000,"Conjunto"),""))</f>
        <v/>
      </c>
      <c r="K636" t="str" cm="1">
        <f t="array" ref="K636">IF(G636="","",IFERROR(AVERAGE(IF((DATOS!$A$2:$A$20000=G636)*(DATOS!$G$2:$G$20000=CONFIG_METADATA!$B$4)*(DATOS!$I$2:$I$20000&lt;&gt;"Lenguaje Musical")*(DATOS!$I$2:$I$20000&lt;&gt;"Coro")*(DATOS!$I$2:$I$20000&lt;&gt;"Conjunto"),DATOS!$K$2:$K$20000)),""))</f>
        <v/>
      </c>
      <c r="N636" t="str">
        <f>IF(M636="","",IFERROR(AVERAGEIFS(DATOS!$K$2:$K$20000,DATOS!$A$2:$A$20000,M636,DATOS!$G$2:$G$20000,CONFIG_METADATA!$B$4,DATOS!$I$2:$I$20000,"Lenguaje Musical"),""))</f>
        <v/>
      </c>
      <c r="O636" t="str">
        <f>IF(M636="","",IFERROR(AVERAGEIFS(DATOS!$K$2:$K$20000,DATOS!$A$2:$A$20000,M636,DATOS!$G$2:$G$20000,CONFIG_METADATA!$B$4,DATOS!$I$2:$I$20000,"Coro"),""))</f>
        <v/>
      </c>
      <c r="P636" t="str">
        <f>IF(M636="","",IFERROR(AVERAGEIFS(DATOS!$K$2:$K$20000,DATOS!$A$2:$A$20000,M636,DATOS!$G$2:$G$20000,CONFIG_METADATA!$B$4,DATOS!$I$2:$I$20000,"Conjunto"),""))</f>
        <v/>
      </c>
      <c r="Q636" t="str">
        <f>IF(M636="","",IFERROR(AVERAGEIFS(DATOS!$K$2:$K$20000,DATOS!$A$2:$A$20000,M636,DATOS!$G$2:$G$20000,CONFIG_METADATA!$B$4,DATOS!$I$2:$I$20000,"&lt;&gt;Lenguaje Musical",DATOS!$I$2:$I$20000,"&lt;&gt;Coro",DATOS!$I$2:$I$20000,"&lt;&gt;Conjunto"),""))</f>
        <v/>
      </c>
      <c r="T636" t="str">
        <f>IF(S636="","",IFERROR(AVERAGEIFS(DATOS!$K$2:$K$20000,DATOS!$A$2:$A$20000,S636,DATOS!$G$2:$G$20000,CONFIG_METADATA!$B$4,DATOS!$I$2:$I$20000,"Lenguaje Musical"),""))</f>
        <v/>
      </c>
      <c r="U636" t="str">
        <f>IF(S636="","",IFERROR(AVERAGEIFS(DATOS!$K$2:$K$20000,DATOS!$A$2:$A$20000,S636,DATOS!$G$2:$G$20000,CONFIG_METADATA!$B$4,DATOS!$I$2:$I$20000,"Coro"),""))</f>
        <v/>
      </c>
      <c r="V636" t="str">
        <f>IF(S636="","",IFERROR(AVERAGEIFS(DATOS!$K$2:$K$20000,DATOS!$A$2:$A$20000,S636,DATOS!$G$2:$G$20000,CONFIG_METADATA!$B$4,DATOS!$I$2:$I$20000,"Conjunto"),""))</f>
        <v/>
      </c>
      <c r="W636" t="str" cm="1">
        <f t="array" ref="W636">IF(S636="","",IFERROR(AVERAGE(IF((DATOS!$A$2:$A$20000=S636)*(DATOS!$G$2:$G$20000=CONFIG_METADATA!$B$4)*(DATOS!$I$2:$I$20000&lt;&gt;"Lenguaje Musical")*(DATOS!$I$2:$I$20000&lt;&gt;"Coro")*(DATOS!$I$2:$I$20000&lt;&gt;"Conjunto"),DATOS!$K$2:$K$20000)),""))</f>
        <v/>
      </c>
    </row>
    <row r="637" spans="2:23" x14ac:dyDescent="0.2">
      <c r="B637" t="str">
        <f>IF(A637="","",IFERROR(AVERAGEIFS(DATOS!$K$2:$K$20000,DATOS!$A$2:$A$20000,A637,DATOS!$G$2:$G$20000,CONFIG_METADATA!$B$4,DATOS!$I$2:$I$20000,"Lenguaje Musical"),""))</f>
        <v/>
      </c>
      <c r="C637" t="str">
        <f>IF(A637="","",IFERROR(AVERAGEIFS(DATOS!$K$2:$K$20000,DATOS!$A$2:$A$20000,A637,DATOS!$G$2:$G$20000,CONFIG_METADATA!$B$4,DATOS!$I$2:$I$20000,"Coro"),""))</f>
        <v/>
      </c>
      <c r="D637" t="str">
        <f>IF(A637="","",IFERROR(AVERAGEIFS(DATOS!$K$2:$K$20000,DATOS!$A$2:$A$20000,A637,DATOS!$G$2:$G$20000,CONFIG_METADATA!$B$4,DATOS!$I$2:$I$20000,"Conjunto"),""))</f>
        <v/>
      </c>
      <c r="E637" t="str">
        <f>IF(A637="","",IFERROR(AVERAGEIFS(DATOS!$K$2:$K$20000,DATOS!$A$2:$A$20000,A637,DATOS!$G$2:$G$20000,CONFIG_METADATA!$B$4,DATOS!$I$2:$I$20000,"&lt;&gt;Lenguaje Musical",DATOS!$I$2:$I$20000,"&lt;&gt;Coro",DATOS!$I$2:$I$20000,"&lt;&gt;Conjunto"),""))</f>
        <v/>
      </c>
      <c r="H637" t="str">
        <f>IF(G637="","",IFERROR(AVERAGEIFS(DATOS!$K$2:$K$20000,DATOS!$A$2:$A$20000,G637,DATOS!$G$2:$G$20000,CONFIG_METADATA!$B$4,DATOS!$I$2:$I$20000,"Lenguaje Musical"),""))</f>
        <v/>
      </c>
      <c r="I637" t="str">
        <f>IF(G637="","",IFERROR(AVERAGEIFS(DATOS!$K$2:$K$20000,DATOS!$A$2:$A$20000,G637,DATOS!$G$2:$G$20000,CONFIG_METADATA!$B$4,DATOS!$I$2:$I$20000,"Coro"),""))</f>
        <v/>
      </c>
      <c r="J637" t="str">
        <f>IF(G637="","",IFERROR(AVERAGEIFS(DATOS!$K$2:$K$20000,DATOS!$A$2:$A$20000,G637,DATOS!$G$2:$G$20000,CONFIG_METADATA!$B$4,DATOS!$I$2:$I$20000,"Conjunto"),""))</f>
        <v/>
      </c>
      <c r="K637" t="str" cm="1">
        <f t="array" ref="K637">IF(G637="","",IFERROR(AVERAGE(IF((DATOS!$A$2:$A$20000=G637)*(DATOS!$G$2:$G$20000=CONFIG_METADATA!$B$4)*(DATOS!$I$2:$I$20000&lt;&gt;"Lenguaje Musical")*(DATOS!$I$2:$I$20000&lt;&gt;"Coro")*(DATOS!$I$2:$I$20000&lt;&gt;"Conjunto"),DATOS!$K$2:$K$20000)),""))</f>
        <v/>
      </c>
      <c r="N637" t="str">
        <f>IF(M637="","",IFERROR(AVERAGEIFS(DATOS!$K$2:$K$20000,DATOS!$A$2:$A$20000,M637,DATOS!$G$2:$G$20000,CONFIG_METADATA!$B$4,DATOS!$I$2:$I$20000,"Lenguaje Musical"),""))</f>
        <v/>
      </c>
      <c r="O637" t="str">
        <f>IF(M637="","",IFERROR(AVERAGEIFS(DATOS!$K$2:$K$20000,DATOS!$A$2:$A$20000,M637,DATOS!$G$2:$G$20000,CONFIG_METADATA!$B$4,DATOS!$I$2:$I$20000,"Coro"),""))</f>
        <v/>
      </c>
      <c r="P637" t="str">
        <f>IF(M637="","",IFERROR(AVERAGEIFS(DATOS!$K$2:$K$20000,DATOS!$A$2:$A$20000,M637,DATOS!$G$2:$G$20000,CONFIG_METADATA!$B$4,DATOS!$I$2:$I$20000,"Conjunto"),""))</f>
        <v/>
      </c>
      <c r="Q637" t="str">
        <f>IF(M637="","",IFERROR(AVERAGEIFS(DATOS!$K$2:$K$20000,DATOS!$A$2:$A$20000,M637,DATOS!$G$2:$G$20000,CONFIG_METADATA!$B$4,DATOS!$I$2:$I$20000,"&lt;&gt;Lenguaje Musical",DATOS!$I$2:$I$20000,"&lt;&gt;Coro",DATOS!$I$2:$I$20000,"&lt;&gt;Conjunto"),""))</f>
        <v/>
      </c>
      <c r="T637" t="str">
        <f>IF(S637="","",IFERROR(AVERAGEIFS(DATOS!$K$2:$K$20000,DATOS!$A$2:$A$20000,S637,DATOS!$G$2:$G$20000,CONFIG_METADATA!$B$4,DATOS!$I$2:$I$20000,"Lenguaje Musical"),""))</f>
        <v/>
      </c>
      <c r="U637" t="str">
        <f>IF(S637="","",IFERROR(AVERAGEIFS(DATOS!$K$2:$K$20000,DATOS!$A$2:$A$20000,S637,DATOS!$G$2:$G$20000,CONFIG_METADATA!$B$4,DATOS!$I$2:$I$20000,"Coro"),""))</f>
        <v/>
      </c>
      <c r="V637" t="str">
        <f>IF(S637="","",IFERROR(AVERAGEIFS(DATOS!$K$2:$K$20000,DATOS!$A$2:$A$20000,S637,DATOS!$G$2:$G$20000,CONFIG_METADATA!$B$4,DATOS!$I$2:$I$20000,"Conjunto"),""))</f>
        <v/>
      </c>
      <c r="W637" t="str" cm="1">
        <f t="array" ref="W637">IF(S637="","",IFERROR(AVERAGE(IF((DATOS!$A$2:$A$20000=S637)*(DATOS!$G$2:$G$20000=CONFIG_METADATA!$B$4)*(DATOS!$I$2:$I$20000&lt;&gt;"Lenguaje Musical")*(DATOS!$I$2:$I$20000&lt;&gt;"Coro")*(DATOS!$I$2:$I$20000&lt;&gt;"Conjunto"),DATOS!$K$2:$K$20000)),""))</f>
        <v/>
      </c>
    </row>
    <row r="638" spans="2:23" x14ac:dyDescent="0.2">
      <c r="B638" t="str">
        <f>IF(A638="","",IFERROR(AVERAGEIFS(DATOS!$K$2:$K$20000,DATOS!$A$2:$A$20000,A638,DATOS!$G$2:$G$20000,CONFIG_METADATA!$B$4,DATOS!$I$2:$I$20000,"Lenguaje Musical"),""))</f>
        <v/>
      </c>
      <c r="C638" t="str">
        <f>IF(A638="","",IFERROR(AVERAGEIFS(DATOS!$K$2:$K$20000,DATOS!$A$2:$A$20000,A638,DATOS!$G$2:$G$20000,CONFIG_METADATA!$B$4,DATOS!$I$2:$I$20000,"Coro"),""))</f>
        <v/>
      </c>
      <c r="D638" t="str">
        <f>IF(A638="","",IFERROR(AVERAGEIFS(DATOS!$K$2:$K$20000,DATOS!$A$2:$A$20000,A638,DATOS!$G$2:$G$20000,CONFIG_METADATA!$B$4,DATOS!$I$2:$I$20000,"Conjunto"),""))</f>
        <v/>
      </c>
      <c r="E638" t="str">
        <f>IF(A638="","",IFERROR(AVERAGEIFS(DATOS!$K$2:$K$20000,DATOS!$A$2:$A$20000,A638,DATOS!$G$2:$G$20000,CONFIG_METADATA!$B$4,DATOS!$I$2:$I$20000,"&lt;&gt;Lenguaje Musical",DATOS!$I$2:$I$20000,"&lt;&gt;Coro",DATOS!$I$2:$I$20000,"&lt;&gt;Conjunto"),""))</f>
        <v/>
      </c>
      <c r="H638" t="str">
        <f>IF(G638="","",IFERROR(AVERAGEIFS(DATOS!$K$2:$K$20000,DATOS!$A$2:$A$20000,G638,DATOS!$G$2:$G$20000,CONFIG_METADATA!$B$4,DATOS!$I$2:$I$20000,"Lenguaje Musical"),""))</f>
        <v/>
      </c>
      <c r="I638" t="str">
        <f>IF(G638="","",IFERROR(AVERAGEIFS(DATOS!$K$2:$K$20000,DATOS!$A$2:$A$20000,G638,DATOS!$G$2:$G$20000,CONFIG_METADATA!$B$4,DATOS!$I$2:$I$20000,"Coro"),""))</f>
        <v/>
      </c>
      <c r="J638" t="str">
        <f>IF(G638="","",IFERROR(AVERAGEIFS(DATOS!$K$2:$K$20000,DATOS!$A$2:$A$20000,G638,DATOS!$G$2:$G$20000,CONFIG_METADATA!$B$4,DATOS!$I$2:$I$20000,"Conjunto"),""))</f>
        <v/>
      </c>
      <c r="K638" t="str" cm="1">
        <f t="array" ref="K638">IF(G638="","",IFERROR(AVERAGE(IF((DATOS!$A$2:$A$20000=G638)*(DATOS!$G$2:$G$20000=CONFIG_METADATA!$B$4)*(DATOS!$I$2:$I$20000&lt;&gt;"Lenguaje Musical")*(DATOS!$I$2:$I$20000&lt;&gt;"Coro")*(DATOS!$I$2:$I$20000&lt;&gt;"Conjunto"),DATOS!$K$2:$K$20000)),""))</f>
        <v/>
      </c>
      <c r="N638" t="str">
        <f>IF(M638="","",IFERROR(AVERAGEIFS(DATOS!$K$2:$K$20000,DATOS!$A$2:$A$20000,M638,DATOS!$G$2:$G$20000,CONFIG_METADATA!$B$4,DATOS!$I$2:$I$20000,"Lenguaje Musical"),""))</f>
        <v/>
      </c>
      <c r="O638" t="str">
        <f>IF(M638="","",IFERROR(AVERAGEIFS(DATOS!$K$2:$K$20000,DATOS!$A$2:$A$20000,M638,DATOS!$G$2:$G$20000,CONFIG_METADATA!$B$4,DATOS!$I$2:$I$20000,"Coro"),""))</f>
        <v/>
      </c>
      <c r="P638" t="str">
        <f>IF(M638="","",IFERROR(AVERAGEIFS(DATOS!$K$2:$K$20000,DATOS!$A$2:$A$20000,M638,DATOS!$G$2:$G$20000,CONFIG_METADATA!$B$4,DATOS!$I$2:$I$20000,"Conjunto"),""))</f>
        <v/>
      </c>
      <c r="Q638" t="str">
        <f>IF(M638="","",IFERROR(AVERAGEIFS(DATOS!$K$2:$K$20000,DATOS!$A$2:$A$20000,M638,DATOS!$G$2:$G$20000,CONFIG_METADATA!$B$4,DATOS!$I$2:$I$20000,"&lt;&gt;Lenguaje Musical",DATOS!$I$2:$I$20000,"&lt;&gt;Coro",DATOS!$I$2:$I$20000,"&lt;&gt;Conjunto"),""))</f>
        <v/>
      </c>
      <c r="T638" t="str">
        <f>IF(S638="","",IFERROR(AVERAGEIFS(DATOS!$K$2:$K$20000,DATOS!$A$2:$A$20000,S638,DATOS!$G$2:$G$20000,CONFIG_METADATA!$B$4,DATOS!$I$2:$I$20000,"Lenguaje Musical"),""))</f>
        <v/>
      </c>
      <c r="U638" t="str">
        <f>IF(S638="","",IFERROR(AVERAGEIFS(DATOS!$K$2:$K$20000,DATOS!$A$2:$A$20000,S638,DATOS!$G$2:$G$20000,CONFIG_METADATA!$B$4,DATOS!$I$2:$I$20000,"Coro"),""))</f>
        <v/>
      </c>
      <c r="V638" t="str">
        <f>IF(S638="","",IFERROR(AVERAGEIFS(DATOS!$K$2:$K$20000,DATOS!$A$2:$A$20000,S638,DATOS!$G$2:$G$20000,CONFIG_METADATA!$B$4,DATOS!$I$2:$I$20000,"Conjunto"),""))</f>
        <v/>
      </c>
      <c r="W638" t="str" cm="1">
        <f t="array" ref="W638">IF(S638="","",IFERROR(AVERAGE(IF((DATOS!$A$2:$A$20000=S638)*(DATOS!$G$2:$G$20000=CONFIG_METADATA!$B$4)*(DATOS!$I$2:$I$20000&lt;&gt;"Lenguaje Musical")*(DATOS!$I$2:$I$20000&lt;&gt;"Coro")*(DATOS!$I$2:$I$20000&lt;&gt;"Conjunto"),DATOS!$K$2:$K$20000)),""))</f>
        <v/>
      </c>
    </row>
    <row r="639" spans="2:23" x14ac:dyDescent="0.2">
      <c r="B639" t="str">
        <f>IF(A639="","",IFERROR(AVERAGEIFS(DATOS!$K$2:$K$20000,DATOS!$A$2:$A$20000,A639,DATOS!$G$2:$G$20000,CONFIG_METADATA!$B$4,DATOS!$I$2:$I$20000,"Lenguaje Musical"),""))</f>
        <v/>
      </c>
      <c r="C639" t="str">
        <f>IF(A639="","",IFERROR(AVERAGEIFS(DATOS!$K$2:$K$20000,DATOS!$A$2:$A$20000,A639,DATOS!$G$2:$G$20000,CONFIG_METADATA!$B$4,DATOS!$I$2:$I$20000,"Coro"),""))</f>
        <v/>
      </c>
      <c r="D639" t="str">
        <f>IF(A639="","",IFERROR(AVERAGEIFS(DATOS!$K$2:$K$20000,DATOS!$A$2:$A$20000,A639,DATOS!$G$2:$G$20000,CONFIG_METADATA!$B$4,DATOS!$I$2:$I$20000,"Conjunto"),""))</f>
        <v/>
      </c>
      <c r="E639" t="str">
        <f>IF(A639="","",IFERROR(AVERAGEIFS(DATOS!$K$2:$K$20000,DATOS!$A$2:$A$20000,A639,DATOS!$G$2:$G$20000,CONFIG_METADATA!$B$4,DATOS!$I$2:$I$20000,"&lt;&gt;Lenguaje Musical",DATOS!$I$2:$I$20000,"&lt;&gt;Coro",DATOS!$I$2:$I$20000,"&lt;&gt;Conjunto"),""))</f>
        <v/>
      </c>
      <c r="H639" t="str">
        <f>IF(G639="","",IFERROR(AVERAGEIFS(DATOS!$K$2:$K$20000,DATOS!$A$2:$A$20000,G639,DATOS!$G$2:$G$20000,CONFIG_METADATA!$B$4,DATOS!$I$2:$I$20000,"Lenguaje Musical"),""))</f>
        <v/>
      </c>
      <c r="I639" t="str">
        <f>IF(G639="","",IFERROR(AVERAGEIFS(DATOS!$K$2:$K$20000,DATOS!$A$2:$A$20000,G639,DATOS!$G$2:$G$20000,CONFIG_METADATA!$B$4,DATOS!$I$2:$I$20000,"Coro"),""))</f>
        <v/>
      </c>
      <c r="J639" t="str">
        <f>IF(G639="","",IFERROR(AVERAGEIFS(DATOS!$K$2:$K$20000,DATOS!$A$2:$A$20000,G639,DATOS!$G$2:$G$20000,CONFIG_METADATA!$B$4,DATOS!$I$2:$I$20000,"Conjunto"),""))</f>
        <v/>
      </c>
      <c r="K639" t="str" cm="1">
        <f t="array" ref="K639">IF(G639="","",IFERROR(AVERAGE(IF((DATOS!$A$2:$A$20000=G639)*(DATOS!$G$2:$G$20000=CONFIG_METADATA!$B$4)*(DATOS!$I$2:$I$20000&lt;&gt;"Lenguaje Musical")*(DATOS!$I$2:$I$20000&lt;&gt;"Coro")*(DATOS!$I$2:$I$20000&lt;&gt;"Conjunto"),DATOS!$K$2:$K$20000)),""))</f>
        <v/>
      </c>
      <c r="N639" t="str">
        <f>IF(M639="","",IFERROR(AVERAGEIFS(DATOS!$K$2:$K$20000,DATOS!$A$2:$A$20000,M639,DATOS!$G$2:$G$20000,CONFIG_METADATA!$B$4,DATOS!$I$2:$I$20000,"Lenguaje Musical"),""))</f>
        <v/>
      </c>
      <c r="O639" t="str">
        <f>IF(M639="","",IFERROR(AVERAGEIFS(DATOS!$K$2:$K$20000,DATOS!$A$2:$A$20000,M639,DATOS!$G$2:$G$20000,CONFIG_METADATA!$B$4,DATOS!$I$2:$I$20000,"Coro"),""))</f>
        <v/>
      </c>
      <c r="P639" t="str">
        <f>IF(M639="","",IFERROR(AVERAGEIFS(DATOS!$K$2:$K$20000,DATOS!$A$2:$A$20000,M639,DATOS!$G$2:$G$20000,CONFIG_METADATA!$B$4,DATOS!$I$2:$I$20000,"Conjunto"),""))</f>
        <v/>
      </c>
      <c r="Q639" t="str">
        <f>IF(M639="","",IFERROR(AVERAGEIFS(DATOS!$K$2:$K$20000,DATOS!$A$2:$A$20000,M639,DATOS!$G$2:$G$20000,CONFIG_METADATA!$B$4,DATOS!$I$2:$I$20000,"&lt;&gt;Lenguaje Musical",DATOS!$I$2:$I$20000,"&lt;&gt;Coro",DATOS!$I$2:$I$20000,"&lt;&gt;Conjunto"),""))</f>
        <v/>
      </c>
      <c r="T639" t="str">
        <f>IF(S639="","",IFERROR(AVERAGEIFS(DATOS!$K$2:$K$20000,DATOS!$A$2:$A$20000,S639,DATOS!$G$2:$G$20000,CONFIG_METADATA!$B$4,DATOS!$I$2:$I$20000,"Lenguaje Musical"),""))</f>
        <v/>
      </c>
      <c r="U639" t="str">
        <f>IF(S639="","",IFERROR(AVERAGEIFS(DATOS!$K$2:$K$20000,DATOS!$A$2:$A$20000,S639,DATOS!$G$2:$G$20000,CONFIG_METADATA!$B$4,DATOS!$I$2:$I$20000,"Coro"),""))</f>
        <v/>
      </c>
      <c r="V639" t="str">
        <f>IF(S639="","",IFERROR(AVERAGEIFS(DATOS!$K$2:$K$20000,DATOS!$A$2:$A$20000,S639,DATOS!$G$2:$G$20000,CONFIG_METADATA!$B$4,DATOS!$I$2:$I$20000,"Conjunto"),""))</f>
        <v/>
      </c>
      <c r="W639" t="str" cm="1">
        <f t="array" ref="W639">IF(S639="","",IFERROR(AVERAGE(IF((DATOS!$A$2:$A$20000=S639)*(DATOS!$G$2:$G$20000=CONFIG_METADATA!$B$4)*(DATOS!$I$2:$I$20000&lt;&gt;"Lenguaje Musical")*(DATOS!$I$2:$I$20000&lt;&gt;"Coro")*(DATOS!$I$2:$I$20000&lt;&gt;"Conjunto"),DATOS!$K$2:$K$20000)),""))</f>
        <v/>
      </c>
    </row>
    <row r="640" spans="2:23" x14ac:dyDescent="0.2">
      <c r="B640" t="str">
        <f>IF(A640="","",IFERROR(AVERAGEIFS(DATOS!$K$2:$K$20000,DATOS!$A$2:$A$20000,A640,DATOS!$G$2:$G$20000,CONFIG_METADATA!$B$4,DATOS!$I$2:$I$20000,"Lenguaje Musical"),""))</f>
        <v/>
      </c>
      <c r="C640" t="str">
        <f>IF(A640="","",IFERROR(AVERAGEIFS(DATOS!$K$2:$K$20000,DATOS!$A$2:$A$20000,A640,DATOS!$G$2:$G$20000,CONFIG_METADATA!$B$4,DATOS!$I$2:$I$20000,"Coro"),""))</f>
        <v/>
      </c>
      <c r="D640" t="str">
        <f>IF(A640="","",IFERROR(AVERAGEIFS(DATOS!$K$2:$K$20000,DATOS!$A$2:$A$20000,A640,DATOS!$G$2:$G$20000,CONFIG_METADATA!$B$4,DATOS!$I$2:$I$20000,"Conjunto"),""))</f>
        <v/>
      </c>
      <c r="E640" t="str">
        <f>IF(A640="","",IFERROR(AVERAGEIFS(DATOS!$K$2:$K$20000,DATOS!$A$2:$A$20000,A640,DATOS!$G$2:$G$20000,CONFIG_METADATA!$B$4,DATOS!$I$2:$I$20000,"&lt;&gt;Lenguaje Musical",DATOS!$I$2:$I$20000,"&lt;&gt;Coro",DATOS!$I$2:$I$20000,"&lt;&gt;Conjunto"),""))</f>
        <v/>
      </c>
      <c r="H640" t="str">
        <f>IF(G640="","",IFERROR(AVERAGEIFS(DATOS!$K$2:$K$20000,DATOS!$A$2:$A$20000,G640,DATOS!$G$2:$G$20000,CONFIG_METADATA!$B$4,DATOS!$I$2:$I$20000,"Lenguaje Musical"),""))</f>
        <v/>
      </c>
      <c r="I640" t="str">
        <f>IF(G640="","",IFERROR(AVERAGEIFS(DATOS!$K$2:$K$20000,DATOS!$A$2:$A$20000,G640,DATOS!$G$2:$G$20000,CONFIG_METADATA!$B$4,DATOS!$I$2:$I$20000,"Coro"),""))</f>
        <v/>
      </c>
      <c r="J640" t="str">
        <f>IF(G640="","",IFERROR(AVERAGEIFS(DATOS!$K$2:$K$20000,DATOS!$A$2:$A$20000,G640,DATOS!$G$2:$G$20000,CONFIG_METADATA!$B$4,DATOS!$I$2:$I$20000,"Conjunto"),""))</f>
        <v/>
      </c>
      <c r="K640" t="str" cm="1">
        <f t="array" ref="K640">IF(G640="","",IFERROR(AVERAGE(IF((DATOS!$A$2:$A$20000=G640)*(DATOS!$G$2:$G$20000=CONFIG_METADATA!$B$4)*(DATOS!$I$2:$I$20000&lt;&gt;"Lenguaje Musical")*(DATOS!$I$2:$I$20000&lt;&gt;"Coro")*(DATOS!$I$2:$I$20000&lt;&gt;"Conjunto"),DATOS!$K$2:$K$20000)),""))</f>
        <v/>
      </c>
      <c r="N640" t="str">
        <f>IF(M640="","",IFERROR(AVERAGEIFS(DATOS!$K$2:$K$20000,DATOS!$A$2:$A$20000,M640,DATOS!$G$2:$G$20000,CONFIG_METADATA!$B$4,DATOS!$I$2:$I$20000,"Lenguaje Musical"),""))</f>
        <v/>
      </c>
      <c r="O640" t="str">
        <f>IF(M640="","",IFERROR(AVERAGEIFS(DATOS!$K$2:$K$20000,DATOS!$A$2:$A$20000,M640,DATOS!$G$2:$G$20000,CONFIG_METADATA!$B$4,DATOS!$I$2:$I$20000,"Coro"),""))</f>
        <v/>
      </c>
      <c r="P640" t="str">
        <f>IF(M640="","",IFERROR(AVERAGEIFS(DATOS!$K$2:$K$20000,DATOS!$A$2:$A$20000,M640,DATOS!$G$2:$G$20000,CONFIG_METADATA!$B$4,DATOS!$I$2:$I$20000,"Conjunto"),""))</f>
        <v/>
      </c>
      <c r="Q640" t="str">
        <f>IF(M640="","",IFERROR(AVERAGEIFS(DATOS!$K$2:$K$20000,DATOS!$A$2:$A$20000,M640,DATOS!$G$2:$G$20000,CONFIG_METADATA!$B$4,DATOS!$I$2:$I$20000,"&lt;&gt;Lenguaje Musical",DATOS!$I$2:$I$20000,"&lt;&gt;Coro",DATOS!$I$2:$I$20000,"&lt;&gt;Conjunto"),""))</f>
        <v/>
      </c>
      <c r="T640" t="str">
        <f>IF(S640="","",IFERROR(AVERAGEIFS(DATOS!$K$2:$K$20000,DATOS!$A$2:$A$20000,S640,DATOS!$G$2:$G$20000,CONFIG_METADATA!$B$4,DATOS!$I$2:$I$20000,"Lenguaje Musical"),""))</f>
        <v/>
      </c>
      <c r="U640" t="str">
        <f>IF(S640="","",IFERROR(AVERAGEIFS(DATOS!$K$2:$K$20000,DATOS!$A$2:$A$20000,S640,DATOS!$G$2:$G$20000,CONFIG_METADATA!$B$4,DATOS!$I$2:$I$20000,"Coro"),""))</f>
        <v/>
      </c>
      <c r="V640" t="str">
        <f>IF(S640="","",IFERROR(AVERAGEIFS(DATOS!$K$2:$K$20000,DATOS!$A$2:$A$20000,S640,DATOS!$G$2:$G$20000,CONFIG_METADATA!$B$4,DATOS!$I$2:$I$20000,"Conjunto"),""))</f>
        <v/>
      </c>
      <c r="W640" t="str" cm="1">
        <f t="array" ref="W640">IF(S640="","",IFERROR(AVERAGE(IF((DATOS!$A$2:$A$20000=S640)*(DATOS!$G$2:$G$20000=CONFIG_METADATA!$B$4)*(DATOS!$I$2:$I$20000&lt;&gt;"Lenguaje Musical")*(DATOS!$I$2:$I$20000&lt;&gt;"Coro")*(DATOS!$I$2:$I$20000&lt;&gt;"Conjunto"),DATOS!$K$2:$K$20000)),""))</f>
        <v/>
      </c>
    </row>
    <row r="641" spans="2:23" x14ac:dyDescent="0.2">
      <c r="B641" t="str">
        <f>IF(A641="","",IFERROR(AVERAGEIFS(DATOS!$K$2:$K$20000,DATOS!$A$2:$A$20000,A641,DATOS!$G$2:$G$20000,CONFIG_METADATA!$B$4,DATOS!$I$2:$I$20000,"Lenguaje Musical"),""))</f>
        <v/>
      </c>
      <c r="C641" t="str">
        <f>IF(A641="","",IFERROR(AVERAGEIFS(DATOS!$K$2:$K$20000,DATOS!$A$2:$A$20000,A641,DATOS!$G$2:$G$20000,CONFIG_METADATA!$B$4,DATOS!$I$2:$I$20000,"Coro"),""))</f>
        <v/>
      </c>
      <c r="D641" t="str">
        <f>IF(A641="","",IFERROR(AVERAGEIFS(DATOS!$K$2:$K$20000,DATOS!$A$2:$A$20000,A641,DATOS!$G$2:$G$20000,CONFIG_METADATA!$B$4,DATOS!$I$2:$I$20000,"Conjunto"),""))</f>
        <v/>
      </c>
      <c r="E641" t="str">
        <f>IF(A641="","",IFERROR(AVERAGEIFS(DATOS!$K$2:$K$20000,DATOS!$A$2:$A$20000,A641,DATOS!$G$2:$G$20000,CONFIG_METADATA!$B$4,DATOS!$I$2:$I$20000,"&lt;&gt;Lenguaje Musical",DATOS!$I$2:$I$20000,"&lt;&gt;Coro",DATOS!$I$2:$I$20000,"&lt;&gt;Conjunto"),""))</f>
        <v/>
      </c>
      <c r="H641" t="str">
        <f>IF(G641="","",IFERROR(AVERAGEIFS(DATOS!$K$2:$K$20000,DATOS!$A$2:$A$20000,G641,DATOS!$G$2:$G$20000,CONFIG_METADATA!$B$4,DATOS!$I$2:$I$20000,"Lenguaje Musical"),""))</f>
        <v/>
      </c>
      <c r="I641" t="str">
        <f>IF(G641="","",IFERROR(AVERAGEIFS(DATOS!$K$2:$K$20000,DATOS!$A$2:$A$20000,G641,DATOS!$G$2:$G$20000,CONFIG_METADATA!$B$4,DATOS!$I$2:$I$20000,"Coro"),""))</f>
        <v/>
      </c>
      <c r="J641" t="str">
        <f>IF(G641="","",IFERROR(AVERAGEIFS(DATOS!$K$2:$K$20000,DATOS!$A$2:$A$20000,G641,DATOS!$G$2:$G$20000,CONFIG_METADATA!$B$4,DATOS!$I$2:$I$20000,"Conjunto"),""))</f>
        <v/>
      </c>
      <c r="K641" t="str" cm="1">
        <f t="array" ref="K641">IF(G641="","",IFERROR(AVERAGE(IF((DATOS!$A$2:$A$20000=G641)*(DATOS!$G$2:$G$20000=CONFIG_METADATA!$B$4)*(DATOS!$I$2:$I$20000&lt;&gt;"Lenguaje Musical")*(DATOS!$I$2:$I$20000&lt;&gt;"Coro")*(DATOS!$I$2:$I$20000&lt;&gt;"Conjunto"),DATOS!$K$2:$K$20000)),""))</f>
        <v/>
      </c>
      <c r="N641" t="str">
        <f>IF(M641="","",IFERROR(AVERAGEIFS(DATOS!$K$2:$K$20000,DATOS!$A$2:$A$20000,M641,DATOS!$G$2:$G$20000,CONFIG_METADATA!$B$4,DATOS!$I$2:$I$20000,"Lenguaje Musical"),""))</f>
        <v/>
      </c>
      <c r="O641" t="str">
        <f>IF(M641="","",IFERROR(AVERAGEIFS(DATOS!$K$2:$K$20000,DATOS!$A$2:$A$20000,M641,DATOS!$G$2:$G$20000,CONFIG_METADATA!$B$4,DATOS!$I$2:$I$20000,"Coro"),""))</f>
        <v/>
      </c>
      <c r="P641" t="str">
        <f>IF(M641="","",IFERROR(AVERAGEIFS(DATOS!$K$2:$K$20000,DATOS!$A$2:$A$20000,M641,DATOS!$G$2:$G$20000,CONFIG_METADATA!$B$4,DATOS!$I$2:$I$20000,"Conjunto"),""))</f>
        <v/>
      </c>
      <c r="Q641" t="str">
        <f>IF(M641="","",IFERROR(AVERAGEIFS(DATOS!$K$2:$K$20000,DATOS!$A$2:$A$20000,M641,DATOS!$G$2:$G$20000,CONFIG_METADATA!$B$4,DATOS!$I$2:$I$20000,"&lt;&gt;Lenguaje Musical",DATOS!$I$2:$I$20000,"&lt;&gt;Coro",DATOS!$I$2:$I$20000,"&lt;&gt;Conjunto"),""))</f>
        <v/>
      </c>
      <c r="T641" t="str">
        <f>IF(S641="","",IFERROR(AVERAGEIFS(DATOS!$K$2:$K$20000,DATOS!$A$2:$A$20000,S641,DATOS!$G$2:$G$20000,CONFIG_METADATA!$B$4,DATOS!$I$2:$I$20000,"Lenguaje Musical"),""))</f>
        <v/>
      </c>
      <c r="U641" t="str">
        <f>IF(S641="","",IFERROR(AVERAGEIFS(DATOS!$K$2:$K$20000,DATOS!$A$2:$A$20000,S641,DATOS!$G$2:$G$20000,CONFIG_METADATA!$B$4,DATOS!$I$2:$I$20000,"Coro"),""))</f>
        <v/>
      </c>
      <c r="V641" t="str">
        <f>IF(S641="","",IFERROR(AVERAGEIFS(DATOS!$K$2:$K$20000,DATOS!$A$2:$A$20000,S641,DATOS!$G$2:$G$20000,CONFIG_METADATA!$B$4,DATOS!$I$2:$I$20000,"Conjunto"),""))</f>
        <v/>
      </c>
      <c r="W641" t="str" cm="1">
        <f t="array" ref="W641">IF(S641="","",IFERROR(AVERAGE(IF((DATOS!$A$2:$A$20000=S641)*(DATOS!$G$2:$G$20000=CONFIG_METADATA!$B$4)*(DATOS!$I$2:$I$20000&lt;&gt;"Lenguaje Musical")*(DATOS!$I$2:$I$20000&lt;&gt;"Coro")*(DATOS!$I$2:$I$20000&lt;&gt;"Conjunto"),DATOS!$K$2:$K$20000)),""))</f>
        <v/>
      </c>
    </row>
    <row r="642" spans="2:23" x14ac:dyDescent="0.2">
      <c r="B642" t="str">
        <f>IF(A642="","",IFERROR(AVERAGEIFS(DATOS!$K$2:$K$20000,DATOS!$A$2:$A$20000,A642,DATOS!$G$2:$G$20000,CONFIG_METADATA!$B$4,DATOS!$I$2:$I$20000,"Lenguaje Musical"),""))</f>
        <v/>
      </c>
      <c r="C642" t="str">
        <f>IF(A642="","",IFERROR(AVERAGEIFS(DATOS!$K$2:$K$20000,DATOS!$A$2:$A$20000,A642,DATOS!$G$2:$G$20000,CONFIG_METADATA!$B$4,DATOS!$I$2:$I$20000,"Coro"),""))</f>
        <v/>
      </c>
      <c r="D642" t="str">
        <f>IF(A642="","",IFERROR(AVERAGEIFS(DATOS!$K$2:$K$20000,DATOS!$A$2:$A$20000,A642,DATOS!$G$2:$G$20000,CONFIG_METADATA!$B$4,DATOS!$I$2:$I$20000,"Conjunto"),""))</f>
        <v/>
      </c>
      <c r="E642" t="str">
        <f>IF(A642="","",IFERROR(AVERAGEIFS(DATOS!$K$2:$K$20000,DATOS!$A$2:$A$20000,A642,DATOS!$G$2:$G$20000,CONFIG_METADATA!$B$4,DATOS!$I$2:$I$20000,"&lt;&gt;Lenguaje Musical",DATOS!$I$2:$I$20000,"&lt;&gt;Coro",DATOS!$I$2:$I$20000,"&lt;&gt;Conjunto"),""))</f>
        <v/>
      </c>
      <c r="H642" t="str">
        <f>IF(G642="","",IFERROR(AVERAGEIFS(DATOS!$K$2:$K$20000,DATOS!$A$2:$A$20000,G642,DATOS!$G$2:$G$20000,CONFIG_METADATA!$B$4,DATOS!$I$2:$I$20000,"Lenguaje Musical"),""))</f>
        <v/>
      </c>
      <c r="I642" t="str">
        <f>IF(G642="","",IFERROR(AVERAGEIFS(DATOS!$K$2:$K$20000,DATOS!$A$2:$A$20000,G642,DATOS!$G$2:$G$20000,CONFIG_METADATA!$B$4,DATOS!$I$2:$I$20000,"Coro"),""))</f>
        <v/>
      </c>
      <c r="J642" t="str">
        <f>IF(G642="","",IFERROR(AVERAGEIFS(DATOS!$K$2:$K$20000,DATOS!$A$2:$A$20000,G642,DATOS!$G$2:$G$20000,CONFIG_METADATA!$B$4,DATOS!$I$2:$I$20000,"Conjunto"),""))</f>
        <v/>
      </c>
      <c r="K642" t="str" cm="1">
        <f t="array" ref="K642">IF(G642="","",IFERROR(AVERAGE(IF((DATOS!$A$2:$A$20000=G642)*(DATOS!$G$2:$G$20000=CONFIG_METADATA!$B$4)*(DATOS!$I$2:$I$20000&lt;&gt;"Lenguaje Musical")*(DATOS!$I$2:$I$20000&lt;&gt;"Coro")*(DATOS!$I$2:$I$20000&lt;&gt;"Conjunto"),DATOS!$K$2:$K$20000)),""))</f>
        <v/>
      </c>
      <c r="N642" t="str">
        <f>IF(M642="","",IFERROR(AVERAGEIFS(DATOS!$K$2:$K$20000,DATOS!$A$2:$A$20000,M642,DATOS!$G$2:$G$20000,CONFIG_METADATA!$B$4,DATOS!$I$2:$I$20000,"Lenguaje Musical"),""))</f>
        <v/>
      </c>
      <c r="O642" t="str">
        <f>IF(M642="","",IFERROR(AVERAGEIFS(DATOS!$K$2:$K$20000,DATOS!$A$2:$A$20000,M642,DATOS!$G$2:$G$20000,CONFIG_METADATA!$B$4,DATOS!$I$2:$I$20000,"Coro"),""))</f>
        <v/>
      </c>
      <c r="P642" t="str">
        <f>IF(M642="","",IFERROR(AVERAGEIFS(DATOS!$K$2:$K$20000,DATOS!$A$2:$A$20000,M642,DATOS!$G$2:$G$20000,CONFIG_METADATA!$B$4,DATOS!$I$2:$I$20000,"Conjunto"),""))</f>
        <v/>
      </c>
      <c r="Q642" t="str">
        <f>IF(M642="","",IFERROR(AVERAGEIFS(DATOS!$K$2:$K$20000,DATOS!$A$2:$A$20000,M642,DATOS!$G$2:$G$20000,CONFIG_METADATA!$B$4,DATOS!$I$2:$I$20000,"&lt;&gt;Lenguaje Musical",DATOS!$I$2:$I$20000,"&lt;&gt;Coro",DATOS!$I$2:$I$20000,"&lt;&gt;Conjunto"),""))</f>
        <v/>
      </c>
      <c r="T642" t="str">
        <f>IF(S642="","",IFERROR(AVERAGEIFS(DATOS!$K$2:$K$20000,DATOS!$A$2:$A$20000,S642,DATOS!$G$2:$G$20000,CONFIG_METADATA!$B$4,DATOS!$I$2:$I$20000,"Lenguaje Musical"),""))</f>
        <v/>
      </c>
      <c r="U642" t="str">
        <f>IF(S642="","",IFERROR(AVERAGEIFS(DATOS!$K$2:$K$20000,DATOS!$A$2:$A$20000,S642,DATOS!$G$2:$G$20000,CONFIG_METADATA!$B$4,DATOS!$I$2:$I$20000,"Coro"),""))</f>
        <v/>
      </c>
      <c r="V642" t="str">
        <f>IF(S642="","",IFERROR(AVERAGEIFS(DATOS!$K$2:$K$20000,DATOS!$A$2:$A$20000,S642,DATOS!$G$2:$G$20000,CONFIG_METADATA!$B$4,DATOS!$I$2:$I$20000,"Conjunto"),""))</f>
        <v/>
      </c>
      <c r="W642" t="str" cm="1">
        <f t="array" ref="W642">IF(S642="","",IFERROR(AVERAGE(IF((DATOS!$A$2:$A$20000=S642)*(DATOS!$G$2:$G$20000=CONFIG_METADATA!$B$4)*(DATOS!$I$2:$I$20000&lt;&gt;"Lenguaje Musical")*(DATOS!$I$2:$I$20000&lt;&gt;"Coro")*(DATOS!$I$2:$I$20000&lt;&gt;"Conjunto"),DATOS!$K$2:$K$20000)),""))</f>
        <v/>
      </c>
    </row>
    <row r="643" spans="2:23" x14ac:dyDescent="0.2">
      <c r="B643" t="str">
        <f>IF(A643="","",IFERROR(AVERAGEIFS(DATOS!$K$2:$K$20000,DATOS!$A$2:$A$20000,A643,DATOS!$G$2:$G$20000,CONFIG_METADATA!$B$4,DATOS!$I$2:$I$20000,"Lenguaje Musical"),""))</f>
        <v/>
      </c>
      <c r="C643" t="str">
        <f>IF(A643="","",IFERROR(AVERAGEIFS(DATOS!$K$2:$K$20000,DATOS!$A$2:$A$20000,A643,DATOS!$G$2:$G$20000,CONFIG_METADATA!$B$4,DATOS!$I$2:$I$20000,"Coro"),""))</f>
        <v/>
      </c>
      <c r="D643" t="str">
        <f>IF(A643="","",IFERROR(AVERAGEIFS(DATOS!$K$2:$K$20000,DATOS!$A$2:$A$20000,A643,DATOS!$G$2:$G$20000,CONFIG_METADATA!$B$4,DATOS!$I$2:$I$20000,"Conjunto"),""))</f>
        <v/>
      </c>
      <c r="E643" t="str">
        <f>IF(A643="","",IFERROR(AVERAGEIFS(DATOS!$K$2:$K$20000,DATOS!$A$2:$A$20000,A643,DATOS!$G$2:$G$20000,CONFIG_METADATA!$B$4,DATOS!$I$2:$I$20000,"&lt;&gt;Lenguaje Musical",DATOS!$I$2:$I$20000,"&lt;&gt;Coro",DATOS!$I$2:$I$20000,"&lt;&gt;Conjunto"),""))</f>
        <v/>
      </c>
      <c r="H643" t="str">
        <f>IF(G643="","",IFERROR(AVERAGEIFS(DATOS!$K$2:$K$20000,DATOS!$A$2:$A$20000,G643,DATOS!$G$2:$G$20000,CONFIG_METADATA!$B$4,DATOS!$I$2:$I$20000,"Lenguaje Musical"),""))</f>
        <v/>
      </c>
      <c r="I643" t="str">
        <f>IF(G643="","",IFERROR(AVERAGEIFS(DATOS!$K$2:$K$20000,DATOS!$A$2:$A$20000,G643,DATOS!$G$2:$G$20000,CONFIG_METADATA!$B$4,DATOS!$I$2:$I$20000,"Coro"),""))</f>
        <v/>
      </c>
      <c r="J643" t="str">
        <f>IF(G643="","",IFERROR(AVERAGEIFS(DATOS!$K$2:$K$20000,DATOS!$A$2:$A$20000,G643,DATOS!$G$2:$G$20000,CONFIG_METADATA!$B$4,DATOS!$I$2:$I$20000,"Conjunto"),""))</f>
        <v/>
      </c>
      <c r="K643" t="str" cm="1">
        <f t="array" ref="K643">IF(G643="","",IFERROR(AVERAGE(IF((DATOS!$A$2:$A$20000=G643)*(DATOS!$G$2:$G$20000=CONFIG_METADATA!$B$4)*(DATOS!$I$2:$I$20000&lt;&gt;"Lenguaje Musical")*(DATOS!$I$2:$I$20000&lt;&gt;"Coro")*(DATOS!$I$2:$I$20000&lt;&gt;"Conjunto"),DATOS!$K$2:$K$20000)),""))</f>
        <v/>
      </c>
      <c r="N643" t="str">
        <f>IF(M643="","",IFERROR(AVERAGEIFS(DATOS!$K$2:$K$20000,DATOS!$A$2:$A$20000,M643,DATOS!$G$2:$G$20000,CONFIG_METADATA!$B$4,DATOS!$I$2:$I$20000,"Lenguaje Musical"),""))</f>
        <v/>
      </c>
      <c r="O643" t="str">
        <f>IF(M643="","",IFERROR(AVERAGEIFS(DATOS!$K$2:$K$20000,DATOS!$A$2:$A$20000,M643,DATOS!$G$2:$G$20000,CONFIG_METADATA!$B$4,DATOS!$I$2:$I$20000,"Coro"),""))</f>
        <v/>
      </c>
      <c r="P643" t="str">
        <f>IF(M643="","",IFERROR(AVERAGEIFS(DATOS!$K$2:$K$20000,DATOS!$A$2:$A$20000,M643,DATOS!$G$2:$G$20000,CONFIG_METADATA!$B$4,DATOS!$I$2:$I$20000,"Conjunto"),""))</f>
        <v/>
      </c>
      <c r="Q643" t="str">
        <f>IF(M643="","",IFERROR(AVERAGEIFS(DATOS!$K$2:$K$20000,DATOS!$A$2:$A$20000,M643,DATOS!$G$2:$G$20000,CONFIG_METADATA!$B$4,DATOS!$I$2:$I$20000,"&lt;&gt;Lenguaje Musical",DATOS!$I$2:$I$20000,"&lt;&gt;Coro",DATOS!$I$2:$I$20000,"&lt;&gt;Conjunto"),""))</f>
        <v/>
      </c>
      <c r="T643" t="str">
        <f>IF(S643="","",IFERROR(AVERAGEIFS(DATOS!$K$2:$K$20000,DATOS!$A$2:$A$20000,S643,DATOS!$G$2:$G$20000,CONFIG_METADATA!$B$4,DATOS!$I$2:$I$20000,"Lenguaje Musical"),""))</f>
        <v/>
      </c>
      <c r="U643" t="str">
        <f>IF(S643="","",IFERROR(AVERAGEIFS(DATOS!$K$2:$K$20000,DATOS!$A$2:$A$20000,S643,DATOS!$G$2:$G$20000,CONFIG_METADATA!$B$4,DATOS!$I$2:$I$20000,"Coro"),""))</f>
        <v/>
      </c>
      <c r="V643" t="str">
        <f>IF(S643="","",IFERROR(AVERAGEIFS(DATOS!$K$2:$K$20000,DATOS!$A$2:$A$20000,S643,DATOS!$G$2:$G$20000,CONFIG_METADATA!$B$4,DATOS!$I$2:$I$20000,"Conjunto"),""))</f>
        <v/>
      </c>
      <c r="W643" t="str" cm="1">
        <f t="array" ref="W643">IF(S643="","",IFERROR(AVERAGE(IF((DATOS!$A$2:$A$20000=S643)*(DATOS!$G$2:$G$20000=CONFIG_METADATA!$B$4)*(DATOS!$I$2:$I$20000&lt;&gt;"Lenguaje Musical")*(DATOS!$I$2:$I$20000&lt;&gt;"Coro")*(DATOS!$I$2:$I$20000&lt;&gt;"Conjunto"),DATOS!$K$2:$K$20000)),""))</f>
        <v/>
      </c>
    </row>
    <row r="644" spans="2:23" x14ac:dyDescent="0.2">
      <c r="B644" t="str">
        <f>IF(A644="","",IFERROR(AVERAGEIFS(DATOS!$K$2:$K$20000,DATOS!$A$2:$A$20000,A644,DATOS!$G$2:$G$20000,CONFIG_METADATA!$B$4,DATOS!$I$2:$I$20000,"Lenguaje Musical"),""))</f>
        <v/>
      </c>
      <c r="C644" t="str">
        <f>IF(A644="","",IFERROR(AVERAGEIFS(DATOS!$K$2:$K$20000,DATOS!$A$2:$A$20000,A644,DATOS!$G$2:$G$20000,CONFIG_METADATA!$B$4,DATOS!$I$2:$I$20000,"Coro"),""))</f>
        <v/>
      </c>
      <c r="D644" t="str">
        <f>IF(A644="","",IFERROR(AVERAGEIFS(DATOS!$K$2:$K$20000,DATOS!$A$2:$A$20000,A644,DATOS!$G$2:$G$20000,CONFIG_METADATA!$B$4,DATOS!$I$2:$I$20000,"Conjunto"),""))</f>
        <v/>
      </c>
      <c r="E644" t="str">
        <f>IF(A644="","",IFERROR(AVERAGEIFS(DATOS!$K$2:$K$20000,DATOS!$A$2:$A$20000,A644,DATOS!$G$2:$G$20000,CONFIG_METADATA!$B$4,DATOS!$I$2:$I$20000,"&lt;&gt;Lenguaje Musical",DATOS!$I$2:$I$20000,"&lt;&gt;Coro",DATOS!$I$2:$I$20000,"&lt;&gt;Conjunto"),""))</f>
        <v/>
      </c>
      <c r="H644" t="str">
        <f>IF(G644="","",IFERROR(AVERAGEIFS(DATOS!$K$2:$K$20000,DATOS!$A$2:$A$20000,G644,DATOS!$G$2:$G$20000,CONFIG_METADATA!$B$4,DATOS!$I$2:$I$20000,"Lenguaje Musical"),""))</f>
        <v/>
      </c>
      <c r="I644" t="str">
        <f>IF(G644="","",IFERROR(AVERAGEIFS(DATOS!$K$2:$K$20000,DATOS!$A$2:$A$20000,G644,DATOS!$G$2:$G$20000,CONFIG_METADATA!$B$4,DATOS!$I$2:$I$20000,"Coro"),""))</f>
        <v/>
      </c>
      <c r="J644" t="str">
        <f>IF(G644="","",IFERROR(AVERAGEIFS(DATOS!$K$2:$K$20000,DATOS!$A$2:$A$20000,G644,DATOS!$G$2:$G$20000,CONFIG_METADATA!$B$4,DATOS!$I$2:$I$20000,"Conjunto"),""))</f>
        <v/>
      </c>
      <c r="K644" t="str" cm="1">
        <f t="array" ref="K644">IF(G644="","",IFERROR(AVERAGE(IF((DATOS!$A$2:$A$20000=G644)*(DATOS!$G$2:$G$20000=CONFIG_METADATA!$B$4)*(DATOS!$I$2:$I$20000&lt;&gt;"Lenguaje Musical")*(DATOS!$I$2:$I$20000&lt;&gt;"Coro")*(DATOS!$I$2:$I$20000&lt;&gt;"Conjunto"),DATOS!$K$2:$K$20000)),""))</f>
        <v/>
      </c>
      <c r="N644" t="str">
        <f>IF(M644="","",IFERROR(AVERAGEIFS(DATOS!$K$2:$K$20000,DATOS!$A$2:$A$20000,M644,DATOS!$G$2:$G$20000,CONFIG_METADATA!$B$4,DATOS!$I$2:$I$20000,"Lenguaje Musical"),""))</f>
        <v/>
      </c>
      <c r="O644" t="str">
        <f>IF(M644="","",IFERROR(AVERAGEIFS(DATOS!$K$2:$K$20000,DATOS!$A$2:$A$20000,M644,DATOS!$G$2:$G$20000,CONFIG_METADATA!$B$4,DATOS!$I$2:$I$20000,"Coro"),""))</f>
        <v/>
      </c>
      <c r="P644" t="str">
        <f>IF(M644="","",IFERROR(AVERAGEIFS(DATOS!$K$2:$K$20000,DATOS!$A$2:$A$20000,M644,DATOS!$G$2:$G$20000,CONFIG_METADATA!$B$4,DATOS!$I$2:$I$20000,"Conjunto"),""))</f>
        <v/>
      </c>
      <c r="Q644" t="str">
        <f>IF(M644="","",IFERROR(AVERAGEIFS(DATOS!$K$2:$K$20000,DATOS!$A$2:$A$20000,M644,DATOS!$G$2:$G$20000,CONFIG_METADATA!$B$4,DATOS!$I$2:$I$20000,"&lt;&gt;Lenguaje Musical",DATOS!$I$2:$I$20000,"&lt;&gt;Coro",DATOS!$I$2:$I$20000,"&lt;&gt;Conjunto"),""))</f>
        <v/>
      </c>
      <c r="T644" t="str">
        <f>IF(S644="","",IFERROR(AVERAGEIFS(DATOS!$K$2:$K$20000,DATOS!$A$2:$A$20000,S644,DATOS!$G$2:$G$20000,CONFIG_METADATA!$B$4,DATOS!$I$2:$I$20000,"Lenguaje Musical"),""))</f>
        <v/>
      </c>
      <c r="U644" t="str">
        <f>IF(S644="","",IFERROR(AVERAGEIFS(DATOS!$K$2:$K$20000,DATOS!$A$2:$A$20000,S644,DATOS!$G$2:$G$20000,CONFIG_METADATA!$B$4,DATOS!$I$2:$I$20000,"Coro"),""))</f>
        <v/>
      </c>
      <c r="V644" t="str">
        <f>IF(S644="","",IFERROR(AVERAGEIFS(DATOS!$K$2:$K$20000,DATOS!$A$2:$A$20000,S644,DATOS!$G$2:$G$20000,CONFIG_METADATA!$B$4,DATOS!$I$2:$I$20000,"Conjunto"),""))</f>
        <v/>
      </c>
      <c r="W644" t="str" cm="1">
        <f t="array" ref="W644">IF(S644="","",IFERROR(AVERAGE(IF((DATOS!$A$2:$A$20000=S644)*(DATOS!$G$2:$G$20000=CONFIG_METADATA!$B$4)*(DATOS!$I$2:$I$20000&lt;&gt;"Lenguaje Musical")*(DATOS!$I$2:$I$20000&lt;&gt;"Coro")*(DATOS!$I$2:$I$20000&lt;&gt;"Conjunto"),DATOS!$K$2:$K$20000)),""))</f>
        <v/>
      </c>
    </row>
    <row r="645" spans="2:23" x14ac:dyDescent="0.2">
      <c r="B645" t="str">
        <f>IF(A645="","",IFERROR(AVERAGEIFS(DATOS!$K$2:$K$20000,DATOS!$A$2:$A$20000,A645,DATOS!$G$2:$G$20000,CONFIG_METADATA!$B$4,DATOS!$I$2:$I$20000,"Lenguaje Musical"),""))</f>
        <v/>
      </c>
      <c r="C645" t="str">
        <f>IF(A645="","",IFERROR(AVERAGEIFS(DATOS!$K$2:$K$20000,DATOS!$A$2:$A$20000,A645,DATOS!$G$2:$G$20000,CONFIG_METADATA!$B$4,DATOS!$I$2:$I$20000,"Coro"),""))</f>
        <v/>
      </c>
      <c r="D645" t="str">
        <f>IF(A645="","",IFERROR(AVERAGEIFS(DATOS!$K$2:$K$20000,DATOS!$A$2:$A$20000,A645,DATOS!$G$2:$G$20000,CONFIG_METADATA!$B$4,DATOS!$I$2:$I$20000,"Conjunto"),""))</f>
        <v/>
      </c>
      <c r="E645" t="str">
        <f>IF(A645="","",IFERROR(AVERAGEIFS(DATOS!$K$2:$K$20000,DATOS!$A$2:$A$20000,A645,DATOS!$G$2:$G$20000,CONFIG_METADATA!$B$4,DATOS!$I$2:$I$20000,"&lt;&gt;Lenguaje Musical",DATOS!$I$2:$I$20000,"&lt;&gt;Coro",DATOS!$I$2:$I$20000,"&lt;&gt;Conjunto"),""))</f>
        <v/>
      </c>
      <c r="H645" t="str">
        <f>IF(G645="","",IFERROR(AVERAGEIFS(DATOS!$K$2:$K$20000,DATOS!$A$2:$A$20000,G645,DATOS!$G$2:$G$20000,CONFIG_METADATA!$B$4,DATOS!$I$2:$I$20000,"Lenguaje Musical"),""))</f>
        <v/>
      </c>
      <c r="I645" t="str">
        <f>IF(G645="","",IFERROR(AVERAGEIFS(DATOS!$K$2:$K$20000,DATOS!$A$2:$A$20000,G645,DATOS!$G$2:$G$20000,CONFIG_METADATA!$B$4,DATOS!$I$2:$I$20000,"Coro"),""))</f>
        <v/>
      </c>
      <c r="J645" t="str">
        <f>IF(G645="","",IFERROR(AVERAGEIFS(DATOS!$K$2:$K$20000,DATOS!$A$2:$A$20000,G645,DATOS!$G$2:$G$20000,CONFIG_METADATA!$B$4,DATOS!$I$2:$I$20000,"Conjunto"),""))</f>
        <v/>
      </c>
      <c r="K645" t="str" cm="1">
        <f t="array" ref="K645">IF(G645="","",IFERROR(AVERAGE(IF((DATOS!$A$2:$A$20000=G645)*(DATOS!$G$2:$G$20000=CONFIG_METADATA!$B$4)*(DATOS!$I$2:$I$20000&lt;&gt;"Lenguaje Musical")*(DATOS!$I$2:$I$20000&lt;&gt;"Coro")*(DATOS!$I$2:$I$20000&lt;&gt;"Conjunto"),DATOS!$K$2:$K$20000)),""))</f>
        <v/>
      </c>
      <c r="N645" t="str">
        <f>IF(M645="","",IFERROR(AVERAGEIFS(DATOS!$K$2:$K$20000,DATOS!$A$2:$A$20000,M645,DATOS!$G$2:$G$20000,CONFIG_METADATA!$B$4,DATOS!$I$2:$I$20000,"Lenguaje Musical"),""))</f>
        <v/>
      </c>
      <c r="O645" t="str">
        <f>IF(M645="","",IFERROR(AVERAGEIFS(DATOS!$K$2:$K$20000,DATOS!$A$2:$A$20000,M645,DATOS!$G$2:$G$20000,CONFIG_METADATA!$B$4,DATOS!$I$2:$I$20000,"Coro"),""))</f>
        <v/>
      </c>
      <c r="P645" t="str">
        <f>IF(M645="","",IFERROR(AVERAGEIFS(DATOS!$K$2:$K$20000,DATOS!$A$2:$A$20000,M645,DATOS!$G$2:$G$20000,CONFIG_METADATA!$B$4,DATOS!$I$2:$I$20000,"Conjunto"),""))</f>
        <v/>
      </c>
      <c r="Q645" t="str">
        <f>IF(M645="","",IFERROR(AVERAGEIFS(DATOS!$K$2:$K$20000,DATOS!$A$2:$A$20000,M645,DATOS!$G$2:$G$20000,CONFIG_METADATA!$B$4,DATOS!$I$2:$I$20000,"&lt;&gt;Lenguaje Musical",DATOS!$I$2:$I$20000,"&lt;&gt;Coro",DATOS!$I$2:$I$20000,"&lt;&gt;Conjunto"),""))</f>
        <v/>
      </c>
      <c r="T645" t="str">
        <f>IF(S645="","",IFERROR(AVERAGEIFS(DATOS!$K$2:$K$20000,DATOS!$A$2:$A$20000,S645,DATOS!$G$2:$G$20000,CONFIG_METADATA!$B$4,DATOS!$I$2:$I$20000,"Lenguaje Musical"),""))</f>
        <v/>
      </c>
      <c r="U645" t="str">
        <f>IF(S645="","",IFERROR(AVERAGEIFS(DATOS!$K$2:$K$20000,DATOS!$A$2:$A$20000,S645,DATOS!$G$2:$G$20000,CONFIG_METADATA!$B$4,DATOS!$I$2:$I$20000,"Coro"),""))</f>
        <v/>
      </c>
      <c r="V645" t="str">
        <f>IF(S645="","",IFERROR(AVERAGEIFS(DATOS!$K$2:$K$20000,DATOS!$A$2:$A$20000,S645,DATOS!$G$2:$G$20000,CONFIG_METADATA!$B$4,DATOS!$I$2:$I$20000,"Conjunto"),""))</f>
        <v/>
      </c>
      <c r="W645" t="str" cm="1">
        <f t="array" ref="W645">IF(S645="","",IFERROR(AVERAGE(IF((DATOS!$A$2:$A$20000=S645)*(DATOS!$G$2:$G$20000=CONFIG_METADATA!$B$4)*(DATOS!$I$2:$I$20000&lt;&gt;"Lenguaje Musical")*(DATOS!$I$2:$I$20000&lt;&gt;"Coro")*(DATOS!$I$2:$I$20000&lt;&gt;"Conjunto"),DATOS!$K$2:$K$20000)),""))</f>
        <v/>
      </c>
    </row>
    <row r="646" spans="2:23" x14ac:dyDescent="0.2">
      <c r="B646" t="str">
        <f>IF(A646="","",IFERROR(AVERAGEIFS(DATOS!$K$2:$K$20000,DATOS!$A$2:$A$20000,A646,DATOS!$G$2:$G$20000,CONFIG_METADATA!$B$4,DATOS!$I$2:$I$20000,"Lenguaje Musical"),""))</f>
        <v/>
      </c>
      <c r="C646" t="str">
        <f>IF(A646="","",IFERROR(AVERAGEIFS(DATOS!$K$2:$K$20000,DATOS!$A$2:$A$20000,A646,DATOS!$G$2:$G$20000,CONFIG_METADATA!$B$4,DATOS!$I$2:$I$20000,"Coro"),""))</f>
        <v/>
      </c>
      <c r="D646" t="str">
        <f>IF(A646="","",IFERROR(AVERAGEIFS(DATOS!$K$2:$K$20000,DATOS!$A$2:$A$20000,A646,DATOS!$G$2:$G$20000,CONFIG_METADATA!$B$4,DATOS!$I$2:$I$20000,"Conjunto"),""))</f>
        <v/>
      </c>
      <c r="E646" t="str">
        <f>IF(A646="","",IFERROR(AVERAGEIFS(DATOS!$K$2:$K$20000,DATOS!$A$2:$A$20000,A646,DATOS!$G$2:$G$20000,CONFIG_METADATA!$B$4,DATOS!$I$2:$I$20000,"&lt;&gt;Lenguaje Musical",DATOS!$I$2:$I$20000,"&lt;&gt;Coro",DATOS!$I$2:$I$20000,"&lt;&gt;Conjunto"),""))</f>
        <v/>
      </c>
      <c r="H646" t="str">
        <f>IF(G646="","",IFERROR(AVERAGEIFS(DATOS!$K$2:$K$20000,DATOS!$A$2:$A$20000,G646,DATOS!$G$2:$G$20000,CONFIG_METADATA!$B$4,DATOS!$I$2:$I$20000,"Lenguaje Musical"),""))</f>
        <v/>
      </c>
      <c r="I646" t="str">
        <f>IF(G646="","",IFERROR(AVERAGEIFS(DATOS!$K$2:$K$20000,DATOS!$A$2:$A$20000,G646,DATOS!$G$2:$G$20000,CONFIG_METADATA!$B$4,DATOS!$I$2:$I$20000,"Coro"),""))</f>
        <v/>
      </c>
      <c r="J646" t="str">
        <f>IF(G646="","",IFERROR(AVERAGEIFS(DATOS!$K$2:$K$20000,DATOS!$A$2:$A$20000,G646,DATOS!$G$2:$G$20000,CONFIG_METADATA!$B$4,DATOS!$I$2:$I$20000,"Conjunto"),""))</f>
        <v/>
      </c>
      <c r="K646" t="str" cm="1">
        <f t="array" ref="K646">IF(G646="","",IFERROR(AVERAGE(IF((DATOS!$A$2:$A$20000=G646)*(DATOS!$G$2:$G$20000=CONFIG_METADATA!$B$4)*(DATOS!$I$2:$I$20000&lt;&gt;"Lenguaje Musical")*(DATOS!$I$2:$I$20000&lt;&gt;"Coro")*(DATOS!$I$2:$I$20000&lt;&gt;"Conjunto"),DATOS!$K$2:$K$20000)),""))</f>
        <v/>
      </c>
      <c r="N646" t="str">
        <f>IF(M646="","",IFERROR(AVERAGEIFS(DATOS!$K$2:$K$20000,DATOS!$A$2:$A$20000,M646,DATOS!$G$2:$G$20000,CONFIG_METADATA!$B$4,DATOS!$I$2:$I$20000,"Lenguaje Musical"),""))</f>
        <v/>
      </c>
      <c r="O646" t="str">
        <f>IF(M646="","",IFERROR(AVERAGEIFS(DATOS!$K$2:$K$20000,DATOS!$A$2:$A$20000,M646,DATOS!$G$2:$G$20000,CONFIG_METADATA!$B$4,DATOS!$I$2:$I$20000,"Coro"),""))</f>
        <v/>
      </c>
      <c r="P646" t="str">
        <f>IF(M646="","",IFERROR(AVERAGEIFS(DATOS!$K$2:$K$20000,DATOS!$A$2:$A$20000,M646,DATOS!$G$2:$G$20000,CONFIG_METADATA!$B$4,DATOS!$I$2:$I$20000,"Conjunto"),""))</f>
        <v/>
      </c>
      <c r="Q646" t="str">
        <f>IF(M646="","",IFERROR(AVERAGEIFS(DATOS!$K$2:$K$20000,DATOS!$A$2:$A$20000,M646,DATOS!$G$2:$G$20000,CONFIG_METADATA!$B$4,DATOS!$I$2:$I$20000,"&lt;&gt;Lenguaje Musical",DATOS!$I$2:$I$20000,"&lt;&gt;Coro",DATOS!$I$2:$I$20000,"&lt;&gt;Conjunto"),""))</f>
        <v/>
      </c>
      <c r="T646" t="str">
        <f>IF(S646="","",IFERROR(AVERAGEIFS(DATOS!$K$2:$K$20000,DATOS!$A$2:$A$20000,S646,DATOS!$G$2:$G$20000,CONFIG_METADATA!$B$4,DATOS!$I$2:$I$20000,"Lenguaje Musical"),""))</f>
        <v/>
      </c>
      <c r="U646" t="str">
        <f>IF(S646="","",IFERROR(AVERAGEIFS(DATOS!$K$2:$K$20000,DATOS!$A$2:$A$20000,S646,DATOS!$G$2:$G$20000,CONFIG_METADATA!$B$4,DATOS!$I$2:$I$20000,"Coro"),""))</f>
        <v/>
      </c>
      <c r="V646" t="str">
        <f>IF(S646="","",IFERROR(AVERAGEIFS(DATOS!$K$2:$K$20000,DATOS!$A$2:$A$20000,S646,DATOS!$G$2:$G$20000,CONFIG_METADATA!$B$4,DATOS!$I$2:$I$20000,"Conjunto"),""))</f>
        <v/>
      </c>
      <c r="W646" t="str" cm="1">
        <f t="array" ref="W646">IF(S646="","",IFERROR(AVERAGE(IF((DATOS!$A$2:$A$20000=S646)*(DATOS!$G$2:$G$20000=CONFIG_METADATA!$B$4)*(DATOS!$I$2:$I$20000&lt;&gt;"Lenguaje Musical")*(DATOS!$I$2:$I$20000&lt;&gt;"Coro")*(DATOS!$I$2:$I$20000&lt;&gt;"Conjunto"),DATOS!$K$2:$K$20000)),""))</f>
        <v/>
      </c>
    </row>
    <row r="647" spans="2:23" x14ac:dyDescent="0.2">
      <c r="B647" t="str">
        <f>IF(A647="","",IFERROR(AVERAGEIFS(DATOS!$K$2:$K$20000,DATOS!$A$2:$A$20000,A647,DATOS!$G$2:$G$20000,CONFIG_METADATA!$B$4,DATOS!$I$2:$I$20000,"Lenguaje Musical"),""))</f>
        <v/>
      </c>
      <c r="C647" t="str">
        <f>IF(A647="","",IFERROR(AVERAGEIFS(DATOS!$K$2:$K$20000,DATOS!$A$2:$A$20000,A647,DATOS!$G$2:$G$20000,CONFIG_METADATA!$B$4,DATOS!$I$2:$I$20000,"Coro"),""))</f>
        <v/>
      </c>
      <c r="D647" t="str">
        <f>IF(A647="","",IFERROR(AVERAGEIFS(DATOS!$K$2:$K$20000,DATOS!$A$2:$A$20000,A647,DATOS!$G$2:$G$20000,CONFIG_METADATA!$B$4,DATOS!$I$2:$I$20000,"Conjunto"),""))</f>
        <v/>
      </c>
      <c r="E647" t="str">
        <f>IF(A647="","",IFERROR(AVERAGEIFS(DATOS!$K$2:$K$20000,DATOS!$A$2:$A$20000,A647,DATOS!$G$2:$G$20000,CONFIG_METADATA!$B$4,DATOS!$I$2:$I$20000,"&lt;&gt;Lenguaje Musical",DATOS!$I$2:$I$20000,"&lt;&gt;Coro",DATOS!$I$2:$I$20000,"&lt;&gt;Conjunto"),""))</f>
        <v/>
      </c>
      <c r="H647" t="str">
        <f>IF(G647="","",IFERROR(AVERAGEIFS(DATOS!$K$2:$K$20000,DATOS!$A$2:$A$20000,G647,DATOS!$G$2:$G$20000,CONFIG_METADATA!$B$4,DATOS!$I$2:$I$20000,"Lenguaje Musical"),""))</f>
        <v/>
      </c>
      <c r="I647" t="str">
        <f>IF(G647="","",IFERROR(AVERAGEIFS(DATOS!$K$2:$K$20000,DATOS!$A$2:$A$20000,G647,DATOS!$G$2:$G$20000,CONFIG_METADATA!$B$4,DATOS!$I$2:$I$20000,"Coro"),""))</f>
        <v/>
      </c>
      <c r="J647" t="str">
        <f>IF(G647="","",IFERROR(AVERAGEIFS(DATOS!$K$2:$K$20000,DATOS!$A$2:$A$20000,G647,DATOS!$G$2:$G$20000,CONFIG_METADATA!$B$4,DATOS!$I$2:$I$20000,"Conjunto"),""))</f>
        <v/>
      </c>
      <c r="K647" t="str" cm="1">
        <f t="array" ref="K647">IF(G647="","",IFERROR(AVERAGE(IF((DATOS!$A$2:$A$20000=G647)*(DATOS!$G$2:$G$20000=CONFIG_METADATA!$B$4)*(DATOS!$I$2:$I$20000&lt;&gt;"Lenguaje Musical")*(DATOS!$I$2:$I$20000&lt;&gt;"Coro")*(DATOS!$I$2:$I$20000&lt;&gt;"Conjunto"),DATOS!$K$2:$K$20000)),""))</f>
        <v/>
      </c>
      <c r="N647" t="str">
        <f>IF(M647="","",IFERROR(AVERAGEIFS(DATOS!$K$2:$K$20000,DATOS!$A$2:$A$20000,M647,DATOS!$G$2:$G$20000,CONFIG_METADATA!$B$4,DATOS!$I$2:$I$20000,"Lenguaje Musical"),""))</f>
        <v/>
      </c>
      <c r="O647" t="str">
        <f>IF(M647="","",IFERROR(AVERAGEIFS(DATOS!$K$2:$K$20000,DATOS!$A$2:$A$20000,M647,DATOS!$G$2:$G$20000,CONFIG_METADATA!$B$4,DATOS!$I$2:$I$20000,"Coro"),""))</f>
        <v/>
      </c>
      <c r="P647" t="str">
        <f>IF(M647="","",IFERROR(AVERAGEIFS(DATOS!$K$2:$K$20000,DATOS!$A$2:$A$20000,M647,DATOS!$G$2:$G$20000,CONFIG_METADATA!$B$4,DATOS!$I$2:$I$20000,"Conjunto"),""))</f>
        <v/>
      </c>
      <c r="Q647" t="str">
        <f>IF(M647="","",IFERROR(AVERAGEIFS(DATOS!$K$2:$K$20000,DATOS!$A$2:$A$20000,M647,DATOS!$G$2:$G$20000,CONFIG_METADATA!$B$4,DATOS!$I$2:$I$20000,"&lt;&gt;Lenguaje Musical",DATOS!$I$2:$I$20000,"&lt;&gt;Coro",DATOS!$I$2:$I$20000,"&lt;&gt;Conjunto"),""))</f>
        <v/>
      </c>
      <c r="T647" t="str">
        <f>IF(S647="","",IFERROR(AVERAGEIFS(DATOS!$K$2:$K$20000,DATOS!$A$2:$A$20000,S647,DATOS!$G$2:$G$20000,CONFIG_METADATA!$B$4,DATOS!$I$2:$I$20000,"Lenguaje Musical"),""))</f>
        <v/>
      </c>
      <c r="U647" t="str">
        <f>IF(S647="","",IFERROR(AVERAGEIFS(DATOS!$K$2:$K$20000,DATOS!$A$2:$A$20000,S647,DATOS!$G$2:$G$20000,CONFIG_METADATA!$B$4,DATOS!$I$2:$I$20000,"Coro"),""))</f>
        <v/>
      </c>
      <c r="V647" t="str">
        <f>IF(S647="","",IFERROR(AVERAGEIFS(DATOS!$K$2:$K$20000,DATOS!$A$2:$A$20000,S647,DATOS!$G$2:$G$20000,CONFIG_METADATA!$B$4,DATOS!$I$2:$I$20000,"Conjunto"),""))</f>
        <v/>
      </c>
      <c r="W647" t="str" cm="1">
        <f t="array" ref="W647">IF(S647="","",IFERROR(AVERAGE(IF((DATOS!$A$2:$A$20000=S647)*(DATOS!$G$2:$G$20000=CONFIG_METADATA!$B$4)*(DATOS!$I$2:$I$20000&lt;&gt;"Lenguaje Musical")*(DATOS!$I$2:$I$20000&lt;&gt;"Coro")*(DATOS!$I$2:$I$20000&lt;&gt;"Conjunto"),DATOS!$K$2:$K$20000)),""))</f>
        <v/>
      </c>
    </row>
    <row r="648" spans="2:23" x14ac:dyDescent="0.2">
      <c r="B648" t="str">
        <f>IF(A648="","",IFERROR(AVERAGEIFS(DATOS!$K$2:$K$20000,DATOS!$A$2:$A$20000,A648,DATOS!$G$2:$G$20000,CONFIG_METADATA!$B$4,DATOS!$I$2:$I$20000,"Lenguaje Musical"),""))</f>
        <v/>
      </c>
      <c r="C648" t="str">
        <f>IF(A648="","",IFERROR(AVERAGEIFS(DATOS!$K$2:$K$20000,DATOS!$A$2:$A$20000,A648,DATOS!$G$2:$G$20000,CONFIG_METADATA!$B$4,DATOS!$I$2:$I$20000,"Coro"),""))</f>
        <v/>
      </c>
      <c r="D648" t="str">
        <f>IF(A648="","",IFERROR(AVERAGEIFS(DATOS!$K$2:$K$20000,DATOS!$A$2:$A$20000,A648,DATOS!$G$2:$G$20000,CONFIG_METADATA!$B$4,DATOS!$I$2:$I$20000,"Conjunto"),""))</f>
        <v/>
      </c>
      <c r="E648" t="str">
        <f>IF(A648="","",IFERROR(AVERAGEIFS(DATOS!$K$2:$K$20000,DATOS!$A$2:$A$20000,A648,DATOS!$G$2:$G$20000,CONFIG_METADATA!$B$4,DATOS!$I$2:$I$20000,"&lt;&gt;Lenguaje Musical",DATOS!$I$2:$I$20000,"&lt;&gt;Coro",DATOS!$I$2:$I$20000,"&lt;&gt;Conjunto"),""))</f>
        <v/>
      </c>
      <c r="H648" t="str">
        <f>IF(G648="","",IFERROR(AVERAGEIFS(DATOS!$K$2:$K$20000,DATOS!$A$2:$A$20000,G648,DATOS!$G$2:$G$20000,CONFIG_METADATA!$B$4,DATOS!$I$2:$I$20000,"Lenguaje Musical"),""))</f>
        <v/>
      </c>
      <c r="I648" t="str">
        <f>IF(G648="","",IFERROR(AVERAGEIFS(DATOS!$K$2:$K$20000,DATOS!$A$2:$A$20000,G648,DATOS!$G$2:$G$20000,CONFIG_METADATA!$B$4,DATOS!$I$2:$I$20000,"Coro"),""))</f>
        <v/>
      </c>
      <c r="J648" t="str">
        <f>IF(G648="","",IFERROR(AVERAGEIFS(DATOS!$K$2:$K$20000,DATOS!$A$2:$A$20000,G648,DATOS!$G$2:$G$20000,CONFIG_METADATA!$B$4,DATOS!$I$2:$I$20000,"Conjunto"),""))</f>
        <v/>
      </c>
      <c r="K648" t="str" cm="1">
        <f t="array" ref="K648">IF(G648="","",IFERROR(AVERAGE(IF((DATOS!$A$2:$A$20000=G648)*(DATOS!$G$2:$G$20000=CONFIG_METADATA!$B$4)*(DATOS!$I$2:$I$20000&lt;&gt;"Lenguaje Musical")*(DATOS!$I$2:$I$20000&lt;&gt;"Coro")*(DATOS!$I$2:$I$20000&lt;&gt;"Conjunto"),DATOS!$K$2:$K$20000)),""))</f>
        <v/>
      </c>
      <c r="N648" t="str">
        <f>IF(M648="","",IFERROR(AVERAGEIFS(DATOS!$K$2:$K$20000,DATOS!$A$2:$A$20000,M648,DATOS!$G$2:$G$20000,CONFIG_METADATA!$B$4,DATOS!$I$2:$I$20000,"Lenguaje Musical"),""))</f>
        <v/>
      </c>
      <c r="O648" t="str">
        <f>IF(M648="","",IFERROR(AVERAGEIFS(DATOS!$K$2:$K$20000,DATOS!$A$2:$A$20000,M648,DATOS!$G$2:$G$20000,CONFIG_METADATA!$B$4,DATOS!$I$2:$I$20000,"Coro"),""))</f>
        <v/>
      </c>
      <c r="P648" t="str">
        <f>IF(M648="","",IFERROR(AVERAGEIFS(DATOS!$K$2:$K$20000,DATOS!$A$2:$A$20000,M648,DATOS!$G$2:$G$20000,CONFIG_METADATA!$B$4,DATOS!$I$2:$I$20000,"Conjunto"),""))</f>
        <v/>
      </c>
      <c r="Q648" t="str">
        <f>IF(M648="","",IFERROR(AVERAGEIFS(DATOS!$K$2:$K$20000,DATOS!$A$2:$A$20000,M648,DATOS!$G$2:$G$20000,CONFIG_METADATA!$B$4,DATOS!$I$2:$I$20000,"&lt;&gt;Lenguaje Musical",DATOS!$I$2:$I$20000,"&lt;&gt;Coro",DATOS!$I$2:$I$20000,"&lt;&gt;Conjunto"),""))</f>
        <v/>
      </c>
      <c r="T648" t="str">
        <f>IF(S648="","",IFERROR(AVERAGEIFS(DATOS!$K$2:$K$20000,DATOS!$A$2:$A$20000,S648,DATOS!$G$2:$G$20000,CONFIG_METADATA!$B$4,DATOS!$I$2:$I$20000,"Lenguaje Musical"),""))</f>
        <v/>
      </c>
      <c r="U648" t="str">
        <f>IF(S648="","",IFERROR(AVERAGEIFS(DATOS!$K$2:$K$20000,DATOS!$A$2:$A$20000,S648,DATOS!$G$2:$G$20000,CONFIG_METADATA!$B$4,DATOS!$I$2:$I$20000,"Coro"),""))</f>
        <v/>
      </c>
      <c r="V648" t="str">
        <f>IF(S648="","",IFERROR(AVERAGEIFS(DATOS!$K$2:$K$20000,DATOS!$A$2:$A$20000,S648,DATOS!$G$2:$G$20000,CONFIG_METADATA!$B$4,DATOS!$I$2:$I$20000,"Conjunto"),""))</f>
        <v/>
      </c>
      <c r="W648" t="str" cm="1">
        <f t="array" ref="W648">IF(S648="","",IFERROR(AVERAGE(IF((DATOS!$A$2:$A$20000=S648)*(DATOS!$G$2:$G$20000=CONFIG_METADATA!$B$4)*(DATOS!$I$2:$I$20000&lt;&gt;"Lenguaje Musical")*(DATOS!$I$2:$I$20000&lt;&gt;"Coro")*(DATOS!$I$2:$I$20000&lt;&gt;"Conjunto"),DATOS!$K$2:$K$20000)),""))</f>
        <v/>
      </c>
    </row>
    <row r="649" spans="2:23" x14ac:dyDescent="0.2">
      <c r="B649" t="str">
        <f>IF(A649="","",IFERROR(AVERAGEIFS(DATOS!$K$2:$K$20000,DATOS!$A$2:$A$20000,A649,DATOS!$G$2:$G$20000,CONFIG_METADATA!$B$4,DATOS!$I$2:$I$20000,"Lenguaje Musical"),""))</f>
        <v/>
      </c>
      <c r="C649" t="str">
        <f>IF(A649="","",IFERROR(AVERAGEIFS(DATOS!$K$2:$K$20000,DATOS!$A$2:$A$20000,A649,DATOS!$G$2:$G$20000,CONFIG_METADATA!$B$4,DATOS!$I$2:$I$20000,"Coro"),""))</f>
        <v/>
      </c>
      <c r="D649" t="str">
        <f>IF(A649="","",IFERROR(AVERAGEIFS(DATOS!$K$2:$K$20000,DATOS!$A$2:$A$20000,A649,DATOS!$G$2:$G$20000,CONFIG_METADATA!$B$4,DATOS!$I$2:$I$20000,"Conjunto"),""))</f>
        <v/>
      </c>
      <c r="E649" t="str">
        <f>IF(A649="","",IFERROR(AVERAGEIFS(DATOS!$K$2:$K$20000,DATOS!$A$2:$A$20000,A649,DATOS!$G$2:$G$20000,CONFIG_METADATA!$B$4,DATOS!$I$2:$I$20000,"&lt;&gt;Lenguaje Musical",DATOS!$I$2:$I$20000,"&lt;&gt;Coro",DATOS!$I$2:$I$20000,"&lt;&gt;Conjunto"),""))</f>
        <v/>
      </c>
      <c r="H649" t="str">
        <f>IF(G649="","",IFERROR(AVERAGEIFS(DATOS!$K$2:$K$20000,DATOS!$A$2:$A$20000,G649,DATOS!$G$2:$G$20000,CONFIG_METADATA!$B$4,DATOS!$I$2:$I$20000,"Lenguaje Musical"),""))</f>
        <v/>
      </c>
      <c r="I649" t="str">
        <f>IF(G649="","",IFERROR(AVERAGEIFS(DATOS!$K$2:$K$20000,DATOS!$A$2:$A$20000,G649,DATOS!$G$2:$G$20000,CONFIG_METADATA!$B$4,DATOS!$I$2:$I$20000,"Coro"),""))</f>
        <v/>
      </c>
      <c r="J649" t="str">
        <f>IF(G649="","",IFERROR(AVERAGEIFS(DATOS!$K$2:$K$20000,DATOS!$A$2:$A$20000,G649,DATOS!$G$2:$G$20000,CONFIG_METADATA!$B$4,DATOS!$I$2:$I$20000,"Conjunto"),""))</f>
        <v/>
      </c>
      <c r="K649" t="str" cm="1">
        <f t="array" ref="K649">IF(G649="","",IFERROR(AVERAGE(IF((DATOS!$A$2:$A$20000=G649)*(DATOS!$G$2:$G$20000=CONFIG_METADATA!$B$4)*(DATOS!$I$2:$I$20000&lt;&gt;"Lenguaje Musical")*(DATOS!$I$2:$I$20000&lt;&gt;"Coro")*(DATOS!$I$2:$I$20000&lt;&gt;"Conjunto"),DATOS!$K$2:$K$20000)),""))</f>
        <v/>
      </c>
      <c r="N649" t="str">
        <f>IF(M649="","",IFERROR(AVERAGEIFS(DATOS!$K$2:$K$20000,DATOS!$A$2:$A$20000,M649,DATOS!$G$2:$G$20000,CONFIG_METADATA!$B$4,DATOS!$I$2:$I$20000,"Lenguaje Musical"),""))</f>
        <v/>
      </c>
      <c r="O649" t="str">
        <f>IF(M649="","",IFERROR(AVERAGEIFS(DATOS!$K$2:$K$20000,DATOS!$A$2:$A$20000,M649,DATOS!$G$2:$G$20000,CONFIG_METADATA!$B$4,DATOS!$I$2:$I$20000,"Coro"),""))</f>
        <v/>
      </c>
      <c r="P649" t="str">
        <f>IF(M649="","",IFERROR(AVERAGEIFS(DATOS!$K$2:$K$20000,DATOS!$A$2:$A$20000,M649,DATOS!$G$2:$G$20000,CONFIG_METADATA!$B$4,DATOS!$I$2:$I$20000,"Conjunto"),""))</f>
        <v/>
      </c>
      <c r="Q649" t="str">
        <f>IF(M649="","",IFERROR(AVERAGEIFS(DATOS!$K$2:$K$20000,DATOS!$A$2:$A$20000,M649,DATOS!$G$2:$G$20000,CONFIG_METADATA!$B$4,DATOS!$I$2:$I$20000,"&lt;&gt;Lenguaje Musical",DATOS!$I$2:$I$20000,"&lt;&gt;Coro",DATOS!$I$2:$I$20000,"&lt;&gt;Conjunto"),""))</f>
        <v/>
      </c>
      <c r="T649" t="str">
        <f>IF(S649="","",IFERROR(AVERAGEIFS(DATOS!$K$2:$K$20000,DATOS!$A$2:$A$20000,S649,DATOS!$G$2:$G$20000,CONFIG_METADATA!$B$4,DATOS!$I$2:$I$20000,"Lenguaje Musical"),""))</f>
        <v/>
      </c>
      <c r="U649" t="str">
        <f>IF(S649="","",IFERROR(AVERAGEIFS(DATOS!$K$2:$K$20000,DATOS!$A$2:$A$20000,S649,DATOS!$G$2:$G$20000,CONFIG_METADATA!$B$4,DATOS!$I$2:$I$20000,"Coro"),""))</f>
        <v/>
      </c>
      <c r="V649" t="str">
        <f>IF(S649="","",IFERROR(AVERAGEIFS(DATOS!$K$2:$K$20000,DATOS!$A$2:$A$20000,S649,DATOS!$G$2:$G$20000,CONFIG_METADATA!$B$4,DATOS!$I$2:$I$20000,"Conjunto"),""))</f>
        <v/>
      </c>
      <c r="W649" t="str" cm="1">
        <f t="array" ref="W649">IF(S649="","",IFERROR(AVERAGE(IF((DATOS!$A$2:$A$20000=S649)*(DATOS!$G$2:$G$20000=CONFIG_METADATA!$B$4)*(DATOS!$I$2:$I$20000&lt;&gt;"Lenguaje Musical")*(DATOS!$I$2:$I$20000&lt;&gt;"Coro")*(DATOS!$I$2:$I$20000&lt;&gt;"Conjunto"),DATOS!$K$2:$K$20000)),""))</f>
        <v/>
      </c>
    </row>
    <row r="650" spans="2:23" x14ac:dyDescent="0.2">
      <c r="B650" t="str">
        <f>IF(A650="","",IFERROR(AVERAGEIFS(DATOS!$K$2:$K$20000,DATOS!$A$2:$A$20000,A650,DATOS!$G$2:$G$20000,CONFIG_METADATA!$B$4,DATOS!$I$2:$I$20000,"Lenguaje Musical"),""))</f>
        <v/>
      </c>
      <c r="C650" t="str">
        <f>IF(A650="","",IFERROR(AVERAGEIFS(DATOS!$K$2:$K$20000,DATOS!$A$2:$A$20000,A650,DATOS!$G$2:$G$20000,CONFIG_METADATA!$B$4,DATOS!$I$2:$I$20000,"Coro"),""))</f>
        <v/>
      </c>
      <c r="D650" t="str">
        <f>IF(A650="","",IFERROR(AVERAGEIFS(DATOS!$K$2:$K$20000,DATOS!$A$2:$A$20000,A650,DATOS!$G$2:$G$20000,CONFIG_METADATA!$B$4,DATOS!$I$2:$I$20000,"Conjunto"),""))</f>
        <v/>
      </c>
      <c r="E650" t="str">
        <f>IF(A650="","",IFERROR(AVERAGEIFS(DATOS!$K$2:$K$20000,DATOS!$A$2:$A$20000,A650,DATOS!$G$2:$G$20000,CONFIG_METADATA!$B$4,DATOS!$I$2:$I$20000,"&lt;&gt;Lenguaje Musical",DATOS!$I$2:$I$20000,"&lt;&gt;Coro",DATOS!$I$2:$I$20000,"&lt;&gt;Conjunto"),""))</f>
        <v/>
      </c>
      <c r="H650" t="str">
        <f>IF(G650="","",IFERROR(AVERAGEIFS(DATOS!$K$2:$K$20000,DATOS!$A$2:$A$20000,G650,DATOS!$G$2:$G$20000,CONFIG_METADATA!$B$4,DATOS!$I$2:$I$20000,"Lenguaje Musical"),""))</f>
        <v/>
      </c>
      <c r="I650" t="str">
        <f>IF(G650="","",IFERROR(AVERAGEIFS(DATOS!$K$2:$K$20000,DATOS!$A$2:$A$20000,G650,DATOS!$G$2:$G$20000,CONFIG_METADATA!$B$4,DATOS!$I$2:$I$20000,"Coro"),""))</f>
        <v/>
      </c>
      <c r="J650" t="str">
        <f>IF(G650="","",IFERROR(AVERAGEIFS(DATOS!$K$2:$K$20000,DATOS!$A$2:$A$20000,G650,DATOS!$G$2:$G$20000,CONFIG_METADATA!$B$4,DATOS!$I$2:$I$20000,"Conjunto"),""))</f>
        <v/>
      </c>
      <c r="K650" t="str" cm="1">
        <f t="array" ref="K650">IF(G650="","",IFERROR(AVERAGE(IF((DATOS!$A$2:$A$20000=G650)*(DATOS!$G$2:$G$20000=CONFIG_METADATA!$B$4)*(DATOS!$I$2:$I$20000&lt;&gt;"Lenguaje Musical")*(DATOS!$I$2:$I$20000&lt;&gt;"Coro")*(DATOS!$I$2:$I$20000&lt;&gt;"Conjunto"),DATOS!$K$2:$K$20000)),""))</f>
        <v/>
      </c>
      <c r="N650" t="str">
        <f>IF(M650="","",IFERROR(AVERAGEIFS(DATOS!$K$2:$K$20000,DATOS!$A$2:$A$20000,M650,DATOS!$G$2:$G$20000,CONFIG_METADATA!$B$4,DATOS!$I$2:$I$20000,"Lenguaje Musical"),""))</f>
        <v/>
      </c>
      <c r="O650" t="str">
        <f>IF(M650="","",IFERROR(AVERAGEIFS(DATOS!$K$2:$K$20000,DATOS!$A$2:$A$20000,M650,DATOS!$G$2:$G$20000,CONFIG_METADATA!$B$4,DATOS!$I$2:$I$20000,"Coro"),""))</f>
        <v/>
      </c>
      <c r="P650" t="str">
        <f>IF(M650="","",IFERROR(AVERAGEIFS(DATOS!$K$2:$K$20000,DATOS!$A$2:$A$20000,M650,DATOS!$G$2:$G$20000,CONFIG_METADATA!$B$4,DATOS!$I$2:$I$20000,"Conjunto"),""))</f>
        <v/>
      </c>
      <c r="Q650" t="str">
        <f>IF(M650="","",IFERROR(AVERAGEIFS(DATOS!$K$2:$K$20000,DATOS!$A$2:$A$20000,M650,DATOS!$G$2:$G$20000,CONFIG_METADATA!$B$4,DATOS!$I$2:$I$20000,"&lt;&gt;Lenguaje Musical",DATOS!$I$2:$I$20000,"&lt;&gt;Coro",DATOS!$I$2:$I$20000,"&lt;&gt;Conjunto"),""))</f>
        <v/>
      </c>
      <c r="T650" t="str">
        <f>IF(S650="","",IFERROR(AVERAGEIFS(DATOS!$K$2:$K$20000,DATOS!$A$2:$A$20000,S650,DATOS!$G$2:$G$20000,CONFIG_METADATA!$B$4,DATOS!$I$2:$I$20000,"Lenguaje Musical"),""))</f>
        <v/>
      </c>
      <c r="U650" t="str">
        <f>IF(S650="","",IFERROR(AVERAGEIFS(DATOS!$K$2:$K$20000,DATOS!$A$2:$A$20000,S650,DATOS!$G$2:$G$20000,CONFIG_METADATA!$B$4,DATOS!$I$2:$I$20000,"Coro"),""))</f>
        <v/>
      </c>
      <c r="V650" t="str">
        <f>IF(S650="","",IFERROR(AVERAGEIFS(DATOS!$K$2:$K$20000,DATOS!$A$2:$A$20000,S650,DATOS!$G$2:$G$20000,CONFIG_METADATA!$B$4,DATOS!$I$2:$I$20000,"Conjunto"),""))</f>
        <v/>
      </c>
      <c r="W650" t="str" cm="1">
        <f t="array" ref="W650">IF(S650="","",IFERROR(AVERAGE(IF((DATOS!$A$2:$A$20000=S650)*(DATOS!$G$2:$G$20000=CONFIG_METADATA!$B$4)*(DATOS!$I$2:$I$20000&lt;&gt;"Lenguaje Musical")*(DATOS!$I$2:$I$20000&lt;&gt;"Coro")*(DATOS!$I$2:$I$20000&lt;&gt;"Conjunto"),DATOS!$K$2:$K$20000)),""))</f>
        <v/>
      </c>
    </row>
    <row r="651" spans="2:23" x14ac:dyDescent="0.2">
      <c r="B651" t="str">
        <f>IF(A651="","",IFERROR(AVERAGEIFS(DATOS!$K$2:$K$20000,DATOS!$A$2:$A$20000,A651,DATOS!$G$2:$G$20000,CONFIG_METADATA!$B$4,DATOS!$I$2:$I$20000,"Lenguaje Musical"),""))</f>
        <v/>
      </c>
      <c r="C651" t="str">
        <f>IF(A651="","",IFERROR(AVERAGEIFS(DATOS!$K$2:$K$20000,DATOS!$A$2:$A$20000,A651,DATOS!$G$2:$G$20000,CONFIG_METADATA!$B$4,DATOS!$I$2:$I$20000,"Coro"),""))</f>
        <v/>
      </c>
      <c r="D651" t="str">
        <f>IF(A651="","",IFERROR(AVERAGEIFS(DATOS!$K$2:$K$20000,DATOS!$A$2:$A$20000,A651,DATOS!$G$2:$G$20000,CONFIG_METADATA!$B$4,DATOS!$I$2:$I$20000,"Conjunto"),""))</f>
        <v/>
      </c>
      <c r="E651" t="str">
        <f>IF(A651="","",IFERROR(AVERAGEIFS(DATOS!$K$2:$K$20000,DATOS!$A$2:$A$20000,A651,DATOS!$G$2:$G$20000,CONFIG_METADATA!$B$4,DATOS!$I$2:$I$20000,"&lt;&gt;Lenguaje Musical",DATOS!$I$2:$I$20000,"&lt;&gt;Coro",DATOS!$I$2:$I$20000,"&lt;&gt;Conjunto"),""))</f>
        <v/>
      </c>
      <c r="H651" t="str">
        <f>IF(G651="","",IFERROR(AVERAGEIFS(DATOS!$K$2:$K$20000,DATOS!$A$2:$A$20000,G651,DATOS!$G$2:$G$20000,CONFIG_METADATA!$B$4,DATOS!$I$2:$I$20000,"Lenguaje Musical"),""))</f>
        <v/>
      </c>
      <c r="I651" t="str">
        <f>IF(G651="","",IFERROR(AVERAGEIFS(DATOS!$K$2:$K$20000,DATOS!$A$2:$A$20000,G651,DATOS!$G$2:$G$20000,CONFIG_METADATA!$B$4,DATOS!$I$2:$I$20000,"Coro"),""))</f>
        <v/>
      </c>
      <c r="J651" t="str">
        <f>IF(G651="","",IFERROR(AVERAGEIFS(DATOS!$K$2:$K$20000,DATOS!$A$2:$A$20000,G651,DATOS!$G$2:$G$20000,CONFIG_METADATA!$B$4,DATOS!$I$2:$I$20000,"Conjunto"),""))</f>
        <v/>
      </c>
      <c r="K651" t="str" cm="1">
        <f t="array" ref="K651">IF(G651="","",IFERROR(AVERAGE(IF((DATOS!$A$2:$A$20000=G651)*(DATOS!$G$2:$G$20000=CONFIG_METADATA!$B$4)*(DATOS!$I$2:$I$20000&lt;&gt;"Lenguaje Musical")*(DATOS!$I$2:$I$20000&lt;&gt;"Coro")*(DATOS!$I$2:$I$20000&lt;&gt;"Conjunto"),DATOS!$K$2:$K$20000)),""))</f>
        <v/>
      </c>
      <c r="N651" t="str">
        <f>IF(M651="","",IFERROR(AVERAGEIFS(DATOS!$K$2:$K$20000,DATOS!$A$2:$A$20000,M651,DATOS!$G$2:$G$20000,CONFIG_METADATA!$B$4,DATOS!$I$2:$I$20000,"Lenguaje Musical"),""))</f>
        <v/>
      </c>
      <c r="O651" t="str">
        <f>IF(M651="","",IFERROR(AVERAGEIFS(DATOS!$K$2:$K$20000,DATOS!$A$2:$A$20000,M651,DATOS!$G$2:$G$20000,CONFIG_METADATA!$B$4,DATOS!$I$2:$I$20000,"Coro"),""))</f>
        <v/>
      </c>
      <c r="P651" t="str">
        <f>IF(M651="","",IFERROR(AVERAGEIFS(DATOS!$K$2:$K$20000,DATOS!$A$2:$A$20000,M651,DATOS!$G$2:$G$20000,CONFIG_METADATA!$B$4,DATOS!$I$2:$I$20000,"Conjunto"),""))</f>
        <v/>
      </c>
      <c r="Q651" t="str">
        <f>IF(M651="","",IFERROR(AVERAGEIFS(DATOS!$K$2:$K$20000,DATOS!$A$2:$A$20000,M651,DATOS!$G$2:$G$20000,CONFIG_METADATA!$B$4,DATOS!$I$2:$I$20000,"&lt;&gt;Lenguaje Musical",DATOS!$I$2:$I$20000,"&lt;&gt;Coro",DATOS!$I$2:$I$20000,"&lt;&gt;Conjunto"),""))</f>
        <v/>
      </c>
      <c r="T651" t="str">
        <f>IF(S651="","",IFERROR(AVERAGEIFS(DATOS!$K$2:$K$20000,DATOS!$A$2:$A$20000,S651,DATOS!$G$2:$G$20000,CONFIG_METADATA!$B$4,DATOS!$I$2:$I$20000,"Lenguaje Musical"),""))</f>
        <v/>
      </c>
      <c r="U651" t="str">
        <f>IF(S651="","",IFERROR(AVERAGEIFS(DATOS!$K$2:$K$20000,DATOS!$A$2:$A$20000,S651,DATOS!$G$2:$G$20000,CONFIG_METADATA!$B$4,DATOS!$I$2:$I$20000,"Coro"),""))</f>
        <v/>
      </c>
      <c r="V651" t="str">
        <f>IF(S651="","",IFERROR(AVERAGEIFS(DATOS!$K$2:$K$20000,DATOS!$A$2:$A$20000,S651,DATOS!$G$2:$G$20000,CONFIG_METADATA!$B$4,DATOS!$I$2:$I$20000,"Conjunto"),""))</f>
        <v/>
      </c>
      <c r="W651" t="str" cm="1">
        <f t="array" ref="W651">IF(S651="","",IFERROR(AVERAGE(IF((DATOS!$A$2:$A$20000=S651)*(DATOS!$G$2:$G$20000=CONFIG_METADATA!$B$4)*(DATOS!$I$2:$I$20000&lt;&gt;"Lenguaje Musical")*(DATOS!$I$2:$I$20000&lt;&gt;"Coro")*(DATOS!$I$2:$I$20000&lt;&gt;"Conjunto"),DATOS!$K$2:$K$20000)),""))</f>
        <v/>
      </c>
    </row>
    <row r="652" spans="2:23" x14ac:dyDescent="0.2">
      <c r="B652" t="str">
        <f>IF(A652="","",IFERROR(AVERAGEIFS(DATOS!$K$2:$K$20000,DATOS!$A$2:$A$20000,A652,DATOS!$G$2:$G$20000,CONFIG_METADATA!$B$4,DATOS!$I$2:$I$20000,"Lenguaje Musical"),""))</f>
        <v/>
      </c>
      <c r="C652" t="str">
        <f>IF(A652="","",IFERROR(AVERAGEIFS(DATOS!$K$2:$K$20000,DATOS!$A$2:$A$20000,A652,DATOS!$G$2:$G$20000,CONFIG_METADATA!$B$4,DATOS!$I$2:$I$20000,"Coro"),""))</f>
        <v/>
      </c>
      <c r="D652" t="str">
        <f>IF(A652="","",IFERROR(AVERAGEIFS(DATOS!$K$2:$K$20000,DATOS!$A$2:$A$20000,A652,DATOS!$G$2:$G$20000,CONFIG_METADATA!$B$4,DATOS!$I$2:$I$20000,"Conjunto"),""))</f>
        <v/>
      </c>
      <c r="E652" t="str">
        <f>IF(A652="","",IFERROR(AVERAGEIFS(DATOS!$K$2:$K$20000,DATOS!$A$2:$A$20000,A652,DATOS!$G$2:$G$20000,CONFIG_METADATA!$B$4,DATOS!$I$2:$I$20000,"&lt;&gt;Lenguaje Musical",DATOS!$I$2:$I$20000,"&lt;&gt;Coro",DATOS!$I$2:$I$20000,"&lt;&gt;Conjunto"),""))</f>
        <v/>
      </c>
      <c r="H652" t="str">
        <f>IF(G652="","",IFERROR(AVERAGEIFS(DATOS!$K$2:$K$20000,DATOS!$A$2:$A$20000,G652,DATOS!$G$2:$G$20000,CONFIG_METADATA!$B$4,DATOS!$I$2:$I$20000,"Lenguaje Musical"),""))</f>
        <v/>
      </c>
      <c r="I652" t="str">
        <f>IF(G652="","",IFERROR(AVERAGEIFS(DATOS!$K$2:$K$20000,DATOS!$A$2:$A$20000,G652,DATOS!$G$2:$G$20000,CONFIG_METADATA!$B$4,DATOS!$I$2:$I$20000,"Coro"),""))</f>
        <v/>
      </c>
      <c r="J652" t="str">
        <f>IF(G652="","",IFERROR(AVERAGEIFS(DATOS!$K$2:$K$20000,DATOS!$A$2:$A$20000,G652,DATOS!$G$2:$G$20000,CONFIG_METADATA!$B$4,DATOS!$I$2:$I$20000,"Conjunto"),""))</f>
        <v/>
      </c>
      <c r="K652" t="str" cm="1">
        <f t="array" ref="K652">IF(G652="","",IFERROR(AVERAGE(IF((DATOS!$A$2:$A$20000=G652)*(DATOS!$G$2:$G$20000=CONFIG_METADATA!$B$4)*(DATOS!$I$2:$I$20000&lt;&gt;"Lenguaje Musical")*(DATOS!$I$2:$I$20000&lt;&gt;"Coro")*(DATOS!$I$2:$I$20000&lt;&gt;"Conjunto"),DATOS!$K$2:$K$20000)),""))</f>
        <v/>
      </c>
      <c r="N652" t="str">
        <f>IF(M652="","",IFERROR(AVERAGEIFS(DATOS!$K$2:$K$20000,DATOS!$A$2:$A$20000,M652,DATOS!$G$2:$G$20000,CONFIG_METADATA!$B$4,DATOS!$I$2:$I$20000,"Lenguaje Musical"),""))</f>
        <v/>
      </c>
      <c r="O652" t="str">
        <f>IF(M652="","",IFERROR(AVERAGEIFS(DATOS!$K$2:$K$20000,DATOS!$A$2:$A$20000,M652,DATOS!$G$2:$G$20000,CONFIG_METADATA!$B$4,DATOS!$I$2:$I$20000,"Coro"),""))</f>
        <v/>
      </c>
      <c r="P652" t="str">
        <f>IF(M652="","",IFERROR(AVERAGEIFS(DATOS!$K$2:$K$20000,DATOS!$A$2:$A$20000,M652,DATOS!$G$2:$G$20000,CONFIG_METADATA!$B$4,DATOS!$I$2:$I$20000,"Conjunto"),""))</f>
        <v/>
      </c>
      <c r="Q652" t="str">
        <f>IF(M652="","",IFERROR(AVERAGEIFS(DATOS!$K$2:$K$20000,DATOS!$A$2:$A$20000,M652,DATOS!$G$2:$G$20000,CONFIG_METADATA!$B$4,DATOS!$I$2:$I$20000,"&lt;&gt;Lenguaje Musical",DATOS!$I$2:$I$20000,"&lt;&gt;Coro",DATOS!$I$2:$I$20000,"&lt;&gt;Conjunto"),""))</f>
        <v/>
      </c>
      <c r="T652" t="str">
        <f>IF(S652="","",IFERROR(AVERAGEIFS(DATOS!$K$2:$K$20000,DATOS!$A$2:$A$20000,S652,DATOS!$G$2:$G$20000,CONFIG_METADATA!$B$4,DATOS!$I$2:$I$20000,"Lenguaje Musical"),""))</f>
        <v/>
      </c>
      <c r="U652" t="str">
        <f>IF(S652="","",IFERROR(AVERAGEIFS(DATOS!$K$2:$K$20000,DATOS!$A$2:$A$20000,S652,DATOS!$G$2:$G$20000,CONFIG_METADATA!$B$4,DATOS!$I$2:$I$20000,"Coro"),""))</f>
        <v/>
      </c>
      <c r="V652" t="str">
        <f>IF(S652="","",IFERROR(AVERAGEIFS(DATOS!$K$2:$K$20000,DATOS!$A$2:$A$20000,S652,DATOS!$G$2:$G$20000,CONFIG_METADATA!$B$4,DATOS!$I$2:$I$20000,"Conjunto"),""))</f>
        <v/>
      </c>
      <c r="W652" t="str" cm="1">
        <f t="array" ref="W652">IF(S652="","",IFERROR(AVERAGE(IF((DATOS!$A$2:$A$20000=S652)*(DATOS!$G$2:$G$20000=CONFIG_METADATA!$B$4)*(DATOS!$I$2:$I$20000&lt;&gt;"Lenguaje Musical")*(DATOS!$I$2:$I$20000&lt;&gt;"Coro")*(DATOS!$I$2:$I$20000&lt;&gt;"Conjunto"),DATOS!$K$2:$K$20000)),""))</f>
        <v/>
      </c>
    </row>
    <row r="653" spans="2:23" x14ac:dyDescent="0.2">
      <c r="B653" t="str">
        <f>IF(A653="","",IFERROR(AVERAGEIFS(DATOS!$K$2:$K$20000,DATOS!$A$2:$A$20000,A653,DATOS!$G$2:$G$20000,CONFIG_METADATA!$B$4,DATOS!$I$2:$I$20000,"Lenguaje Musical"),""))</f>
        <v/>
      </c>
      <c r="C653" t="str">
        <f>IF(A653="","",IFERROR(AVERAGEIFS(DATOS!$K$2:$K$20000,DATOS!$A$2:$A$20000,A653,DATOS!$G$2:$G$20000,CONFIG_METADATA!$B$4,DATOS!$I$2:$I$20000,"Coro"),""))</f>
        <v/>
      </c>
      <c r="D653" t="str">
        <f>IF(A653="","",IFERROR(AVERAGEIFS(DATOS!$K$2:$K$20000,DATOS!$A$2:$A$20000,A653,DATOS!$G$2:$G$20000,CONFIG_METADATA!$B$4,DATOS!$I$2:$I$20000,"Conjunto"),""))</f>
        <v/>
      </c>
      <c r="E653" t="str">
        <f>IF(A653="","",IFERROR(AVERAGEIFS(DATOS!$K$2:$K$20000,DATOS!$A$2:$A$20000,A653,DATOS!$G$2:$G$20000,CONFIG_METADATA!$B$4,DATOS!$I$2:$I$20000,"&lt;&gt;Lenguaje Musical",DATOS!$I$2:$I$20000,"&lt;&gt;Coro",DATOS!$I$2:$I$20000,"&lt;&gt;Conjunto"),""))</f>
        <v/>
      </c>
      <c r="H653" t="str">
        <f>IF(G653="","",IFERROR(AVERAGEIFS(DATOS!$K$2:$K$20000,DATOS!$A$2:$A$20000,G653,DATOS!$G$2:$G$20000,CONFIG_METADATA!$B$4,DATOS!$I$2:$I$20000,"Lenguaje Musical"),""))</f>
        <v/>
      </c>
      <c r="I653" t="str">
        <f>IF(G653="","",IFERROR(AVERAGEIFS(DATOS!$K$2:$K$20000,DATOS!$A$2:$A$20000,G653,DATOS!$G$2:$G$20000,CONFIG_METADATA!$B$4,DATOS!$I$2:$I$20000,"Coro"),""))</f>
        <v/>
      </c>
      <c r="J653" t="str">
        <f>IF(G653="","",IFERROR(AVERAGEIFS(DATOS!$K$2:$K$20000,DATOS!$A$2:$A$20000,G653,DATOS!$G$2:$G$20000,CONFIG_METADATA!$B$4,DATOS!$I$2:$I$20000,"Conjunto"),""))</f>
        <v/>
      </c>
      <c r="K653" t="str" cm="1">
        <f t="array" ref="K653">IF(G653="","",IFERROR(AVERAGE(IF((DATOS!$A$2:$A$20000=G653)*(DATOS!$G$2:$G$20000=CONFIG_METADATA!$B$4)*(DATOS!$I$2:$I$20000&lt;&gt;"Lenguaje Musical")*(DATOS!$I$2:$I$20000&lt;&gt;"Coro")*(DATOS!$I$2:$I$20000&lt;&gt;"Conjunto"),DATOS!$K$2:$K$20000)),""))</f>
        <v/>
      </c>
      <c r="N653" t="str">
        <f>IF(M653="","",IFERROR(AVERAGEIFS(DATOS!$K$2:$K$20000,DATOS!$A$2:$A$20000,M653,DATOS!$G$2:$G$20000,CONFIG_METADATA!$B$4,DATOS!$I$2:$I$20000,"Lenguaje Musical"),""))</f>
        <v/>
      </c>
      <c r="O653" t="str">
        <f>IF(M653="","",IFERROR(AVERAGEIFS(DATOS!$K$2:$K$20000,DATOS!$A$2:$A$20000,M653,DATOS!$G$2:$G$20000,CONFIG_METADATA!$B$4,DATOS!$I$2:$I$20000,"Coro"),""))</f>
        <v/>
      </c>
      <c r="P653" t="str">
        <f>IF(M653="","",IFERROR(AVERAGEIFS(DATOS!$K$2:$K$20000,DATOS!$A$2:$A$20000,M653,DATOS!$G$2:$G$20000,CONFIG_METADATA!$B$4,DATOS!$I$2:$I$20000,"Conjunto"),""))</f>
        <v/>
      </c>
      <c r="Q653" t="str">
        <f>IF(M653="","",IFERROR(AVERAGEIFS(DATOS!$K$2:$K$20000,DATOS!$A$2:$A$20000,M653,DATOS!$G$2:$G$20000,CONFIG_METADATA!$B$4,DATOS!$I$2:$I$20000,"&lt;&gt;Lenguaje Musical",DATOS!$I$2:$I$20000,"&lt;&gt;Coro",DATOS!$I$2:$I$20000,"&lt;&gt;Conjunto"),""))</f>
        <v/>
      </c>
      <c r="T653" t="str">
        <f>IF(S653="","",IFERROR(AVERAGEIFS(DATOS!$K$2:$K$20000,DATOS!$A$2:$A$20000,S653,DATOS!$G$2:$G$20000,CONFIG_METADATA!$B$4,DATOS!$I$2:$I$20000,"Lenguaje Musical"),""))</f>
        <v/>
      </c>
      <c r="U653" t="str">
        <f>IF(S653="","",IFERROR(AVERAGEIFS(DATOS!$K$2:$K$20000,DATOS!$A$2:$A$20000,S653,DATOS!$G$2:$G$20000,CONFIG_METADATA!$B$4,DATOS!$I$2:$I$20000,"Coro"),""))</f>
        <v/>
      </c>
      <c r="V653" t="str">
        <f>IF(S653="","",IFERROR(AVERAGEIFS(DATOS!$K$2:$K$20000,DATOS!$A$2:$A$20000,S653,DATOS!$G$2:$G$20000,CONFIG_METADATA!$B$4,DATOS!$I$2:$I$20000,"Conjunto"),""))</f>
        <v/>
      </c>
      <c r="W653" t="str" cm="1">
        <f t="array" ref="W653">IF(S653="","",IFERROR(AVERAGE(IF((DATOS!$A$2:$A$20000=S653)*(DATOS!$G$2:$G$20000=CONFIG_METADATA!$B$4)*(DATOS!$I$2:$I$20000&lt;&gt;"Lenguaje Musical")*(DATOS!$I$2:$I$20000&lt;&gt;"Coro")*(DATOS!$I$2:$I$20000&lt;&gt;"Conjunto"),DATOS!$K$2:$K$20000)),""))</f>
        <v/>
      </c>
    </row>
    <row r="654" spans="2:23" x14ac:dyDescent="0.2">
      <c r="B654" t="str">
        <f>IF(A654="","",IFERROR(AVERAGEIFS(DATOS!$K$2:$K$20000,DATOS!$A$2:$A$20000,A654,DATOS!$G$2:$G$20000,CONFIG_METADATA!$B$4,DATOS!$I$2:$I$20000,"Lenguaje Musical"),""))</f>
        <v/>
      </c>
      <c r="C654" t="str">
        <f>IF(A654="","",IFERROR(AVERAGEIFS(DATOS!$K$2:$K$20000,DATOS!$A$2:$A$20000,A654,DATOS!$G$2:$G$20000,CONFIG_METADATA!$B$4,DATOS!$I$2:$I$20000,"Coro"),""))</f>
        <v/>
      </c>
      <c r="D654" t="str">
        <f>IF(A654="","",IFERROR(AVERAGEIFS(DATOS!$K$2:$K$20000,DATOS!$A$2:$A$20000,A654,DATOS!$G$2:$G$20000,CONFIG_METADATA!$B$4,DATOS!$I$2:$I$20000,"Conjunto"),""))</f>
        <v/>
      </c>
      <c r="E654" t="str">
        <f>IF(A654="","",IFERROR(AVERAGEIFS(DATOS!$K$2:$K$20000,DATOS!$A$2:$A$20000,A654,DATOS!$G$2:$G$20000,CONFIG_METADATA!$B$4,DATOS!$I$2:$I$20000,"&lt;&gt;Lenguaje Musical",DATOS!$I$2:$I$20000,"&lt;&gt;Coro",DATOS!$I$2:$I$20000,"&lt;&gt;Conjunto"),""))</f>
        <v/>
      </c>
      <c r="H654" t="str">
        <f>IF(G654="","",IFERROR(AVERAGEIFS(DATOS!$K$2:$K$20000,DATOS!$A$2:$A$20000,G654,DATOS!$G$2:$G$20000,CONFIG_METADATA!$B$4,DATOS!$I$2:$I$20000,"Lenguaje Musical"),""))</f>
        <v/>
      </c>
      <c r="I654" t="str">
        <f>IF(G654="","",IFERROR(AVERAGEIFS(DATOS!$K$2:$K$20000,DATOS!$A$2:$A$20000,G654,DATOS!$G$2:$G$20000,CONFIG_METADATA!$B$4,DATOS!$I$2:$I$20000,"Coro"),""))</f>
        <v/>
      </c>
      <c r="J654" t="str">
        <f>IF(G654="","",IFERROR(AVERAGEIFS(DATOS!$K$2:$K$20000,DATOS!$A$2:$A$20000,G654,DATOS!$G$2:$G$20000,CONFIG_METADATA!$B$4,DATOS!$I$2:$I$20000,"Conjunto"),""))</f>
        <v/>
      </c>
      <c r="K654" t="str" cm="1">
        <f t="array" ref="K654">IF(G654="","",IFERROR(AVERAGE(IF((DATOS!$A$2:$A$20000=G654)*(DATOS!$G$2:$G$20000=CONFIG_METADATA!$B$4)*(DATOS!$I$2:$I$20000&lt;&gt;"Lenguaje Musical")*(DATOS!$I$2:$I$20000&lt;&gt;"Coro")*(DATOS!$I$2:$I$20000&lt;&gt;"Conjunto"),DATOS!$K$2:$K$20000)),""))</f>
        <v/>
      </c>
      <c r="N654" t="str">
        <f>IF(M654="","",IFERROR(AVERAGEIFS(DATOS!$K$2:$K$20000,DATOS!$A$2:$A$20000,M654,DATOS!$G$2:$G$20000,CONFIG_METADATA!$B$4,DATOS!$I$2:$I$20000,"Lenguaje Musical"),""))</f>
        <v/>
      </c>
      <c r="O654" t="str">
        <f>IF(M654="","",IFERROR(AVERAGEIFS(DATOS!$K$2:$K$20000,DATOS!$A$2:$A$20000,M654,DATOS!$G$2:$G$20000,CONFIG_METADATA!$B$4,DATOS!$I$2:$I$20000,"Coro"),""))</f>
        <v/>
      </c>
      <c r="P654" t="str">
        <f>IF(M654="","",IFERROR(AVERAGEIFS(DATOS!$K$2:$K$20000,DATOS!$A$2:$A$20000,M654,DATOS!$G$2:$G$20000,CONFIG_METADATA!$B$4,DATOS!$I$2:$I$20000,"Conjunto"),""))</f>
        <v/>
      </c>
      <c r="Q654" t="str">
        <f>IF(M654="","",IFERROR(AVERAGEIFS(DATOS!$K$2:$K$20000,DATOS!$A$2:$A$20000,M654,DATOS!$G$2:$G$20000,CONFIG_METADATA!$B$4,DATOS!$I$2:$I$20000,"&lt;&gt;Lenguaje Musical",DATOS!$I$2:$I$20000,"&lt;&gt;Coro",DATOS!$I$2:$I$20000,"&lt;&gt;Conjunto"),""))</f>
        <v/>
      </c>
      <c r="T654" t="str">
        <f>IF(S654="","",IFERROR(AVERAGEIFS(DATOS!$K$2:$K$20000,DATOS!$A$2:$A$20000,S654,DATOS!$G$2:$G$20000,CONFIG_METADATA!$B$4,DATOS!$I$2:$I$20000,"Lenguaje Musical"),""))</f>
        <v/>
      </c>
      <c r="U654" t="str">
        <f>IF(S654="","",IFERROR(AVERAGEIFS(DATOS!$K$2:$K$20000,DATOS!$A$2:$A$20000,S654,DATOS!$G$2:$G$20000,CONFIG_METADATA!$B$4,DATOS!$I$2:$I$20000,"Coro"),""))</f>
        <v/>
      </c>
      <c r="V654" t="str">
        <f>IF(S654="","",IFERROR(AVERAGEIFS(DATOS!$K$2:$K$20000,DATOS!$A$2:$A$20000,S654,DATOS!$G$2:$G$20000,CONFIG_METADATA!$B$4,DATOS!$I$2:$I$20000,"Conjunto"),""))</f>
        <v/>
      </c>
      <c r="W654" t="str" cm="1">
        <f t="array" ref="W654">IF(S654="","",IFERROR(AVERAGE(IF((DATOS!$A$2:$A$20000=S654)*(DATOS!$G$2:$G$20000=CONFIG_METADATA!$B$4)*(DATOS!$I$2:$I$20000&lt;&gt;"Lenguaje Musical")*(DATOS!$I$2:$I$20000&lt;&gt;"Coro")*(DATOS!$I$2:$I$20000&lt;&gt;"Conjunto"),DATOS!$K$2:$K$20000)),""))</f>
        <v/>
      </c>
    </row>
    <row r="655" spans="2:23" x14ac:dyDescent="0.2">
      <c r="B655" t="str">
        <f>IF(A655="","",IFERROR(AVERAGEIFS(DATOS!$K$2:$K$20000,DATOS!$A$2:$A$20000,A655,DATOS!$G$2:$G$20000,CONFIG_METADATA!$B$4,DATOS!$I$2:$I$20000,"Lenguaje Musical"),""))</f>
        <v/>
      </c>
      <c r="C655" t="str">
        <f>IF(A655="","",IFERROR(AVERAGEIFS(DATOS!$K$2:$K$20000,DATOS!$A$2:$A$20000,A655,DATOS!$G$2:$G$20000,CONFIG_METADATA!$B$4,DATOS!$I$2:$I$20000,"Coro"),""))</f>
        <v/>
      </c>
      <c r="D655" t="str">
        <f>IF(A655="","",IFERROR(AVERAGEIFS(DATOS!$K$2:$K$20000,DATOS!$A$2:$A$20000,A655,DATOS!$G$2:$G$20000,CONFIG_METADATA!$B$4,DATOS!$I$2:$I$20000,"Conjunto"),""))</f>
        <v/>
      </c>
      <c r="E655" t="str">
        <f>IF(A655="","",IFERROR(AVERAGEIFS(DATOS!$K$2:$K$20000,DATOS!$A$2:$A$20000,A655,DATOS!$G$2:$G$20000,CONFIG_METADATA!$B$4,DATOS!$I$2:$I$20000,"&lt;&gt;Lenguaje Musical",DATOS!$I$2:$I$20000,"&lt;&gt;Coro",DATOS!$I$2:$I$20000,"&lt;&gt;Conjunto"),""))</f>
        <v/>
      </c>
      <c r="H655" t="str">
        <f>IF(G655="","",IFERROR(AVERAGEIFS(DATOS!$K$2:$K$20000,DATOS!$A$2:$A$20000,G655,DATOS!$G$2:$G$20000,CONFIG_METADATA!$B$4,DATOS!$I$2:$I$20000,"Lenguaje Musical"),""))</f>
        <v/>
      </c>
      <c r="I655" t="str">
        <f>IF(G655="","",IFERROR(AVERAGEIFS(DATOS!$K$2:$K$20000,DATOS!$A$2:$A$20000,G655,DATOS!$G$2:$G$20000,CONFIG_METADATA!$B$4,DATOS!$I$2:$I$20000,"Coro"),""))</f>
        <v/>
      </c>
      <c r="J655" t="str">
        <f>IF(G655="","",IFERROR(AVERAGEIFS(DATOS!$K$2:$K$20000,DATOS!$A$2:$A$20000,G655,DATOS!$G$2:$G$20000,CONFIG_METADATA!$B$4,DATOS!$I$2:$I$20000,"Conjunto"),""))</f>
        <v/>
      </c>
      <c r="K655" t="str" cm="1">
        <f t="array" ref="K655">IF(G655="","",IFERROR(AVERAGE(IF((DATOS!$A$2:$A$20000=G655)*(DATOS!$G$2:$G$20000=CONFIG_METADATA!$B$4)*(DATOS!$I$2:$I$20000&lt;&gt;"Lenguaje Musical")*(DATOS!$I$2:$I$20000&lt;&gt;"Coro")*(DATOS!$I$2:$I$20000&lt;&gt;"Conjunto"),DATOS!$K$2:$K$20000)),""))</f>
        <v/>
      </c>
      <c r="N655" t="str">
        <f>IF(M655="","",IFERROR(AVERAGEIFS(DATOS!$K$2:$K$20000,DATOS!$A$2:$A$20000,M655,DATOS!$G$2:$G$20000,CONFIG_METADATA!$B$4,DATOS!$I$2:$I$20000,"Lenguaje Musical"),""))</f>
        <v/>
      </c>
      <c r="O655" t="str">
        <f>IF(M655="","",IFERROR(AVERAGEIFS(DATOS!$K$2:$K$20000,DATOS!$A$2:$A$20000,M655,DATOS!$G$2:$G$20000,CONFIG_METADATA!$B$4,DATOS!$I$2:$I$20000,"Coro"),""))</f>
        <v/>
      </c>
      <c r="P655" t="str">
        <f>IF(M655="","",IFERROR(AVERAGEIFS(DATOS!$K$2:$K$20000,DATOS!$A$2:$A$20000,M655,DATOS!$G$2:$G$20000,CONFIG_METADATA!$B$4,DATOS!$I$2:$I$20000,"Conjunto"),""))</f>
        <v/>
      </c>
      <c r="Q655" t="str">
        <f>IF(M655="","",IFERROR(AVERAGEIFS(DATOS!$K$2:$K$20000,DATOS!$A$2:$A$20000,M655,DATOS!$G$2:$G$20000,CONFIG_METADATA!$B$4,DATOS!$I$2:$I$20000,"&lt;&gt;Lenguaje Musical",DATOS!$I$2:$I$20000,"&lt;&gt;Coro",DATOS!$I$2:$I$20000,"&lt;&gt;Conjunto"),""))</f>
        <v/>
      </c>
      <c r="T655" t="str">
        <f>IF(S655="","",IFERROR(AVERAGEIFS(DATOS!$K$2:$K$20000,DATOS!$A$2:$A$20000,S655,DATOS!$G$2:$G$20000,CONFIG_METADATA!$B$4,DATOS!$I$2:$I$20000,"Lenguaje Musical"),""))</f>
        <v/>
      </c>
      <c r="U655" t="str">
        <f>IF(S655="","",IFERROR(AVERAGEIFS(DATOS!$K$2:$K$20000,DATOS!$A$2:$A$20000,S655,DATOS!$G$2:$G$20000,CONFIG_METADATA!$B$4,DATOS!$I$2:$I$20000,"Coro"),""))</f>
        <v/>
      </c>
      <c r="V655" t="str">
        <f>IF(S655="","",IFERROR(AVERAGEIFS(DATOS!$K$2:$K$20000,DATOS!$A$2:$A$20000,S655,DATOS!$G$2:$G$20000,CONFIG_METADATA!$B$4,DATOS!$I$2:$I$20000,"Conjunto"),""))</f>
        <v/>
      </c>
      <c r="W655" t="str" cm="1">
        <f t="array" ref="W655">IF(S655="","",IFERROR(AVERAGE(IF((DATOS!$A$2:$A$20000=S655)*(DATOS!$G$2:$G$20000=CONFIG_METADATA!$B$4)*(DATOS!$I$2:$I$20000&lt;&gt;"Lenguaje Musical")*(DATOS!$I$2:$I$20000&lt;&gt;"Coro")*(DATOS!$I$2:$I$20000&lt;&gt;"Conjunto"),DATOS!$K$2:$K$20000)),""))</f>
        <v/>
      </c>
    </row>
    <row r="656" spans="2:23" x14ac:dyDescent="0.2">
      <c r="B656" t="str">
        <f>IF(A656="","",IFERROR(AVERAGEIFS(DATOS!$K$2:$K$20000,DATOS!$A$2:$A$20000,A656,DATOS!$G$2:$G$20000,CONFIG_METADATA!$B$4,DATOS!$I$2:$I$20000,"Lenguaje Musical"),""))</f>
        <v/>
      </c>
      <c r="C656" t="str">
        <f>IF(A656="","",IFERROR(AVERAGEIFS(DATOS!$K$2:$K$20000,DATOS!$A$2:$A$20000,A656,DATOS!$G$2:$G$20000,CONFIG_METADATA!$B$4,DATOS!$I$2:$I$20000,"Coro"),""))</f>
        <v/>
      </c>
      <c r="D656" t="str">
        <f>IF(A656="","",IFERROR(AVERAGEIFS(DATOS!$K$2:$K$20000,DATOS!$A$2:$A$20000,A656,DATOS!$G$2:$G$20000,CONFIG_METADATA!$B$4,DATOS!$I$2:$I$20000,"Conjunto"),""))</f>
        <v/>
      </c>
      <c r="E656" t="str">
        <f>IF(A656="","",IFERROR(AVERAGEIFS(DATOS!$K$2:$K$20000,DATOS!$A$2:$A$20000,A656,DATOS!$G$2:$G$20000,CONFIG_METADATA!$B$4,DATOS!$I$2:$I$20000,"&lt;&gt;Lenguaje Musical",DATOS!$I$2:$I$20000,"&lt;&gt;Coro",DATOS!$I$2:$I$20000,"&lt;&gt;Conjunto"),""))</f>
        <v/>
      </c>
      <c r="H656" t="str">
        <f>IF(G656="","",IFERROR(AVERAGEIFS(DATOS!$K$2:$K$20000,DATOS!$A$2:$A$20000,G656,DATOS!$G$2:$G$20000,CONFIG_METADATA!$B$4,DATOS!$I$2:$I$20000,"Lenguaje Musical"),""))</f>
        <v/>
      </c>
      <c r="I656" t="str">
        <f>IF(G656="","",IFERROR(AVERAGEIFS(DATOS!$K$2:$K$20000,DATOS!$A$2:$A$20000,G656,DATOS!$G$2:$G$20000,CONFIG_METADATA!$B$4,DATOS!$I$2:$I$20000,"Coro"),""))</f>
        <v/>
      </c>
      <c r="J656" t="str">
        <f>IF(G656="","",IFERROR(AVERAGEIFS(DATOS!$K$2:$K$20000,DATOS!$A$2:$A$20000,G656,DATOS!$G$2:$G$20000,CONFIG_METADATA!$B$4,DATOS!$I$2:$I$20000,"Conjunto"),""))</f>
        <v/>
      </c>
      <c r="K656" t="str" cm="1">
        <f t="array" ref="K656">IF(G656="","",IFERROR(AVERAGE(IF((DATOS!$A$2:$A$20000=G656)*(DATOS!$G$2:$G$20000=CONFIG_METADATA!$B$4)*(DATOS!$I$2:$I$20000&lt;&gt;"Lenguaje Musical")*(DATOS!$I$2:$I$20000&lt;&gt;"Coro")*(DATOS!$I$2:$I$20000&lt;&gt;"Conjunto"),DATOS!$K$2:$K$20000)),""))</f>
        <v/>
      </c>
      <c r="N656" t="str">
        <f>IF(M656="","",IFERROR(AVERAGEIFS(DATOS!$K$2:$K$20000,DATOS!$A$2:$A$20000,M656,DATOS!$G$2:$G$20000,CONFIG_METADATA!$B$4,DATOS!$I$2:$I$20000,"Lenguaje Musical"),""))</f>
        <v/>
      </c>
      <c r="O656" t="str">
        <f>IF(M656="","",IFERROR(AVERAGEIFS(DATOS!$K$2:$K$20000,DATOS!$A$2:$A$20000,M656,DATOS!$G$2:$G$20000,CONFIG_METADATA!$B$4,DATOS!$I$2:$I$20000,"Coro"),""))</f>
        <v/>
      </c>
      <c r="P656" t="str">
        <f>IF(M656="","",IFERROR(AVERAGEIFS(DATOS!$K$2:$K$20000,DATOS!$A$2:$A$20000,M656,DATOS!$G$2:$G$20000,CONFIG_METADATA!$B$4,DATOS!$I$2:$I$20000,"Conjunto"),""))</f>
        <v/>
      </c>
      <c r="Q656" t="str">
        <f>IF(M656="","",IFERROR(AVERAGEIFS(DATOS!$K$2:$K$20000,DATOS!$A$2:$A$20000,M656,DATOS!$G$2:$G$20000,CONFIG_METADATA!$B$4,DATOS!$I$2:$I$20000,"&lt;&gt;Lenguaje Musical",DATOS!$I$2:$I$20000,"&lt;&gt;Coro",DATOS!$I$2:$I$20000,"&lt;&gt;Conjunto"),""))</f>
        <v/>
      </c>
      <c r="T656" t="str">
        <f>IF(S656="","",IFERROR(AVERAGEIFS(DATOS!$K$2:$K$20000,DATOS!$A$2:$A$20000,S656,DATOS!$G$2:$G$20000,CONFIG_METADATA!$B$4,DATOS!$I$2:$I$20000,"Lenguaje Musical"),""))</f>
        <v/>
      </c>
      <c r="U656" t="str">
        <f>IF(S656="","",IFERROR(AVERAGEIFS(DATOS!$K$2:$K$20000,DATOS!$A$2:$A$20000,S656,DATOS!$G$2:$G$20000,CONFIG_METADATA!$B$4,DATOS!$I$2:$I$20000,"Coro"),""))</f>
        <v/>
      </c>
      <c r="V656" t="str">
        <f>IF(S656="","",IFERROR(AVERAGEIFS(DATOS!$K$2:$K$20000,DATOS!$A$2:$A$20000,S656,DATOS!$G$2:$G$20000,CONFIG_METADATA!$B$4,DATOS!$I$2:$I$20000,"Conjunto"),""))</f>
        <v/>
      </c>
      <c r="W656" t="str" cm="1">
        <f t="array" ref="W656">IF(S656="","",IFERROR(AVERAGE(IF((DATOS!$A$2:$A$20000=S656)*(DATOS!$G$2:$G$20000=CONFIG_METADATA!$B$4)*(DATOS!$I$2:$I$20000&lt;&gt;"Lenguaje Musical")*(DATOS!$I$2:$I$20000&lt;&gt;"Coro")*(DATOS!$I$2:$I$20000&lt;&gt;"Conjunto"),DATOS!$K$2:$K$20000)),""))</f>
        <v/>
      </c>
    </row>
    <row r="657" spans="2:23" x14ac:dyDescent="0.2">
      <c r="B657" t="str">
        <f>IF(A657="","",IFERROR(AVERAGEIFS(DATOS!$K$2:$K$20000,DATOS!$A$2:$A$20000,A657,DATOS!$G$2:$G$20000,CONFIG_METADATA!$B$4,DATOS!$I$2:$I$20000,"Lenguaje Musical"),""))</f>
        <v/>
      </c>
      <c r="C657" t="str">
        <f>IF(A657="","",IFERROR(AVERAGEIFS(DATOS!$K$2:$K$20000,DATOS!$A$2:$A$20000,A657,DATOS!$G$2:$G$20000,CONFIG_METADATA!$B$4,DATOS!$I$2:$I$20000,"Coro"),""))</f>
        <v/>
      </c>
      <c r="D657" t="str">
        <f>IF(A657="","",IFERROR(AVERAGEIFS(DATOS!$K$2:$K$20000,DATOS!$A$2:$A$20000,A657,DATOS!$G$2:$G$20000,CONFIG_METADATA!$B$4,DATOS!$I$2:$I$20000,"Conjunto"),""))</f>
        <v/>
      </c>
      <c r="E657" t="str">
        <f>IF(A657="","",IFERROR(AVERAGEIFS(DATOS!$K$2:$K$20000,DATOS!$A$2:$A$20000,A657,DATOS!$G$2:$G$20000,CONFIG_METADATA!$B$4,DATOS!$I$2:$I$20000,"&lt;&gt;Lenguaje Musical",DATOS!$I$2:$I$20000,"&lt;&gt;Coro",DATOS!$I$2:$I$20000,"&lt;&gt;Conjunto"),""))</f>
        <v/>
      </c>
      <c r="H657" t="str">
        <f>IF(G657="","",IFERROR(AVERAGEIFS(DATOS!$K$2:$K$20000,DATOS!$A$2:$A$20000,G657,DATOS!$G$2:$G$20000,CONFIG_METADATA!$B$4,DATOS!$I$2:$I$20000,"Lenguaje Musical"),""))</f>
        <v/>
      </c>
      <c r="I657" t="str">
        <f>IF(G657="","",IFERROR(AVERAGEIFS(DATOS!$K$2:$K$20000,DATOS!$A$2:$A$20000,G657,DATOS!$G$2:$G$20000,CONFIG_METADATA!$B$4,DATOS!$I$2:$I$20000,"Coro"),""))</f>
        <v/>
      </c>
      <c r="J657" t="str">
        <f>IF(G657="","",IFERROR(AVERAGEIFS(DATOS!$K$2:$K$20000,DATOS!$A$2:$A$20000,G657,DATOS!$G$2:$G$20000,CONFIG_METADATA!$B$4,DATOS!$I$2:$I$20000,"Conjunto"),""))</f>
        <v/>
      </c>
      <c r="K657" t="str" cm="1">
        <f t="array" ref="K657">IF(G657="","",IFERROR(AVERAGE(IF((DATOS!$A$2:$A$20000=G657)*(DATOS!$G$2:$G$20000=CONFIG_METADATA!$B$4)*(DATOS!$I$2:$I$20000&lt;&gt;"Lenguaje Musical")*(DATOS!$I$2:$I$20000&lt;&gt;"Coro")*(DATOS!$I$2:$I$20000&lt;&gt;"Conjunto"),DATOS!$K$2:$K$20000)),""))</f>
        <v/>
      </c>
      <c r="N657" t="str">
        <f>IF(M657="","",IFERROR(AVERAGEIFS(DATOS!$K$2:$K$20000,DATOS!$A$2:$A$20000,M657,DATOS!$G$2:$G$20000,CONFIG_METADATA!$B$4,DATOS!$I$2:$I$20000,"Lenguaje Musical"),""))</f>
        <v/>
      </c>
      <c r="O657" t="str">
        <f>IF(M657="","",IFERROR(AVERAGEIFS(DATOS!$K$2:$K$20000,DATOS!$A$2:$A$20000,M657,DATOS!$G$2:$G$20000,CONFIG_METADATA!$B$4,DATOS!$I$2:$I$20000,"Coro"),""))</f>
        <v/>
      </c>
      <c r="P657" t="str">
        <f>IF(M657="","",IFERROR(AVERAGEIFS(DATOS!$K$2:$K$20000,DATOS!$A$2:$A$20000,M657,DATOS!$G$2:$G$20000,CONFIG_METADATA!$B$4,DATOS!$I$2:$I$20000,"Conjunto"),""))</f>
        <v/>
      </c>
      <c r="Q657" t="str">
        <f>IF(M657="","",IFERROR(AVERAGEIFS(DATOS!$K$2:$K$20000,DATOS!$A$2:$A$20000,M657,DATOS!$G$2:$G$20000,CONFIG_METADATA!$B$4,DATOS!$I$2:$I$20000,"&lt;&gt;Lenguaje Musical",DATOS!$I$2:$I$20000,"&lt;&gt;Coro",DATOS!$I$2:$I$20000,"&lt;&gt;Conjunto"),""))</f>
        <v/>
      </c>
      <c r="T657" t="str">
        <f>IF(S657="","",IFERROR(AVERAGEIFS(DATOS!$K$2:$K$20000,DATOS!$A$2:$A$20000,S657,DATOS!$G$2:$G$20000,CONFIG_METADATA!$B$4,DATOS!$I$2:$I$20000,"Lenguaje Musical"),""))</f>
        <v/>
      </c>
      <c r="U657" t="str">
        <f>IF(S657="","",IFERROR(AVERAGEIFS(DATOS!$K$2:$K$20000,DATOS!$A$2:$A$20000,S657,DATOS!$G$2:$G$20000,CONFIG_METADATA!$B$4,DATOS!$I$2:$I$20000,"Coro"),""))</f>
        <v/>
      </c>
      <c r="V657" t="str">
        <f>IF(S657="","",IFERROR(AVERAGEIFS(DATOS!$K$2:$K$20000,DATOS!$A$2:$A$20000,S657,DATOS!$G$2:$G$20000,CONFIG_METADATA!$B$4,DATOS!$I$2:$I$20000,"Conjunto"),""))</f>
        <v/>
      </c>
      <c r="W657" t="str" cm="1">
        <f t="array" ref="W657">IF(S657="","",IFERROR(AVERAGE(IF((DATOS!$A$2:$A$20000=S657)*(DATOS!$G$2:$G$20000=CONFIG_METADATA!$B$4)*(DATOS!$I$2:$I$20000&lt;&gt;"Lenguaje Musical")*(DATOS!$I$2:$I$20000&lt;&gt;"Coro")*(DATOS!$I$2:$I$20000&lt;&gt;"Conjunto"),DATOS!$K$2:$K$20000)),""))</f>
        <v/>
      </c>
    </row>
    <row r="658" spans="2:23" x14ac:dyDescent="0.2">
      <c r="B658" t="str">
        <f>IF(A658="","",IFERROR(AVERAGEIFS(DATOS!$K$2:$K$20000,DATOS!$A$2:$A$20000,A658,DATOS!$G$2:$G$20000,CONFIG_METADATA!$B$4,DATOS!$I$2:$I$20000,"Lenguaje Musical"),""))</f>
        <v/>
      </c>
      <c r="C658" t="str">
        <f>IF(A658="","",IFERROR(AVERAGEIFS(DATOS!$K$2:$K$20000,DATOS!$A$2:$A$20000,A658,DATOS!$G$2:$G$20000,CONFIG_METADATA!$B$4,DATOS!$I$2:$I$20000,"Coro"),""))</f>
        <v/>
      </c>
      <c r="D658" t="str">
        <f>IF(A658="","",IFERROR(AVERAGEIFS(DATOS!$K$2:$K$20000,DATOS!$A$2:$A$20000,A658,DATOS!$G$2:$G$20000,CONFIG_METADATA!$B$4,DATOS!$I$2:$I$20000,"Conjunto"),""))</f>
        <v/>
      </c>
      <c r="E658" t="str">
        <f>IF(A658="","",IFERROR(AVERAGEIFS(DATOS!$K$2:$K$20000,DATOS!$A$2:$A$20000,A658,DATOS!$G$2:$G$20000,CONFIG_METADATA!$B$4,DATOS!$I$2:$I$20000,"&lt;&gt;Lenguaje Musical",DATOS!$I$2:$I$20000,"&lt;&gt;Coro",DATOS!$I$2:$I$20000,"&lt;&gt;Conjunto"),""))</f>
        <v/>
      </c>
      <c r="H658" t="str">
        <f>IF(G658="","",IFERROR(AVERAGEIFS(DATOS!$K$2:$K$20000,DATOS!$A$2:$A$20000,G658,DATOS!$G$2:$G$20000,CONFIG_METADATA!$B$4,DATOS!$I$2:$I$20000,"Lenguaje Musical"),""))</f>
        <v/>
      </c>
      <c r="I658" t="str">
        <f>IF(G658="","",IFERROR(AVERAGEIFS(DATOS!$K$2:$K$20000,DATOS!$A$2:$A$20000,G658,DATOS!$G$2:$G$20000,CONFIG_METADATA!$B$4,DATOS!$I$2:$I$20000,"Coro"),""))</f>
        <v/>
      </c>
      <c r="J658" t="str">
        <f>IF(G658="","",IFERROR(AVERAGEIFS(DATOS!$K$2:$K$20000,DATOS!$A$2:$A$20000,G658,DATOS!$G$2:$G$20000,CONFIG_METADATA!$B$4,DATOS!$I$2:$I$20000,"Conjunto"),""))</f>
        <v/>
      </c>
      <c r="K658" t="str" cm="1">
        <f t="array" ref="K658">IF(G658="","",IFERROR(AVERAGE(IF((DATOS!$A$2:$A$20000=G658)*(DATOS!$G$2:$G$20000=CONFIG_METADATA!$B$4)*(DATOS!$I$2:$I$20000&lt;&gt;"Lenguaje Musical")*(DATOS!$I$2:$I$20000&lt;&gt;"Coro")*(DATOS!$I$2:$I$20000&lt;&gt;"Conjunto"),DATOS!$K$2:$K$20000)),""))</f>
        <v/>
      </c>
      <c r="N658" t="str">
        <f>IF(M658="","",IFERROR(AVERAGEIFS(DATOS!$K$2:$K$20000,DATOS!$A$2:$A$20000,M658,DATOS!$G$2:$G$20000,CONFIG_METADATA!$B$4,DATOS!$I$2:$I$20000,"Lenguaje Musical"),""))</f>
        <v/>
      </c>
      <c r="O658" t="str">
        <f>IF(M658="","",IFERROR(AVERAGEIFS(DATOS!$K$2:$K$20000,DATOS!$A$2:$A$20000,M658,DATOS!$G$2:$G$20000,CONFIG_METADATA!$B$4,DATOS!$I$2:$I$20000,"Coro"),""))</f>
        <v/>
      </c>
      <c r="P658" t="str">
        <f>IF(M658="","",IFERROR(AVERAGEIFS(DATOS!$K$2:$K$20000,DATOS!$A$2:$A$20000,M658,DATOS!$G$2:$G$20000,CONFIG_METADATA!$B$4,DATOS!$I$2:$I$20000,"Conjunto"),""))</f>
        <v/>
      </c>
      <c r="Q658" t="str">
        <f>IF(M658="","",IFERROR(AVERAGEIFS(DATOS!$K$2:$K$20000,DATOS!$A$2:$A$20000,M658,DATOS!$G$2:$G$20000,CONFIG_METADATA!$B$4,DATOS!$I$2:$I$20000,"&lt;&gt;Lenguaje Musical",DATOS!$I$2:$I$20000,"&lt;&gt;Coro",DATOS!$I$2:$I$20000,"&lt;&gt;Conjunto"),""))</f>
        <v/>
      </c>
      <c r="T658" t="str">
        <f>IF(S658="","",IFERROR(AVERAGEIFS(DATOS!$K$2:$K$20000,DATOS!$A$2:$A$20000,S658,DATOS!$G$2:$G$20000,CONFIG_METADATA!$B$4,DATOS!$I$2:$I$20000,"Lenguaje Musical"),""))</f>
        <v/>
      </c>
      <c r="U658" t="str">
        <f>IF(S658="","",IFERROR(AVERAGEIFS(DATOS!$K$2:$K$20000,DATOS!$A$2:$A$20000,S658,DATOS!$G$2:$G$20000,CONFIG_METADATA!$B$4,DATOS!$I$2:$I$20000,"Coro"),""))</f>
        <v/>
      </c>
      <c r="V658" t="str">
        <f>IF(S658="","",IFERROR(AVERAGEIFS(DATOS!$K$2:$K$20000,DATOS!$A$2:$A$20000,S658,DATOS!$G$2:$G$20000,CONFIG_METADATA!$B$4,DATOS!$I$2:$I$20000,"Conjunto"),""))</f>
        <v/>
      </c>
      <c r="W658" t="str" cm="1">
        <f t="array" ref="W658">IF(S658="","",IFERROR(AVERAGE(IF((DATOS!$A$2:$A$20000=S658)*(DATOS!$G$2:$G$20000=CONFIG_METADATA!$B$4)*(DATOS!$I$2:$I$20000&lt;&gt;"Lenguaje Musical")*(DATOS!$I$2:$I$20000&lt;&gt;"Coro")*(DATOS!$I$2:$I$20000&lt;&gt;"Conjunto"),DATOS!$K$2:$K$20000)),""))</f>
        <v/>
      </c>
    </row>
    <row r="659" spans="2:23" x14ac:dyDescent="0.2">
      <c r="B659" t="str">
        <f>IF(A659="","",IFERROR(AVERAGEIFS(DATOS!$K$2:$K$20000,DATOS!$A$2:$A$20000,A659,DATOS!$G$2:$G$20000,CONFIG_METADATA!$B$4,DATOS!$I$2:$I$20000,"Lenguaje Musical"),""))</f>
        <v/>
      </c>
      <c r="C659" t="str">
        <f>IF(A659="","",IFERROR(AVERAGEIFS(DATOS!$K$2:$K$20000,DATOS!$A$2:$A$20000,A659,DATOS!$G$2:$G$20000,CONFIG_METADATA!$B$4,DATOS!$I$2:$I$20000,"Coro"),""))</f>
        <v/>
      </c>
      <c r="D659" t="str">
        <f>IF(A659="","",IFERROR(AVERAGEIFS(DATOS!$K$2:$K$20000,DATOS!$A$2:$A$20000,A659,DATOS!$G$2:$G$20000,CONFIG_METADATA!$B$4,DATOS!$I$2:$I$20000,"Conjunto"),""))</f>
        <v/>
      </c>
      <c r="E659" t="str">
        <f>IF(A659="","",IFERROR(AVERAGEIFS(DATOS!$K$2:$K$20000,DATOS!$A$2:$A$20000,A659,DATOS!$G$2:$G$20000,CONFIG_METADATA!$B$4,DATOS!$I$2:$I$20000,"&lt;&gt;Lenguaje Musical",DATOS!$I$2:$I$20000,"&lt;&gt;Coro",DATOS!$I$2:$I$20000,"&lt;&gt;Conjunto"),""))</f>
        <v/>
      </c>
      <c r="H659" t="str">
        <f>IF(G659="","",IFERROR(AVERAGEIFS(DATOS!$K$2:$K$20000,DATOS!$A$2:$A$20000,G659,DATOS!$G$2:$G$20000,CONFIG_METADATA!$B$4,DATOS!$I$2:$I$20000,"Lenguaje Musical"),""))</f>
        <v/>
      </c>
      <c r="I659" t="str">
        <f>IF(G659="","",IFERROR(AVERAGEIFS(DATOS!$K$2:$K$20000,DATOS!$A$2:$A$20000,G659,DATOS!$G$2:$G$20000,CONFIG_METADATA!$B$4,DATOS!$I$2:$I$20000,"Coro"),""))</f>
        <v/>
      </c>
      <c r="J659" t="str">
        <f>IF(G659="","",IFERROR(AVERAGEIFS(DATOS!$K$2:$K$20000,DATOS!$A$2:$A$20000,G659,DATOS!$G$2:$G$20000,CONFIG_METADATA!$B$4,DATOS!$I$2:$I$20000,"Conjunto"),""))</f>
        <v/>
      </c>
      <c r="K659" t="str" cm="1">
        <f t="array" ref="K659">IF(G659="","",IFERROR(AVERAGE(IF((DATOS!$A$2:$A$20000=G659)*(DATOS!$G$2:$G$20000=CONFIG_METADATA!$B$4)*(DATOS!$I$2:$I$20000&lt;&gt;"Lenguaje Musical")*(DATOS!$I$2:$I$20000&lt;&gt;"Coro")*(DATOS!$I$2:$I$20000&lt;&gt;"Conjunto"),DATOS!$K$2:$K$20000)),""))</f>
        <v/>
      </c>
      <c r="N659" t="str">
        <f>IF(M659="","",IFERROR(AVERAGEIFS(DATOS!$K$2:$K$20000,DATOS!$A$2:$A$20000,M659,DATOS!$G$2:$G$20000,CONFIG_METADATA!$B$4,DATOS!$I$2:$I$20000,"Lenguaje Musical"),""))</f>
        <v/>
      </c>
      <c r="O659" t="str">
        <f>IF(M659="","",IFERROR(AVERAGEIFS(DATOS!$K$2:$K$20000,DATOS!$A$2:$A$20000,M659,DATOS!$G$2:$G$20000,CONFIG_METADATA!$B$4,DATOS!$I$2:$I$20000,"Coro"),""))</f>
        <v/>
      </c>
      <c r="P659" t="str">
        <f>IF(M659="","",IFERROR(AVERAGEIFS(DATOS!$K$2:$K$20000,DATOS!$A$2:$A$20000,M659,DATOS!$G$2:$G$20000,CONFIG_METADATA!$B$4,DATOS!$I$2:$I$20000,"Conjunto"),""))</f>
        <v/>
      </c>
      <c r="Q659" t="str">
        <f>IF(M659="","",IFERROR(AVERAGEIFS(DATOS!$K$2:$K$20000,DATOS!$A$2:$A$20000,M659,DATOS!$G$2:$G$20000,CONFIG_METADATA!$B$4,DATOS!$I$2:$I$20000,"&lt;&gt;Lenguaje Musical",DATOS!$I$2:$I$20000,"&lt;&gt;Coro",DATOS!$I$2:$I$20000,"&lt;&gt;Conjunto"),""))</f>
        <v/>
      </c>
      <c r="T659" t="str">
        <f>IF(S659="","",IFERROR(AVERAGEIFS(DATOS!$K$2:$K$20000,DATOS!$A$2:$A$20000,S659,DATOS!$G$2:$G$20000,CONFIG_METADATA!$B$4,DATOS!$I$2:$I$20000,"Lenguaje Musical"),""))</f>
        <v/>
      </c>
      <c r="U659" t="str">
        <f>IF(S659="","",IFERROR(AVERAGEIFS(DATOS!$K$2:$K$20000,DATOS!$A$2:$A$20000,S659,DATOS!$G$2:$G$20000,CONFIG_METADATA!$B$4,DATOS!$I$2:$I$20000,"Coro"),""))</f>
        <v/>
      </c>
      <c r="V659" t="str">
        <f>IF(S659="","",IFERROR(AVERAGEIFS(DATOS!$K$2:$K$20000,DATOS!$A$2:$A$20000,S659,DATOS!$G$2:$G$20000,CONFIG_METADATA!$B$4,DATOS!$I$2:$I$20000,"Conjunto"),""))</f>
        <v/>
      </c>
      <c r="W659" t="str" cm="1">
        <f t="array" ref="W659">IF(S659="","",IFERROR(AVERAGE(IF((DATOS!$A$2:$A$20000=S659)*(DATOS!$G$2:$G$20000=CONFIG_METADATA!$B$4)*(DATOS!$I$2:$I$20000&lt;&gt;"Lenguaje Musical")*(DATOS!$I$2:$I$20000&lt;&gt;"Coro")*(DATOS!$I$2:$I$20000&lt;&gt;"Conjunto"),DATOS!$K$2:$K$20000)),""))</f>
        <v/>
      </c>
    </row>
    <row r="660" spans="2:23" x14ac:dyDescent="0.2">
      <c r="B660" t="str">
        <f>IF(A660="","",IFERROR(AVERAGEIFS(DATOS!$K$2:$K$20000,DATOS!$A$2:$A$20000,A660,DATOS!$G$2:$G$20000,CONFIG_METADATA!$B$4,DATOS!$I$2:$I$20000,"Lenguaje Musical"),""))</f>
        <v/>
      </c>
      <c r="C660" t="str">
        <f>IF(A660="","",IFERROR(AVERAGEIFS(DATOS!$K$2:$K$20000,DATOS!$A$2:$A$20000,A660,DATOS!$G$2:$G$20000,CONFIG_METADATA!$B$4,DATOS!$I$2:$I$20000,"Coro"),""))</f>
        <v/>
      </c>
      <c r="D660" t="str">
        <f>IF(A660="","",IFERROR(AVERAGEIFS(DATOS!$K$2:$K$20000,DATOS!$A$2:$A$20000,A660,DATOS!$G$2:$G$20000,CONFIG_METADATA!$B$4,DATOS!$I$2:$I$20000,"Conjunto"),""))</f>
        <v/>
      </c>
      <c r="E660" t="str">
        <f>IF(A660="","",IFERROR(AVERAGEIFS(DATOS!$K$2:$K$20000,DATOS!$A$2:$A$20000,A660,DATOS!$G$2:$G$20000,CONFIG_METADATA!$B$4,DATOS!$I$2:$I$20000,"&lt;&gt;Lenguaje Musical",DATOS!$I$2:$I$20000,"&lt;&gt;Coro",DATOS!$I$2:$I$20000,"&lt;&gt;Conjunto"),""))</f>
        <v/>
      </c>
      <c r="H660" t="str">
        <f>IF(G660="","",IFERROR(AVERAGEIFS(DATOS!$K$2:$K$20000,DATOS!$A$2:$A$20000,G660,DATOS!$G$2:$G$20000,CONFIG_METADATA!$B$4,DATOS!$I$2:$I$20000,"Lenguaje Musical"),""))</f>
        <v/>
      </c>
      <c r="I660" t="str">
        <f>IF(G660="","",IFERROR(AVERAGEIFS(DATOS!$K$2:$K$20000,DATOS!$A$2:$A$20000,G660,DATOS!$G$2:$G$20000,CONFIG_METADATA!$B$4,DATOS!$I$2:$I$20000,"Coro"),""))</f>
        <v/>
      </c>
      <c r="J660" t="str">
        <f>IF(G660="","",IFERROR(AVERAGEIFS(DATOS!$K$2:$K$20000,DATOS!$A$2:$A$20000,G660,DATOS!$G$2:$G$20000,CONFIG_METADATA!$B$4,DATOS!$I$2:$I$20000,"Conjunto"),""))</f>
        <v/>
      </c>
      <c r="K660" t="str" cm="1">
        <f t="array" ref="K660">IF(G660="","",IFERROR(AVERAGE(IF((DATOS!$A$2:$A$20000=G660)*(DATOS!$G$2:$G$20000=CONFIG_METADATA!$B$4)*(DATOS!$I$2:$I$20000&lt;&gt;"Lenguaje Musical")*(DATOS!$I$2:$I$20000&lt;&gt;"Coro")*(DATOS!$I$2:$I$20000&lt;&gt;"Conjunto"),DATOS!$K$2:$K$20000)),""))</f>
        <v/>
      </c>
      <c r="N660" t="str">
        <f>IF(M660="","",IFERROR(AVERAGEIFS(DATOS!$K$2:$K$20000,DATOS!$A$2:$A$20000,M660,DATOS!$G$2:$G$20000,CONFIG_METADATA!$B$4,DATOS!$I$2:$I$20000,"Lenguaje Musical"),""))</f>
        <v/>
      </c>
      <c r="O660" t="str">
        <f>IF(M660="","",IFERROR(AVERAGEIFS(DATOS!$K$2:$K$20000,DATOS!$A$2:$A$20000,M660,DATOS!$G$2:$G$20000,CONFIG_METADATA!$B$4,DATOS!$I$2:$I$20000,"Coro"),""))</f>
        <v/>
      </c>
      <c r="P660" t="str">
        <f>IF(M660="","",IFERROR(AVERAGEIFS(DATOS!$K$2:$K$20000,DATOS!$A$2:$A$20000,M660,DATOS!$G$2:$G$20000,CONFIG_METADATA!$B$4,DATOS!$I$2:$I$20000,"Conjunto"),""))</f>
        <v/>
      </c>
      <c r="Q660" t="str">
        <f>IF(M660="","",IFERROR(AVERAGEIFS(DATOS!$K$2:$K$20000,DATOS!$A$2:$A$20000,M660,DATOS!$G$2:$G$20000,CONFIG_METADATA!$B$4,DATOS!$I$2:$I$20000,"&lt;&gt;Lenguaje Musical",DATOS!$I$2:$I$20000,"&lt;&gt;Coro",DATOS!$I$2:$I$20000,"&lt;&gt;Conjunto"),""))</f>
        <v/>
      </c>
      <c r="T660" t="str">
        <f>IF(S660="","",IFERROR(AVERAGEIFS(DATOS!$K$2:$K$20000,DATOS!$A$2:$A$20000,S660,DATOS!$G$2:$G$20000,CONFIG_METADATA!$B$4,DATOS!$I$2:$I$20000,"Lenguaje Musical"),""))</f>
        <v/>
      </c>
      <c r="U660" t="str">
        <f>IF(S660="","",IFERROR(AVERAGEIFS(DATOS!$K$2:$K$20000,DATOS!$A$2:$A$20000,S660,DATOS!$G$2:$G$20000,CONFIG_METADATA!$B$4,DATOS!$I$2:$I$20000,"Coro"),""))</f>
        <v/>
      </c>
      <c r="V660" t="str">
        <f>IF(S660="","",IFERROR(AVERAGEIFS(DATOS!$K$2:$K$20000,DATOS!$A$2:$A$20000,S660,DATOS!$G$2:$G$20000,CONFIG_METADATA!$B$4,DATOS!$I$2:$I$20000,"Conjunto"),""))</f>
        <v/>
      </c>
      <c r="W660" t="str" cm="1">
        <f t="array" ref="W660">IF(S660="","",IFERROR(AVERAGE(IF((DATOS!$A$2:$A$20000=S660)*(DATOS!$G$2:$G$20000=CONFIG_METADATA!$B$4)*(DATOS!$I$2:$I$20000&lt;&gt;"Lenguaje Musical")*(DATOS!$I$2:$I$20000&lt;&gt;"Coro")*(DATOS!$I$2:$I$20000&lt;&gt;"Conjunto"),DATOS!$K$2:$K$20000)),""))</f>
        <v/>
      </c>
    </row>
    <row r="661" spans="2:23" x14ac:dyDescent="0.2">
      <c r="B661" t="str">
        <f>IF(A661="","",IFERROR(AVERAGEIFS(DATOS!$K$2:$K$20000,DATOS!$A$2:$A$20000,A661,DATOS!$G$2:$G$20000,CONFIG_METADATA!$B$4,DATOS!$I$2:$I$20000,"Lenguaje Musical"),""))</f>
        <v/>
      </c>
      <c r="C661" t="str">
        <f>IF(A661="","",IFERROR(AVERAGEIFS(DATOS!$K$2:$K$20000,DATOS!$A$2:$A$20000,A661,DATOS!$G$2:$G$20000,CONFIG_METADATA!$B$4,DATOS!$I$2:$I$20000,"Coro"),""))</f>
        <v/>
      </c>
      <c r="D661" t="str">
        <f>IF(A661="","",IFERROR(AVERAGEIFS(DATOS!$K$2:$K$20000,DATOS!$A$2:$A$20000,A661,DATOS!$G$2:$G$20000,CONFIG_METADATA!$B$4,DATOS!$I$2:$I$20000,"Conjunto"),""))</f>
        <v/>
      </c>
      <c r="E661" t="str">
        <f>IF(A661="","",IFERROR(AVERAGEIFS(DATOS!$K$2:$K$20000,DATOS!$A$2:$A$20000,A661,DATOS!$G$2:$G$20000,CONFIG_METADATA!$B$4,DATOS!$I$2:$I$20000,"&lt;&gt;Lenguaje Musical",DATOS!$I$2:$I$20000,"&lt;&gt;Coro",DATOS!$I$2:$I$20000,"&lt;&gt;Conjunto"),""))</f>
        <v/>
      </c>
      <c r="H661" t="str">
        <f>IF(G661="","",IFERROR(AVERAGEIFS(DATOS!$K$2:$K$20000,DATOS!$A$2:$A$20000,G661,DATOS!$G$2:$G$20000,CONFIG_METADATA!$B$4,DATOS!$I$2:$I$20000,"Lenguaje Musical"),""))</f>
        <v/>
      </c>
      <c r="I661" t="str">
        <f>IF(G661="","",IFERROR(AVERAGEIFS(DATOS!$K$2:$K$20000,DATOS!$A$2:$A$20000,G661,DATOS!$G$2:$G$20000,CONFIG_METADATA!$B$4,DATOS!$I$2:$I$20000,"Coro"),""))</f>
        <v/>
      </c>
      <c r="J661" t="str">
        <f>IF(G661="","",IFERROR(AVERAGEIFS(DATOS!$K$2:$K$20000,DATOS!$A$2:$A$20000,G661,DATOS!$G$2:$G$20000,CONFIG_METADATA!$B$4,DATOS!$I$2:$I$20000,"Conjunto"),""))</f>
        <v/>
      </c>
      <c r="K661" t="str" cm="1">
        <f t="array" ref="K661">IF(G661="","",IFERROR(AVERAGE(IF((DATOS!$A$2:$A$20000=G661)*(DATOS!$G$2:$G$20000=CONFIG_METADATA!$B$4)*(DATOS!$I$2:$I$20000&lt;&gt;"Lenguaje Musical")*(DATOS!$I$2:$I$20000&lt;&gt;"Coro")*(DATOS!$I$2:$I$20000&lt;&gt;"Conjunto"),DATOS!$K$2:$K$20000)),""))</f>
        <v/>
      </c>
      <c r="N661" t="str">
        <f>IF(M661="","",IFERROR(AVERAGEIFS(DATOS!$K$2:$K$20000,DATOS!$A$2:$A$20000,M661,DATOS!$G$2:$G$20000,CONFIG_METADATA!$B$4,DATOS!$I$2:$I$20000,"Lenguaje Musical"),""))</f>
        <v/>
      </c>
      <c r="O661" t="str">
        <f>IF(M661="","",IFERROR(AVERAGEIFS(DATOS!$K$2:$K$20000,DATOS!$A$2:$A$20000,M661,DATOS!$G$2:$G$20000,CONFIG_METADATA!$B$4,DATOS!$I$2:$I$20000,"Coro"),""))</f>
        <v/>
      </c>
      <c r="P661" t="str">
        <f>IF(M661="","",IFERROR(AVERAGEIFS(DATOS!$K$2:$K$20000,DATOS!$A$2:$A$20000,M661,DATOS!$G$2:$G$20000,CONFIG_METADATA!$B$4,DATOS!$I$2:$I$20000,"Conjunto"),""))</f>
        <v/>
      </c>
      <c r="Q661" t="str">
        <f>IF(M661="","",IFERROR(AVERAGEIFS(DATOS!$K$2:$K$20000,DATOS!$A$2:$A$20000,M661,DATOS!$G$2:$G$20000,CONFIG_METADATA!$B$4,DATOS!$I$2:$I$20000,"&lt;&gt;Lenguaje Musical",DATOS!$I$2:$I$20000,"&lt;&gt;Coro",DATOS!$I$2:$I$20000,"&lt;&gt;Conjunto"),""))</f>
        <v/>
      </c>
      <c r="T661" t="str">
        <f>IF(S661="","",IFERROR(AVERAGEIFS(DATOS!$K$2:$K$20000,DATOS!$A$2:$A$20000,S661,DATOS!$G$2:$G$20000,CONFIG_METADATA!$B$4,DATOS!$I$2:$I$20000,"Lenguaje Musical"),""))</f>
        <v/>
      </c>
      <c r="U661" t="str">
        <f>IF(S661="","",IFERROR(AVERAGEIFS(DATOS!$K$2:$K$20000,DATOS!$A$2:$A$20000,S661,DATOS!$G$2:$G$20000,CONFIG_METADATA!$B$4,DATOS!$I$2:$I$20000,"Coro"),""))</f>
        <v/>
      </c>
      <c r="V661" t="str">
        <f>IF(S661="","",IFERROR(AVERAGEIFS(DATOS!$K$2:$K$20000,DATOS!$A$2:$A$20000,S661,DATOS!$G$2:$G$20000,CONFIG_METADATA!$B$4,DATOS!$I$2:$I$20000,"Conjunto"),""))</f>
        <v/>
      </c>
      <c r="W661" t="str" cm="1">
        <f t="array" ref="W661">IF(S661="","",IFERROR(AVERAGE(IF((DATOS!$A$2:$A$20000=S661)*(DATOS!$G$2:$G$20000=CONFIG_METADATA!$B$4)*(DATOS!$I$2:$I$20000&lt;&gt;"Lenguaje Musical")*(DATOS!$I$2:$I$20000&lt;&gt;"Coro")*(DATOS!$I$2:$I$20000&lt;&gt;"Conjunto"),DATOS!$K$2:$K$20000)),""))</f>
        <v/>
      </c>
    </row>
    <row r="662" spans="2:23" x14ac:dyDescent="0.2">
      <c r="B662" t="str">
        <f>IF(A662="","",IFERROR(AVERAGEIFS(DATOS!$K$2:$K$20000,DATOS!$A$2:$A$20000,A662,DATOS!$G$2:$G$20000,CONFIG_METADATA!$B$4,DATOS!$I$2:$I$20000,"Lenguaje Musical"),""))</f>
        <v/>
      </c>
      <c r="C662" t="str">
        <f>IF(A662="","",IFERROR(AVERAGEIFS(DATOS!$K$2:$K$20000,DATOS!$A$2:$A$20000,A662,DATOS!$G$2:$G$20000,CONFIG_METADATA!$B$4,DATOS!$I$2:$I$20000,"Coro"),""))</f>
        <v/>
      </c>
      <c r="D662" t="str">
        <f>IF(A662="","",IFERROR(AVERAGEIFS(DATOS!$K$2:$K$20000,DATOS!$A$2:$A$20000,A662,DATOS!$G$2:$G$20000,CONFIG_METADATA!$B$4,DATOS!$I$2:$I$20000,"Conjunto"),""))</f>
        <v/>
      </c>
      <c r="E662" t="str">
        <f>IF(A662="","",IFERROR(AVERAGEIFS(DATOS!$K$2:$K$20000,DATOS!$A$2:$A$20000,A662,DATOS!$G$2:$G$20000,CONFIG_METADATA!$B$4,DATOS!$I$2:$I$20000,"&lt;&gt;Lenguaje Musical",DATOS!$I$2:$I$20000,"&lt;&gt;Coro",DATOS!$I$2:$I$20000,"&lt;&gt;Conjunto"),""))</f>
        <v/>
      </c>
      <c r="H662" t="str">
        <f>IF(G662="","",IFERROR(AVERAGEIFS(DATOS!$K$2:$K$20000,DATOS!$A$2:$A$20000,G662,DATOS!$G$2:$G$20000,CONFIG_METADATA!$B$4,DATOS!$I$2:$I$20000,"Lenguaje Musical"),""))</f>
        <v/>
      </c>
      <c r="I662" t="str">
        <f>IF(G662="","",IFERROR(AVERAGEIFS(DATOS!$K$2:$K$20000,DATOS!$A$2:$A$20000,G662,DATOS!$G$2:$G$20000,CONFIG_METADATA!$B$4,DATOS!$I$2:$I$20000,"Coro"),""))</f>
        <v/>
      </c>
      <c r="J662" t="str">
        <f>IF(G662="","",IFERROR(AVERAGEIFS(DATOS!$K$2:$K$20000,DATOS!$A$2:$A$20000,G662,DATOS!$G$2:$G$20000,CONFIG_METADATA!$B$4,DATOS!$I$2:$I$20000,"Conjunto"),""))</f>
        <v/>
      </c>
      <c r="K662" t="str" cm="1">
        <f t="array" ref="K662">IF(G662="","",IFERROR(AVERAGE(IF((DATOS!$A$2:$A$20000=G662)*(DATOS!$G$2:$G$20000=CONFIG_METADATA!$B$4)*(DATOS!$I$2:$I$20000&lt;&gt;"Lenguaje Musical")*(DATOS!$I$2:$I$20000&lt;&gt;"Coro")*(DATOS!$I$2:$I$20000&lt;&gt;"Conjunto"),DATOS!$K$2:$K$20000)),""))</f>
        <v/>
      </c>
      <c r="N662" t="str">
        <f>IF(M662="","",IFERROR(AVERAGEIFS(DATOS!$K$2:$K$20000,DATOS!$A$2:$A$20000,M662,DATOS!$G$2:$G$20000,CONFIG_METADATA!$B$4,DATOS!$I$2:$I$20000,"Lenguaje Musical"),""))</f>
        <v/>
      </c>
      <c r="O662" t="str">
        <f>IF(M662="","",IFERROR(AVERAGEIFS(DATOS!$K$2:$K$20000,DATOS!$A$2:$A$20000,M662,DATOS!$G$2:$G$20000,CONFIG_METADATA!$B$4,DATOS!$I$2:$I$20000,"Coro"),""))</f>
        <v/>
      </c>
      <c r="P662" t="str">
        <f>IF(M662="","",IFERROR(AVERAGEIFS(DATOS!$K$2:$K$20000,DATOS!$A$2:$A$20000,M662,DATOS!$G$2:$G$20000,CONFIG_METADATA!$B$4,DATOS!$I$2:$I$20000,"Conjunto"),""))</f>
        <v/>
      </c>
      <c r="Q662" t="str">
        <f>IF(M662="","",IFERROR(AVERAGEIFS(DATOS!$K$2:$K$20000,DATOS!$A$2:$A$20000,M662,DATOS!$G$2:$G$20000,CONFIG_METADATA!$B$4,DATOS!$I$2:$I$20000,"&lt;&gt;Lenguaje Musical",DATOS!$I$2:$I$20000,"&lt;&gt;Coro",DATOS!$I$2:$I$20000,"&lt;&gt;Conjunto"),""))</f>
        <v/>
      </c>
      <c r="T662" t="str">
        <f>IF(S662="","",IFERROR(AVERAGEIFS(DATOS!$K$2:$K$20000,DATOS!$A$2:$A$20000,S662,DATOS!$G$2:$G$20000,CONFIG_METADATA!$B$4,DATOS!$I$2:$I$20000,"Lenguaje Musical"),""))</f>
        <v/>
      </c>
      <c r="U662" t="str">
        <f>IF(S662="","",IFERROR(AVERAGEIFS(DATOS!$K$2:$K$20000,DATOS!$A$2:$A$20000,S662,DATOS!$G$2:$G$20000,CONFIG_METADATA!$B$4,DATOS!$I$2:$I$20000,"Coro"),""))</f>
        <v/>
      </c>
      <c r="V662" t="str">
        <f>IF(S662="","",IFERROR(AVERAGEIFS(DATOS!$K$2:$K$20000,DATOS!$A$2:$A$20000,S662,DATOS!$G$2:$G$20000,CONFIG_METADATA!$B$4,DATOS!$I$2:$I$20000,"Conjunto"),""))</f>
        <v/>
      </c>
      <c r="W662" t="str" cm="1">
        <f t="array" ref="W662">IF(S662="","",IFERROR(AVERAGE(IF((DATOS!$A$2:$A$20000=S662)*(DATOS!$G$2:$G$20000=CONFIG_METADATA!$B$4)*(DATOS!$I$2:$I$20000&lt;&gt;"Lenguaje Musical")*(DATOS!$I$2:$I$20000&lt;&gt;"Coro")*(DATOS!$I$2:$I$20000&lt;&gt;"Conjunto"),DATOS!$K$2:$K$20000)),""))</f>
        <v/>
      </c>
    </row>
    <row r="663" spans="2:23" x14ac:dyDescent="0.2">
      <c r="B663" t="str">
        <f>IF(A663="","",IFERROR(AVERAGEIFS(DATOS!$K$2:$K$20000,DATOS!$A$2:$A$20000,A663,DATOS!$G$2:$G$20000,CONFIG_METADATA!$B$4,DATOS!$I$2:$I$20000,"Lenguaje Musical"),""))</f>
        <v/>
      </c>
      <c r="C663" t="str">
        <f>IF(A663="","",IFERROR(AVERAGEIFS(DATOS!$K$2:$K$20000,DATOS!$A$2:$A$20000,A663,DATOS!$G$2:$G$20000,CONFIG_METADATA!$B$4,DATOS!$I$2:$I$20000,"Coro"),""))</f>
        <v/>
      </c>
      <c r="D663" t="str">
        <f>IF(A663="","",IFERROR(AVERAGEIFS(DATOS!$K$2:$K$20000,DATOS!$A$2:$A$20000,A663,DATOS!$G$2:$G$20000,CONFIG_METADATA!$B$4,DATOS!$I$2:$I$20000,"Conjunto"),""))</f>
        <v/>
      </c>
      <c r="E663" t="str">
        <f>IF(A663="","",IFERROR(AVERAGEIFS(DATOS!$K$2:$K$20000,DATOS!$A$2:$A$20000,A663,DATOS!$G$2:$G$20000,CONFIG_METADATA!$B$4,DATOS!$I$2:$I$20000,"&lt;&gt;Lenguaje Musical",DATOS!$I$2:$I$20000,"&lt;&gt;Coro",DATOS!$I$2:$I$20000,"&lt;&gt;Conjunto"),""))</f>
        <v/>
      </c>
      <c r="H663" t="str">
        <f>IF(G663="","",IFERROR(AVERAGEIFS(DATOS!$K$2:$K$20000,DATOS!$A$2:$A$20000,G663,DATOS!$G$2:$G$20000,CONFIG_METADATA!$B$4,DATOS!$I$2:$I$20000,"Lenguaje Musical"),""))</f>
        <v/>
      </c>
      <c r="I663" t="str">
        <f>IF(G663="","",IFERROR(AVERAGEIFS(DATOS!$K$2:$K$20000,DATOS!$A$2:$A$20000,G663,DATOS!$G$2:$G$20000,CONFIG_METADATA!$B$4,DATOS!$I$2:$I$20000,"Coro"),""))</f>
        <v/>
      </c>
      <c r="J663" t="str">
        <f>IF(G663="","",IFERROR(AVERAGEIFS(DATOS!$K$2:$K$20000,DATOS!$A$2:$A$20000,G663,DATOS!$G$2:$G$20000,CONFIG_METADATA!$B$4,DATOS!$I$2:$I$20000,"Conjunto"),""))</f>
        <v/>
      </c>
      <c r="K663" t="str" cm="1">
        <f t="array" ref="K663">IF(G663="","",IFERROR(AVERAGE(IF((DATOS!$A$2:$A$20000=G663)*(DATOS!$G$2:$G$20000=CONFIG_METADATA!$B$4)*(DATOS!$I$2:$I$20000&lt;&gt;"Lenguaje Musical")*(DATOS!$I$2:$I$20000&lt;&gt;"Coro")*(DATOS!$I$2:$I$20000&lt;&gt;"Conjunto"),DATOS!$K$2:$K$20000)),""))</f>
        <v/>
      </c>
      <c r="N663" t="str">
        <f>IF(M663="","",IFERROR(AVERAGEIFS(DATOS!$K$2:$K$20000,DATOS!$A$2:$A$20000,M663,DATOS!$G$2:$G$20000,CONFIG_METADATA!$B$4,DATOS!$I$2:$I$20000,"Lenguaje Musical"),""))</f>
        <v/>
      </c>
      <c r="O663" t="str">
        <f>IF(M663="","",IFERROR(AVERAGEIFS(DATOS!$K$2:$K$20000,DATOS!$A$2:$A$20000,M663,DATOS!$G$2:$G$20000,CONFIG_METADATA!$B$4,DATOS!$I$2:$I$20000,"Coro"),""))</f>
        <v/>
      </c>
      <c r="P663" t="str">
        <f>IF(M663="","",IFERROR(AVERAGEIFS(DATOS!$K$2:$K$20000,DATOS!$A$2:$A$20000,M663,DATOS!$G$2:$G$20000,CONFIG_METADATA!$B$4,DATOS!$I$2:$I$20000,"Conjunto"),""))</f>
        <v/>
      </c>
      <c r="Q663" t="str">
        <f>IF(M663="","",IFERROR(AVERAGEIFS(DATOS!$K$2:$K$20000,DATOS!$A$2:$A$20000,M663,DATOS!$G$2:$G$20000,CONFIG_METADATA!$B$4,DATOS!$I$2:$I$20000,"&lt;&gt;Lenguaje Musical",DATOS!$I$2:$I$20000,"&lt;&gt;Coro",DATOS!$I$2:$I$20000,"&lt;&gt;Conjunto"),""))</f>
        <v/>
      </c>
      <c r="T663" t="str">
        <f>IF(S663="","",IFERROR(AVERAGEIFS(DATOS!$K$2:$K$20000,DATOS!$A$2:$A$20000,S663,DATOS!$G$2:$G$20000,CONFIG_METADATA!$B$4,DATOS!$I$2:$I$20000,"Lenguaje Musical"),""))</f>
        <v/>
      </c>
      <c r="U663" t="str">
        <f>IF(S663="","",IFERROR(AVERAGEIFS(DATOS!$K$2:$K$20000,DATOS!$A$2:$A$20000,S663,DATOS!$G$2:$G$20000,CONFIG_METADATA!$B$4,DATOS!$I$2:$I$20000,"Coro"),""))</f>
        <v/>
      </c>
      <c r="V663" t="str">
        <f>IF(S663="","",IFERROR(AVERAGEIFS(DATOS!$K$2:$K$20000,DATOS!$A$2:$A$20000,S663,DATOS!$G$2:$G$20000,CONFIG_METADATA!$B$4,DATOS!$I$2:$I$20000,"Conjunto"),""))</f>
        <v/>
      </c>
      <c r="W663" t="str" cm="1">
        <f t="array" ref="W663">IF(S663="","",IFERROR(AVERAGE(IF((DATOS!$A$2:$A$20000=S663)*(DATOS!$G$2:$G$20000=CONFIG_METADATA!$B$4)*(DATOS!$I$2:$I$20000&lt;&gt;"Lenguaje Musical")*(DATOS!$I$2:$I$20000&lt;&gt;"Coro")*(DATOS!$I$2:$I$20000&lt;&gt;"Conjunto"),DATOS!$K$2:$K$20000)),""))</f>
        <v/>
      </c>
    </row>
    <row r="664" spans="2:23" x14ac:dyDescent="0.2">
      <c r="B664" t="str">
        <f>IF(A664="","",IFERROR(AVERAGEIFS(DATOS!$K$2:$K$20000,DATOS!$A$2:$A$20000,A664,DATOS!$G$2:$G$20000,CONFIG_METADATA!$B$4,DATOS!$I$2:$I$20000,"Lenguaje Musical"),""))</f>
        <v/>
      </c>
      <c r="C664" t="str">
        <f>IF(A664="","",IFERROR(AVERAGEIFS(DATOS!$K$2:$K$20000,DATOS!$A$2:$A$20000,A664,DATOS!$G$2:$G$20000,CONFIG_METADATA!$B$4,DATOS!$I$2:$I$20000,"Coro"),""))</f>
        <v/>
      </c>
      <c r="D664" t="str">
        <f>IF(A664="","",IFERROR(AVERAGEIFS(DATOS!$K$2:$K$20000,DATOS!$A$2:$A$20000,A664,DATOS!$G$2:$G$20000,CONFIG_METADATA!$B$4,DATOS!$I$2:$I$20000,"Conjunto"),""))</f>
        <v/>
      </c>
      <c r="E664" t="str">
        <f>IF(A664="","",IFERROR(AVERAGEIFS(DATOS!$K$2:$K$20000,DATOS!$A$2:$A$20000,A664,DATOS!$G$2:$G$20000,CONFIG_METADATA!$B$4,DATOS!$I$2:$I$20000,"&lt;&gt;Lenguaje Musical",DATOS!$I$2:$I$20000,"&lt;&gt;Coro",DATOS!$I$2:$I$20000,"&lt;&gt;Conjunto"),""))</f>
        <v/>
      </c>
      <c r="H664" t="str">
        <f>IF(G664="","",IFERROR(AVERAGEIFS(DATOS!$K$2:$K$20000,DATOS!$A$2:$A$20000,G664,DATOS!$G$2:$G$20000,CONFIG_METADATA!$B$4,DATOS!$I$2:$I$20000,"Lenguaje Musical"),""))</f>
        <v/>
      </c>
      <c r="I664" t="str">
        <f>IF(G664="","",IFERROR(AVERAGEIFS(DATOS!$K$2:$K$20000,DATOS!$A$2:$A$20000,G664,DATOS!$G$2:$G$20000,CONFIG_METADATA!$B$4,DATOS!$I$2:$I$20000,"Coro"),""))</f>
        <v/>
      </c>
      <c r="J664" t="str">
        <f>IF(G664="","",IFERROR(AVERAGEIFS(DATOS!$K$2:$K$20000,DATOS!$A$2:$A$20000,G664,DATOS!$G$2:$G$20000,CONFIG_METADATA!$B$4,DATOS!$I$2:$I$20000,"Conjunto"),""))</f>
        <v/>
      </c>
      <c r="K664" t="str" cm="1">
        <f t="array" ref="K664">IF(G664="","",IFERROR(AVERAGE(IF((DATOS!$A$2:$A$20000=G664)*(DATOS!$G$2:$G$20000=CONFIG_METADATA!$B$4)*(DATOS!$I$2:$I$20000&lt;&gt;"Lenguaje Musical")*(DATOS!$I$2:$I$20000&lt;&gt;"Coro")*(DATOS!$I$2:$I$20000&lt;&gt;"Conjunto"),DATOS!$K$2:$K$20000)),""))</f>
        <v/>
      </c>
      <c r="N664" t="str">
        <f>IF(M664="","",IFERROR(AVERAGEIFS(DATOS!$K$2:$K$20000,DATOS!$A$2:$A$20000,M664,DATOS!$G$2:$G$20000,CONFIG_METADATA!$B$4,DATOS!$I$2:$I$20000,"Lenguaje Musical"),""))</f>
        <v/>
      </c>
      <c r="O664" t="str">
        <f>IF(M664="","",IFERROR(AVERAGEIFS(DATOS!$K$2:$K$20000,DATOS!$A$2:$A$20000,M664,DATOS!$G$2:$G$20000,CONFIG_METADATA!$B$4,DATOS!$I$2:$I$20000,"Coro"),""))</f>
        <v/>
      </c>
      <c r="P664" t="str">
        <f>IF(M664="","",IFERROR(AVERAGEIFS(DATOS!$K$2:$K$20000,DATOS!$A$2:$A$20000,M664,DATOS!$G$2:$G$20000,CONFIG_METADATA!$B$4,DATOS!$I$2:$I$20000,"Conjunto"),""))</f>
        <v/>
      </c>
      <c r="Q664" t="str">
        <f>IF(M664="","",IFERROR(AVERAGEIFS(DATOS!$K$2:$K$20000,DATOS!$A$2:$A$20000,M664,DATOS!$G$2:$G$20000,CONFIG_METADATA!$B$4,DATOS!$I$2:$I$20000,"&lt;&gt;Lenguaje Musical",DATOS!$I$2:$I$20000,"&lt;&gt;Coro",DATOS!$I$2:$I$20000,"&lt;&gt;Conjunto"),""))</f>
        <v/>
      </c>
      <c r="T664" t="str">
        <f>IF(S664="","",IFERROR(AVERAGEIFS(DATOS!$K$2:$K$20000,DATOS!$A$2:$A$20000,S664,DATOS!$G$2:$G$20000,CONFIG_METADATA!$B$4,DATOS!$I$2:$I$20000,"Lenguaje Musical"),""))</f>
        <v/>
      </c>
      <c r="U664" t="str">
        <f>IF(S664="","",IFERROR(AVERAGEIFS(DATOS!$K$2:$K$20000,DATOS!$A$2:$A$20000,S664,DATOS!$G$2:$G$20000,CONFIG_METADATA!$B$4,DATOS!$I$2:$I$20000,"Coro"),""))</f>
        <v/>
      </c>
      <c r="V664" t="str">
        <f>IF(S664="","",IFERROR(AVERAGEIFS(DATOS!$K$2:$K$20000,DATOS!$A$2:$A$20000,S664,DATOS!$G$2:$G$20000,CONFIG_METADATA!$B$4,DATOS!$I$2:$I$20000,"Conjunto"),""))</f>
        <v/>
      </c>
      <c r="W664" t="str" cm="1">
        <f t="array" ref="W664">IF(S664="","",IFERROR(AVERAGE(IF((DATOS!$A$2:$A$20000=S664)*(DATOS!$G$2:$G$20000=CONFIG_METADATA!$B$4)*(DATOS!$I$2:$I$20000&lt;&gt;"Lenguaje Musical")*(DATOS!$I$2:$I$20000&lt;&gt;"Coro")*(DATOS!$I$2:$I$20000&lt;&gt;"Conjunto"),DATOS!$K$2:$K$20000)),""))</f>
        <v/>
      </c>
    </row>
    <row r="665" spans="2:23" x14ac:dyDescent="0.2">
      <c r="B665" t="str">
        <f>IF(A665="","",IFERROR(AVERAGEIFS(DATOS!$K$2:$K$20000,DATOS!$A$2:$A$20000,A665,DATOS!$G$2:$G$20000,CONFIG_METADATA!$B$4,DATOS!$I$2:$I$20000,"Lenguaje Musical"),""))</f>
        <v/>
      </c>
      <c r="C665" t="str">
        <f>IF(A665="","",IFERROR(AVERAGEIFS(DATOS!$K$2:$K$20000,DATOS!$A$2:$A$20000,A665,DATOS!$G$2:$G$20000,CONFIG_METADATA!$B$4,DATOS!$I$2:$I$20000,"Coro"),""))</f>
        <v/>
      </c>
      <c r="D665" t="str">
        <f>IF(A665="","",IFERROR(AVERAGEIFS(DATOS!$K$2:$K$20000,DATOS!$A$2:$A$20000,A665,DATOS!$G$2:$G$20000,CONFIG_METADATA!$B$4,DATOS!$I$2:$I$20000,"Conjunto"),""))</f>
        <v/>
      </c>
      <c r="E665" t="str">
        <f>IF(A665="","",IFERROR(AVERAGEIFS(DATOS!$K$2:$K$20000,DATOS!$A$2:$A$20000,A665,DATOS!$G$2:$G$20000,CONFIG_METADATA!$B$4,DATOS!$I$2:$I$20000,"&lt;&gt;Lenguaje Musical",DATOS!$I$2:$I$20000,"&lt;&gt;Coro",DATOS!$I$2:$I$20000,"&lt;&gt;Conjunto"),""))</f>
        <v/>
      </c>
      <c r="H665" t="str">
        <f>IF(G665="","",IFERROR(AVERAGEIFS(DATOS!$K$2:$K$20000,DATOS!$A$2:$A$20000,G665,DATOS!$G$2:$G$20000,CONFIG_METADATA!$B$4,DATOS!$I$2:$I$20000,"Lenguaje Musical"),""))</f>
        <v/>
      </c>
      <c r="I665" t="str">
        <f>IF(G665="","",IFERROR(AVERAGEIFS(DATOS!$K$2:$K$20000,DATOS!$A$2:$A$20000,G665,DATOS!$G$2:$G$20000,CONFIG_METADATA!$B$4,DATOS!$I$2:$I$20000,"Coro"),""))</f>
        <v/>
      </c>
      <c r="J665" t="str">
        <f>IF(G665="","",IFERROR(AVERAGEIFS(DATOS!$K$2:$K$20000,DATOS!$A$2:$A$20000,G665,DATOS!$G$2:$G$20000,CONFIG_METADATA!$B$4,DATOS!$I$2:$I$20000,"Conjunto"),""))</f>
        <v/>
      </c>
      <c r="K665" t="str" cm="1">
        <f t="array" ref="K665">IF(G665="","",IFERROR(AVERAGE(IF((DATOS!$A$2:$A$20000=G665)*(DATOS!$G$2:$G$20000=CONFIG_METADATA!$B$4)*(DATOS!$I$2:$I$20000&lt;&gt;"Lenguaje Musical")*(DATOS!$I$2:$I$20000&lt;&gt;"Coro")*(DATOS!$I$2:$I$20000&lt;&gt;"Conjunto"),DATOS!$K$2:$K$20000)),""))</f>
        <v/>
      </c>
      <c r="N665" t="str">
        <f>IF(M665="","",IFERROR(AVERAGEIFS(DATOS!$K$2:$K$20000,DATOS!$A$2:$A$20000,M665,DATOS!$G$2:$G$20000,CONFIG_METADATA!$B$4,DATOS!$I$2:$I$20000,"Lenguaje Musical"),""))</f>
        <v/>
      </c>
      <c r="O665" t="str">
        <f>IF(M665="","",IFERROR(AVERAGEIFS(DATOS!$K$2:$K$20000,DATOS!$A$2:$A$20000,M665,DATOS!$G$2:$G$20000,CONFIG_METADATA!$B$4,DATOS!$I$2:$I$20000,"Coro"),""))</f>
        <v/>
      </c>
      <c r="P665" t="str">
        <f>IF(M665="","",IFERROR(AVERAGEIFS(DATOS!$K$2:$K$20000,DATOS!$A$2:$A$20000,M665,DATOS!$G$2:$G$20000,CONFIG_METADATA!$B$4,DATOS!$I$2:$I$20000,"Conjunto"),""))</f>
        <v/>
      </c>
      <c r="Q665" t="str">
        <f>IF(M665="","",IFERROR(AVERAGEIFS(DATOS!$K$2:$K$20000,DATOS!$A$2:$A$20000,M665,DATOS!$G$2:$G$20000,CONFIG_METADATA!$B$4,DATOS!$I$2:$I$20000,"&lt;&gt;Lenguaje Musical",DATOS!$I$2:$I$20000,"&lt;&gt;Coro",DATOS!$I$2:$I$20000,"&lt;&gt;Conjunto"),""))</f>
        <v/>
      </c>
      <c r="T665" t="str">
        <f>IF(S665="","",IFERROR(AVERAGEIFS(DATOS!$K$2:$K$20000,DATOS!$A$2:$A$20000,S665,DATOS!$G$2:$G$20000,CONFIG_METADATA!$B$4,DATOS!$I$2:$I$20000,"Lenguaje Musical"),""))</f>
        <v/>
      </c>
      <c r="U665" t="str">
        <f>IF(S665="","",IFERROR(AVERAGEIFS(DATOS!$K$2:$K$20000,DATOS!$A$2:$A$20000,S665,DATOS!$G$2:$G$20000,CONFIG_METADATA!$B$4,DATOS!$I$2:$I$20000,"Coro"),""))</f>
        <v/>
      </c>
      <c r="V665" t="str">
        <f>IF(S665="","",IFERROR(AVERAGEIFS(DATOS!$K$2:$K$20000,DATOS!$A$2:$A$20000,S665,DATOS!$G$2:$G$20000,CONFIG_METADATA!$B$4,DATOS!$I$2:$I$20000,"Conjunto"),""))</f>
        <v/>
      </c>
      <c r="W665" t="str" cm="1">
        <f t="array" ref="W665">IF(S665="","",IFERROR(AVERAGE(IF((DATOS!$A$2:$A$20000=S665)*(DATOS!$G$2:$G$20000=CONFIG_METADATA!$B$4)*(DATOS!$I$2:$I$20000&lt;&gt;"Lenguaje Musical")*(DATOS!$I$2:$I$20000&lt;&gt;"Coro")*(DATOS!$I$2:$I$20000&lt;&gt;"Conjunto"),DATOS!$K$2:$K$20000)),""))</f>
        <v/>
      </c>
    </row>
    <row r="666" spans="2:23" x14ac:dyDescent="0.2">
      <c r="B666" t="str">
        <f>IF(A666="","",IFERROR(AVERAGEIFS(DATOS!$K$2:$K$20000,DATOS!$A$2:$A$20000,A666,DATOS!$G$2:$G$20000,CONFIG_METADATA!$B$4,DATOS!$I$2:$I$20000,"Lenguaje Musical"),""))</f>
        <v/>
      </c>
      <c r="C666" t="str">
        <f>IF(A666="","",IFERROR(AVERAGEIFS(DATOS!$K$2:$K$20000,DATOS!$A$2:$A$20000,A666,DATOS!$G$2:$G$20000,CONFIG_METADATA!$B$4,DATOS!$I$2:$I$20000,"Coro"),""))</f>
        <v/>
      </c>
      <c r="D666" t="str">
        <f>IF(A666="","",IFERROR(AVERAGEIFS(DATOS!$K$2:$K$20000,DATOS!$A$2:$A$20000,A666,DATOS!$G$2:$G$20000,CONFIG_METADATA!$B$4,DATOS!$I$2:$I$20000,"Conjunto"),""))</f>
        <v/>
      </c>
      <c r="E666" t="str">
        <f>IF(A666="","",IFERROR(AVERAGEIFS(DATOS!$K$2:$K$20000,DATOS!$A$2:$A$20000,A666,DATOS!$G$2:$G$20000,CONFIG_METADATA!$B$4,DATOS!$I$2:$I$20000,"&lt;&gt;Lenguaje Musical",DATOS!$I$2:$I$20000,"&lt;&gt;Coro",DATOS!$I$2:$I$20000,"&lt;&gt;Conjunto"),""))</f>
        <v/>
      </c>
      <c r="H666" t="str">
        <f>IF(G666="","",IFERROR(AVERAGEIFS(DATOS!$K$2:$K$20000,DATOS!$A$2:$A$20000,G666,DATOS!$G$2:$G$20000,CONFIG_METADATA!$B$4,DATOS!$I$2:$I$20000,"Lenguaje Musical"),""))</f>
        <v/>
      </c>
      <c r="I666" t="str">
        <f>IF(G666="","",IFERROR(AVERAGEIFS(DATOS!$K$2:$K$20000,DATOS!$A$2:$A$20000,G666,DATOS!$G$2:$G$20000,CONFIG_METADATA!$B$4,DATOS!$I$2:$I$20000,"Coro"),""))</f>
        <v/>
      </c>
      <c r="J666" t="str">
        <f>IF(G666="","",IFERROR(AVERAGEIFS(DATOS!$K$2:$K$20000,DATOS!$A$2:$A$20000,G666,DATOS!$G$2:$G$20000,CONFIG_METADATA!$B$4,DATOS!$I$2:$I$20000,"Conjunto"),""))</f>
        <v/>
      </c>
      <c r="K666" t="str" cm="1">
        <f t="array" ref="K666">IF(G666="","",IFERROR(AVERAGE(IF((DATOS!$A$2:$A$20000=G666)*(DATOS!$G$2:$G$20000=CONFIG_METADATA!$B$4)*(DATOS!$I$2:$I$20000&lt;&gt;"Lenguaje Musical")*(DATOS!$I$2:$I$20000&lt;&gt;"Coro")*(DATOS!$I$2:$I$20000&lt;&gt;"Conjunto"),DATOS!$K$2:$K$20000)),""))</f>
        <v/>
      </c>
      <c r="N666" t="str">
        <f>IF(M666="","",IFERROR(AVERAGEIFS(DATOS!$K$2:$K$20000,DATOS!$A$2:$A$20000,M666,DATOS!$G$2:$G$20000,CONFIG_METADATA!$B$4,DATOS!$I$2:$I$20000,"Lenguaje Musical"),""))</f>
        <v/>
      </c>
      <c r="O666" t="str">
        <f>IF(M666="","",IFERROR(AVERAGEIFS(DATOS!$K$2:$K$20000,DATOS!$A$2:$A$20000,M666,DATOS!$G$2:$G$20000,CONFIG_METADATA!$B$4,DATOS!$I$2:$I$20000,"Coro"),""))</f>
        <v/>
      </c>
      <c r="P666" t="str">
        <f>IF(M666="","",IFERROR(AVERAGEIFS(DATOS!$K$2:$K$20000,DATOS!$A$2:$A$20000,M666,DATOS!$G$2:$G$20000,CONFIG_METADATA!$B$4,DATOS!$I$2:$I$20000,"Conjunto"),""))</f>
        <v/>
      </c>
      <c r="Q666" t="str">
        <f>IF(M666="","",IFERROR(AVERAGEIFS(DATOS!$K$2:$K$20000,DATOS!$A$2:$A$20000,M666,DATOS!$G$2:$G$20000,CONFIG_METADATA!$B$4,DATOS!$I$2:$I$20000,"&lt;&gt;Lenguaje Musical",DATOS!$I$2:$I$20000,"&lt;&gt;Coro",DATOS!$I$2:$I$20000,"&lt;&gt;Conjunto"),""))</f>
        <v/>
      </c>
      <c r="T666" t="str">
        <f>IF(S666="","",IFERROR(AVERAGEIFS(DATOS!$K$2:$K$20000,DATOS!$A$2:$A$20000,S666,DATOS!$G$2:$G$20000,CONFIG_METADATA!$B$4,DATOS!$I$2:$I$20000,"Lenguaje Musical"),""))</f>
        <v/>
      </c>
      <c r="U666" t="str">
        <f>IF(S666="","",IFERROR(AVERAGEIFS(DATOS!$K$2:$K$20000,DATOS!$A$2:$A$20000,S666,DATOS!$G$2:$G$20000,CONFIG_METADATA!$B$4,DATOS!$I$2:$I$20000,"Coro"),""))</f>
        <v/>
      </c>
      <c r="V666" t="str">
        <f>IF(S666="","",IFERROR(AVERAGEIFS(DATOS!$K$2:$K$20000,DATOS!$A$2:$A$20000,S666,DATOS!$G$2:$G$20000,CONFIG_METADATA!$B$4,DATOS!$I$2:$I$20000,"Conjunto"),""))</f>
        <v/>
      </c>
      <c r="W666" t="str" cm="1">
        <f t="array" ref="W666">IF(S666="","",IFERROR(AVERAGE(IF((DATOS!$A$2:$A$20000=S666)*(DATOS!$G$2:$G$20000=CONFIG_METADATA!$B$4)*(DATOS!$I$2:$I$20000&lt;&gt;"Lenguaje Musical")*(DATOS!$I$2:$I$20000&lt;&gt;"Coro")*(DATOS!$I$2:$I$20000&lt;&gt;"Conjunto"),DATOS!$K$2:$K$20000)),""))</f>
        <v/>
      </c>
    </row>
    <row r="667" spans="2:23" x14ac:dyDescent="0.2">
      <c r="B667" t="str">
        <f>IF(A667="","",IFERROR(AVERAGEIFS(DATOS!$K$2:$K$20000,DATOS!$A$2:$A$20000,A667,DATOS!$G$2:$G$20000,CONFIG_METADATA!$B$4,DATOS!$I$2:$I$20000,"Lenguaje Musical"),""))</f>
        <v/>
      </c>
      <c r="C667" t="str">
        <f>IF(A667="","",IFERROR(AVERAGEIFS(DATOS!$K$2:$K$20000,DATOS!$A$2:$A$20000,A667,DATOS!$G$2:$G$20000,CONFIG_METADATA!$B$4,DATOS!$I$2:$I$20000,"Coro"),""))</f>
        <v/>
      </c>
      <c r="D667" t="str">
        <f>IF(A667="","",IFERROR(AVERAGEIFS(DATOS!$K$2:$K$20000,DATOS!$A$2:$A$20000,A667,DATOS!$G$2:$G$20000,CONFIG_METADATA!$B$4,DATOS!$I$2:$I$20000,"Conjunto"),""))</f>
        <v/>
      </c>
      <c r="E667" t="str">
        <f>IF(A667="","",IFERROR(AVERAGEIFS(DATOS!$K$2:$K$20000,DATOS!$A$2:$A$20000,A667,DATOS!$G$2:$G$20000,CONFIG_METADATA!$B$4,DATOS!$I$2:$I$20000,"&lt;&gt;Lenguaje Musical",DATOS!$I$2:$I$20000,"&lt;&gt;Coro",DATOS!$I$2:$I$20000,"&lt;&gt;Conjunto"),""))</f>
        <v/>
      </c>
      <c r="H667" t="str">
        <f>IF(G667="","",IFERROR(AVERAGEIFS(DATOS!$K$2:$K$20000,DATOS!$A$2:$A$20000,G667,DATOS!$G$2:$G$20000,CONFIG_METADATA!$B$4,DATOS!$I$2:$I$20000,"Lenguaje Musical"),""))</f>
        <v/>
      </c>
      <c r="I667" t="str">
        <f>IF(G667="","",IFERROR(AVERAGEIFS(DATOS!$K$2:$K$20000,DATOS!$A$2:$A$20000,G667,DATOS!$G$2:$G$20000,CONFIG_METADATA!$B$4,DATOS!$I$2:$I$20000,"Coro"),""))</f>
        <v/>
      </c>
      <c r="J667" t="str">
        <f>IF(G667="","",IFERROR(AVERAGEIFS(DATOS!$K$2:$K$20000,DATOS!$A$2:$A$20000,G667,DATOS!$G$2:$G$20000,CONFIG_METADATA!$B$4,DATOS!$I$2:$I$20000,"Conjunto"),""))</f>
        <v/>
      </c>
      <c r="K667" t="str" cm="1">
        <f t="array" ref="K667">IF(G667="","",IFERROR(AVERAGE(IF((DATOS!$A$2:$A$20000=G667)*(DATOS!$G$2:$G$20000=CONFIG_METADATA!$B$4)*(DATOS!$I$2:$I$20000&lt;&gt;"Lenguaje Musical")*(DATOS!$I$2:$I$20000&lt;&gt;"Coro")*(DATOS!$I$2:$I$20000&lt;&gt;"Conjunto"),DATOS!$K$2:$K$20000)),""))</f>
        <v/>
      </c>
      <c r="N667" t="str">
        <f>IF(M667="","",IFERROR(AVERAGEIFS(DATOS!$K$2:$K$20000,DATOS!$A$2:$A$20000,M667,DATOS!$G$2:$G$20000,CONFIG_METADATA!$B$4,DATOS!$I$2:$I$20000,"Lenguaje Musical"),""))</f>
        <v/>
      </c>
      <c r="O667" t="str">
        <f>IF(M667="","",IFERROR(AVERAGEIFS(DATOS!$K$2:$K$20000,DATOS!$A$2:$A$20000,M667,DATOS!$G$2:$G$20000,CONFIG_METADATA!$B$4,DATOS!$I$2:$I$20000,"Coro"),""))</f>
        <v/>
      </c>
      <c r="P667" t="str">
        <f>IF(M667="","",IFERROR(AVERAGEIFS(DATOS!$K$2:$K$20000,DATOS!$A$2:$A$20000,M667,DATOS!$G$2:$G$20000,CONFIG_METADATA!$B$4,DATOS!$I$2:$I$20000,"Conjunto"),""))</f>
        <v/>
      </c>
      <c r="Q667" t="str">
        <f>IF(M667="","",IFERROR(AVERAGEIFS(DATOS!$K$2:$K$20000,DATOS!$A$2:$A$20000,M667,DATOS!$G$2:$G$20000,CONFIG_METADATA!$B$4,DATOS!$I$2:$I$20000,"&lt;&gt;Lenguaje Musical",DATOS!$I$2:$I$20000,"&lt;&gt;Coro",DATOS!$I$2:$I$20000,"&lt;&gt;Conjunto"),""))</f>
        <v/>
      </c>
      <c r="T667" t="str">
        <f>IF(S667="","",IFERROR(AVERAGEIFS(DATOS!$K$2:$K$20000,DATOS!$A$2:$A$20000,S667,DATOS!$G$2:$G$20000,CONFIG_METADATA!$B$4,DATOS!$I$2:$I$20000,"Lenguaje Musical"),""))</f>
        <v/>
      </c>
      <c r="U667" t="str">
        <f>IF(S667="","",IFERROR(AVERAGEIFS(DATOS!$K$2:$K$20000,DATOS!$A$2:$A$20000,S667,DATOS!$G$2:$G$20000,CONFIG_METADATA!$B$4,DATOS!$I$2:$I$20000,"Coro"),""))</f>
        <v/>
      </c>
      <c r="V667" t="str">
        <f>IF(S667="","",IFERROR(AVERAGEIFS(DATOS!$K$2:$K$20000,DATOS!$A$2:$A$20000,S667,DATOS!$G$2:$G$20000,CONFIG_METADATA!$B$4,DATOS!$I$2:$I$20000,"Conjunto"),""))</f>
        <v/>
      </c>
      <c r="W667" t="str" cm="1">
        <f t="array" ref="W667">IF(S667="","",IFERROR(AVERAGE(IF((DATOS!$A$2:$A$20000=S667)*(DATOS!$G$2:$G$20000=CONFIG_METADATA!$B$4)*(DATOS!$I$2:$I$20000&lt;&gt;"Lenguaje Musical")*(DATOS!$I$2:$I$20000&lt;&gt;"Coro")*(DATOS!$I$2:$I$20000&lt;&gt;"Conjunto"),DATOS!$K$2:$K$20000)),""))</f>
        <v/>
      </c>
    </row>
    <row r="668" spans="2:23" x14ac:dyDescent="0.2">
      <c r="B668" t="str">
        <f>IF(A668="","",IFERROR(AVERAGEIFS(DATOS!$K$2:$K$20000,DATOS!$A$2:$A$20000,A668,DATOS!$G$2:$G$20000,CONFIG_METADATA!$B$4,DATOS!$I$2:$I$20000,"Lenguaje Musical"),""))</f>
        <v/>
      </c>
      <c r="C668" t="str">
        <f>IF(A668="","",IFERROR(AVERAGEIFS(DATOS!$K$2:$K$20000,DATOS!$A$2:$A$20000,A668,DATOS!$G$2:$G$20000,CONFIG_METADATA!$B$4,DATOS!$I$2:$I$20000,"Coro"),""))</f>
        <v/>
      </c>
      <c r="D668" t="str">
        <f>IF(A668="","",IFERROR(AVERAGEIFS(DATOS!$K$2:$K$20000,DATOS!$A$2:$A$20000,A668,DATOS!$G$2:$G$20000,CONFIG_METADATA!$B$4,DATOS!$I$2:$I$20000,"Conjunto"),""))</f>
        <v/>
      </c>
      <c r="E668" t="str">
        <f>IF(A668="","",IFERROR(AVERAGEIFS(DATOS!$K$2:$K$20000,DATOS!$A$2:$A$20000,A668,DATOS!$G$2:$G$20000,CONFIG_METADATA!$B$4,DATOS!$I$2:$I$20000,"&lt;&gt;Lenguaje Musical",DATOS!$I$2:$I$20000,"&lt;&gt;Coro",DATOS!$I$2:$I$20000,"&lt;&gt;Conjunto"),""))</f>
        <v/>
      </c>
      <c r="H668" t="str">
        <f>IF(G668="","",IFERROR(AVERAGEIFS(DATOS!$K$2:$K$20000,DATOS!$A$2:$A$20000,G668,DATOS!$G$2:$G$20000,CONFIG_METADATA!$B$4,DATOS!$I$2:$I$20000,"Lenguaje Musical"),""))</f>
        <v/>
      </c>
      <c r="I668" t="str">
        <f>IF(G668="","",IFERROR(AVERAGEIFS(DATOS!$K$2:$K$20000,DATOS!$A$2:$A$20000,G668,DATOS!$G$2:$G$20000,CONFIG_METADATA!$B$4,DATOS!$I$2:$I$20000,"Coro"),""))</f>
        <v/>
      </c>
      <c r="J668" t="str">
        <f>IF(G668="","",IFERROR(AVERAGEIFS(DATOS!$K$2:$K$20000,DATOS!$A$2:$A$20000,G668,DATOS!$G$2:$G$20000,CONFIG_METADATA!$B$4,DATOS!$I$2:$I$20000,"Conjunto"),""))</f>
        <v/>
      </c>
      <c r="K668" t="str" cm="1">
        <f t="array" ref="K668">IF(G668="","",IFERROR(AVERAGE(IF((DATOS!$A$2:$A$20000=G668)*(DATOS!$G$2:$G$20000=CONFIG_METADATA!$B$4)*(DATOS!$I$2:$I$20000&lt;&gt;"Lenguaje Musical")*(DATOS!$I$2:$I$20000&lt;&gt;"Coro")*(DATOS!$I$2:$I$20000&lt;&gt;"Conjunto"),DATOS!$K$2:$K$20000)),""))</f>
        <v/>
      </c>
      <c r="N668" t="str">
        <f>IF(M668="","",IFERROR(AVERAGEIFS(DATOS!$K$2:$K$20000,DATOS!$A$2:$A$20000,M668,DATOS!$G$2:$G$20000,CONFIG_METADATA!$B$4,DATOS!$I$2:$I$20000,"Lenguaje Musical"),""))</f>
        <v/>
      </c>
      <c r="O668" t="str">
        <f>IF(M668="","",IFERROR(AVERAGEIFS(DATOS!$K$2:$K$20000,DATOS!$A$2:$A$20000,M668,DATOS!$G$2:$G$20000,CONFIG_METADATA!$B$4,DATOS!$I$2:$I$20000,"Coro"),""))</f>
        <v/>
      </c>
      <c r="P668" t="str">
        <f>IF(M668="","",IFERROR(AVERAGEIFS(DATOS!$K$2:$K$20000,DATOS!$A$2:$A$20000,M668,DATOS!$G$2:$G$20000,CONFIG_METADATA!$B$4,DATOS!$I$2:$I$20000,"Conjunto"),""))</f>
        <v/>
      </c>
      <c r="Q668" t="str">
        <f>IF(M668="","",IFERROR(AVERAGEIFS(DATOS!$K$2:$K$20000,DATOS!$A$2:$A$20000,M668,DATOS!$G$2:$G$20000,CONFIG_METADATA!$B$4,DATOS!$I$2:$I$20000,"&lt;&gt;Lenguaje Musical",DATOS!$I$2:$I$20000,"&lt;&gt;Coro",DATOS!$I$2:$I$20000,"&lt;&gt;Conjunto"),""))</f>
        <v/>
      </c>
      <c r="T668" t="str">
        <f>IF(S668="","",IFERROR(AVERAGEIFS(DATOS!$K$2:$K$20000,DATOS!$A$2:$A$20000,S668,DATOS!$G$2:$G$20000,CONFIG_METADATA!$B$4,DATOS!$I$2:$I$20000,"Lenguaje Musical"),""))</f>
        <v/>
      </c>
      <c r="U668" t="str">
        <f>IF(S668="","",IFERROR(AVERAGEIFS(DATOS!$K$2:$K$20000,DATOS!$A$2:$A$20000,S668,DATOS!$G$2:$G$20000,CONFIG_METADATA!$B$4,DATOS!$I$2:$I$20000,"Coro"),""))</f>
        <v/>
      </c>
      <c r="V668" t="str">
        <f>IF(S668="","",IFERROR(AVERAGEIFS(DATOS!$K$2:$K$20000,DATOS!$A$2:$A$20000,S668,DATOS!$G$2:$G$20000,CONFIG_METADATA!$B$4,DATOS!$I$2:$I$20000,"Conjunto"),""))</f>
        <v/>
      </c>
      <c r="W668" t="str" cm="1">
        <f t="array" ref="W668">IF(S668="","",IFERROR(AVERAGE(IF((DATOS!$A$2:$A$20000=S668)*(DATOS!$G$2:$G$20000=CONFIG_METADATA!$B$4)*(DATOS!$I$2:$I$20000&lt;&gt;"Lenguaje Musical")*(DATOS!$I$2:$I$20000&lt;&gt;"Coro")*(DATOS!$I$2:$I$20000&lt;&gt;"Conjunto"),DATOS!$K$2:$K$20000)),""))</f>
        <v/>
      </c>
    </row>
    <row r="669" spans="2:23" x14ac:dyDescent="0.2">
      <c r="B669" t="str">
        <f>IF(A669="","",IFERROR(AVERAGEIFS(DATOS!$K$2:$K$20000,DATOS!$A$2:$A$20000,A669,DATOS!$G$2:$G$20000,CONFIG_METADATA!$B$4,DATOS!$I$2:$I$20000,"Lenguaje Musical"),""))</f>
        <v/>
      </c>
      <c r="C669" t="str">
        <f>IF(A669="","",IFERROR(AVERAGEIFS(DATOS!$K$2:$K$20000,DATOS!$A$2:$A$20000,A669,DATOS!$G$2:$G$20000,CONFIG_METADATA!$B$4,DATOS!$I$2:$I$20000,"Coro"),""))</f>
        <v/>
      </c>
      <c r="D669" t="str">
        <f>IF(A669="","",IFERROR(AVERAGEIFS(DATOS!$K$2:$K$20000,DATOS!$A$2:$A$20000,A669,DATOS!$G$2:$G$20000,CONFIG_METADATA!$B$4,DATOS!$I$2:$I$20000,"Conjunto"),""))</f>
        <v/>
      </c>
      <c r="E669" t="str">
        <f>IF(A669="","",IFERROR(AVERAGEIFS(DATOS!$K$2:$K$20000,DATOS!$A$2:$A$20000,A669,DATOS!$G$2:$G$20000,CONFIG_METADATA!$B$4,DATOS!$I$2:$I$20000,"&lt;&gt;Lenguaje Musical",DATOS!$I$2:$I$20000,"&lt;&gt;Coro",DATOS!$I$2:$I$20000,"&lt;&gt;Conjunto"),""))</f>
        <v/>
      </c>
      <c r="H669" t="str">
        <f>IF(G669="","",IFERROR(AVERAGEIFS(DATOS!$K$2:$K$20000,DATOS!$A$2:$A$20000,G669,DATOS!$G$2:$G$20000,CONFIG_METADATA!$B$4,DATOS!$I$2:$I$20000,"Lenguaje Musical"),""))</f>
        <v/>
      </c>
      <c r="I669" t="str">
        <f>IF(G669="","",IFERROR(AVERAGEIFS(DATOS!$K$2:$K$20000,DATOS!$A$2:$A$20000,G669,DATOS!$G$2:$G$20000,CONFIG_METADATA!$B$4,DATOS!$I$2:$I$20000,"Coro"),""))</f>
        <v/>
      </c>
      <c r="J669" t="str">
        <f>IF(G669="","",IFERROR(AVERAGEIFS(DATOS!$K$2:$K$20000,DATOS!$A$2:$A$20000,G669,DATOS!$G$2:$G$20000,CONFIG_METADATA!$B$4,DATOS!$I$2:$I$20000,"Conjunto"),""))</f>
        <v/>
      </c>
      <c r="K669" t="str" cm="1">
        <f t="array" ref="K669">IF(G669="","",IFERROR(AVERAGE(IF((DATOS!$A$2:$A$20000=G669)*(DATOS!$G$2:$G$20000=CONFIG_METADATA!$B$4)*(DATOS!$I$2:$I$20000&lt;&gt;"Lenguaje Musical")*(DATOS!$I$2:$I$20000&lt;&gt;"Coro")*(DATOS!$I$2:$I$20000&lt;&gt;"Conjunto"),DATOS!$K$2:$K$20000)),""))</f>
        <v/>
      </c>
      <c r="N669" t="str">
        <f>IF(M669="","",IFERROR(AVERAGEIFS(DATOS!$K$2:$K$20000,DATOS!$A$2:$A$20000,M669,DATOS!$G$2:$G$20000,CONFIG_METADATA!$B$4,DATOS!$I$2:$I$20000,"Lenguaje Musical"),""))</f>
        <v/>
      </c>
      <c r="O669" t="str">
        <f>IF(M669="","",IFERROR(AVERAGEIFS(DATOS!$K$2:$K$20000,DATOS!$A$2:$A$20000,M669,DATOS!$G$2:$G$20000,CONFIG_METADATA!$B$4,DATOS!$I$2:$I$20000,"Coro"),""))</f>
        <v/>
      </c>
      <c r="P669" t="str">
        <f>IF(M669="","",IFERROR(AVERAGEIFS(DATOS!$K$2:$K$20000,DATOS!$A$2:$A$20000,M669,DATOS!$G$2:$G$20000,CONFIG_METADATA!$B$4,DATOS!$I$2:$I$20000,"Conjunto"),""))</f>
        <v/>
      </c>
      <c r="Q669" t="str">
        <f>IF(M669="","",IFERROR(AVERAGEIFS(DATOS!$K$2:$K$20000,DATOS!$A$2:$A$20000,M669,DATOS!$G$2:$G$20000,CONFIG_METADATA!$B$4,DATOS!$I$2:$I$20000,"&lt;&gt;Lenguaje Musical",DATOS!$I$2:$I$20000,"&lt;&gt;Coro",DATOS!$I$2:$I$20000,"&lt;&gt;Conjunto"),""))</f>
        <v/>
      </c>
      <c r="T669" t="str">
        <f>IF(S669="","",IFERROR(AVERAGEIFS(DATOS!$K$2:$K$20000,DATOS!$A$2:$A$20000,S669,DATOS!$G$2:$G$20000,CONFIG_METADATA!$B$4,DATOS!$I$2:$I$20000,"Lenguaje Musical"),""))</f>
        <v/>
      </c>
      <c r="U669" t="str">
        <f>IF(S669="","",IFERROR(AVERAGEIFS(DATOS!$K$2:$K$20000,DATOS!$A$2:$A$20000,S669,DATOS!$G$2:$G$20000,CONFIG_METADATA!$B$4,DATOS!$I$2:$I$20000,"Coro"),""))</f>
        <v/>
      </c>
      <c r="V669" t="str">
        <f>IF(S669="","",IFERROR(AVERAGEIFS(DATOS!$K$2:$K$20000,DATOS!$A$2:$A$20000,S669,DATOS!$G$2:$G$20000,CONFIG_METADATA!$B$4,DATOS!$I$2:$I$20000,"Conjunto"),""))</f>
        <v/>
      </c>
      <c r="W669" t="str" cm="1">
        <f t="array" ref="W669">IF(S669="","",IFERROR(AVERAGE(IF((DATOS!$A$2:$A$20000=S669)*(DATOS!$G$2:$G$20000=CONFIG_METADATA!$B$4)*(DATOS!$I$2:$I$20000&lt;&gt;"Lenguaje Musical")*(DATOS!$I$2:$I$20000&lt;&gt;"Coro")*(DATOS!$I$2:$I$20000&lt;&gt;"Conjunto"),DATOS!$K$2:$K$20000)),""))</f>
        <v/>
      </c>
    </row>
    <row r="670" spans="2:23" x14ac:dyDescent="0.2">
      <c r="B670" t="str">
        <f>IF(A670="","",IFERROR(AVERAGEIFS(DATOS!$K$2:$K$20000,DATOS!$A$2:$A$20000,A670,DATOS!$G$2:$G$20000,CONFIG_METADATA!$B$4,DATOS!$I$2:$I$20000,"Lenguaje Musical"),""))</f>
        <v/>
      </c>
      <c r="C670" t="str">
        <f>IF(A670="","",IFERROR(AVERAGEIFS(DATOS!$K$2:$K$20000,DATOS!$A$2:$A$20000,A670,DATOS!$G$2:$G$20000,CONFIG_METADATA!$B$4,DATOS!$I$2:$I$20000,"Coro"),""))</f>
        <v/>
      </c>
      <c r="D670" t="str">
        <f>IF(A670="","",IFERROR(AVERAGEIFS(DATOS!$K$2:$K$20000,DATOS!$A$2:$A$20000,A670,DATOS!$G$2:$G$20000,CONFIG_METADATA!$B$4,DATOS!$I$2:$I$20000,"Conjunto"),""))</f>
        <v/>
      </c>
      <c r="E670" t="str">
        <f>IF(A670="","",IFERROR(AVERAGEIFS(DATOS!$K$2:$K$20000,DATOS!$A$2:$A$20000,A670,DATOS!$G$2:$G$20000,CONFIG_METADATA!$B$4,DATOS!$I$2:$I$20000,"&lt;&gt;Lenguaje Musical",DATOS!$I$2:$I$20000,"&lt;&gt;Coro",DATOS!$I$2:$I$20000,"&lt;&gt;Conjunto"),""))</f>
        <v/>
      </c>
      <c r="H670" t="str">
        <f>IF(G670="","",IFERROR(AVERAGEIFS(DATOS!$K$2:$K$20000,DATOS!$A$2:$A$20000,G670,DATOS!$G$2:$G$20000,CONFIG_METADATA!$B$4,DATOS!$I$2:$I$20000,"Lenguaje Musical"),""))</f>
        <v/>
      </c>
      <c r="I670" t="str">
        <f>IF(G670="","",IFERROR(AVERAGEIFS(DATOS!$K$2:$K$20000,DATOS!$A$2:$A$20000,G670,DATOS!$G$2:$G$20000,CONFIG_METADATA!$B$4,DATOS!$I$2:$I$20000,"Coro"),""))</f>
        <v/>
      </c>
      <c r="J670" t="str">
        <f>IF(G670="","",IFERROR(AVERAGEIFS(DATOS!$K$2:$K$20000,DATOS!$A$2:$A$20000,G670,DATOS!$G$2:$G$20000,CONFIG_METADATA!$B$4,DATOS!$I$2:$I$20000,"Conjunto"),""))</f>
        <v/>
      </c>
      <c r="K670" t="str" cm="1">
        <f t="array" ref="K670">IF(G670="","",IFERROR(AVERAGE(IF((DATOS!$A$2:$A$20000=G670)*(DATOS!$G$2:$G$20000=CONFIG_METADATA!$B$4)*(DATOS!$I$2:$I$20000&lt;&gt;"Lenguaje Musical")*(DATOS!$I$2:$I$20000&lt;&gt;"Coro")*(DATOS!$I$2:$I$20000&lt;&gt;"Conjunto"),DATOS!$K$2:$K$20000)),""))</f>
        <v/>
      </c>
      <c r="N670" t="str">
        <f>IF(M670="","",IFERROR(AVERAGEIFS(DATOS!$K$2:$K$20000,DATOS!$A$2:$A$20000,M670,DATOS!$G$2:$G$20000,CONFIG_METADATA!$B$4,DATOS!$I$2:$I$20000,"Lenguaje Musical"),""))</f>
        <v/>
      </c>
      <c r="O670" t="str">
        <f>IF(M670="","",IFERROR(AVERAGEIFS(DATOS!$K$2:$K$20000,DATOS!$A$2:$A$20000,M670,DATOS!$G$2:$G$20000,CONFIG_METADATA!$B$4,DATOS!$I$2:$I$20000,"Coro"),""))</f>
        <v/>
      </c>
      <c r="P670" t="str">
        <f>IF(M670="","",IFERROR(AVERAGEIFS(DATOS!$K$2:$K$20000,DATOS!$A$2:$A$20000,M670,DATOS!$G$2:$G$20000,CONFIG_METADATA!$B$4,DATOS!$I$2:$I$20000,"Conjunto"),""))</f>
        <v/>
      </c>
      <c r="Q670" t="str">
        <f>IF(M670="","",IFERROR(AVERAGEIFS(DATOS!$K$2:$K$20000,DATOS!$A$2:$A$20000,M670,DATOS!$G$2:$G$20000,CONFIG_METADATA!$B$4,DATOS!$I$2:$I$20000,"&lt;&gt;Lenguaje Musical",DATOS!$I$2:$I$20000,"&lt;&gt;Coro",DATOS!$I$2:$I$20000,"&lt;&gt;Conjunto"),""))</f>
        <v/>
      </c>
      <c r="T670" t="str">
        <f>IF(S670="","",IFERROR(AVERAGEIFS(DATOS!$K$2:$K$20000,DATOS!$A$2:$A$20000,S670,DATOS!$G$2:$G$20000,CONFIG_METADATA!$B$4,DATOS!$I$2:$I$20000,"Lenguaje Musical"),""))</f>
        <v/>
      </c>
      <c r="U670" t="str">
        <f>IF(S670="","",IFERROR(AVERAGEIFS(DATOS!$K$2:$K$20000,DATOS!$A$2:$A$20000,S670,DATOS!$G$2:$G$20000,CONFIG_METADATA!$B$4,DATOS!$I$2:$I$20000,"Coro"),""))</f>
        <v/>
      </c>
      <c r="V670" t="str">
        <f>IF(S670="","",IFERROR(AVERAGEIFS(DATOS!$K$2:$K$20000,DATOS!$A$2:$A$20000,S670,DATOS!$G$2:$G$20000,CONFIG_METADATA!$B$4,DATOS!$I$2:$I$20000,"Conjunto"),""))</f>
        <v/>
      </c>
      <c r="W670" t="str" cm="1">
        <f t="array" ref="W670">IF(S670="","",IFERROR(AVERAGE(IF((DATOS!$A$2:$A$20000=S670)*(DATOS!$G$2:$G$20000=CONFIG_METADATA!$B$4)*(DATOS!$I$2:$I$20000&lt;&gt;"Lenguaje Musical")*(DATOS!$I$2:$I$20000&lt;&gt;"Coro")*(DATOS!$I$2:$I$20000&lt;&gt;"Conjunto"),DATOS!$K$2:$K$20000)),""))</f>
        <v/>
      </c>
    </row>
    <row r="671" spans="2:23" x14ac:dyDescent="0.2">
      <c r="B671" t="str">
        <f>IF(A671="","",IFERROR(AVERAGEIFS(DATOS!$K$2:$K$20000,DATOS!$A$2:$A$20000,A671,DATOS!$G$2:$G$20000,CONFIG_METADATA!$B$4,DATOS!$I$2:$I$20000,"Lenguaje Musical"),""))</f>
        <v/>
      </c>
      <c r="C671" t="str">
        <f>IF(A671="","",IFERROR(AVERAGEIFS(DATOS!$K$2:$K$20000,DATOS!$A$2:$A$20000,A671,DATOS!$G$2:$G$20000,CONFIG_METADATA!$B$4,DATOS!$I$2:$I$20000,"Coro"),""))</f>
        <v/>
      </c>
      <c r="D671" t="str">
        <f>IF(A671="","",IFERROR(AVERAGEIFS(DATOS!$K$2:$K$20000,DATOS!$A$2:$A$20000,A671,DATOS!$G$2:$G$20000,CONFIG_METADATA!$B$4,DATOS!$I$2:$I$20000,"Conjunto"),""))</f>
        <v/>
      </c>
      <c r="E671" t="str">
        <f>IF(A671="","",IFERROR(AVERAGEIFS(DATOS!$K$2:$K$20000,DATOS!$A$2:$A$20000,A671,DATOS!$G$2:$G$20000,CONFIG_METADATA!$B$4,DATOS!$I$2:$I$20000,"&lt;&gt;Lenguaje Musical",DATOS!$I$2:$I$20000,"&lt;&gt;Coro",DATOS!$I$2:$I$20000,"&lt;&gt;Conjunto"),""))</f>
        <v/>
      </c>
      <c r="H671" t="str">
        <f>IF(G671="","",IFERROR(AVERAGEIFS(DATOS!$K$2:$K$20000,DATOS!$A$2:$A$20000,G671,DATOS!$G$2:$G$20000,CONFIG_METADATA!$B$4,DATOS!$I$2:$I$20000,"Lenguaje Musical"),""))</f>
        <v/>
      </c>
      <c r="I671" t="str">
        <f>IF(G671="","",IFERROR(AVERAGEIFS(DATOS!$K$2:$K$20000,DATOS!$A$2:$A$20000,G671,DATOS!$G$2:$G$20000,CONFIG_METADATA!$B$4,DATOS!$I$2:$I$20000,"Coro"),""))</f>
        <v/>
      </c>
      <c r="J671" t="str">
        <f>IF(G671="","",IFERROR(AVERAGEIFS(DATOS!$K$2:$K$20000,DATOS!$A$2:$A$20000,G671,DATOS!$G$2:$G$20000,CONFIG_METADATA!$B$4,DATOS!$I$2:$I$20000,"Conjunto"),""))</f>
        <v/>
      </c>
      <c r="K671" t="str" cm="1">
        <f t="array" ref="K671">IF(G671="","",IFERROR(AVERAGE(IF((DATOS!$A$2:$A$20000=G671)*(DATOS!$G$2:$G$20000=CONFIG_METADATA!$B$4)*(DATOS!$I$2:$I$20000&lt;&gt;"Lenguaje Musical")*(DATOS!$I$2:$I$20000&lt;&gt;"Coro")*(DATOS!$I$2:$I$20000&lt;&gt;"Conjunto"),DATOS!$K$2:$K$20000)),""))</f>
        <v/>
      </c>
      <c r="N671" t="str">
        <f>IF(M671="","",IFERROR(AVERAGEIFS(DATOS!$K$2:$K$20000,DATOS!$A$2:$A$20000,M671,DATOS!$G$2:$G$20000,CONFIG_METADATA!$B$4,DATOS!$I$2:$I$20000,"Lenguaje Musical"),""))</f>
        <v/>
      </c>
      <c r="O671" t="str">
        <f>IF(M671="","",IFERROR(AVERAGEIFS(DATOS!$K$2:$K$20000,DATOS!$A$2:$A$20000,M671,DATOS!$G$2:$G$20000,CONFIG_METADATA!$B$4,DATOS!$I$2:$I$20000,"Coro"),""))</f>
        <v/>
      </c>
      <c r="P671" t="str">
        <f>IF(M671="","",IFERROR(AVERAGEIFS(DATOS!$K$2:$K$20000,DATOS!$A$2:$A$20000,M671,DATOS!$G$2:$G$20000,CONFIG_METADATA!$B$4,DATOS!$I$2:$I$20000,"Conjunto"),""))</f>
        <v/>
      </c>
      <c r="Q671" t="str">
        <f>IF(M671="","",IFERROR(AVERAGEIFS(DATOS!$K$2:$K$20000,DATOS!$A$2:$A$20000,M671,DATOS!$G$2:$G$20000,CONFIG_METADATA!$B$4,DATOS!$I$2:$I$20000,"&lt;&gt;Lenguaje Musical",DATOS!$I$2:$I$20000,"&lt;&gt;Coro",DATOS!$I$2:$I$20000,"&lt;&gt;Conjunto"),""))</f>
        <v/>
      </c>
      <c r="T671" t="str">
        <f>IF(S671="","",IFERROR(AVERAGEIFS(DATOS!$K$2:$K$20000,DATOS!$A$2:$A$20000,S671,DATOS!$G$2:$G$20000,CONFIG_METADATA!$B$4,DATOS!$I$2:$I$20000,"Lenguaje Musical"),""))</f>
        <v/>
      </c>
      <c r="U671" t="str">
        <f>IF(S671="","",IFERROR(AVERAGEIFS(DATOS!$K$2:$K$20000,DATOS!$A$2:$A$20000,S671,DATOS!$G$2:$G$20000,CONFIG_METADATA!$B$4,DATOS!$I$2:$I$20000,"Coro"),""))</f>
        <v/>
      </c>
      <c r="V671" t="str">
        <f>IF(S671="","",IFERROR(AVERAGEIFS(DATOS!$K$2:$K$20000,DATOS!$A$2:$A$20000,S671,DATOS!$G$2:$G$20000,CONFIG_METADATA!$B$4,DATOS!$I$2:$I$20000,"Conjunto"),""))</f>
        <v/>
      </c>
      <c r="W671" t="str" cm="1">
        <f t="array" ref="W671">IF(S671="","",IFERROR(AVERAGE(IF((DATOS!$A$2:$A$20000=S671)*(DATOS!$G$2:$G$20000=CONFIG_METADATA!$B$4)*(DATOS!$I$2:$I$20000&lt;&gt;"Lenguaje Musical")*(DATOS!$I$2:$I$20000&lt;&gt;"Coro")*(DATOS!$I$2:$I$20000&lt;&gt;"Conjunto"),DATOS!$K$2:$K$20000)),""))</f>
        <v/>
      </c>
    </row>
    <row r="672" spans="2:23" x14ac:dyDescent="0.2">
      <c r="B672" t="str">
        <f>IF(A672="","",IFERROR(AVERAGEIFS(DATOS!$K$2:$K$20000,DATOS!$A$2:$A$20000,A672,DATOS!$G$2:$G$20000,CONFIG_METADATA!$B$4,DATOS!$I$2:$I$20000,"Lenguaje Musical"),""))</f>
        <v/>
      </c>
      <c r="C672" t="str">
        <f>IF(A672="","",IFERROR(AVERAGEIFS(DATOS!$K$2:$K$20000,DATOS!$A$2:$A$20000,A672,DATOS!$G$2:$G$20000,CONFIG_METADATA!$B$4,DATOS!$I$2:$I$20000,"Coro"),""))</f>
        <v/>
      </c>
      <c r="D672" t="str">
        <f>IF(A672="","",IFERROR(AVERAGEIFS(DATOS!$K$2:$K$20000,DATOS!$A$2:$A$20000,A672,DATOS!$G$2:$G$20000,CONFIG_METADATA!$B$4,DATOS!$I$2:$I$20000,"Conjunto"),""))</f>
        <v/>
      </c>
      <c r="E672" t="str">
        <f>IF(A672="","",IFERROR(AVERAGEIFS(DATOS!$K$2:$K$20000,DATOS!$A$2:$A$20000,A672,DATOS!$G$2:$G$20000,CONFIG_METADATA!$B$4,DATOS!$I$2:$I$20000,"&lt;&gt;Lenguaje Musical",DATOS!$I$2:$I$20000,"&lt;&gt;Coro",DATOS!$I$2:$I$20000,"&lt;&gt;Conjunto"),""))</f>
        <v/>
      </c>
      <c r="H672" t="str">
        <f>IF(G672="","",IFERROR(AVERAGEIFS(DATOS!$K$2:$K$20000,DATOS!$A$2:$A$20000,G672,DATOS!$G$2:$G$20000,CONFIG_METADATA!$B$4,DATOS!$I$2:$I$20000,"Lenguaje Musical"),""))</f>
        <v/>
      </c>
      <c r="I672" t="str">
        <f>IF(G672="","",IFERROR(AVERAGEIFS(DATOS!$K$2:$K$20000,DATOS!$A$2:$A$20000,G672,DATOS!$G$2:$G$20000,CONFIG_METADATA!$B$4,DATOS!$I$2:$I$20000,"Coro"),""))</f>
        <v/>
      </c>
      <c r="J672" t="str">
        <f>IF(G672="","",IFERROR(AVERAGEIFS(DATOS!$K$2:$K$20000,DATOS!$A$2:$A$20000,G672,DATOS!$G$2:$G$20000,CONFIG_METADATA!$B$4,DATOS!$I$2:$I$20000,"Conjunto"),""))</f>
        <v/>
      </c>
      <c r="K672" t="str" cm="1">
        <f t="array" ref="K672">IF(G672="","",IFERROR(AVERAGE(IF((DATOS!$A$2:$A$20000=G672)*(DATOS!$G$2:$G$20000=CONFIG_METADATA!$B$4)*(DATOS!$I$2:$I$20000&lt;&gt;"Lenguaje Musical")*(DATOS!$I$2:$I$20000&lt;&gt;"Coro")*(DATOS!$I$2:$I$20000&lt;&gt;"Conjunto"),DATOS!$K$2:$K$20000)),""))</f>
        <v/>
      </c>
      <c r="N672" t="str">
        <f>IF(M672="","",IFERROR(AVERAGEIFS(DATOS!$K$2:$K$20000,DATOS!$A$2:$A$20000,M672,DATOS!$G$2:$G$20000,CONFIG_METADATA!$B$4,DATOS!$I$2:$I$20000,"Lenguaje Musical"),""))</f>
        <v/>
      </c>
      <c r="O672" t="str">
        <f>IF(M672="","",IFERROR(AVERAGEIFS(DATOS!$K$2:$K$20000,DATOS!$A$2:$A$20000,M672,DATOS!$G$2:$G$20000,CONFIG_METADATA!$B$4,DATOS!$I$2:$I$20000,"Coro"),""))</f>
        <v/>
      </c>
      <c r="P672" t="str">
        <f>IF(M672="","",IFERROR(AVERAGEIFS(DATOS!$K$2:$K$20000,DATOS!$A$2:$A$20000,M672,DATOS!$G$2:$G$20000,CONFIG_METADATA!$B$4,DATOS!$I$2:$I$20000,"Conjunto"),""))</f>
        <v/>
      </c>
      <c r="Q672" t="str">
        <f>IF(M672="","",IFERROR(AVERAGEIFS(DATOS!$K$2:$K$20000,DATOS!$A$2:$A$20000,M672,DATOS!$G$2:$G$20000,CONFIG_METADATA!$B$4,DATOS!$I$2:$I$20000,"&lt;&gt;Lenguaje Musical",DATOS!$I$2:$I$20000,"&lt;&gt;Coro",DATOS!$I$2:$I$20000,"&lt;&gt;Conjunto"),""))</f>
        <v/>
      </c>
      <c r="T672" t="str">
        <f>IF(S672="","",IFERROR(AVERAGEIFS(DATOS!$K$2:$K$20000,DATOS!$A$2:$A$20000,S672,DATOS!$G$2:$G$20000,CONFIG_METADATA!$B$4,DATOS!$I$2:$I$20000,"Lenguaje Musical"),""))</f>
        <v/>
      </c>
      <c r="U672" t="str">
        <f>IF(S672="","",IFERROR(AVERAGEIFS(DATOS!$K$2:$K$20000,DATOS!$A$2:$A$20000,S672,DATOS!$G$2:$G$20000,CONFIG_METADATA!$B$4,DATOS!$I$2:$I$20000,"Coro"),""))</f>
        <v/>
      </c>
      <c r="V672" t="str">
        <f>IF(S672="","",IFERROR(AVERAGEIFS(DATOS!$K$2:$K$20000,DATOS!$A$2:$A$20000,S672,DATOS!$G$2:$G$20000,CONFIG_METADATA!$B$4,DATOS!$I$2:$I$20000,"Conjunto"),""))</f>
        <v/>
      </c>
      <c r="W672" t="str" cm="1">
        <f t="array" ref="W672">IF(S672="","",IFERROR(AVERAGE(IF((DATOS!$A$2:$A$20000=S672)*(DATOS!$G$2:$G$20000=CONFIG_METADATA!$B$4)*(DATOS!$I$2:$I$20000&lt;&gt;"Lenguaje Musical")*(DATOS!$I$2:$I$20000&lt;&gt;"Coro")*(DATOS!$I$2:$I$20000&lt;&gt;"Conjunto"),DATOS!$K$2:$K$20000)),""))</f>
        <v/>
      </c>
    </row>
    <row r="673" spans="2:23" x14ac:dyDescent="0.2">
      <c r="B673" t="str">
        <f>IF(A673="","",IFERROR(AVERAGEIFS(DATOS!$K$2:$K$20000,DATOS!$A$2:$A$20000,A673,DATOS!$G$2:$G$20000,CONFIG_METADATA!$B$4,DATOS!$I$2:$I$20000,"Lenguaje Musical"),""))</f>
        <v/>
      </c>
      <c r="C673" t="str">
        <f>IF(A673="","",IFERROR(AVERAGEIFS(DATOS!$K$2:$K$20000,DATOS!$A$2:$A$20000,A673,DATOS!$G$2:$G$20000,CONFIG_METADATA!$B$4,DATOS!$I$2:$I$20000,"Coro"),""))</f>
        <v/>
      </c>
      <c r="D673" t="str">
        <f>IF(A673="","",IFERROR(AVERAGEIFS(DATOS!$K$2:$K$20000,DATOS!$A$2:$A$20000,A673,DATOS!$G$2:$G$20000,CONFIG_METADATA!$B$4,DATOS!$I$2:$I$20000,"Conjunto"),""))</f>
        <v/>
      </c>
      <c r="E673" t="str">
        <f>IF(A673="","",IFERROR(AVERAGEIFS(DATOS!$K$2:$K$20000,DATOS!$A$2:$A$20000,A673,DATOS!$G$2:$G$20000,CONFIG_METADATA!$B$4,DATOS!$I$2:$I$20000,"&lt;&gt;Lenguaje Musical",DATOS!$I$2:$I$20000,"&lt;&gt;Coro",DATOS!$I$2:$I$20000,"&lt;&gt;Conjunto"),""))</f>
        <v/>
      </c>
      <c r="H673" t="str">
        <f>IF(G673="","",IFERROR(AVERAGEIFS(DATOS!$K$2:$K$20000,DATOS!$A$2:$A$20000,G673,DATOS!$G$2:$G$20000,CONFIG_METADATA!$B$4,DATOS!$I$2:$I$20000,"Lenguaje Musical"),""))</f>
        <v/>
      </c>
      <c r="I673" t="str">
        <f>IF(G673="","",IFERROR(AVERAGEIFS(DATOS!$K$2:$K$20000,DATOS!$A$2:$A$20000,G673,DATOS!$G$2:$G$20000,CONFIG_METADATA!$B$4,DATOS!$I$2:$I$20000,"Coro"),""))</f>
        <v/>
      </c>
      <c r="J673" t="str">
        <f>IF(G673="","",IFERROR(AVERAGEIFS(DATOS!$K$2:$K$20000,DATOS!$A$2:$A$20000,G673,DATOS!$G$2:$G$20000,CONFIG_METADATA!$B$4,DATOS!$I$2:$I$20000,"Conjunto"),""))</f>
        <v/>
      </c>
      <c r="K673" t="str" cm="1">
        <f t="array" ref="K673">IF(G673="","",IFERROR(AVERAGE(IF((DATOS!$A$2:$A$20000=G673)*(DATOS!$G$2:$G$20000=CONFIG_METADATA!$B$4)*(DATOS!$I$2:$I$20000&lt;&gt;"Lenguaje Musical")*(DATOS!$I$2:$I$20000&lt;&gt;"Coro")*(DATOS!$I$2:$I$20000&lt;&gt;"Conjunto"),DATOS!$K$2:$K$20000)),""))</f>
        <v/>
      </c>
      <c r="N673" t="str">
        <f>IF(M673="","",IFERROR(AVERAGEIFS(DATOS!$K$2:$K$20000,DATOS!$A$2:$A$20000,M673,DATOS!$G$2:$G$20000,CONFIG_METADATA!$B$4,DATOS!$I$2:$I$20000,"Lenguaje Musical"),""))</f>
        <v/>
      </c>
      <c r="O673" t="str">
        <f>IF(M673="","",IFERROR(AVERAGEIFS(DATOS!$K$2:$K$20000,DATOS!$A$2:$A$20000,M673,DATOS!$G$2:$G$20000,CONFIG_METADATA!$B$4,DATOS!$I$2:$I$20000,"Coro"),""))</f>
        <v/>
      </c>
      <c r="P673" t="str">
        <f>IF(M673="","",IFERROR(AVERAGEIFS(DATOS!$K$2:$K$20000,DATOS!$A$2:$A$20000,M673,DATOS!$G$2:$G$20000,CONFIG_METADATA!$B$4,DATOS!$I$2:$I$20000,"Conjunto"),""))</f>
        <v/>
      </c>
      <c r="Q673" t="str">
        <f>IF(M673="","",IFERROR(AVERAGEIFS(DATOS!$K$2:$K$20000,DATOS!$A$2:$A$20000,M673,DATOS!$G$2:$G$20000,CONFIG_METADATA!$B$4,DATOS!$I$2:$I$20000,"&lt;&gt;Lenguaje Musical",DATOS!$I$2:$I$20000,"&lt;&gt;Coro",DATOS!$I$2:$I$20000,"&lt;&gt;Conjunto"),""))</f>
        <v/>
      </c>
      <c r="T673" t="str">
        <f>IF(S673="","",IFERROR(AVERAGEIFS(DATOS!$K$2:$K$20000,DATOS!$A$2:$A$20000,S673,DATOS!$G$2:$G$20000,CONFIG_METADATA!$B$4,DATOS!$I$2:$I$20000,"Lenguaje Musical"),""))</f>
        <v/>
      </c>
      <c r="U673" t="str">
        <f>IF(S673="","",IFERROR(AVERAGEIFS(DATOS!$K$2:$K$20000,DATOS!$A$2:$A$20000,S673,DATOS!$G$2:$G$20000,CONFIG_METADATA!$B$4,DATOS!$I$2:$I$20000,"Coro"),""))</f>
        <v/>
      </c>
      <c r="V673" t="str">
        <f>IF(S673="","",IFERROR(AVERAGEIFS(DATOS!$K$2:$K$20000,DATOS!$A$2:$A$20000,S673,DATOS!$G$2:$G$20000,CONFIG_METADATA!$B$4,DATOS!$I$2:$I$20000,"Conjunto"),""))</f>
        <v/>
      </c>
      <c r="W673" t="str" cm="1">
        <f t="array" ref="W673">IF(S673="","",IFERROR(AVERAGE(IF((DATOS!$A$2:$A$20000=S673)*(DATOS!$G$2:$G$20000=CONFIG_METADATA!$B$4)*(DATOS!$I$2:$I$20000&lt;&gt;"Lenguaje Musical")*(DATOS!$I$2:$I$20000&lt;&gt;"Coro")*(DATOS!$I$2:$I$20000&lt;&gt;"Conjunto"),DATOS!$K$2:$K$20000)),""))</f>
        <v/>
      </c>
    </row>
    <row r="674" spans="2:23" x14ac:dyDescent="0.2">
      <c r="B674" t="str">
        <f>IF(A674="","",IFERROR(AVERAGEIFS(DATOS!$K$2:$K$20000,DATOS!$A$2:$A$20000,A674,DATOS!$G$2:$G$20000,CONFIG_METADATA!$B$4,DATOS!$I$2:$I$20000,"Lenguaje Musical"),""))</f>
        <v/>
      </c>
      <c r="C674" t="str">
        <f>IF(A674="","",IFERROR(AVERAGEIFS(DATOS!$K$2:$K$20000,DATOS!$A$2:$A$20000,A674,DATOS!$G$2:$G$20000,CONFIG_METADATA!$B$4,DATOS!$I$2:$I$20000,"Coro"),""))</f>
        <v/>
      </c>
      <c r="D674" t="str">
        <f>IF(A674="","",IFERROR(AVERAGEIFS(DATOS!$K$2:$K$20000,DATOS!$A$2:$A$20000,A674,DATOS!$G$2:$G$20000,CONFIG_METADATA!$B$4,DATOS!$I$2:$I$20000,"Conjunto"),""))</f>
        <v/>
      </c>
      <c r="E674" t="str">
        <f>IF(A674="","",IFERROR(AVERAGEIFS(DATOS!$K$2:$K$20000,DATOS!$A$2:$A$20000,A674,DATOS!$G$2:$G$20000,CONFIG_METADATA!$B$4,DATOS!$I$2:$I$20000,"&lt;&gt;Lenguaje Musical",DATOS!$I$2:$I$20000,"&lt;&gt;Coro",DATOS!$I$2:$I$20000,"&lt;&gt;Conjunto"),""))</f>
        <v/>
      </c>
      <c r="H674" t="str">
        <f>IF(G674="","",IFERROR(AVERAGEIFS(DATOS!$K$2:$K$20000,DATOS!$A$2:$A$20000,G674,DATOS!$G$2:$G$20000,CONFIG_METADATA!$B$4,DATOS!$I$2:$I$20000,"Lenguaje Musical"),""))</f>
        <v/>
      </c>
      <c r="I674" t="str">
        <f>IF(G674="","",IFERROR(AVERAGEIFS(DATOS!$K$2:$K$20000,DATOS!$A$2:$A$20000,G674,DATOS!$G$2:$G$20000,CONFIG_METADATA!$B$4,DATOS!$I$2:$I$20000,"Coro"),""))</f>
        <v/>
      </c>
      <c r="J674" t="str">
        <f>IF(G674="","",IFERROR(AVERAGEIFS(DATOS!$K$2:$K$20000,DATOS!$A$2:$A$20000,G674,DATOS!$G$2:$G$20000,CONFIG_METADATA!$B$4,DATOS!$I$2:$I$20000,"Conjunto"),""))</f>
        <v/>
      </c>
      <c r="K674" t="str" cm="1">
        <f t="array" ref="K674">IF(G674="","",IFERROR(AVERAGE(IF((DATOS!$A$2:$A$20000=G674)*(DATOS!$G$2:$G$20000=CONFIG_METADATA!$B$4)*(DATOS!$I$2:$I$20000&lt;&gt;"Lenguaje Musical")*(DATOS!$I$2:$I$20000&lt;&gt;"Coro")*(DATOS!$I$2:$I$20000&lt;&gt;"Conjunto"),DATOS!$K$2:$K$20000)),""))</f>
        <v/>
      </c>
      <c r="N674" t="str">
        <f>IF(M674="","",IFERROR(AVERAGEIFS(DATOS!$K$2:$K$20000,DATOS!$A$2:$A$20000,M674,DATOS!$G$2:$G$20000,CONFIG_METADATA!$B$4,DATOS!$I$2:$I$20000,"Lenguaje Musical"),""))</f>
        <v/>
      </c>
      <c r="O674" t="str">
        <f>IF(M674="","",IFERROR(AVERAGEIFS(DATOS!$K$2:$K$20000,DATOS!$A$2:$A$20000,M674,DATOS!$G$2:$G$20000,CONFIG_METADATA!$B$4,DATOS!$I$2:$I$20000,"Coro"),""))</f>
        <v/>
      </c>
      <c r="P674" t="str">
        <f>IF(M674="","",IFERROR(AVERAGEIFS(DATOS!$K$2:$K$20000,DATOS!$A$2:$A$20000,M674,DATOS!$G$2:$G$20000,CONFIG_METADATA!$B$4,DATOS!$I$2:$I$20000,"Conjunto"),""))</f>
        <v/>
      </c>
      <c r="Q674" t="str">
        <f>IF(M674="","",IFERROR(AVERAGEIFS(DATOS!$K$2:$K$20000,DATOS!$A$2:$A$20000,M674,DATOS!$G$2:$G$20000,CONFIG_METADATA!$B$4,DATOS!$I$2:$I$20000,"&lt;&gt;Lenguaje Musical",DATOS!$I$2:$I$20000,"&lt;&gt;Coro",DATOS!$I$2:$I$20000,"&lt;&gt;Conjunto"),""))</f>
        <v/>
      </c>
      <c r="T674" t="str">
        <f>IF(S674="","",IFERROR(AVERAGEIFS(DATOS!$K$2:$K$20000,DATOS!$A$2:$A$20000,S674,DATOS!$G$2:$G$20000,CONFIG_METADATA!$B$4,DATOS!$I$2:$I$20000,"Lenguaje Musical"),""))</f>
        <v/>
      </c>
      <c r="U674" t="str">
        <f>IF(S674="","",IFERROR(AVERAGEIFS(DATOS!$K$2:$K$20000,DATOS!$A$2:$A$20000,S674,DATOS!$G$2:$G$20000,CONFIG_METADATA!$B$4,DATOS!$I$2:$I$20000,"Coro"),""))</f>
        <v/>
      </c>
      <c r="V674" t="str">
        <f>IF(S674="","",IFERROR(AVERAGEIFS(DATOS!$K$2:$K$20000,DATOS!$A$2:$A$20000,S674,DATOS!$G$2:$G$20000,CONFIG_METADATA!$B$4,DATOS!$I$2:$I$20000,"Conjunto"),""))</f>
        <v/>
      </c>
      <c r="W674" t="str" cm="1">
        <f t="array" ref="W674">IF(S674="","",IFERROR(AVERAGE(IF((DATOS!$A$2:$A$20000=S674)*(DATOS!$G$2:$G$20000=CONFIG_METADATA!$B$4)*(DATOS!$I$2:$I$20000&lt;&gt;"Lenguaje Musical")*(DATOS!$I$2:$I$20000&lt;&gt;"Coro")*(DATOS!$I$2:$I$20000&lt;&gt;"Conjunto"),DATOS!$K$2:$K$20000)),""))</f>
        <v/>
      </c>
    </row>
    <row r="675" spans="2:23" x14ac:dyDescent="0.2">
      <c r="B675" t="str">
        <f>IF(A675="","",IFERROR(AVERAGEIFS(DATOS!$K$2:$K$20000,DATOS!$A$2:$A$20000,A675,DATOS!$G$2:$G$20000,CONFIG_METADATA!$B$4,DATOS!$I$2:$I$20000,"Lenguaje Musical"),""))</f>
        <v/>
      </c>
      <c r="C675" t="str">
        <f>IF(A675="","",IFERROR(AVERAGEIFS(DATOS!$K$2:$K$20000,DATOS!$A$2:$A$20000,A675,DATOS!$G$2:$G$20000,CONFIG_METADATA!$B$4,DATOS!$I$2:$I$20000,"Coro"),""))</f>
        <v/>
      </c>
      <c r="D675" t="str">
        <f>IF(A675="","",IFERROR(AVERAGEIFS(DATOS!$K$2:$K$20000,DATOS!$A$2:$A$20000,A675,DATOS!$G$2:$G$20000,CONFIG_METADATA!$B$4,DATOS!$I$2:$I$20000,"Conjunto"),""))</f>
        <v/>
      </c>
      <c r="E675" t="str">
        <f>IF(A675="","",IFERROR(AVERAGEIFS(DATOS!$K$2:$K$20000,DATOS!$A$2:$A$20000,A675,DATOS!$G$2:$G$20000,CONFIG_METADATA!$B$4,DATOS!$I$2:$I$20000,"&lt;&gt;Lenguaje Musical",DATOS!$I$2:$I$20000,"&lt;&gt;Coro",DATOS!$I$2:$I$20000,"&lt;&gt;Conjunto"),""))</f>
        <v/>
      </c>
      <c r="H675" t="str">
        <f>IF(G675="","",IFERROR(AVERAGEIFS(DATOS!$K$2:$K$20000,DATOS!$A$2:$A$20000,G675,DATOS!$G$2:$G$20000,CONFIG_METADATA!$B$4,DATOS!$I$2:$I$20000,"Lenguaje Musical"),""))</f>
        <v/>
      </c>
      <c r="I675" t="str">
        <f>IF(G675="","",IFERROR(AVERAGEIFS(DATOS!$K$2:$K$20000,DATOS!$A$2:$A$20000,G675,DATOS!$G$2:$G$20000,CONFIG_METADATA!$B$4,DATOS!$I$2:$I$20000,"Coro"),""))</f>
        <v/>
      </c>
      <c r="J675" t="str">
        <f>IF(G675="","",IFERROR(AVERAGEIFS(DATOS!$K$2:$K$20000,DATOS!$A$2:$A$20000,G675,DATOS!$G$2:$G$20000,CONFIG_METADATA!$B$4,DATOS!$I$2:$I$20000,"Conjunto"),""))</f>
        <v/>
      </c>
      <c r="K675" t="str" cm="1">
        <f t="array" ref="K675">IF(G675="","",IFERROR(AVERAGE(IF((DATOS!$A$2:$A$20000=G675)*(DATOS!$G$2:$G$20000=CONFIG_METADATA!$B$4)*(DATOS!$I$2:$I$20000&lt;&gt;"Lenguaje Musical")*(DATOS!$I$2:$I$20000&lt;&gt;"Coro")*(DATOS!$I$2:$I$20000&lt;&gt;"Conjunto"),DATOS!$K$2:$K$20000)),""))</f>
        <v/>
      </c>
      <c r="N675" t="str">
        <f>IF(M675="","",IFERROR(AVERAGEIFS(DATOS!$K$2:$K$20000,DATOS!$A$2:$A$20000,M675,DATOS!$G$2:$G$20000,CONFIG_METADATA!$B$4,DATOS!$I$2:$I$20000,"Lenguaje Musical"),""))</f>
        <v/>
      </c>
      <c r="O675" t="str">
        <f>IF(M675="","",IFERROR(AVERAGEIFS(DATOS!$K$2:$K$20000,DATOS!$A$2:$A$20000,M675,DATOS!$G$2:$G$20000,CONFIG_METADATA!$B$4,DATOS!$I$2:$I$20000,"Coro"),""))</f>
        <v/>
      </c>
      <c r="P675" t="str">
        <f>IF(M675="","",IFERROR(AVERAGEIFS(DATOS!$K$2:$K$20000,DATOS!$A$2:$A$20000,M675,DATOS!$G$2:$G$20000,CONFIG_METADATA!$B$4,DATOS!$I$2:$I$20000,"Conjunto"),""))</f>
        <v/>
      </c>
      <c r="Q675" t="str">
        <f>IF(M675="","",IFERROR(AVERAGEIFS(DATOS!$K$2:$K$20000,DATOS!$A$2:$A$20000,M675,DATOS!$G$2:$G$20000,CONFIG_METADATA!$B$4,DATOS!$I$2:$I$20000,"&lt;&gt;Lenguaje Musical",DATOS!$I$2:$I$20000,"&lt;&gt;Coro",DATOS!$I$2:$I$20000,"&lt;&gt;Conjunto"),""))</f>
        <v/>
      </c>
      <c r="T675" t="str">
        <f>IF(S675="","",IFERROR(AVERAGEIFS(DATOS!$K$2:$K$20000,DATOS!$A$2:$A$20000,S675,DATOS!$G$2:$G$20000,CONFIG_METADATA!$B$4,DATOS!$I$2:$I$20000,"Lenguaje Musical"),""))</f>
        <v/>
      </c>
      <c r="U675" t="str">
        <f>IF(S675="","",IFERROR(AVERAGEIFS(DATOS!$K$2:$K$20000,DATOS!$A$2:$A$20000,S675,DATOS!$G$2:$G$20000,CONFIG_METADATA!$B$4,DATOS!$I$2:$I$20000,"Coro"),""))</f>
        <v/>
      </c>
      <c r="V675" t="str">
        <f>IF(S675="","",IFERROR(AVERAGEIFS(DATOS!$K$2:$K$20000,DATOS!$A$2:$A$20000,S675,DATOS!$G$2:$G$20000,CONFIG_METADATA!$B$4,DATOS!$I$2:$I$20000,"Conjunto"),""))</f>
        <v/>
      </c>
      <c r="W675" t="str" cm="1">
        <f t="array" ref="W675">IF(S675="","",IFERROR(AVERAGE(IF((DATOS!$A$2:$A$20000=S675)*(DATOS!$G$2:$G$20000=CONFIG_METADATA!$B$4)*(DATOS!$I$2:$I$20000&lt;&gt;"Lenguaje Musical")*(DATOS!$I$2:$I$20000&lt;&gt;"Coro")*(DATOS!$I$2:$I$20000&lt;&gt;"Conjunto"),DATOS!$K$2:$K$20000)),""))</f>
        <v/>
      </c>
    </row>
    <row r="676" spans="2:23" x14ac:dyDescent="0.2">
      <c r="B676" t="str">
        <f>IF(A676="","",IFERROR(AVERAGEIFS(DATOS!$K$2:$K$20000,DATOS!$A$2:$A$20000,A676,DATOS!$G$2:$G$20000,CONFIG_METADATA!$B$4,DATOS!$I$2:$I$20000,"Lenguaje Musical"),""))</f>
        <v/>
      </c>
      <c r="C676" t="str">
        <f>IF(A676="","",IFERROR(AVERAGEIFS(DATOS!$K$2:$K$20000,DATOS!$A$2:$A$20000,A676,DATOS!$G$2:$G$20000,CONFIG_METADATA!$B$4,DATOS!$I$2:$I$20000,"Coro"),""))</f>
        <v/>
      </c>
      <c r="D676" t="str">
        <f>IF(A676="","",IFERROR(AVERAGEIFS(DATOS!$K$2:$K$20000,DATOS!$A$2:$A$20000,A676,DATOS!$G$2:$G$20000,CONFIG_METADATA!$B$4,DATOS!$I$2:$I$20000,"Conjunto"),""))</f>
        <v/>
      </c>
      <c r="E676" t="str">
        <f>IF(A676="","",IFERROR(AVERAGEIFS(DATOS!$K$2:$K$20000,DATOS!$A$2:$A$20000,A676,DATOS!$G$2:$G$20000,CONFIG_METADATA!$B$4,DATOS!$I$2:$I$20000,"&lt;&gt;Lenguaje Musical",DATOS!$I$2:$I$20000,"&lt;&gt;Coro",DATOS!$I$2:$I$20000,"&lt;&gt;Conjunto"),""))</f>
        <v/>
      </c>
      <c r="H676" t="str">
        <f>IF(G676="","",IFERROR(AVERAGEIFS(DATOS!$K$2:$K$20000,DATOS!$A$2:$A$20000,G676,DATOS!$G$2:$G$20000,CONFIG_METADATA!$B$4,DATOS!$I$2:$I$20000,"Lenguaje Musical"),""))</f>
        <v/>
      </c>
      <c r="I676" t="str">
        <f>IF(G676="","",IFERROR(AVERAGEIFS(DATOS!$K$2:$K$20000,DATOS!$A$2:$A$20000,G676,DATOS!$G$2:$G$20000,CONFIG_METADATA!$B$4,DATOS!$I$2:$I$20000,"Coro"),""))</f>
        <v/>
      </c>
      <c r="J676" t="str">
        <f>IF(G676="","",IFERROR(AVERAGEIFS(DATOS!$K$2:$K$20000,DATOS!$A$2:$A$20000,G676,DATOS!$G$2:$G$20000,CONFIG_METADATA!$B$4,DATOS!$I$2:$I$20000,"Conjunto"),""))</f>
        <v/>
      </c>
      <c r="K676" t="str" cm="1">
        <f t="array" ref="K676">IF(G676="","",IFERROR(AVERAGE(IF((DATOS!$A$2:$A$20000=G676)*(DATOS!$G$2:$G$20000=CONFIG_METADATA!$B$4)*(DATOS!$I$2:$I$20000&lt;&gt;"Lenguaje Musical")*(DATOS!$I$2:$I$20000&lt;&gt;"Coro")*(DATOS!$I$2:$I$20000&lt;&gt;"Conjunto"),DATOS!$K$2:$K$20000)),""))</f>
        <v/>
      </c>
      <c r="N676" t="str">
        <f>IF(M676="","",IFERROR(AVERAGEIFS(DATOS!$K$2:$K$20000,DATOS!$A$2:$A$20000,M676,DATOS!$G$2:$G$20000,CONFIG_METADATA!$B$4,DATOS!$I$2:$I$20000,"Lenguaje Musical"),""))</f>
        <v/>
      </c>
      <c r="O676" t="str">
        <f>IF(M676="","",IFERROR(AVERAGEIFS(DATOS!$K$2:$K$20000,DATOS!$A$2:$A$20000,M676,DATOS!$G$2:$G$20000,CONFIG_METADATA!$B$4,DATOS!$I$2:$I$20000,"Coro"),""))</f>
        <v/>
      </c>
      <c r="P676" t="str">
        <f>IF(M676="","",IFERROR(AVERAGEIFS(DATOS!$K$2:$K$20000,DATOS!$A$2:$A$20000,M676,DATOS!$G$2:$G$20000,CONFIG_METADATA!$B$4,DATOS!$I$2:$I$20000,"Conjunto"),""))</f>
        <v/>
      </c>
      <c r="Q676" t="str">
        <f>IF(M676="","",IFERROR(AVERAGEIFS(DATOS!$K$2:$K$20000,DATOS!$A$2:$A$20000,M676,DATOS!$G$2:$G$20000,CONFIG_METADATA!$B$4,DATOS!$I$2:$I$20000,"&lt;&gt;Lenguaje Musical",DATOS!$I$2:$I$20000,"&lt;&gt;Coro",DATOS!$I$2:$I$20000,"&lt;&gt;Conjunto"),""))</f>
        <v/>
      </c>
      <c r="T676" t="str">
        <f>IF(S676="","",IFERROR(AVERAGEIFS(DATOS!$K$2:$K$20000,DATOS!$A$2:$A$20000,S676,DATOS!$G$2:$G$20000,CONFIG_METADATA!$B$4,DATOS!$I$2:$I$20000,"Lenguaje Musical"),""))</f>
        <v/>
      </c>
      <c r="U676" t="str">
        <f>IF(S676="","",IFERROR(AVERAGEIFS(DATOS!$K$2:$K$20000,DATOS!$A$2:$A$20000,S676,DATOS!$G$2:$G$20000,CONFIG_METADATA!$B$4,DATOS!$I$2:$I$20000,"Coro"),""))</f>
        <v/>
      </c>
      <c r="V676" t="str">
        <f>IF(S676="","",IFERROR(AVERAGEIFS(DATOS!$K$2:$K$20000,DATOS!$A$2:$A$20000,S676,DATOS!$G$2:$G$20000,CONFIG_METADATA!$B$4,DATOS!$I$2:$I$20000,"Conjunto"),""))</f>
        <v/>
      </c>
      <c r="W676" t="str" cm="1">
        <f t="array" ref="W676">IF(S676="","",IFERROR(AVERAGE(IF((DATOS!$A$2:$A$20000=S676)*(DATOS!$G$2:$G$20000=CONFIG_METADATA!$B$4)*(DATOS!$I$2:$I$20000&lt;&gt;"Lenguaje Musical")*(DATOS!$I$2:$I$20000&lt;&gt;"Coro")*(DATOS!$I$2:$I$20000&lt;&gt;"Conjunto"),DATOS!$K$2:$K$20000)),""))</f>
        <v/>
      </c>
    </row>
    <row r="677" spans="2:23" x14ac:dyDescent="0.2">
      <c r="B677" t="str">
        <f>IF(A677="","",IFERROR(AVERAGEIFS(DATOS!$K$2:$K$20000,DATOS!$A$2:$A$20000,A677,DATOS!$G$2:$G$20000,CONFIG_METADATA!$B$4,DATOS!$I$2:$I$20000,"Lenguaje Musical"),""))</f>
        <v/>
      </c>
      <c r="C677" t="str">
        <f>IF(A677="","",IFERROR(AVERAGEIFS(DATOS!$K$2:$K$20000,DATOS!$A$2:$A$20000,A677,DATOS!$G$2:$G$20000,CONFIG_METADATA!$B$4,DATOS!$I$2:$I$20000,"Coro"),""))</f>
        <v/>
      </c>
      <c r="D677" t="str">
        <f>IF(A677="","",IFERROR(AVERAGEIFS(DATOS!$K$2:$K$20000,DATOS!$A$2:$A$20000,A677,DATOS!$G$2:$G$20000,CONFIG_METADATA!$B$4,DATOS!$I$2:$I$20000,"Conjunto"),""))</f>
        <v/>
      </c>
      <c r="E677" t="str">
        <f>IF(A677="","",IFERROR(AVERAGEIFS(DATOS!$K$2:$K$20000,DATOS!$A$2:$A$20000,A677,DATOS!$G$2:$G$20000,CONFIG_METADATA!$B$4,DATOS!$I$2:$I$20000,"&lt;&gt;Lenguaje Musical",DATOS!$I$2:$I$20000,"&lt;&gt;Coro",DATOS!$I$2:$I$20000,"&lt;&gt;Conjunto"),""))</f>
        <v/>
      </c>
      <c r="H677" t="str">
        <f>IF(G677="","",IFERROR(AVERAGEIFS(DATOS!$K$2:$K$20000,DATOS!$A$2:$A$20000,G677,DATOS!$G$2:$G$20000,CONFIG_METADATA!$B$4,DATOS!$I$2:$I$20000,"Lenguaje Musical"),""))</f>
        <v/>
      </c>
      <c r="I677" t="str">
        <f>IF(G677="","",IFERROR(AVERAGEIFS(DATOS!$K$2:$K$20000,DATOS!$A$2:$A$20000,G677,DATOS!$G$2:$G$20000,CONFIG_METADATA!$B$4,DATOS!$I$2:$I$20000,"Coro"),""))</f>
        <v/>
      </c>
      <c r="J677" t="str">
        <f>IF(G677="","",IFERROR(AVERAGEIFS(DATOS!$K$2:$K$20000,DATOS!$A$2:$A$20000,G677,DATOS!$G$2:$G$20000,CONFIG_METADATA!$B$4,DATOS!$I$2:$I$20000,"Conjunto"),""))</f>
        <v/>
      </c>
      <c r="K677" t="str" cm="1">
        <f t="array" ref="K677">IF(G677="","",IFERROR(AVERAGE(IF((DATOS!$A$2:$A$20000=G677)*(DATOS!$G$2:$G$20000=CONFIG_METADATA!$B$4)*(DATOS!$I$2:$I$20000&lt;&gt;"Lenguaje Musical")*(DATOS!$I$2:$I$20000&lt;&gt;"Coro")*(DATOS!$I$2:$I$20000&lt;&gt;"Conjunto"),DATOS!$K$2:$K$20000)),""))</f>
        <v/>
      </c>
      <c r="N677" t="str">
        <f>IF(M677="","",IFERROR(AVERAGEIFS(DATOS!$K$2:$K$20000,DATOS!$A$2:$A$20000,M677,DATOS!$G$2:$G$20000,CONFIG_METADATA!$B$4,DATOS!$I$2:$I$20000,"Lenguaje Musical"),""))</f>
        <v/>
      </c>
      <c r="O677" t="str">
        <f>IF(M677="","",IFERROR(AVERAGEIFS(DATOS!$K$2:$K$20000,DATOS!$A$2:$A$20000,M677,DATOS!$G$2:$G$20000,CONFIG_METADATA!$B$4,DATOS!$I$2:$I$20000,"Coro"),""))</f>
        <v/>
      </c>
      <c r="P677" t="str">
        <f>IF(M677="","",IFERROR(AVERAGEIFS(DATOS!$K$2:$K$20000,DATOS!$A$2:$A$20000,M677,DATOS!$G$2:$G$20000,CONFIG_METADATA!$B$4,DATOS!$I$2:$I$20000,"Conjunto"),""))</f>
        <v/>
      </c>
      <c r="Q677" t="str">
        <f>IF(M677="","",IFERROR(AVERAGEIFS(DATOS!$K$2:$K$20000,DATOS!$A$2:$A$20000,M677,DATOS!$G$2:$G$20000,CONFIG_METADATA!$B$4,DATOS!$I$2:$I$20000,"&lt;&gt;Lenguaje Musical",DATOS!$I$2:$I$20000,"&lt;&gt;Coro",DATOS!$I$2:$I$20000,"&lt;&gt;Conjunto"),""))</f>
        <v/>
      </c>
      <c r="T677" t="str">
        <f>IF(S677="","",IFERROR(AVERAGEIFS(DATOS!$K$2:$K$20000,DATOS!$A$2:$A$20000,S677,DATOS!$G$2:$G$20000,CONFIG_METADATA!$B$4,DATOS!$I$2:$I$20000,"Lenguaje Musical"),""))</f>
        <v/>
      </c>
      <c r="U677" t="str">
        <f>IF(S677="","",IFERROR(AVERAGEIFS(DATOS!$K$2:$K$20000,DATOS!$A$2:$A$20000,S677,DATOS!$G$2:$G$20000,CONFIG_METADATA!$B$4,DATOS!$I$2:$I$20000,"Coro"),""))</f>
        <v/>
      </c>
      <c r="V677" t="str">
        <f>IF(S677="","",IFERROR(AVERAGEIFS(DATOS!$K$2:$K$20000,DATOS!$A$2:$A$20000,S677,DATOS!$G$2:$G$20000,CONFIG_METADATA!$B$4,DATOS!$I$2:$I$20000,"Conjunto"),""))</f>
        <v/>
      </c>
      <c r="W677" t="str" cm="1">
        <f t="array" ref="W677">IF(S677="","",IFERROR(AVERAGE(IF((DATOS!$A$2:$A$20000=S677)*(DATOS!$G$2:$G$20000=CONFIG_METADATA!$B$4)*(DATOS!$I$2:$I$20000&lt;&gt;"Lenguaje Musical")*(DATOS!$I$2:$I$20000&lt;&gt;"Coro")*(DATOS!$I$2:$I$20000&lt;&gt;"Conjunto"),DATOS!$K$2:$K$20000)),""))</f>
        <v/>
      </c>
    </row>
    <row r="678" spans="2:23" x14ac:dyDescent="0.2">
      <c r="B678" t="str">
        <f>IF(A678="","",IFERROR(AVERAGEIFS(DATOS!$K$2:$K$20000,DATOS!$A$2:$A$20000,A678,DATOS!$G$2:$G$20000,CONFIG_METADATA!$B$4,DATOS!$I$2:$I$20000,"Lenguaje Musical"),""))</f>
        <v/>
      </c>
      <c r="C678" t="str">
        <f>IF(A678="","",IFERROR(AVERAGEIFS(DATOS!$K$2:$K$20000,DATOS!$A$2:$A$20000,A678,DATOS!$G$2:$G$20000,CONFIG_METADATA!$B$4,DATOS!$I$2:$I$20000,"Coro"),""))</f>
        <v/>
      </c>
      <c r="D678" t="str">
        <f>IF(A678="","",IFERROR(AVERAGEIFS(DATOS!$K$2:$K$20000,DATOS!$A$2:$A$20000,A678,DATOS!$G$2:$G$20000,CONFIG_METADATA!$B$4,DATOS!$I$2:$I$20000,"Conjunto"),""))</f>
        <v/>
      </c>
      <c r="E678" t="str">
        <f>IF(A678="","",IFERROR(AVERAGEIFS(DATOS!$K$2:$K$20000,DATOS!$A$2:$A$20000,A678,DATOS!$G$2:$G$20000,CONFIG_METADATA!$B$4,DATOS!$I$2:$I$20000,"&lt;&gt;Lenguaje Musical",DATOS!$I$2:$I$20000,"&lt;&gt;Coro",DATOS!$I$2:$I$20000,"&lt;&gt;Conjunto"),""))</f>
        <v/>
      </c>
      <c r="H678" t="str">
        <f>IF(G678="","",IFERROR(AVERAGEIFS(DATOS!$K$2:$K$20000,DATOS!$A$2:$A$20000,G678,DATOS!$G$2:$G$20000,CONFIG_METADATA!$B$4,DATOS!$I$2:$I$20000,"Lenguaje Musical"),""))</f>
        <v/>
      </c>
      <c r="I678" t="str">
        <f>IF(G678="","",IFERROR(AVERAGEIFS(DATOS!$K$2:$K$20000,DATOS!$A$2:$A$20000,G678,DATOS!$G$2:$G$20000,CONFIG_METADATA!$B$4,DATOS!$I$2:$I$20000,"Coro"),""))</f>
        <v/>
      </c>
      <c r="J678" t="str">
        <f>IF(G678="","",IFERROR(AVERAGEIFS(DATOS!$K$2:$K$20000,DATOS!$A$2:$A$20000,G678,DATOS!$G$2:$G$20000,CONFIG_METADATA!$B$4,DATOS!$I$2:$I$20000,"Conjunto"),""))</f>
        <v/>
      </c>
      <c r="K678" t="str" cm="1">
        <f t="array" ref="K678">IF(G678="","",IFERROR(AVERAGE(IF((DATOS!$A$2:$A$20000=G678)*(DATOS!$G$2:$G$20000=CONFIG_METADATA!$B$4)*(DATOS!$I$2:$I$20000&lt;&gt;"Lenguaje Musical")*(DATOS!$I$2:$I$20000&lt;&gt;"Coro")*(DATOS!$I$2:$I$20000&lt;&gt;"Conjunto"),DATOS!$K$2:$K$20000)),""))</f>
        <v/>
      </c>
      <c r="N678" t="str">
        <f>IF(M678="","",IFERROR(AVERAGEIFS(DATOS!$K$2:$K$20000,DATOS!$A$2:$A$20000,M678,DATOS!$G$2:$G$20000,CONFIG_METADATA!$B$4,DATOS!$I$2:$I$20000,"Lenguaje Musical"),""))</f>
        <v/>
      </c>
      <c r="O678" t="str">
        <f>IF(M678="","",IFERROR(AVERAGEIFS(DATOS!$K$2:$K$20000,DATOS!$A$2:$A$20000,M678,DATOS!$G$2:$G$20000,CONFIG_METADATA!$B$4,DATOS!$I$2:$I$20000,"Coro"),""))</f>
        <v/>
      </c>
      <c r="P678" t="str">
        <f>IF(M678="","",IFERROR(AVERAGEIFS(DATOS!$K$2:$K$20000,DATOS!$A$2:$A$20000,M678,DATOS!$G$2:$G$20000,CONFIG_METADATA!$B$4,DATOS!$I$2:$I$20000,"Conjunto"),""))</f>
        <v/>
      </c>
      <c r="Q678" t="str">
        <f>IF(M678="","",IFERROR(AVERAGEIFS(DATOS!$K$2:$K$20000,DATOS!$A$2:$A$20000,M678,DATOS!$G$2:$G$20000,CONFIG_METADATA!$B$4,DATOS!$I$2:$I$20000,"&lt;&gt;Lenguaje Musical",DATOS!$I$2:$I$20000,"&lt;&gt;Coro",DATOS!$I$2:$I$20000,"&lt;&gt;Conjunto"),""))</f>
        <v/>
      </c>
      <c r="T678" t="str">
        <f>IF(S678="","",IFERROR(AVERAGEIFS(DATOS!$K$2:$K$20000,DATOS!$A$2:$A$20000,S678,DATOS!$G$2:$G$20000,CONFIG_METADATA!$B$4,DATOS!$I$2:$I$20000,"Lenguaje Musical"),""))</f>
        <v/>
      </c>
      <c r="U678" t="str">
        <f>IF(S678="","",IFERROR(AVERAGEIFS(DATOS!$K$2:$K$20000,DATOS!$A$2:$A$20000,S678,DATOS!$G$2:$G$20000,CONFIG_METADATA!$B$4,DATOS!$I$2:$I$20000,"Coro"),""))</f>
        <v/>
      </c>
      <c r="V678" t="str">
        <f>IF(S678="","",IFERROR(AVERAGEIFS(DATOS!$K$2:$K$20000,DATOS!$A$2:$A$20000,S678,DATOS!$G$2:$G$20000,CONFIG_METADATA!$B$4,DATOS!$I$2:$I$20000,"Conjunto"),""))</f>
        <v/>
      </c>
      <c r="W678" t="str" cm="1">
        <f t="array" ref="W678">IF(S678="","",IFERROR(AVERAGE(IF((DATOS!$A$2:$A$20000=S678)*(DATOS!$G$2:$G$20000=CONFIG_METADATA!$B$4)*(DATOS!$I$2:$I$20000&lt;&gt;"Lenguaje Musical")*(DATOS!$I$2:$I$20000&lt;&gt;"Coro")*(DATOS!$I$2:$I$20000&lt;&gt;"Conjunto"),DATOS!$K$2:$K$20000)),""))</f>
        <v/>
      </c>
    </row>
    <row r="679" spans="2:23" x14ac:dyDescent="0.2">
      <c r="B679" t="str">
        <f>IF(A679="","",IFERROR(AVERAGEIFS(DATOS!$K$2:$K$20000,DATOS!$A$2:$A$20000,A679,DATOS!$G$2:$G$20000,CONFIG_METADATA!$B$4,DATOS!$I$2:$I$20000,"Lenguaje Musical"),""))</f>
        <v/>
      </c>
      <c r="C679" t="str">
        <f>IF(A679="","",IFERROR(AVERAGEIFS(DATOS!$K$2:$K$20000,DATOS!$A$2:$A$20000,A679,DATOS!$G$2:$G$20000,CONFIG_METADATA!$B$4,DATOS!$I$2:$I$20000,"Coro"),""))</f>
        <v/>
      </c>
      <c r="D679" t="str">
        <f>IF(A679="","",IFERROR(AVERAGEIFS(DATOS!$K$2:$K$20000,DATOS!$A$2:$A$20000,A679,DATOS!$G$2:$G$20000,CONFIG_METADATA!$B$4,DATOS!$I$2:$I$20000,"Conjunto"),""))</f>
        <v/>
      </c>
      <c r="E679" t="str">
        <f>IF(A679="","",IFERROR(AVERAGEIFS(DATOS!$K$2:$K$20000,DATOS!$A$2:$A$20000,A679,DATOS!$G$2:$G$20000,CONFIG_METADATA!$B$4,DATOS!$I$2:$I$20000,"&lt;&gt;Lenguaje Musical",DATOS!$I$2:$I$20000,"&lt;&gt;Coro",DATOS!$I$2:$I$20000,"&lt;&gt;Conjunto"),""))</f>
        <v/>
      </c>
      <c r="H679" t="str">
        <f>IF(G679="","",IFERROR(AVERAGEIFS(DATOS!$K$2:$K$20000,DATOS!$A$2:$A$20000,G679,DATOS!$G$2:$G$20000,CONFIG_METADATA!$B$4,DATOS!$I$2:$I$20000,"Lenguaje Musical"),""))</f>
        <v/>
      </c>
      <c r="I679" t="str">
        <f>IF(G679="","",IFERROR(AVERAGEIFS(DATOS!$K$2:$K$20000,DATOS!$A$2:$A$20000,G679,DATOS!$G$2:$G$20000,CONFIG_METADATA!$B$4,DATOS!$I$2:$I$20000,"Coro"),""))</f>
        <v/>
      </c>
      <c r="J679" t="str">
        <f>IF(G679="","",IFERROR(AVERAGEIFS(DATOS!$K$2:$K$20000,DATOS!$A$2:$A$20000,G679,DATOS!$G$2:$G$20000,CONFIG_METADATA!$B$4,DATOS!$I$2:$I$20000,"Conjunto"),""))</f>
        <v/>
      </c>
      <c r="K679" t="str" cm="1">
        <f t="array" ref="K679">IF(G679="","",IFERROR(AVERAGE(IF((DATOS!$A$2:$A$20000=G679)*(DATOS!$G$2:$G$20000=CONFIG_METADATA!$B$4)*(DATOS!$I$2:$I$20000&lt;&gt;"Lenguaje Musical")*(DATOS!$I$2:$I$20000&lt;&gt;"Coro")*(DATOS!$I$2:$I$20000&lt;&gt;"Conjunto"),DATOS!$K$2:$K$20000)),""))</f>
        <v/>
      </c>
      <c r="N679" t="str">
        <f>IF(M679="","",IFERROR(AVERAGEIFS(DATOS!$K$2:$K$20000,DATOS!$A$2:$A$20000,M679,DATOS!$G$2:$G$20000,CONFIG_METADATA!$B$4,DATOS!$I$2:$I$20000,"Lenguaje Musical"),""))</f>
        <v/>
      </c>
      <c r="O679" t="str">
        <f>IF(M679="","",IFERROR(AVERAGEIFS(DATOS!$K$2:$K$20000,DATOS!$A$2:$A$20000,M679,DATOS!$G$2:$G$20000,CONFIG_METADATA!$B$4,DATOS!$I$2:$I$20000,"Coro"),""))</f>
        <v/>
      </c>
      <c r="P679" t="str">
        <f>IF(M679="","",IFERROR(AVERAGEIFS(DATOS!$K$2:$K$20000,DATOS!$A$2:$A$20000,M679,DATOS!$G$2:$G$20000,CONFIG_METADATA!$B$4,DATOS!$I$2:$I$20000,"Conjunto"),""))</f>
        <v/>
      </c>
      <c r="Q679" t="str">
        <f>IF(M679="","",IFERROR(AVERAGEIFS(DATOS!$K$2:$K$20000,DATOS!$A$2:$A$20000,M679,DATOS!$G$2:$G$20000,CONFIG_METADATA!$B$4,DATOS!$I$2:$I$20000,"&lt;&gt;Lenguaje Musical",DATOS!$I$2:$I$20000,"&lt;&gt;Coro",DATOS!$I$2:$I$20000,"&lt;&gt;Conjunto"),""))</f>
        <v/>
      </c>
      <c r="T679" t="str">
        <f>IF(S679="","",IFERROR(AVERAGEIFS(DATOS!$K$2:$K$20000,DATOS!$A$2:$A$20000,S679,DATOS!$G$2:$G$20000,CONFIG_METADATA!$B$4,DATOS!$I$2:$I$20000,"Lenguaje Musical"),""))</f>
        <v/>
      </c>
      <c r="U679" t="str">
        <f>IF(S679="","",IFERROR(AVERAGEIFS(DATOS!$K$2:$K$20000,DATOS!$A$2:$A$20000,S679,DATOS!$G$2:$G$20000,CONFIG_METADATA!$B$4,DATOS!$I$2:$I$20000,"Coro"),""))</f>
        <v/>
      </c>
      <c r="V679" t="str">
        <f>IF(S679="","",IFERROR(AVERAGEIFS(DATOS!$K$2:$K$20000,DATOS!$A$2:$A$20000,S679,DATOS!$G$2:$G$20000,CONFIG_METADATA!$B$4,DATOS!$I$2:$I$20000,"Conjunto"),""))</f>
        <v/>
      </c>
      <c r="W679" t="str" cm="1">
        <f t="array" ref="W679">IF(S679="","",IFERROR(AVERAGE(IF((DATOS!$A$2:$A$20000=S679)*(DATOS!$G$2:$G$20000=CONFIG_METADATA!$B$4)*(DATOS!$I$2:$I$20000&lt;&gt;"Lenguaje Musical")*(DATOS!$I$2:$I$20000&lt;&gt;"Coro")*(DATOS!$I$2:$I$20000&lt;&gt;"Conjunto"),DATOS!$K$2:$K$20000)),""))</f>
        <v/>
      </c>
    </row>
    <row r="680" spans="2:23" x14ac:dyDescent="0.2">
      <c r="B680" t="str">
        <f>IF(A680="","",IFERROR(AVERAGEIFS(DATOS!$K$2:$K$20000,DATOS!$A$2:$A$20000,A680,DATOS!$G$2:$G$20000,CONFIG_METADATA!$B$4,DATOS!$I$2:$I$20000,"Lenguaje Musical"),""))</f>
        <v/>
      </c>
      <c r="C680" t="str">
        <f>IF(A680="","",IFERROR(AVERAGEIFS(DATOS!$K$2:$K$20000,DATOS!$A$2:$A$20000,A680,DATOS!$G$2:$G$20000,CONFIG_METADATA!$B$4,DATOS!$I$2:$I$20000,"Coro"),""))</f>
        <v/>
      </c>
      <c r="D680" t="str">
        <f>IF(A680="","",IFERROR(AVERAGEIFS(DATOS!$K$2:$K$20000,DATOS!$A$2:$A$20000,A680,DATOS!$G$2:$G$20000,CONFIG_METADATA!$B$4,DATOS!$I$2:$I$20000,"Conjunto"),""))</f>
        <v/>
      </c>
      <c r="E680" t="str">
        <f>IF(A680="","",IFERROR(AVERAGEIFS(DATOS!$K$2:$K$20000,DATOS!$A$2:$A$20000,A680,DATOS!$G$2:$G$20000,CONFIG_METADATA!$B$4,DATOS!$I$2:$I$20000,"&lt;&gt;Lenguaje Musical",DATOS!$I$2:$I$20000,"&lt;&gt;Coro",DATOS!$I$2:$I$20000,"&lt;&gt;Conjunto"),""))</f>
        <v/>
      </c>
      <c r="H680" t="str">
        <f>IF(G680="","",IFERROR(AVERAGEIFS(DATOS!$K$2:$K$20000,DATOS!$A$2:$A$20000,G680,DATOS!$G$2:$G$20000,CONFIG_METADATA!$B$4,DATOS!$I$2:$I$20000,"Lenguaje Musical"),""))</f>
        <v/>
      </c>
      <c r="I680" t="str">
        <f>IF(G680="","",IFERROR(AVERAGEIFS(DATOS!$K$2:$K$20000,DATOS!$A$2:$A$20000,G680,DATOS!$G$2:$G$20000,CONFIG_METADATA!$B$4,DATOS!$I$2:$I$20000,"Coro"),""))</f>
        <v/>
      </c>
      <c r="J680" t="str">
        <f>IF(G680="","",IFERROR(AVERAGEIFS(DATOS!$K$2:$K$20000,DATOS!$A$2:$A$20000,G680,DATOS!$G$2:$G$20000,CONFIG_METADATA!$B$4,DATOS!$I$2:$I$20000,"Conjunto"),""))</f>
        <v/>
      </c>
      <c r="K680" t="str" cm="1">
        <f t="array" ref="K680">IF(G680="","",IFERROR(AVERAGE(IF((DATOS!$A$2:$A$20000=G680)*(DATOS!$G$2:$G$20000=CONFIG_METADATA!$B$4)*(DATOS!$I$2:$I$20000&lt;&gt;"Lenguaje Musical")*(DATOS!$I$2:$I$20000&lt;&gt;"Coro")*(DATOS!$I$2:$I$20000&lt;&gt;"Conjunto"),DATOS!$K$2:$K$20000)),""))</f>
        <v/>
      </c>
      <c r="N680" t="str">
        <f>IF(M680="","",IFERROR(AVERAGEIFS(DATOS!$K$2:$K$20000,DATOS!$A$2:$A$20000,M680,DATOS!$G$2:$G$20000,CONFIG_METADATA!$B$4,DATOS!$I$2:$I$20000,"Lenguaje Musical"),""))</f>
        <v/>
      </c>
      <c r="O680" t="str">
        <f>IF(M680="","",IFERROR(AVERAGEIFS(DATOS!$K$2:$K$20000,DATOS!$A$2:$A$20000,M680,DATOS!$G$2:$G$20000,CONFIG_METADATA!$B$4,DATOS!$I$2:$I$20000,"Coro"),""))</f>
        <v/>
      </c>
      <c r="P680" t="str">
        <f>IF(M680="","",IFERROR(AVERAGEIFS(DATOS!$K$2:$K$20000,DATOS!$A$2:$A$20000,M680,DATOS!$G$2:$G$20000,CONFIG_METADATA!$B$4,DATOS!$I$2:$I$20000,"Conjunto"),""))</f>
        <v/>
      </c>
      <c r="Q680" t="str">
        <f>IF(M680="","",IFERROR(AVERAGEIFS(DATOS!$K$2:$K$20000,DATOS!$A$2:$A$20000,M680,DATOS!$G$2:$G$20000,CONFIG_METADATA!$B$4,DATOS!$I$2:$I$20000,"&lt;&gt;Lenguaje Musical",DATOS!$I$2:$I$20000,"&lt;&gt;Coro",DATOS!$I$2:$I$20000,"&lt;&gt;Conjunto"),""))</f>
        <v/>
      </c>
      <c r="T680" t="str">
        <f>IF(S680="","",IFERROR(AVERAGEIFS(DATOS!$K$2:$K$20000,DATOS!$A$2:$A$20000,S680,DATOS!$G$2:$G$20000,CONFIG_METADATA!$B$4,DATOS!$I$2:$I$20000,"Lenguaje Musical"),""))</f>
        <v/>
      </c>
      <c r="U680" t="str">
        <f>IF(S680="","",IFERROR(AVERAGEIFS(DATOS!$K$2:$K$20000,DATOS!$A$2:$A$20000,S680,DATOS!$G$2:$G$20000,CONFIG_METADATA!$B$4,DATOS!$I$2:$I$20000,"Coro"),""))</f>
        <v/>
      </c>
      <c r="V680" t="str">
        <f>IF(S680="","",IFERROR(AVERAGEIFS(DATOS!$K$2:$K$20000,DATOS!$A$2:$A$20000,S680,DATOS!$G$2:$G$20000,CONFIG_METADATA!$B$4,DATOS!$I$2:$I$20000,"Conjunto"),""))</f>
        <v/>
      </c>
      <c r="W680" t="str" cm="1">
        <f t="array" ref="W680">IF(S680="","",IFERROR(AVERAGE(IF((DATOS!$A$2:$A$20000=S680)*(DATOS!$G$2:$G$20000=CONFIG_METADATA!$B$4)*(DATOS!$I$2:$I$20000&lt;&gt;"Lenguaje Musical")*(DATOS!$I$2:$I$20000&lt;&gt;"Coro")*(DATOS!$I$2:$I$20000&lt;&gt;"Conjunto"),DATOS!$K$2:$K$20000)),""))</f>
        <v/>
      </c>
    </row>
    <row r="681" spans="2:23" x14ac:dyDescent="0.2">
      <c r="B681" t="str">
        <f>IF(A681="","",IFERROR(AVERAGEIFS(DATOS!$K$2:$K$20000,DATOS!$A$2:$A$20000,A681,DATOS!$G$2:$G$20000,CONFIG_METADATA!$B$4,DATOS!$I$2:$I$20000,"Lenguaje Musical"),""))</f>
        <v/>
      </c>
      <c r="C681" t="str">
        <f>IF(A681="","",IFERROR(AVERAGEIFS(DATOS!$K$2:$K$20000,DATOS!$A$2:$A$20000,A681,DATOS!$G$2:$G$20000,CONFIG_METADATA!$B$4,DATOS!$I$2:$I$20000,"Coro"),""))</f>
        <v/>
      </c>
      <c r="D681" t="str">
        <f>IF(A681="","",IFERROR(AVERAGEIFS(DATOS!$K$2:$K$20000,DATOS!$A$2:$A$20000,A681,DATOS!$G$2:$G$20000,CONFIG_METADATA!$B$4,DATOS!$I$2:$I$20000,"Conjunto"),""))</f>
        <v/>
      </c>
      <c r="E681" t="str">
        <f>IF(A681="","",IFERROR(AVERAGEIFS(DATOS!$K$2:$K$20000,DATOS!$A$2:$A$20000,A681,DATOS!$G$2:$G$20000,CONFIG_METADATA!$B$4,DATOS!$I$2:$I$20000,"&lt;&gt;Lenguaje Musical",DATOS!$I$2:$I$20000,"&lt;&gt;Coro",DATOS!$I$2:$I$20000,"&lt;&gt;Conjunto"),""))</f>
        <v/>
      </c>
      <c r="H681" t="str">
        <f>IF(G681="","",IFERROR(AVERAGEIFS(DATOS!$K$2:$K$20000,DATOS!$A$2:$A$20000,G681,DATOS!$G$2:$G$20000,CONFIG_METADATA!$B$4,DATOS!$I$2:$I$20000,"Lenguaje Musical"),""))</f>
        <v/>
      </c>
      <c r="I681" t="str">
        <f>IF(G681="","",IFERROR(AVERAGEIFS(DATOS!$K$2:$K$20000,DATOS!$A$2:$A$20000,G681,DATOS!$G$2:$G$20000,CONFIG_METADATA!$B$4,DATOS!$I$2:$I$20000,"Coro"),""))</f>
        <v/>
      </c>
      <c r="J681" t="str">
        <f>IF(G681="","",IFERROR(AVERAGEIFS(DATOS!$K$2:$K$20000,DATOS!$A$2:$A$20000,G681,DATOS!$G$2:$G$20000,CONFIG_METADATA!$B$4,DATOS!$I$2:$I$20000,"Conjunto"),""))</f>
        <v/>
      </c>
      <c r="K681" t="str" cm="1">
        <f t="array" ref="K681">IF(G681="","",IFERROR(AVERAGE(IF((DATOS!$A$2:$A$20000=G681)*(DATOS!$G$2:$G$20000=CONFIG_METADATA!$B$4)*(DATOS!$I$2:$I$20000&lt;&gt;"Lenguaje Musical")*(DATOS!$I$2:$I$20000&lt;&gt;"Coro")*(DATOS!$I$2:$I$20000&lt;&gt;"Conjunto"),DATOS!$K$2:$K$20000)),""))</f>
        <v/>
      </c>
      <c r="N681" t="str">
        <f>IF(M681="","",IFERROR(AVERAGEIFS(DATOS!$K$2:$K$20000,DATOS!$A$2:$A$20000,M681,DATOS!$G$2:$G$20000,CONFIG_METADATA!$B$4,DATOS!$I$2:$I$20000,"Lenguaje Musical"),""))</f>
        <v/>
      </c>
      <c r="O681" t="str">
        <f>IF(M681="","",IFERROR(AVERAGEIFS(DATOS!$K$2:$K$20000,DATOS!$A$2:$A$20000,M681,DATOS!$G$2:$G$20000,CONFIG_METADATA!$B$4,DATOS!$I$2:$I$20000,"Coro"),""))</f>
        <v/>
      </c>
      <c r="P681" t="str">
        <f>IF(M681="","",IFERROR(AVERAGEIFS(DATOS!$K$2:$K$20000,DATOS!$A$2:$A$20000,M681,DATOS!$G$2:$G$20000,CONFIG_METADATA!$B$4,DATOS!$I$2:$I$20000,"Conjunto"),""))</f>
        <v/>
      </c>
      <c r="Q681" t="str">
        <f>IF(M681="","",IFERROR(AVERAGEIFS(DATOS!$K$2:$K$20000,DATOS!$A$2:$A$20000,M681,DATOS!$G$2:$G$20000,CONFIG_METADATA!$B$4,DATOS!$I$2:$I$20000,"&lt;&gt;Lenguaje Musical",DATOS!$I$2:$I$20000,"&lt;&gt;Coro",DATOS!$I$2:$I$20000,"&lt;&gt;Conjunto"),""))</f>
        <v/>
      </c>
      <c r="T681" t="str">
        <f>IF(S681="","",IFERROR(AVERAGEIFS(DATOS!$K$2:$K$20000,DATOS!$A$2:$A$20000,S681,DATOS!$G$2:$G$20000,CONFIG_METADATA!$B$4,DATOS!$I$2:$I$20000,"Lenguaje Musical"),""))</f>
        <v/>
      </c>
      <c r="U681" t="str">
        <f>IF(S681="","",IFERROR(AVERAGEIFS(DATOS!$K$2:$K$20000,DATOS!$A$2:$A$20000,S681,DATOS!$G$2:$G$20000,CONFIG_METADATA!$B$4,DATOS!$I$2:$I$20000,"Coro"),""))</f>
        <v/>
      </c>
      <c r="V681" t="str">
        <f>IF(S681="","",IFERROR(AVERAGEIFS(DATOS!$K$2:$K$20000,DATOS!$A$2:$A$20000,S681,DATOS!$G$2:$G$20000,CONFIG_METADATA!$B$4,DATOS!$I$2:$I$20000,"Conjunto"),""))</f>
        <v/>
      </c>
      <c r="W681" t="str" cm="1">
        <f t="array" ref="W681">IF(S681="","",IFERROR(AVERAGE(IF((DATOS!$A$2:$A$20000=S681)*(DATOS!$G$2:$G$20000=CONFIG_METADATA!$B$4)*(DATOS!$I$2:$I$20000&lt;&gt;"Lenguaje Musical")*(DATOS!$I$2:$I$20000&lt;&gt;"Coro")*(DATOS!$I$2:$I$20000&lt;&gt;"Conjunto"),DATOS!$K$2:$K$20000)),""))</f>
        <v/>
      </c>
    </row>
    <row r="682" spans="2:23" x14ac:dyDescent="0.2">
      <c r="B682" t="str">
        <f>IF(A682="","",IFERROR(AVERAGEIFS(DATOS!$K$2:$K$20000,DATOS!$A$2:$A$20000,A682,DATOS!$G$2:$G$20000,CONFIG_METADATA!$B$4,DATOS!$I$2:$I$20000,"Lenguaje Musical"),""))</f>
        <v/>
      </c>
      <c r="C682" t="str">
        <f>IF(A682="","",IFERROR(AVERAGEIFS(DATOS!$K$2:$K$20000,DATOS!$A$2:$A$20000,A682,DATOS!$G$2:$G$20000,CONFIG_METADATA!$B$4,DATOS!$I$2:$I$20000,"Coro"),""))</f>
        <v/>
      </c>
      <c r="D682" t="str">
        <f>IF(A682="","",IFERROR(AVERAGEIFS(DATOS!$K$2:$K$20000,DATOS!$A$2:$A$20000,A682,DATOS!$G$2:$G$20000,CONFIG_METADATA!$B$4,DATOS!$I$2:$I$20000,"Conjunto"),""))</f>
        <v/>
      </c>
      <c r="E682" t="str">
        <f>IF(A682="","",IFERROR(AVERAGEIFS(DATOS!$K$2:$K$20000,DATOS!$A$2:$A$20000,A682,DATOS!$G$2:$G$20000,CONFIG_METADATA!$B$4,DATOS!$I$2:$I$20000,"&lt;&gt;Lenguaje Musical",DATOS!$I$2:$I$20000,"&lt;&gt;Coro",DATOS!$I$2:$I$20000,"&lt;&gt;Conjunto"),""))</f>
        <v/>
      </c>
      <c r="H682" t="str">
        <f>IF(G682="","",IFERROR(AVERAGEIFS(DATOS!$K$2:$K$20000,DATOS!$A$2:$A$20000,G682,DATOS!$G$2:$G$20000,CONFIG_METADATA!$B$4,DATOS!$I$2:$I$20000,"Lenguaje Musical"),""))</f>
        <v/>
      </c>
      <c r="I682" t="str">
        <f>IF(G682="","",IFERROR(AVERAGEIFS(DATOS!$K$2:$K$20000,DATOS!$A$2:$A$20000,G682,DATOS!$G$2:$G$20000,CONFIG_METADATA!$B$4,DATOS!$I$2:$I$20000,"Coro"),""))</f>
        <v/>
      </c>
      <c r="J682" t="str">
        <f>IF(G682="","",IFERROR(AVERAGEIFS(DATOS!$K$2:$K$20000,DATOS!$A$2:$A$20000,G682,DATOS!$G$2:$G$20000,CONFIG_METADATA!$B$4,DATOS!$I$2:$I$20000,"Conjunto"),""))</f>
        <v/>
      </c>
      <c r="K682" t="str" cm="1">
        <f t="array" ref="K682">IF(G682="","",IFERROR(AVERAGE(IF((DATOS!$A$2:$A$20000=G682)*(DATOS!$G$2:$G$20000=CONFIG_METADATA!$B$4)*(DATOS!$I$2:$I$20000&lt;&gt;"Lenguaje Musical")*(DATOS!$I$2:$I$20000&lt;&gt;"Coro")*(DATOS!$I$2:$I$20000&lt;&gt;"Conjunto"),DATOS!$K$2:$K$20000)),""))</f>
        <v/>
      </c>
      <c r="N682" t="str">
        <f>IF(M682="","",IFERROR(AVERAGEIFS(DATOS!$K$2:$K$20000,DATOS!$A$2:$A$20000,M682,DATOS!$G$2:$G$20000,CONFIG_METADATA!$B$4,DATOS!$I$2:$I$20000,"Lenguaje Musical"),""))</f>
        <v/>
      </c>
      <c r="O682" t="str">
        <f>IF(M682="","",IFERROR(AVERAGEIFS(DATOS!$K$2:$K$20000,DATOS!$A$2:$A$20000,M682,DATOS!$G$2:$G$20000,CONFIG_METADATA!$B$4,DATOS!$I$2:$I$20000,"Coro"),""))</f>
        <v/>
      </c>
      <c r="P682" t="str">
        <f>IF(M682="","",IFERROR(AVERAGEIFS(DATOS!$K$2:$K$20000,DATOS!$A$2:$A$20000,M682,DATOS!$G$2:$G$20000,CONFIG_METADATA!$B$4,DATOS!$I$2:$I$20000,"Conjunto"),""))</f>
        <v/>
      </c>
      <c r="Q682" t="str">
        <f>IF(M682="","",IFERROR(AVERAGEIFS(DATOS!$K$2:$K$20000,DATOS!$A$2:$A$20000,M682,DATOS!$G$2:$G$20000,CONFIG_METADATA!$B$4,DATOS!$I$2:$I$20000,"&lt;&gt;Lenguaje Musical",DATOS!$I$2:$I$20000,"&lt;&gt;Coro",DATOS!$I$2:$I$20000,"&lt;&gt;Conjunto"),""))</f>
        <v/>
      </c>
      <c r="T682" t="str">
        <f>IF(S682="","",IFERROR(AVERAGEIFS(DATOS!$K$2:$K$20000,DATOS!$A$2:$A$20000,S682,DATOS!$G$2:$G$20000,CONFIG_METADATA!$B$4,DATOS!$I$2:$I$20000,"Lenguaje Musical"),""))</f>
        <v/>
      </c>
      <c r="U682" t="str">
        <f>IF(S682="","",IFERROR(AVERAGEIFS(DATOS!$K$2:$K$20000,DATOS!$A$2:$A$20000,S682,DATOS!$G$2:$G$20000,CONFIG_METADATA!$B$4,DATOS!$I$2:$I$20000,"Coro"),""))</f>
        <v/>
      </c>
      <c r="V682" t="str">
        <f>IF(S682="","",IFERROR(AVERAGEIFS(DATOS!$K$2:$K$20000,DATOS!$A$2:$A$20000,S682,DATOS!$G$2:$G$20000,CONFIG_METADATA!$B$4,DATOS!$I$2:$I$20000,"Conjunto"),""))</f>
        <v/>
      </c>
      <c r="W682" t="str" cm="1">
        <f t="array" ref="W682">IF(S682="","",IFERROR(AVERAGE(IF((DATOS!$A$2:$A$20000=S682)*(DATOS!$G$2:$G$20000=CONFIG_METADATA!$B$4)*(DATOS!$I$2:$I$20000&lt;&gt;"Lenguaje Musical")*(DATOS!$I$2:$I$20000&lt;&gt;"Coro")*(DATOS!$I$2:$I$20000&lt;&gt;"Conjunto"),DATOS!$K$2:$K$20000)),""))</f>
        <v/>
      </c>
    </row>
    <row r="683" spans="2:23" x14ac:dyDescent="0.2">
      <c r="B683" t="str">
        <f>IF(A683="","",IFERROR(AVERAGEIFS(DATOS!$K$2:$K$20000,DATOS!$A$2:$A$20000,A683,DATOS!$G$2:$G$20000,CONFIG_METADATA!$B$4,DATOS!$I$2:$I$20000,"Lenguaje Musical"),""))</f>
        <v/>
      </c>
      <c r="C683" t="str">
        <f>IF(A683="","",IFERROR(AVERAGEIFS(DATOS!$K$2:$K$20000,DATOS!$A$2:$A$20000,A683,DATOS!$G$2:$G$20000,CONFIG_METADATA!$B$4,DATOS!$I$2:$I$20000,"Coro"),""))</f>
        <v/>
      </c>
      <c r="D683" t="str">
        <f>IF(A683="","",IFERROR(AVERAGEIFS(DATOS!$K$2:$K$20000,DATOS!$A$2:$A$20000,A683,DATOS!$G$2:$G$20000,CONFIG_METADATA!$B$4,DATOS!$I$2:$I$20000,"Conjunto"),""))</f>
        <v/>
      </c>
      <c r="E683" t="str">
        <f>IF(A683="","",IFERROR(AVERAGEIFS(DATOS!$K$2:$K$20000,DATOS!$A$2:$A$20000,A683,DATOS!$G$2:$G$20000,CONFIG_METADATA!$B$4,DATOS!$I$2:$I$20000,"&lt;&gt;Lenguaje Musical",DATOS!$I$2:$I$20000,"&lt;&gt;Coro",DATOS!$I$2:$I$20000,"&lt;&gt;Conjunto"),""))</f>
        <v/>
      </c>
      <c r="H683" t="str">
        <f>IF(G683="","",IFERROR(AVERAGEIFS(DATOS!$K$2:$K$20000,DATOS!$A$2:$A$20000,G683,DATOS!$G$2:$G$20000,CONFIG_METADATA!$B$4,DATOS!$I$2:$I$20000,"Lenguaje Musical"),""))</f>
        <v/>
      </c>
      <c r="I683" t="str">
        <f>IF(G683="","",IFERROR(AVERAGEIFS(DATOS!$K$2:$K$20000,DATOS!$A$2:$A$20000,G683,DATOS!$G$2:$G$20000,CONFIG_METADATA!$B$4,DATOS!$I$2:$I$20000,"Coro"),""))</f>
        <v/>
      </c>
      <c r="J683" t="str">
        <f>IF(G683="","",IFERROR(AVERAGEIFS(DATOS!$K$2:$K$20000,DATOS!$A$2:$A$20000,G683,DATOS!$G$2:$G$20000,CONFIG_METADATA!$B$4,DATOS!$I$2:$I$20000,"Conjunto"),""))</f>
        <v/>
      </c>
      <c r="K683" t="str" cm="1">
        <f t="array" ref="K683">IF(G683="","",IFERROR(AVERAGE(IF((DATOS!$A$2:$A$20000=G683)*(DATOS!$G$2:$G$20000=CONFIG_METADATA!$B$4)*(DATOS!$I$2:$I$20000&lt;&gt;"Lenguaje Musical")*(DATOS!$I$2:$I$20000&lt;&gt;"Coro")*(DATOS!$I$2:$I$20000&lt;&gt;"Conjunto"),DATOS!$K$2:$K$20000)),""))</f>
        <v/>
      </c>
      <c r="N683" t="str">
        <f>IF(M683="","",IFERROR(AVERAGEIFS(DATOS!$K$2:$K$20000,DATOS!$A$2:$A$20000,M683,DATOS!$G$2:$G$20000,CONFIG_METADATA!$B$4,DATOS!$I$2:$I$20000,"Lenguaje Musical"),""))</f>
        <v/>
      </c>
      <c r="O683" t="str">
        <f>IF(M683="","",IFERROR(AVERAGEIFS(DATOS!$K$2:$K$20000,DATOS!$A$2:$A$20000,M683,DATOS!$G$2:$G$20000,CONFIG_METADATA!$B$4,DATOS!$I$2:$I$20000,"Coro"),""))</f>
        <v/>
      </c>
      <c r="P683" t="str">
        <f>IF(M683="","",IFERROR(AVERAGEIFS(DATOS!$K$2:$K$20000,DATOS!$A$2:$A$20000,M683,DATOS!$G$2:$G$20000,CONFIG_METADATA!$B$4,DATOS!$I$2:$I$20000,"Conjunto"),""))</f>
        <v/>
      </c>
      <c r="Q683" t="str">
        <f>IF(M683="","",IFERROR(AVERAGEIFS(DATOS!$K$2:$K$20000,DATOS!$A$2:$A$20000,M683,DATOS!$G$2:$G$20000,CONFIG_METADATA!$B$4,DATOS!$I$2:$I$20000,"&lt;&gt;Lenguaje Musical",DATOS!$I$2:$I$20000,"&lt;&gt;Coro",DATOS!$I$2:$I$20000,"&lt;&gt;Conjunto"),""))</f>
        <v/>
      </c>
      <c r="T683" t="str">
        <f>IF(S683="","",IFERROR(AVERAGEIFS(DATOS!$K$2:$K$20000,DATOS!$A$2:$A$20000,S683,DATOS!$G$2:$G$20000,CONFIG_METADATA!$B$4,DATOS!$I$2:$I$20000,"Lenguaje Musical"),""))</f>
        <v/>
      </c>
      <c r="U683" t="str">
        <f>IF(S683="","",IFERROR(AVERAGEIFS(DATOS!$K$2:$K$20000,DATOS!$A$2:$A$20000,S683,DATOS!$G$2:$G$20000,CONFIG_METADATA!$B$4,DATOS!$I$2:$I$20000,"Coro"),""))</f>
        <v/>
      </c>
      <c r="V683" t="str">
        <f>IF(S683="","",IFERROR(AVERAGEIFS(DATOS!$K$2:$K$20000,DATOS!$A$2:$A$20000,S683,DATOS!$G$2:$G$20000,CONFIG_METADATA!$B$4,DATOS!$I$2:$I$20000,"Conjunto"),""))</f>
        <v/>
      </c>
      <c r="W683" t="str" cm="1">
        <f t="array" ref="W683">IF(S683="","",IFERROR(AVERAGE(IF((DATOS!$A$2:$A$20000=S683)*(DATOS!$G$2:$G$20000=CONFIG_METADATA!$B$4)*(DATOS!$I$2:$I$20000&lt;&gt;"Lenguaje Musical")*(DATOS!$I$2:$I$20000&lt;&gt;"Coro")*(DATOS!$I$2:$I$20000&lt;&gt;"Conjunto"),DATOS!$K$2:$K$20000)),""))</f>
        <v/>
      </c>
    </row>
    <row r="684" spans="2:23" x14ac:dyDescent="0.2">
      <c r="B684" t="str">
        <f>IF(A684="","",IFERROR(AVERAGEIFS(DATOS!$K$2:$K$20000,DATOS!$A$2:$A$20000,A684,DATOS!$G$2:$G$20000,CONFIG_METADATA!$B$4,DATOS!$I$2:$I$20000,"Lenguaje Musical"),""))</f>
        <v/>
      </c>
      <c r="C684" t="str">
        <f>IF(A684="","",IFERROR(AVERAGEIFS(DATOS!$K$2:$K$20000,DATOS!$A$2:$A$20000,A684,DATOS!$G$2:$G$20000,CONFIG_METADATA!$B$4,DATOS!$I$2:$I$20000,"Coro"),""))</f>
        <v/>
      </c>
      <c r="D684" t="str">
        <f>IF(A684="","",IFERROR(AVERAGEIFS(DATOS!$K$2:$K$20000,DATOS!$A$2:$A$20000,A684,DATOS!$G$2:$G$20000,CONFIG_METADATA!$B$4,DATOS!$I$2:$I$20000,"Conjunto"),""))</f>
        <v/>
      </c>
      <c r="E684" t="str">
        <f>IF(A684="","",IFERROR(AVERAGEIFS(DATOS!$K$2:$K$20000,DATOS!$A$2:$A$20000,A684,DATOS!$G$2:$G$20000,CONFIG_METADATA!$B$4,DATOS!$I$2:$I$20000,"&lt;&gt;Lenguaje Musical",DATOS!$I$2:$I$20000,"&lt;&gt;Coro",DATOS!$I$2:$I$20000,"&lt;&gt;Conjunto"),""))</f>
        <v/>
      </c>
      <c r="H684" t="str">
        <f>IF(G684="","",IFERROR(AVERAGEIFS(DATOS!$K$2:$K$20000,DATOS!$A$2:$A$20000,G684,DATOS!$G$2:$G$20000,CONFIG_METADATA!$B$4,DATOS!$I$2:$I$20000,"Lenguaje Musical"),""))</f>
        <v/>
      </c>
      <c r="I684" t="str">
        <f>IF(G684="","",IFERROR(AVERAGEIFS(DATOS!$K$2:$K$20000,DATOS!$A$2:$A$20000,G684,DATOS!$G$2:$G$20000,CONFIG_METADATA!$B$4,DATOS!$I$2:$I$20000,"Coro"),""))</f>
        <v/>
      </c>
      <c r="J684" t="str">
        <f>IF(G684="","",IFERROR(AVERAGEIFS(DATOS!$K$2:$K$20000,DATOS!$A$2:$A$20000,G684,DATOS!$G$2:$G$20000,CONFIG_METADATA!$B$4,DATOS!$I$2:$I$20000,"Conjunto"),""))</f>
        <v/>
      </c>
      <c r="K684" t="str" cm="1">
        <f t="array" ref="K684">IF(G684="","",IFERROR(AVERAGE(IF((DATOS!$A$2:$A$20000=G684)*(DATOS!$G$2:$G$20000=CONFIG_METADATA!$B$4)*(DATOS!$I$2:$I$20000&lt;&gt;"Lenguaje Musical")*(DATOS!$I$2:$I$20000&lt;&gt;"Coro")*(DATOS!$I$2:$I$20000&lt;&gt;"Conjunto"),DATOS!$K$2:$K$20000)),""))</f>
        <v/>
      </c>
      <c r="N684" t="str">
        <f>IF(M684="","",IFERROR(AVERAGEIFS(DATOS!$K$2:$K$20000,DATOS!$A$2:$A$20000,M684,DATOS!$G$2:$G$20000,CONFIG_METADATA!$B$4,DATOS!$I$2:$I$20000,"Lenguaje Musical"),""))</f>
        <v/>
      </c>
      <c r="O684" t="str">
        <f>IF(M684="","",IFERROR(AVERAGEIFS(DATOS!$K$2:$K$20000,DATOS!$A$2:$A$20000,M684,DATOS!$G$2:$G$20000,CONFIG_METADATA!$B$4,DATOS!$I$2:$I$20000,"Coro"),""))</f>
        <v/>
      </c>
      <c r="P684" t="str">
        <f>IF(M684="","",IFERROR(AVERAGEIFS(DATOS!$K$2:$K$20000,DATOS!$A$2:$A$20000,M684,DATOS!$G$2:$G$20000,CONFIG_METADATA!$B$4,DATOS!$I$2:$I$20000,"Conjunto"),""))</f>
        <v/>
      </c>
      <c r="Q684" t="str">
        <f>IF(M684="","",IFERROR(AVERAGEIFS(DATOS!$K$2:$K$20000,DATOS!$A$2:$A$20000,M684,DATOS!$G$2:$G$20000,CONFIG_METADATA!$B$4,DATOS!$I$2:$I$20000,"&lt;&gt;Lenguaje Musical",DATOS!$I$2:$I$20000,"&lt;&gt;Coro",DATOS!$I$2:$I$20000,"&lt;&gt;Conjunto"),""))</f>
        <v/>
      </c>
      <c r="T684" t="str">
        <f>IF(S684="","",IFERROR(AVERAGEIFS(DATOS!$K$2:$K$20000,DATOS!$A$2:$A$20000,S684,DATOS!$G$2:$G$20000,CONFIG_METADATA!$B$4,DATOS!$I$2:$I$20000,"Lenguaje Musical"),""))</f>
        <v/>
      </c>
      <c r="U684" t="str">
        <f>IF(S684="","",IFERROR(AVERAGEIFS(DATOS!$K$2:$K$20000,DATOS!$A$2:$A$20000,S684,DATOS!$G$2:$G$20000,CONFIG_METADATA!$B$4,DATOS!$I$2:$I$20000,"Coro"),""))</f>
        <v/>
      </c>
      <c r="V684" t="str">
        <f>IF(S684="","",IFERROR(AVERAGEIFS(DATOS!$K$2:$K$20000,DATOS!$A$2:$A$20000,S684,DATOS!$G$2:$G$20000,CONFIG_METADATA!$B$4,DATOS!$I$2:$I$20000,"Conjunto"),""))</f>
        <v/>
      </c>
      <c r="W684" t="str" cm="1">
        <f t="array" ref="W684">IF(S684="","",IFERROR(AVERAGE(IF((DATOS!$A$2:$A$20000=S684)*(DATOS!$G$2:$G$20000=CONFIG_METADATA!$B$4)*(DATOS!$I$2:$I$20000&lt;&gt;"Lenguaje Musical")*(DATOS!$I$2:$I$20000&lt;&gt;"Coro")*(DATOS!$I$2:$I$20000&lt;&gt;"Conjunto"),DATOS!$K$2:$K$20000)),""))</f>
        <v/>
      </c>
    </row>
    <row r="685" spans="2:23" x14ac:dyDescent="0.2">
      <c r="B685" t="str">
        <f>IF(A685="","",IFERROR(AVERAGEIFS(DATOS!$K$2:$K$20000,DATOS!$A$2:$A$20000,A685,DATOS!$G$2:$G$20000,CONFIG_METADATA!$B$4,DATOS!$I$2:$I$20000,"Lenguaje Musical"),""))</f>
        <v/>
      </c>
      <c r="C685" t="str">
        <f>IF(A685="","",IFERROR(AVERAGEIFS(DATOS!$K$2:$K$20000,DATOS!$A$2:$A$20000,A685,DATOS!$G$2:$G$20000,CONFIG_METADATA!$B$4,DATOS!$I$2:$I$20000,"Coro"),""))</f>
        <v/>
      </c>
      <c r="D685" t="str">
        <f>IF(A685="","",IFERROR(AVERAGEIFS(DATOS!$K$2:$K$20000,DATOS!$A$2:$A$20000,A685,DATOS!$G$2:$G$20000,CONFIG_METADATA!$B$4,DATOS!$I$2:$I$20000,"Conjunto"),""))</f>
        <v/>
      </c>
      <c r="E685" t="str">
        <f>IF(A685="","",IFERROR(AVERAGEIFS(DATOS!$K$2:$K$20000,DATOS!$A$2:$A$20000,A685,DATOS!$G$2:$G$20000,CONFIG_METADATA!$B$4,DATOS!$I$2:$I$20000,"&lt;&gt;Lenguaje Musical",DATOS!$I$2:$I$20000,"&lt;&gt;Coro",DATOS!$I$2:$I$20000,"&lt;&gt;Conjunto"),""))</f>
        <v/>
      </c>
      <c r="H685" t="str">
        <f>IF(G685="","",IFERROR(AVERAGEIFS(DATOS!$K$2:$K$20000,DATOS!$A$2:$A$20000,G685,DATOS!$G$2:$G$20000,CONFIG_METADATA!$B$4,DATOS!$I$2:$I$20000,"Lenguaje Musical"),""))</f>
        <v/>
      </c>
      <c r="I685" t="str">
        <f>IF(G685="","",IFERROR(AVERAGEIFS(DATOS!$K$2:$K$20000,DATOS!$A$2:$A$20000,G685,DATOS!$G$2:$G$20000,CONFIG_METADATA!$B$4,DATOS!$I$2:$I$20000,"Coro"),""))</f>
        <v/>
      </c>
      <c r="J685" t="str">
        <f>IF(G685="","",IFERROR(AVERAGEIFS(DATOS!$K$2:$K$20000,DATOS!$A$2:$A$20000,G685,DATOS!$G$2:$G$20000,CONFIG_METADATA!$B$4,DATOS!$I$2:$I$20000,"Conjunto"),""))</f>
        <v/>
      </c>
      <c r="K685" t="str" cm="1">
        <f t="array" ref="K685">IF(G685="","",IFERROR(AVERAGE(IF((DATOS!$A$2:$A$20000=G685)*(DATOS!$G$2:$G$20000=CONFIG_METADATA!$B$4)*(DATOS!$I$2:$I$20000&lt;&gt;"Lenguaje Musical")*(DATOS!$I$2:$I$20000&lt;&gt;"Coro")*(DATOS!$I$2:$I$20000&lt;&gt;"Conjunto"),DATOS!$K$2:$K$20000)),""))</f>
        <v/>
      </c>
      <c r="N685" t="str">
        <f>IF(M685="","",IFERROR(AVERAGEIFS(DATOS!$K$2:$K$20000,DATOS!$A$2:$A$20000,M685,DATOS!$G$2:$G$20000,CONFIG_METADATA!$B$4,DATOS!$I$2:$I$20000,"Lenguaje Musical"),""))</f>
        <v/>
      </c>
      <c r="O685" t="str">
        <f>IF(M685="","",IFERROR(AVERAGEIFS(DATOS!$K$2:$K$20000,DATOS!$A$2:$A$20000,M685,DATOS!$G$2:$G$20000,CONFIG_METADATA!$B$4,DATOS!$I$2:$I$20000,"Coro"),""))</f>
        <v/>
      </c>
      <c r="P685" t="str">
        <f>IF(M685="","",IFERROR(AVERAGEIFS(DATOS!$K$2:$K$20000,DATOS!$A$2:$A$20000,M685,DATOS!$G$2:$G$20000,CONFIG_METADATA!$B$4,DATOS!$I$2:$I$20000,"Conjunto"),""))</f>
        <v/>
      </c>
      <c r="Q685" t="str">
        <f>IF(M685="","",IFERROR(AVERAGEIFS(DATOS!$K$2:$K$20000,DATOS!$A$2:$A$20000,M685,DATOS!$G$2:$G$20000,CONFIG_METADATA!$B$4,DATOS!$I$2:$I$20000,"&lt;&gt;Lenguaje Musical",DATOS!$I$2:$I$20000,"&lt;&gt;Coro",DATOS!$I$2:$I$20000,"&lt;&gt;Conjunto"),""))</f>
        <v/>
      </c>
      <c r="T685" t="str">
        <f>IF(S685="","",IFERROR(AVERAGEIFS(DATOS!$K$2:$K$20000,DATOS!$A$2:$A$20000,S685,DATOS!$G$2:$G$20000,CONFIG_METADATA!$B$4,DATOS!$I$2:$I$20000,"Lenguaje Musical"),""))</f>
        <v/>
      </c>
      <c r="U685" t="str">
        <f>IF(S685="","",IFERROR(AVERAGEIFS(DATOS!$K$2:$K$20000,DATOS!$A$2:$A$20000,S685,DATOS!$G$2:$G$20000,CONFIG_METADATA!$B$4,DATOS!$I$2:$I$20000,"Coro"),""))</f>
        <v/>
      </c>
      <c r="V685" t="str">
        <f>IF(S685="","",IFERROR(AVERAGEIFS(DATOS!$K$2:$K$20000,DATOS!$A$2:$A$20000,S685,DATOS!$G$2:$G$20000,CONFIG_METADATA!$B$4,DATOS!$I$2:$I$20000,"Conjunto"),""))</f>
        <v/>
      </c>
      <c r="W685" t="str" cm="1">
        <f t="array" ref="W685">IF(S685="","",IFERROR(AVERAGE(IF((DATOS!$A$2:$A$20000=S685)*(DATOS!$G$2:$G$20000=CONFIG_METADATA!$B$4)*(DATOS!$I$2:$I$20000&lt;&gt;"Lenguaje Musical")*(DATOS!$I$2:$I$20000&lt;&gt;"Coro")*(DATOS!$I$2:$I$20000&lt;&gt;"Conjunto"),DATOS!$K$2:$K$20000)),""))</f>
        <v/>
      </c>
    </row>
    <row r="686" spans="2:23" x14ac:dyDescent="0.2">
      <c r="B686" t="str">
        <f>IF(A686="","",IFERROR(AVERAGEIFS(DATOS!$K$2:$K$20000,DATOS!$A$2:$A$20000,A686,DATOS!$G$2:$G$20000,CONFIG_METADATA!$B$4,DATOS!$I$2:$I$20000,"Lenguaje Musical"),""))</f>
        <v/>
      </c>
      <c r="C686" t="str">
        <f>IF(A686="","",IFERROR(AVERAGEIFS(DATOS!$K$2:$K$20000,DATOS!$A$2:$A$20000,A686,DATOS!$G$2:$G$20000,CONFIG_METADATA!$B$4,DATOS!$I$2:$I$20000,"Coro"),""))</f>
        <v/>
      </c>
      <c r="D686" t="str">
        <f>IF(A686="","",IFERROR(AVERAGEIFS(DATOS!$K$2:$K$20000,DATOS!$A$2:$A$20000,A686,DATOS!$G$2:$G$20000,CONFIG_METADATA!$B$4,DATOS!$I$2:$I$20000,"Conjunto"),""))</f>
        <v/>
      </c>
      <c r="E686" t="str">
        <f>IF(A686="","",IFERROR(AVERAGEIFS(DATOS!$K$2:$K$20000,DATOS!$A$2:$A$20000,A686,DATOS!$G$2:$G$20000,CONFIG_METADATA!$B$4,DATOS!$I$2:$I$20000,"&lt;&gt;Lenguaje Musical",DATOS!$I$2:$I$20000,"&lt;&gt;Coro",DATOS!$I$2:$I$20000,"&lt;&gt;Conjunto"),""))</f>
        <v/>
      </c>
      <c r="H686" t="str">
        <f>IF(G686="","",IFERROR(AVERAGEIFS(DATOS!$K$2:$K$20000,DATOS!$A$2:$A$20000,G686,DATOS!$G$2:$G$20000,CONFIG_METADATA!$B$4,DATOS!$I$2:$I$20000,"Lenguaje Musical"),""))</f>
        <v/>
      </c>
      <c r="I686" t="str">
        <f>IF(G686="","",IFERROR(AVERAGEIFS(DATOS!$K$2:$K$20000,DATOS!$A$2:$A$20000,G686,DATOS!$G$2:$G$20000,CONFIG_METADATA!$B$4,DATOS!$I$2:$I$20000,"Coro"),""))</f>
        <v/>
      </c>
      <c r="J686" t="str">
        <f>IF(G686="","",IFERROR(AVERAGEIFS(DATOS!$K$2:$K$20000,DATOS!$A$2:$A$20000,G686,DATOS!$G$2:$G$20000,CONFIG_METADATA!$B$4,DATOS!$I$2:$I$20000,"Conjunto"),""))</f>
        <v/>
      </c>
      <c r="K686" t="str" cm="1">
        <f t="array" ref="K686">IF(G686="","",IFERROR(AVERAGE(IF((DATOS!$A$2:$A$20000=G686)*(DATOS!$G$2:$G$20000=CONFIG_METADATA!$B$4)*(DATOS!$I$2:$I$20000&lt;&gt;"Lenguaje Musical")*(DATOS!$I$2:$I$20000&lt;&gt;"Coro")*(DATOS!$I$2:$I$20000&lt;&gt;"Conjunto"),DATOS!$K$2:$K$20000)),""))</f>
        <v/>
      </c>
      <c r="N686" t="str">
        <f>IF(M686="","",IFERROR(AVERAGEIFS(DATOS!$K$2:$K$20000,DATOS!$A$2:$A$20000,M686,DATOS!$G$2:$G$20000,CONFIG_METADATA!$B$4,DATOS!$I$2:$I$20000,"Lenguaje Musical"),""))</f>
        <v/>
      </c>
      <c r="O686" t="str">
        <f>IF(M686="","",IFERROR(AVERAGEIFS(DATOS!$K$2:$K$20000,DATOS!$A$2:$A$20000,M686,DATOS!$G$2:$G$20000,CONFIG_METADATA!$B$4,DATOS!$I$2:$I$20000,"Coro"),""))</f>
        <v/>
      </c>
      <c r="P686" t="str">
        <f>IF(M686="","",IFERROR(AVERAGEIFS(DATOS!$K$2:$K$20000,DATOS!$A$2:$A$20000,M686,DATOS!$G$2:$G$20000,CONFIG_METADATA!$B$4,DATOS!$I$2:$I$20000,"Conjunto"),""))</f>
        <v/>
      </c>
      <c r="Q686" t="str">
        <f>IF(M686="","",IFERROR(AVERAGEIFS(DATOS!$K$2:$K$20000,DATOS!$A$2:$A$20000,M686,DATOS!$G$2:$G$20000,CONFIG_METADATA!$B$4,DATOS!$I$2:$I$20000,"&lt;&gt;Lenguaje Musical",DATOS!$I$2:$I$20000,"&lt;&gt;Coro",DATOS!$I$2:$I$20000,"&lt;&gt;Conjunto"),""))</f>
        <v/>
      </c>
      <c r="T686" t="str">
        <f>IF(S686="","",IFERROR(AVERAGEIFS(DATOS!$K$2:$K$20000,DATOS!$A$2:$A$20000,S686,DATOS!$G$2:$G$20000,CONFIG_METADATA!$B$4,DATOS!$I$2:$I$20000,"Lenguaje Musical"),""))</f>
        <v/>
      </c>
      <c r="U686" t="str">
        <f>IF(S686="","",IFERROR(AVERAGEIFS(DATOS!$K$2:$K$20000,DATOS!$A$2:$A$20000,S686,DATOS!$G$2:$G$20000,CONFIG_METADATA!$B$4,DATOS!$I$2:$I$20000,"Coro"),""))</f>
        <v/>
      </c>
      <c r="V686" t="str">
        <f>IF(S686="","",IFERROR(AVERAGEIFS(DATOS!$K$2:$K$20000,DATOS!$A$2:$A$20000,S686,DATOS!$G$2:$G$20000,CONFIG_METADATA!$B$4,DATOS!$I$2:$I$20000,"Conjunto"),""))</f>
        <v/>
      </c>
      <c r="W686" t="str" cm="1">
        <f t="array" ref="W686">IF(S686="","",IFERROR(AVERAGE(IF((DATOS!$A$2:$A$20000=S686)*(DATOS!$G$2:$G$20000=CONFIG_METADATA!$B$4)*(DATOS!$I$2:$I$20000&lt;&gt;"Lenguaje Musical")*(DATOS!$I$2:$I$20000&lt;&gt;"Coro")*(DATOS!$I$2:$I$20000&lt;&gt;"Conjunto"),DATOS!$K$2:$K$20000)),""))</f>
        <v/>
      </c>
    </row>
    <row r="687" spans="2:23" x14ac:dyDescent="0.2">
      <c r="B687" t="str">
        <f>IF(A687="","",IFERROR(AVERAGEIFS(DATOS!$K$2:$K$20000,DATOS!$A$2:$A$20000,A687,DATOS!$G$2:$G$20000,CONFIG_METADATA!$B$4,DATOS!$I$2:$I$20000,"Lenguaje Musical"),""))</f>
        <v/>
      </c>
      <c r="C687" t="str">
        <f>IF(A687="","",IFERROR(AVERAGEIFS(DATOS!$K$2:$K$20000,DATOS!$A$2:$A$20000,A687,DATOS!$G$2:$G$20000,CONFIG_METADATA!$B$4,DATOS!$I$2:$I$20000,"Coro"),""))</f>
        <v/>
      </c>
      <c r="D687" t="str">
        <f>IF(A687="","",IFERROR(AVERAGEIFS(DATOS!$K$2:$K$20000,DATOS!$A$2:$A$20000,A687,DATOS!$G$2:$G$20000,CONFIG_METADATA!$B$4,DATOS!$I$2:$I$20000,"Conjunto"),""))</f>
        <v/>
      </c>
      <c r="E687" t="str">
        <f>IF(A687="","",IFERROR(AVERAGEIFS(DATOS!$K$2:$K$20000,DATOS!$A$2:$A$20000,A687,DATOS!$G$2:$G$20000,CONFIG_METADATA!$B$4,DATOS!$I$2:$I$20000,"&lt;&gt;Lenguaje Musical",DATOS!$I$2:$I$20000,"&lt;&gt;Coro",DATOS!$I$2:$I$20000,"&lt;&gt;Conjunto"),""))</f>
        <v/>
      </c>
      <c r="H687" t="str">
        <f>IF(G687="","",IFERROR(AVERAGEIFS(DATOS!$K$2:$K$20000,DATOS!$A$2:$A$20000,G687,DATOS!$G$2:$G$20000,CONFIG_METADATA!$B$4,DATOS!$I$2:$I$20000,"Lenguaje Musical"),""))</f>
        <v/>
      </c>
      <c r="I687" t="str">
        <f>IF(G687="","",IFERROR(AVERAGEIFS(DATOS!$K$2:$K$20000,DATOS!$A$2:$A$20000,G687,DATOS!$G$2:$G$20000,CONFIG_METADATA!$B$4,DATOS!$I$2:$I$20000,"Coro"),""))</f>
        <v/>
      </c>
      <c r="J687" t="str">
        <f>IF(G687="","",IFERROR(AVERAGEIFS(DATOS!$K$2:$K$20000,DATOS!$A$2:$A$20000,G687,DATOS!$G$2:$G$20000,CONFIG_METADATA!$B$4,DATOS!$I$2:$I$20000,"Conjunto"),""))</f>
        <v/>
      </c>
      <c r="K687" t="str" cm="1">
        <f t="array" ref="K687">IF(G687="","",IFERROR(AVERAGE(IF((DATOS!$A$2:$A$20000=G687)*(DATOS!$G$2:$G$20000=CONFIG_METADATA!$B$4)*(DATOS!$I$2:$I$20000&lt;&gt;"Lenguaje Musical")*(DATOS!$I$2:$I$20000&lt;&gt;"Coro")*(DATOS!$I$2:$I$20000&lt;&gt;"Conjunto"),DATOS!$K$2:$K$20000)),""))</f>
        <v/>
      </c>
      <c r="N687" t="str">
        <f>IF(M687="","",IFERROR(AVERAGEIFS(DATOS!$K$2:$K$20000,DATOS!$A$2:$A$20000,M687,DATOS!$G$2:$G$20000,CONFIG_METADATA!$B$4,DATOS!$I$2:$I$20000,"Lenguaje Musical"),""))</f>
        <v/>
      </c>
      <c r="O687" t="str">
        <f>IF(M687="","",IFERROR(AVERAGEIFS(DATOS!$K$2:$K$20000,DATOS!$A$2:$A$20000,M687,DATOS!$G$2:$G$20000,CONFIG_METADATA!$B$4,DATOS!$I$2:$I$20000,"Coro"),""))</f>
        <v/>
      </c>
      <c r="P687" t="str">
        <f>IF(M687="","",IFERROR(AVERAGEIFS(DATOS!$K$2:$K$20000,DATOS!$A$2:$A$20000,M687,DATOS!$G$2:$G$20000,CONFIG_METADATA!$B$4,DATOS!$I$2:$I$20000,"Conjunto"),""))</f>
        <v/>
      </c>
      <c r="Q687" t="str">
        <f>IF(M687="","",IFERROR(AVERAGEIFS(DATOS!$K$2:$K$20000,DATOS!$A$2:$A$20000,M687,DATOS!$G$2:$G$20000,CONFIG_METADATA!$B$4,DATOS!$I$2:$I$20000,"&lt;&gt;Lenguaje Musical",DATOS!$I$2:$I$20000,"&lt;&gt;Coro",DATOS!$I$2:$I$20000,"&lt;&gt;Conjunto"),""))</f>
        <v/>
      </c>
      <c r="T687" t="str">
        <f>IF(S687="","",IFERROR(AVERAGEIFS(DATOS!$K$2:$K$20000,DATOS!$A$2:$A$20000,S687,DATOS!$G$2:$G$20000,CONFIG_METADATA!$B$4,DATOS!$I$2:$I$20000,"Lenguaje Musical"),""))</f>
        <v/>
      </c>
      <c r="U687" t="str">
        <f>IF(S687="","",IFERROR(AVERAGEIFS(DATOS!$K$2:$K$20000,DATOS!$A$2:$A$20000,S687,DATOS!$G$2:$G$20000,CONFIG_METADATA!$B$4,DATOS!$I$2:$I$20000,"Coro"),""))</f>
        <v/>
      </c>
      <c r="V687" t="str">
        <f>IF(S687="","",IFERROR(AVERAGEIFS(DATOS!$K$2:$K$20000,DATOS!$A$2:$A$20000,S687,DATOS!$G$2:$G$20000,CONFIG_METADATA!$B$4,DATOS!$I$2:$I$20000,"Conjunto"),""))</f>
        <v/>
      </c>
      <c r="W687" t="str" cm="1">
        <f t="array" ref="W687">IF(S687="","",IFERROR(AVERAGE(IF((DATOS!$A$2:$A$20000=S687)*(DATOS!$G$2:$G$20000=CONFIG_METADATA!$B$4)*(DATOS!$I$2:$I$20000&lt;&gt;"Lenguaje Musical")*(DATOS!$I$2:$I$20000&lt;&gt;"Coro")*(DATOS!$I$2:$I$20000&lt;&gt;"Conjunto"),DATOS!$K$2:$K$20000)),""))</f>
        <v/>
      </c>
    </row>
    <row r="688" spans="2:23" x14ac:dyDescent="0.2">
      <c r="B688" t="str">
        <f>IF(A688="","",IFERROR(AVERAGEIFS(DATOS!$K$2:$K$20000,DATOS!$A$2:$A$20000,A688,DATOS!$G$2:$G$20000,CONFIG_METADATA!$B$4,DATOS!$I$2:$I$20000,"Lenguaje Musical"),""))</f>
        <v/>
      </c>
      <c r="C688" t="str">
        <f>IF(A688="","",IFERROR(AVERAGEIFS(DATOS!$K$2:$K$20000,DATOS!$A$2:$A$20000,A688,DATOS!$G$2:$G$20000,CONFIG_METADATA!$B$4,DATOS!$I$2:$I$20000,"Coro"),""))</f>
        <v/>
      </c>
      <c r="D688" t="str">
        <f>IF(A688="","",IFERROR(AVERAGEIFS(DATOS!$K$2:$K$20000,DATOS!$A$2:$A$20000,A688,DATOS!$G$2:$G$20000,CONFIG_METADATA!$B$4,DATOS!$I$2:$I$20000,"Conjunto"),""))</f>
        <v/>
      </c>
      <c r="E688" t="str">
        <f>IF(A688="","",IFERROR(AVERAGEIFS(DATOS!$K$2:$K$20000,DATOS!$A$2:$A$20000,A688,DATOS!$G$2:$G$20000,CONFIG_METADATA!$B$4,DATOS!$I$2:$I$20000,"&lt;&gt;Lenguaje Musical",DATOS!$I$2:$I$20000,"&lt;&gt;Coro",DATOS!$I$2:$I$20000,"&lt;&gt;Conjunto"),""))</f>
        <v/>
      </c>
      <c r="H688" t="str">
        <f>IF(G688="","",IFERROR(AVERAGEIFS(DATOS!$K$2:$K$20000,DATOS!$A$2:$A$20000,G688,DATOS!$G$2:$G$20000,CONFIG_METADATA!$B$4,DATOS!$I$2:$I$20000,"Lenguaje Musical"),""))</f>
        <v/>
      </c>
      <c r="I688" t="str">
        <f>IF(G688="","",IFERROR(AVERAGEIFS(DATOS!$K$2:$K$20000,DATOS!$A$2:$A$20000,G688,DATOS!$G$2:$G$20000,CONFIG_METADATA!$B$4,DATOS!$I$2:$I$20000,"Coro"),""))</f>
        <v/>
      </c>
      <c r="J688" t="str">
        <f>IF(G688="","",IFERROR(AVERAGEIFS(DATOS!$K$2:$K$20000,DATOS!$A$2:$A$20000,G688,DATOS!$G$2:$G$20000,CONFIG_METADATA!$B$4,DATOS!$I$2:$I$20000,"Conjunto"),""))</f>
        <v/>
      </c>
      <c r="K688" t="str" cm="1">
        <f t="array" ref="K688">IF(G688="","",IFERROR(AVERAGE(IF((DATOS!$A$2:$A$20000=G688)*(DATOS!$G$2:$G$20000=CONFIG_METADATA!$B$4)*(DATOS!$I$2:$I$20000&lt;&gt;"Lenguaje Musical")*(DATOS!$I$2:$I$20000&lt;&gt;"Coro")*(DATOS!$I$2:$I$20000&lt;&gt;"Conjunto"),DATOS!$K$2:$K$20000)),""))</f>
        <v/>
      </c>
      <c r="N688" t="str">
        <f>IF(M688="","",IFERROR(AVERAGEIFS(DATOS!$K$2:$K$20000,DATOS!$A$2:$A$20000,M688,DATOS!$G$2:$G$20000,CONFIG_METADATA!$B$4,DATOS!$I$2:$I$20000,"Lenguaje Musical"),""))</f>
        <v/>
      </c>
      <c r="O688" t="str">
        <f>IF(M688="","",IFERROR(AVERAGEIFS(DATOS!$K$2:$K$20000,DATOS!$A$2:$A$20000,M688,DATOS!$G$2:$G$20000,CONFIG_METADATA!$B$4,DATOS!$I$2:$I$20000,"Coro"),""))</f>
        <v/>
      </c>
      <c r="P688" t="str">
        <f>IF(M688="","",IFERROR(AVERAGEIFS(DATOS!$K$2:$K$20000,DATOS!$A$2:$A$20000,M688,DATOS!$G$2:$G$20000,CONFIG_METADATA!$B$4,DATOS!$I$2:$I$20000,"Conjunto"),""))</f>
        <v/>
      </c>
      <c r="Q688" t="str">
        <f>IF(M688="","",IFERROR(AVERAGEIFS(DATOS!$K$2:$K$20000,DATOS!$A$2:$A$20000,M688,DATOS!$G$2:$G$20000,CONFIG_METADATA!$B$4,DATOS!$I$2:$I$20000,"&lt;&gt;Lenguaje Musical",DATOS!$I$2:$I$20000,"&lt;&gt;Coro",DATOS!$I$2:$I$20000,"&lt;&gt;Conjunto"),""))</f>
        <v/>
      </c>
      <c r="T688" t="str">
        <f>IF(S688="","",IFERROR(AVERAGEIFS(DATOS!$K$2:$K$20000,DATOS!$A$2:$A$20000,S688,DATOS!$G$2:$G$20000,CONFIG_METADATA!$B$4,DATOS!$I$2:$I$20000,"Lenguaje Musical"),""))</f>
        <v/>
      </c>
      <c r="U688" t="str">
        <f>IF(S688="","",IFERROR(AVERAGEIFS(DATOS!$K$2:$K$20000,DATOS!$A$2:$A$20000,S688,DATOS!$G$2:$G$20000,CONFIG_METADATA!$B$4,DATOS!$I$2:$I$20000,"Coro"),""))</f>
        <v/>
      </c>
      <c r="V688" t="str">
        <f>IF(S688="","",IFERROR(AVERAGEIFS(DATOS!$K$2:$K$20000,DATOS!$A$2:$A$20000,S688,DATOS!$G$2:$G$20000,CONFIG_METADATA!$B$4,DATOS!$I$2:$I$20000,"Conjunto"),""))</f>
        <v/>
      </c>
      <c r="W688" t="str" cm="1">
        <f t="array" ref="W688">IF(S688="","",IFERROR(AVERAGE(IF((DATOS!$A$2:$A$20000=S688)*(DATOS!$G$2:$G$20000=CONFIG_METADATA!$B$4)*(DATOS!$I$2:$I$20000&lt;&gt;"Lenguaje Musical")*(DATOS!$I$2:$I$20000&lt;&gt;"Coro")*(DATOS!$I$2:$I$20000&lt;&gt;"Conjunto"),DATOS!$K$2:$K$20000)),""))</f>
        <v/>
      </c>
    </row>
    <row r="689" spans="2:23" x14ac:dyDescent="0.2">
      <c r="B689" t="str">
        <f>IF(A689="","",IFERROR(AVERAGEIFS(DATOS!$K$2:$K$20000,DATOS!$A$2:$A$20000,A689,DATOS!$G$2:$G$20000,CONFIG_METADATA!$B$4,DATOS!$I$2:$I$20000,"Lenguaje Musical"),""))</f>
        <v/>
      </c>
      <c r="C689" t="str">
        <f>IF(A689="","",IFERROR(AVERAGEIFS(DATOS!$K$2:$K$20000,DATOS!$A$2:$A$20000,A689,DATOS!$G$2:$G$20000,CONFIG_METADATA!$B$4,DATOS!$I$2:$I$20000,"Coro"),""))</f>
        <v/>
      </c>
      <c r="D689" t="str">
        <f>IF(A689="","",IFERROR(AVERAGEIFS(DATOS!$K$2:$K$20000,DATOS!$A$2:$A$20000,A689,DATOS!$G$2:$G$20000,CONFIG_METADATA!$B$4,DATOS!$I$2:$I$20000,"Conjunto"),""))</f>
        <v/>
      </c>
      <c r="E689" t="str">
        <f>IF(A689="","",IFERROR(AVERAGEIFS(DATOS!$K$2:$K$20000,DATOS!$A$2:$A$20000,A689,DATOS!$G$2:$G$20000,CONFIG_METADATA!$B$4,DATOS!$I$2:$I$20000,"&lt;&gt;Lenguaje Musical",DATOS!$I$2:$I$20000,"&lt;&gt;Coro",DATOS!$I$2:$I$20000,"&lt;&gt;Conjunto"),""))</f>
        <v/>
      </c>
      <c r="H689" t="str">
        <f>IF(G689="","",IFERROR(AVERAGEIFS(DATOS!$K$2:$K$20000,DATOS!$A$2:$A$20000,G689,DATOS!$G$2:$G$20000,CONFIG_METADATA!$B$4,DATOS!$I$2:$I$20000,"Lenguaje Musical"),""))</f>
        <v/>
      </c>
      <c r="I689" t="str">
        <f>IF(G689="","",IFERROR(AVERAGEIFS(DATOS!$K$2:$K$20000,DATOS!$A$2:$A$20000,G689,DATOS!$G$2:$G$20000,CONFIG_METADATA!$B$4,DATOS!$I$2:$I$20000,"Coro"),""))</f>
        <v/>
      </c>
      <c r="J689" t="str">
        <f>IF(G689="","",IFERROR(AVERAGEIFS(DATOS!$K$2:$K$20000,DATOS!$A$2:$A$20000,G689,DATOS!$G$2:$G$20000,CONFIG_METADATA!$B$4,DATOS!$I$2:$I$20000,"Conjunto"),""))</f>
        <v/>
      </c>
      <c r="K689" t="str" cm="1">
        <f t="array" ref="K689">IF(G689="","",IFERROR(AVERAGE(IF((DATOS!$A$2:$A$20000=G689)*(DATOS!$G$2:$G$20000=CONFIG_METADATA!$B$4)*(DATOS!$I$2:$I$20000&lt;&gt;"Lenguaje Musical")*(DATOS!$I$2:$I$20000&lt;&gt;"Coro")*(DATOS!$I$2:$I$20000&lt;&gt;"Conjunto"),DATOS!$K$2:$K$20000)),""))</f>
        <v/>
      </c>
      <c r="N689" t="str">
        <f>IF(M689="","",IFERROR(AVERAGEIFS(DATOS!$K$2:$K$20000,DATOS!$A$2:$A$20000,M689,DATOS!$G$2:$G$20000,CONFIG_METADATA!$B$4,DATOS!$I$2:$I$20000,"Lenguaje Musical"),""))</f>
        <v/>
      </c>
      <c r="O689" t="str">
        <f>IF(M689="","",IFERROR(AVERAGEIFS(DATOS!$K$2:$K$20000,DATOS!$A$2:$A$20000,M689,DATOS!$G$2:$G$20000,CONFIG_METADATA!$B$4,DATOS!$I$2:$I$20000,"Coro"),""))</f>
        <v/>
      </c>
      <c r="P689" t="str">
        <f>IF(M689="","",IFERROR(AVERAGEIFS(DATOS!$K$2:$K$20000,DATOS!$A$2:$A$20000,M689,DATOS!$G$2:$G$20000,CONFIG_METADATA!$B$4,DATOS!$I$2:$I$20000,"Conjunto"),""))</f>
        <v/>
      </c>
      <c r="Q689" t="str">
        <f>IF(M689="","",IFERROR(AVERAGEIFS(DATOS!$K$2:$K$20000,DATOS!$A$2:$A$20000,M689,DATOS!$G$2:$G$20000,CONFIG_METADATA!$B$4,DATOS!$I$2:$I$20000,"&lt;&gt;Lenguaje Musical",DATOS!$I$2:$I$20000,"&lt;&gt;Coro",DATOS!$I$2:$I$20000,"&lt;&gt;Conjunto"),""))</f>
        <v/>
      </c>
      <c r="T689" t="str">
        <f>IF(S689="","",IFERROR(AVERAGEIFS(DATOS!$K$2:$K$20000,DATOS!$A$2:$A$20000,S689,DATOS!$G$2:$G$20000,CONFIG_METADATA!$B$4,DATOS!$I$2:$I$20000,"Lenguaje Musical"),""))</f>
        <v/>
      </c>
      <c r="U689" t="str">
        <f>IF(S689="","",IFERROR(AVERAGEIFS(DATOS!$K$2:$K$20000,DATOS!$A$2:$A$20000,S689,DATOS!$G$2:$G$20000,CONFIG_METADATA!$B$4,DATOS!$I$2:$I$20000,"Coro"),""))</f>
        <v/>
      </c>
      <c r="V689" t="str">
        <f>IF(S689="","",IFERROR(AVERAGEIFS(DATOS!$K$2:$K$20000,DATOS!$A$2:$A$20000,S689,DATOS!$G$2:$G$20000,CONFIG_METADATA!$B$4,DATOS!$I$2:$I$20000,"Conjunto"),""))</f>
        <v/>
      </c>
      <c r="W689" t="str" cm="1">
        <f t="array" ref="W689">IF(S689="","",IFERROR(AVERAGE(IF((DATOS!$A$2:$A$20000=S689)*(DATOS!$G$2:$G$20000=CONFIG_METADATA!$B$4)*(DATOS!$I$2:$I$20000&lt;&gt;"Lenguaje Musical")*(DATOS!$I$2:$I$20000&lt;&gt;"Coro")*(DATOS!$I$2:$I$20000&lt;&gt;"Conjunto"),DATOS!$K$2:$K$20000)),""))</f>
        <v/>
      </c>
    </row>
    <row r="690" spans="2:23" x14ac:dyDescent="0.2">
      <c r="B690" t="str">
        <f>IF(A690="","",IFERROR(AVERAGEIFS(DATOS!$K$2:$K$20000,DATOS!$A$2:$A$20000,A690,DATOS!$G$2:$G$20000,CONFIG_METADATA!$B$4,DATOS!$I$2:$I$20000,"Lenguaje Musical"),""))</f>
        <v/>
      </c>
      <c r="C690" t="str">
        <f>IF(A690="","",IFERROR(AVERAGEIFS(DATOS!$K$2:$K$20000,DATOS!$A$2:$A$20000,A690,DATOS!$G$2:$G$20000,CONFIG_METADATA!$B$4,DATOS!$I$2:$I$20000,"Coro"),""))</f>
        <v/>
      </c>
      <c r="D690" t="str">
        <f>IF(A690="","",IFERROR(AVERAGEIFS(DATOS!$K$2:$K$20000,DATOS!$A$2:$A$20000,A690,DATOS!$G$2:$G$20000,CONFIG_METADATA!$B$4,DATOS!$I$2:$I$20000,"Conjunto"),""))</f>
        <v/>
      </c>
      <c r="E690" t="str">
        <f>IF(A690="","",IFERROR(AVERAGEIFS(DATOS!$K$2:$K$20000,DATOS!$A$2:$A$20000,A690,DATOS!$G$2:$G$20000,CONFIG_METADATA!$B$4,DATOS!$I$2:$I$20000,"&lt;&gt;Lenguaje Musical",DATOS!$I$2:$I$20000,"&lt;&gt;Coro",DATOS!$I$2:$I$20000,"&lt;&gt;Conjunto"),""))</f>
        <v/>
      </c>
      <c r="H690" t="str">
        <f>IF(G690="","",IFERROR(AVERAGEIFS(DATOS!$K$2:$K$20000,DATOS!$A$2:$A$20000,G690,DATOS!$G$2:$G$20000,CONFIG_METADATA!$B$4,DATOS!$I$2:$I$20000,"Lenguaje Musical"),""))</f>
        <v/>
      </c>
      <c r="I690" t="str">
        <f>IF(G690="","",IFERROR(AVERAGEIFS(DATOS!$K$2:$K$20000,DATOS!$A$2:$A$20000,G690,DATOS!$G$2:$G$20000,CONFIG_METADATA!$B$4,DATOS!$I$2:$I$20000,"Coro"),""))</f>
        <v/>
      </c>
      <c r="J690" t="str">
        <f>IF(G690="","",IFERROR(AVERAGEIFS(DATOS!$K$2:$K$20000,DATOS!$A$2:$A$20000,G690,DATOS!$G$2:$G$20000,CONFIG_METADATA!$B$4,DATOS!$I$2:$I$20000,"Conjunto"),""))</f>
        <v/>
      </c>
      <c r="K690" t="str" cm="1">
        <f t="array" ref="K690">IF(G690="","",IFERROR(AVERAGE(IF((DATOS!$A$2:$A$20000=G690)*(DATOS!$G$2:$G$20000=CONFIG_METADATA!$B$4)*(DATOS!$I$2:$I$20000&lt;&gt;"Lenguaje Musical")*(DATOS!$I$2:$I$20000&lt;&gt;"Coro")*(DATOS!$I$2:$I$20000&lt;&gt;"Conjunto"),DATOS!$K$2:$K$20000)),""))</f>
        <v/>
      </c>
      <c r="N690" t="str">
        <f>IF(M690="","",IFERROR(AVERAGEIFS(DATOS!$K$2:$K$20000,DATOS!$A$2:$A$20000,M690,DATOS!$G$2:$G$20000,CONFIG_METADATA!$B$4,DATOS!$I$2:$I$20000,"Lenguaje Musical"),""))</f>
        <v/>
      </c>
      <c r="O690" t="str">
        <f>IF(M690="","",IFERROR(AVERAGEIFS(DATOS!$K$2:$K$20000,DATOS!$A$2:$A$20000,M690,DATOS!$G$2:$G$20000,CONFIG_METADATA!$B$4,DATOS!$I$2:$I$20000,"Coro"),""))</f>
        <v/>
      </c>
      <c r="P690" t="str">
        <f>IF(M690="","",IFERROR(AVERAGEIFS(DATOS!$K$2:$K$20000,DATOS!$A$2:$A$20000,M690,DATOS!$G$2:$G$20000,CONFIG_METADATA!$B$4,DATOS!$I$2:$I$20000,"Conjunto"),""))</f>
        <v/>
      </c>
      <c r="Q690" t="str">
        <f>IF(M690="","",IFERROR(AVERAGEIFS(DATOS!$K$2:$K$20000,DATOS!$A$2:$A$20000,M690,DATOS!$G$2:$G$20000,CONFIG_METADATA!$B$4,DATOS!$I$2:$I$20000,"&lt;&gt;Lenguaje Musical",DATOS!$I$2:$I$20000,"&lt;&gt;Coro",DATOS!$I$2:$I$20000,"&lt;&gt;Conjunto"),""))</f>
        <v/>
      </c>
      <c r="T690" t="str">
        <f>IF(S690="","",IFERROR(AVERAGEIFS(DATOS!$K$2:$K$20000,DATOS!$A$2:$A$20000,S690,DATOS!$G$2:$G$20000,CONFIG_METADATA!$B$4,DATOS!$I$2:$I$20000,"Lenguaje Musical"),""))</f>
        <v/>
      </c>
      <c r="U690" t="str">
        <f>IF(S690="","",IFERROR(AVERAGEIFS(DATOS!$K$2:$K$20000,DATOS!$A$2:$A$20000,S690,DATOS!$G$2:$G$20000,CONFIG_METADATA!$B$4,DATOS!$I$2:$I$20000,"Coro"),""))</f>
        <v/>
      </c>
      <c r="V690" t="str">
        <f>IF(S690="","",IFERROR(AVERAGEIFS(DATOS!$K$2:$K$20000,DATOS!$A$2:$A$20000,S690,DATOS!$G$2:$G$20000,CONFIG_METADATA!$B$4,DATOS!$I$2:$I$20000,"Conjunto"),""))</f>
        <v/>
      </c>
      <c r="W690" t="str" cm="1">
        <f t="array" ref="W690">IF(S690="","",IFERROR(AVERAGE(IF((DATOS!$A$2:$A$20000=S690)*(DATOS!$G$2:$G$20000=CONFIG_METADATA!$B$4)*(DATOS!$I$2:$I$20000&lt;&gt;"Lenguaje Musical")*(DATOS!$I$2:$I$20000&lt;&gt;"Coro")*(DATOS!$I$2:$I$20000&lt;&gt;"Conjunto"),DATOS!$K$2:$K$20000)),""))</f>
        <v/>
      </c>
    </row>
    <row r="691" spans="2:23" x14ac:dyDescent="0.2">
      <c r="B691" t="str">
        <f>IF(A691="","",IFERROR(AVERAGEIFS(DATOS!$K$2:$K$20000,DATOS!$A$2:$A$20000,A691,DATOS!$G$2:$G$20000,CONFIG_METADATA!$B$4,DATOS!$I$2:$I$20000,"Lenguaje Musical"),""))</f>
        <v/>
      </c>
      <c r="C691" t="str">
        <f>IF(A691="","",IFERROR(AVERAGEIFS(DATOS!$K$2:$K$20000,DATOS!$A$2:$A$20000,A691,DATOS!$G$2:$G$20000,CONFIG_METADATA!$B$4,DATOS!$I$2:$I$20000,"Coro"),""))</f>
        <v/>
      </c>
      <c r="D691" t="str">
        <f>IF(A691="","",IFERROR(AVERAGEIFS(DATOS!$K$2:$K$20000,DATOS!$A$2:$A$20000,A691,DATOS!$G$2:$G$20000,CONFIG_METADATA!$B$4,DATOS!$I$2:$I$20000,"Conjunto"),""))</f>
        <v/>
      </c>
      <c r="E691" t="str">
        <f>IF(A691="","",IFERROR(AVERAGEIFS(DATOS!$K$2:$K$20000,DATOS!$A$2:$A$20000,A691,DATOS!$G$2:$G$20000,CONFIG_METADATA!$B$4,DATOS!$I$2:$I$20000,"&lt;&gt;Lenguaje Musical",DATOS!$I$2:$I$20000,"&lt;&gt;Coro",DATOS!$I$2:$I$20000,"&lt;&gt;Conjunto"),""))</f>
        <v/>
      </c>
      <c r="H691" t="str">
        <f>IF(G691="","",IFERROR(AVERAGEIFS(DATOS!$K$2:$K$20000,DATOS!$A$2:$A$20000,G691,DATOS!$G$2:$G$20000,CONFIG_METADATA!$B$4,DATOS!$I$2:$I$20000,"Lenguaje Musical"),""))</f>
        <v/>
      </c>
      <c r="I691" t="str">
        <f>IF(G691="","",IFERROR(AVERAGEIFS(DATOS!$K$2:$K$20000,DATOS!$A$2:$A$20000,G691,DATOS!$G$2:$G$20000,CONFIG_METADATA!$B$4,DATOS!$I$2:$I$20000,"Coro"),""))</f>
        <v/>
      </c>
      <c r="J691" t="str">
        <f>IF(G691="","",IFERROR(AVERAGEIFS(DATOS!$K$2:$K$20000,DATOS!$A$2:$A$20000,G691,DATOS!$G$2:$G$20000,CONFIG_METADATA!$B$4,DATOS!$I$2:$I$20000,"Conjunto"),""))</f>
        <v/>
      </c>
      <c r="K691" t="str" cm="1">
        <f t="array" ref="K691">IF(G691="","",IFERROR(AVERAGE(IF((DATOS!$A$2:$A$20000=G691)*(DATOS!$G$2:$G$20000=CONFIG_METADATA!$B$4)*(DATOS!$I$2:$I$20000&lt;&gt;"Lenguaje Musical")*(DATOS!$I$2:$I$20000&lt;&gt;"Coro")*(DATOS!$I$2:$I$20000&lt;&gt;"Conjunto"),DATOS!$K$2:$K$20000)),""))</f>
        <v/>
      </c>
      <c r="N691" t="str">
        <f>IF(M691="","",IFERROR(AVERAGEIFS(DATOS!$K$2:$K$20000,DATOS!$A$2:$A$20000,M691,DATOS!$G$2:$G$20000,CONFIG_METADATA!$B$4,DATOS!$I$2:$I$20000,"Lenguaje Musical"),""))</f>
        <v/>
      </c>
      <c r="O691" t="str">
        <f>IF(M691="","",IFERROR(AVERAGEIFS(DATOS!$K$2:$K$20000,DATOS!$A$2:$A$20000,M691,DATOS!$G$2:$G$20000,CONFIG_METADATA!$B$4,DATOS!$I$2:$I$20000,"Coro"),""))</f>
        <v/>
      </c>
      <c r="P691" t="str">
        <f>IF(M691="","",IFERROR(AVERAGEIFS(DATOS!$K$2:$K$20000,DATOS!$A$2:$A$20000,M691,DATOS!$G$2:$G$20000,CONFIG_METADATA!$B$4,DATOS!$I$2:$I$20000,"Conjunto"),""))</f>
        <v/>
      </c>
      <c r="Q691" t="str">
        <f>IF(M691="","",IFERROR(AVERAGEIFS(DATOS!$K$2:$K$20000,DATOS!$A$2:$A$20000,M691,DATOS!$G$2:$G$20000,CONFIG_METADATA!$B$4,DATOS!$I$2:$I$20000,"&lt;&gt;Lenguaje Musical",DATOS!$I$2:$I$20000,"&lt;&gt;Coro",DATOS!$I$2:$I$20000,"&lt;&gt;Conjunto"),""))</f>
        <v/>
      </c>
      <c r="T691" t="str">
        <f>IF(S691="","",IFERROR(AVERAGEIFS(DATOS!$K$2:$K$20000,DATOS!$A$2:$A$20000,S691,DATOS!$G$2:$G$20000,CONFIG_METADATA!$B$4,DATOS!$I$2:$I$20000,"Lenguaje Musical"),""))</f>
        <v/>
      </c>
      <c r="U691" t="str">
        <f>IF(S691="","",IFERROR(AVERAGEIFS(DATOS!$K$2:$K$20000,DATOS!$A$2:$A$20000,S691,DATOS!$G$2:$G$20000,CONFIG_METADATA!$B$4,DATOS!$I$2:$I$20000,"Coro"),""))</f>
        <v/>
      </c>
      <c r="V691" t="str">
        <f>IF(S691="","",IFERROR(AVERAGEIFS(DATOS!$K$2:$K$20000,DATOS!$A$2:$A$20000,S691,DATOS!$G$2:$G$20000,CONFIG_METADATA!$B$4,DATOS!$I$2:$I$20000,"Conjunto"),""))</f>
        <v/>
      </c>
      <c r="W691" t="str" cm="1">
        <f t="array" ref="W691">IF(S691="","",IFERROR(AVERAGE(IF((DATOS!$A$2:$A$20000=S691)*(DATOS!$G$2:$G$20000=CONFIG_METADATA!$B$4)*(DATOS!$I$2:$I$20000&lt;&gt;"Lenguaje Musical")*(DATOS!$I$2:$I$20000&lt;&gt;"Coro")*(DATOS!$I$2:$I$20000&lt;&gt;"Conjunto"),DATOS!$K$2:$K$20000)),""))</f>
        <v/>
      </c>
    </row>
    <row r="692" spans="2:23" x14ac:dyDescent="0.2">
      <c r="B692" t="str">
        <f>IF(A692="","",IFERROR(AVERAGEIFS(DATOS!$K$2:$K$20000,DATOS!$A$2:$A$20000,A692,DATOS!$G$2:$G$20000,CONFIG_METADATA!$B$4,DATOS!$I$2:$I$20000,"Lenguaje Musical"),""))</f>
        <v/>
      </c>
      <c r="C692" t="str">
        <f>IF(A692="","",IFERROR(AVERAGEIFS(DATOS!$K$2:$K$20000,DATOS!$A$2:$A$20000,A692,DATOS!$G$2:$G$20000,CONFIG_METADATA!$B$4,DATOS!$I$2:$I$20000,"Coro"),""))</f>
        <v/>
      </c>
      <c r="D692" t="str">
        <f>IF(A692="","",IFERROR(AVERAGEIFS(DATOS!$K$2:$K$20000,DATOS!$A$2:$A$20000,A692,DATOS!$G$2:$G$20000,CONFIG_METADATA!$B$4,DATOS!$I$2:$I$20000,"Conjunto"),""))</f>
        <v/>
      </c>
      <c r="E692" t="str">
        <f>IF(A692="","",IFERROR(AVERAGEIFS(DATOS!$K$2:$K$20000,DATOS!$A$2:$A$20000,A692,DATOS!$G$2:$G$20000,CONFIG_METADATA!$B$4,DATOS!$I$2:$I$20000,"&lt;&gt;Lenguaje Musical",DATOS!$I$2:$I$20000,"&lt;&gt;Coro",DATOS!$I$2:$I$20000,"&lt;&gt;Conjunto"),""))</f>
        <v/>
      </c>
      <c r="H692" t="str">
        <f>IF(G692="","",IFERROR(AVERAGEIFS(DATOS!$K$2:$K$20000,DATOS!$A$2:$A$20000,G692,DATOS!$G$2:$G$20000,CONFIG_METADATA!$B$4,DATOS!$I$2:$I$20000,"Lenguaje Musical"),""))</f>
        <v/>
      </c>
      <c r="I692" t="str">
        <f>IF(G692="","",IFERROR(AVERAGEIFS(DATOS!$K$2:$K$20000,DATOS!$A$2:$A$20000,G692,DATOS!$G$2:$G$20000,CONFIG_METADATA!$B$4,DATOS!$I$2:$I$20000,"Coro"),""))</f>
        <v/>
      </c>
      <c r="J692" t="str">
        <f>IF(G692="","",IFERROR(AVERAGEIFS(DATOS!$K$2:$K$20000,DATOS!$A$2:$A$20000,G692,DATOS!$G$2:$G$20000,CONFIG_METADATA!$B$4,DATOS!$I$2:$I$20000,"Conjunto"),""))</f>
        <v/>
      </c>
      <c r="K692" t="str" cm="1">
        <f t="array" ref="K692">IF(G692="","",IFERROR(AVERAGE(IF((DATOS!$A$2:$A$20000=G692)*(DATOS!$G$2:$G$20000=CONFIG_METADATA!$B$4)*(DATOS!$I$2:$I$20000&lt;&gt;"Lenguaje Musical")*(DATOS!$I$2:$I$20000&lt;&gt;"Coro")*(DATOS!$I$2:$I$20000&lt;&gt;"Conjunto"),DATOS!$K$2:$K$20000)),""))</f>
        <v/>
      </c>
      <c r="N692" t="str">
        <f>IF(M692="","",IFERROR(AVERAGEIFS(DATOS!$K$2:$K$20000,DATOS!$A$2:$A$20000,M692,DATOS!$G$2:$G$20000,CONFIG_METADATA!$B$4,DATOS!$I$2:$I$20000,"Lenguaje Musical"),""))</f>
        <v/>
      </c>
      <c r="O692" t="str">
        <f>IF(M692="","",IFERROR(AVERAGEIFS(DATOS!$K$2:$K$20000,DATOS!$A$2:$A$20000,M692,DATOS!$G$2:$G$20000,CONFIG_METADATA!$B$4,DATOS!$I$2:$I$20000,"Coro"),""))</f>
        <v/>
      </c>
      <c r="P692" t="str">
        <f>IF(M692="","",IFERROR(AVERAGEIFS(DATOS!$K$2:$K$20000,DATOS!$A$2:$A$20000,M692,DATOS!$G$2:$G$20000,CONFIG_METADATA!$B$4,DATOS!$I$2:$I$20000,"Conjunto"),""))</f>
        <v/>
      </c>
      <c r="Q692" t="str">
        <f>IF(M692="","",IFERROR(AVERAGEIFS(DATOS!$K$2:$K$20000,DATOS!$A$2:$A$20000,M692,DATOS!$G$2:$G$20000,CONFIG_METADATA!$B$4,DATOS!$I$2:$I$20000,"&lt;&gt;Lenguaje Musical",DATOS!$I$2:$I$20000,"&lt;&gt;Coro",DATOS!$I$2:$I$20000,"&lt;&gt;Conjunto"),""))</f>
        <v/>
      </c>
      <c r="T692" t="str">
        <f>IF(S692="","",IFERROR(AVERAGEIFS(DATOS!$K$2:$K$20000,DATOS!$A$2:$A$20000,S692,DATOS!$G$2:$G$20000,CONFIG_METADATA!$B$4,DATOS!$I$2:$I$20000,"Lenguaje Musical"),""))</f>
        <v/>
      </c>
      <c r="U692" t="str">
        <f>IF(S692="","",IFERROR(AVERAGEIFS(DATOS!$K$2:$K$20000,DATOS!$A$2:$A$20000,S692,DATOS!$G$2:$G$20000,CONFIG_METADATA!$B$4,DATOS!$I$2:$I$20000,"Coro"),""))</f>
        <v/>
      </c>
      <c r="V692" t="str">
        <f>IF(S692="","",IFERROR(AVERAGEIFS(DATOS!$K$2:$K$20000,DATOS!$A$2:$A$20000,S692,DATOS!$G$2:$G$20000,CONFIG_METADATA!$B$4,DATOS!$I$2:$I$20000,"Conjunto"),""))</f>
        <v/>
      </c>
      <c r="W692" t="str" cm="1">
        <f t="array" ref="W692">IF(S692="","",IFERROR(AVERAGE(IF((DATOS!$A$2:$A$20000=S692)*(DATOS!$G$2:$G$20000=CONFIG_METADATA!$B$4)*(DATOS!$I$2:$I$20000&lt;&gt;"Lenguaje Musical")*(DATOS!$I$2:$I$20000&lt;&gt;"Coro")*(DATOS!$I$2:$I$20000&lt;&gt;"Conjunto"),DATOS!$K$2:$K$20000)),""))</f>
        <v/>
      </c>
    </row>
    <row r="693" spans="2:23" x14ac:dyDescent="0.2">
      <c r="B693" t="str">
        <f>IF(A693="","",IFERROR(AVERAGEIFS(DATOS!$K$2:$K$20000,DATOS!$A$2:$A$20000,A693,DATOS!$G$2:$G$20000,CONFIG_METADATA!$B$4,DATOS!$I$2:$I$20000,"Lenguaje Musical"),""))</f>
        <v/>
      </c>
      <c r="C693" t="str">
        <f>IF(A693="","",IFERROR(AVERAGEIFS(DATOS!$K$2:$K$20000,DATOS!$A$2:$A$20000,A693,DATOS!$G$2:$G$20000,CONFIG_METADATA!$B$4,DATOS!$I$2:$I$20000,"Coro"),""))</f>
        <v/>
      </c>
      <c r="D693" t="str">
        <f>IF(A693="","",IFERROR(AVERAGEIFS(DATOS!$K$2:$K$20000,DATOS!$A$2:$A$20000,A693,DATOS!$G$2:$G$20000,CONFIG_METADATA!$B$4,DATOS!$I$2:$I$20000,"Conjunto"),""))</f>
        <v/>
      </c>
      <c r="E693" t="str">
        <f>IF(A693="","",IFERROR(AVERAGEIFS(DATOS!$K$2:$K$20000,DATOS!$A$2:$A$20000,A693,DATOS!$G$2:$G$20000,CONFIG_METADATA!$B$4,DATOS!$I$2:$I$20000,"&lt;&gt;Lenguaje Musical",DATOS!$I$2:$I$20000,"&lt;&gt;Coro",DATOS!$I$2:$I$20000,"&lt;&gt;Conjunto"),""))</f>
        <v/>
      </c>
      <c r="H693" t="str">
        <f>IF(G693="","",IFERROR(AVERAGEIFS(DATOS!$K$2:$K$20000,DATOS!$A$2:$A$20000,G693,DATOS!$G$2:$G$20000,CONFIG_METADATA!$B$4,DATOS!$I$2:$I$20000,"Lenguaje Musical"),""))</f>
        <v/>
      </c>
      <c r="I693" t="str">
        <f>IF(G693="","",IFERROR(AVERAGEIFS(DATOS!$K$2:$K$20000,DATOS!$A$2:$A$20000,G693,DATOS!$G$2:$G$20000,CONFIG_METADATA!$B$4,DATOS!$I$2:$I$20000,"Coro"),""))</f>
        <v/>
      </c>
      <c r="J693" t="str">
        <f>IF(G693="","",IFERROR(AVERAGEIFS(DATOS!$K$2:$K$20000,DATOS!$A$2:$A$20000,G693,DATOS!$G$2:$G$20000,CONFIG_METADATA!$B$4,DATOS!$I$2:$I$20000,"Conjunto"),""))</f>
        <v/>
      </c>
      <c r="K693" t="str" cm="1">
        <f t="array" ref="K693">IF(G693="","",IFERROR(AVERAGE(IF((DATOS!$A$2:$A$20000=G693)*(DATOS!$G$2:$G$20000=CONFIG_METADATA!$B$4)*(DATOS!$I$2:$I$20000&lt;&gt;"Lenguaje Musical")*(DATOS!$I$2:$I$20000&lt;&gt;"Coro")*(DATOS!$I$2:$I$20000&lt;&gt;"Conjunto"),DATOS!$K$2:$K$20000)),""))</f>
        <v/>
      </c>
      <c r="N693" t="str">
        <f>IF(M693="","",IFERROR(AVERAGEIFS(DATOS!$K$2:$K$20000,DATOS!$A$2:$A$20000,M693,DATOS!$G$2:$G$20000,CONFIG_METADATA!$B$4,DATOS!$I$2:$I$20000,"Lenguaje Musical"),""))</f>
        <v/>
      </c>
      <c r="O693" t="str">
        <f>IF(M693="","",IFERROR(AVERAGEIFS(DATOS!$K$2:$K$20000,DATOS!$A$2:$A$20000,M693,DATOS!$G$2:$G$20000,CONFIG_METADATA!$B$4,DATOS!$I$2:$I$20000,"Coro"),""))</f>
        <v/>
      </c>
      <c r="P693" t="str">
        <f>IF(M693="","",IFERROR(AVERAGEIFS(DATOS!$K$2:$K$20000,DATOS!$A$2:$A$20000,M693,DATOS!$G$2:$G$20000,CONFIG_METADATA!$B$4,DATOS!$I$2:$I$20000,"Conjunto"),""))</f>
        <v/>
      </c>
      <c r="Q693" t="str">
        <f>IF(M693="","",IFERROR(AVERAGEIFS(DATOS!$K$2:$K$20000,DATOS!$A$2:$A$20000,M693,DATOS!$G$2:$G$20000,CONFIG_METADATA!$B$4,DATOS!$I$2:$I$20000,"&lt;&gt;Lenguaje Musical",DATOS!$I$2:$I$20000,"&lt;&gt;Coro",DATOS!$I$2:$I$20000,"&lt;&gt;Conjunto"),""))</f>
        <v/>
      </c>
      <c r="T693" t="str">
        <f>IF(S693="","",IFERROR(AVERAGEIFS(DATOS!$K$2:$K$20000,DATOS!$A$2:$A$20000,S693,DATOS!$G$2:$G$20000,CONFIG_METADATA!$B$4,DATOS!$I$2:$I$20000,"Lenguaje Musical"),""))</f>
        <v/>
      </c>
      <c r="U693" t="str">
        <f>IF(S693="","",IFERROR(AVERAGEIFS(DATOS!$K$2:$K$20000,DATOS!$A$2:$A$20000,S693,DATOS!$G$2:$G$20000,CONFIG_METADATA!$B$4,DATOS!$I$2:$I$20000,"Coro"),""))</f>
        <v/>
      </c>
      <c r="V693" t="str">
        <f>IF(S693="","",IFERROR(AVERAGEIFS(DATOS!$K$2:$K$20000,DATOS!$A$2:$A$20000,S693,DATOS!$G$2:$G$20000,CONFIG_METADATA!$B$4,DATOS!$I$2:$I$20000,"Conjunto"),""))</f>
        <v/>
      </c>
      <c r="W693" t="str" cm="1">
        <f t="array" ref="W693">IF(S693="","",IFERROR(AVERAGE(IF((DATOS!$A$2:$A$20000=S693)*(DATOS!$G$2:$G$20000=CONFIG_METADATA!$B$4)*(DATOS!$I$2:$I$20000&lt;&gt;"Lenguaje Musical")*(DATOS!$I$2:$I$20000&lt;&gt;"Coro")*(DATOS!$I$2:$I$20000&lt;&gt;"Conjunto"),DATOS!$K$2:$K$20000)),""))</f>
        <v/>
      </c>
    </row>
    <row r="694" spans="2:23" x14ac:dyDescent="0.2">
      <c r="B694" t="str">
        <f>IF(A694="","",IFERROR(AVERAGEIFS(DATOS!$K$2:$K$20000,DATOS!$A$2:$A$20000,A694,DATOS!$G$2:$G$20000,CONFIG_METADATA!$B$4,DATOS!$I$2:$I$20000,"Lenguaje Musical"),""))</f>
        <v/>
      </c>
      <c r="C694" t="str">
        <f>IF(A694="","",IFERROR(AVERAGEIFS(DATOS!$K$2:$K$20000,DATOS!$A$2:$A$20000,A694,DATOS!$G$2:$G$20000,CONFIG_METADATA!$B$4,DATOS!$I$2:$I$20000,"Coro"),""))</f>
        <v/>
      </c>
      <c r="D694" t="str">
        <f>IF(A694="","",IFERROR(AVERAGEIFS(DATOS!$K$2:$K$20000,DATOS!$A$2:$A$20000,A694,DATOS!$G$2:$G$20000,CONFIG_METADATA!$B$4,DATOS!$I$2:$I$20000,"Conjunto"),""))</f>
        <v/>
      </c>
      <c r="E694" t="str">
        <f>IF(A694="","",IFERROR(AVERAGEIFS(DATOS!$K$2:$K$20000,DATOS!$A$2:$A$20000,A694,DATOS!$G$2:$G$20000,CONFIG_METADATA!$B$4,DATOS!$I$2:$I$20000,"&lt;&gt;Lenguaje Musical",DATOS!$I$2:$I$20000,"&lt;&gt;Coro",DATOS!$I$2:$I$20000,"&lt;&gt;Conjunto"),""))</f>
        <v/>
      </c>
      <c r="H694" t="str">
        <f>IF(G694="","",IFERROR(AVERAGEIFS(DATOS!$K$2:$K$20000,DATOS!$A$2:$A$20000,G694,DATOS!$G$2:$G$20000,CONFIG_METADATA!$B$4,DATOS!$I$2:$I$20000,"Lenguaje Musical"),""))</f>
        <v/>
      </c>
      <c r="I694" t="str">
        <f>IF(G694="","",IFERROR(AVERAGEIFS(DATOS!$K$2:$K$20000,DATOS!$A$2:$A$20000,G694,DATOS!$G$2:$G$20000,CONFIG_METADATA!$B$4,DATOS!$I$2:$I$20000,"Coro"),""))</f>
        <v/>
      </c>
      <c r="J694" t="str">
        <f>IF(G694="","",IFERROR(AVERAGEIFS(DATOS!$K$2:$K$20000,DATOS!$A$2:$A$20000,G694,DATOS!$G$2:$G$20000,CONFIG_METADATA!$B$4,DATOS!$I$2:$I$20000,"Conjunto"),""))</f>
        <v/>
      </c>
      <c r="K694" t="str" cm="1">
        <f t="array" ref="K694">IF(G694="","",IFERROR(AVERAGE(IF((DATOS!$A$2:$A$20000=G694)*(DATOS!$G$2:$G$20000=CONFIG_METADATA!$B$4)*(DATOS!$I$2:$I$20000&lt;&gt;"Lenguaje Musical")*(DATOS!$I$2:$I$20000&lt;&gt;"Coro")*(DATOS!$I$2:$I$20000&lt;&gt;"Conjunto"),DATOS!$K$2:$K$20000)),""))</f>
        <v/>
      </c>
      <c r="N694" t="str">
        <f>IF(M694="","",IFERROR(AVERAGEIFS(DATOS!$K$2:$K$20000,DATOS!$A$2:$A$20000,M694,DATOS!$G$2:$G$20000,CONFIG_METADATA!$B$4,DATOS!$I$2:$I$20000,"Lenguaje Musical"),""))</f>
        <v/>
      </c>
      <c r="O694" t="str">
        <f>IF(M694="","",IFERROR(AVERAGEIFS(DATOS!$K$2:$K$20000,DATOS!$A$2:$A$20000,M694,DATOS!$G$2:$G$20000,CONFIG_METADATA!$B$4,DATOS!$I$2:$I$20000,"Coro"),""))</f>
        <v/>
      </c>
      <c r="P694" t="str">
        <f>IF(M694="","",IFERROR(AVERAGEIFS(DATOS!$K$2:$K$20000,DATOS!$A$2:$A$20000,M694,DATOS!$G$2:$G$20000,CONFIG_METADATA!$B$4,DATOS!$I$2:$I$20000,"Conjunto"),""))</f>
        <v/>
      </c>
      <c r="Q694" t="str">
        <f>IF(M694="","",IFERROR(AVERAGEIFS(DATOS!$K$2:$K$20000,DATOS!$A$2:$A$20000,M694,DATOS!$G$2:$G$20000,CONFIG_METADATA!$B$4,DATOS!$I$2:$I$20000,"&lt;&gt;Lenguaje Musical",DATOS!$I$2:$I$20000,"&lt;&gt;Coro",DATOS!$I$2:$I$20000,"&lt;&gt;Conjunto"),""))</f>
        <v/>
      </c>
      <c r="T694" t="str">
        <f>IF(S694="","",IFERROR(AVERAGEIFS(DATOS!$K$2:$K$20000,DATOS!$A$2:$A$20000,S694,DATOS!$G$2:$G$20000,CONFIG_METADATA!$B$4,DATOS!$I$2:$I$20000,"Lenguaje Musical"),""))</f>
        <v/>
      </c>
      <c r="U694" t="str">
        <f>IF(S694="","",IFERROR(AVERAGEIFS(DATOS!$K$2:$K$20000,DATOS!$A$2:$A$20000,S694,DATOS!$G$2:$G$20000,CONFIG_METADATA!$B$4,DATOS!$I$2:$I$20000,"Coro"),""))</f>
        <v/>
      </c>
      <c r="V694" t="str">
        <f>IF(S694="","",IFERROR(AVERAGEIFS(DATOS!$K$2:$K$20000,DATOS!$A$2:$A$20000,S694,DATOS!$G$2:$G$20000,CONFIG_METADATA!$B$4,DATOS!$I$2:$I$20000,"Conjunto"),""))</f>
        <v/>
      </c>
      <c r="W694" t="str" cm="1">
        <f t="array" ref="W694">IF(S694="","",IFERROR(AVERAGE(IF((DATOS!$A$2:$A$20000=S694)*(DATOS!$G$2:$G$20000=CONFIG_METADATA!$B$4)*(DATOS!$I$2:$I$20000&lt;&gt;"Lenguaje Musical")*(DATOS!$I$2:$I$20000&lt;&gt;"Coro")*(DATOS!$I$2:$I$20000&lt;&gt;"Conjunto"),DATOS!$K$2:$K$20000)),""))</f>
        <v/>
      </c>
    </row>
    <row r="695" spans="2:23" x14ac:dyDescent="0.2">
      <c r="B695" t="str">
        <f>IF(A695="","",IFERROR(AVERAGEIFS(DATOS!$K$2:$K$20000,DATOS!$A$2:$A$20000,A695,DATOS!$G$2:$G$20000,CONFIG_METADATA!$B$4,DATOS!$I$2:$I$20000,"Lenguaje Musical"),""))</f>
        <v/>
      </c>
      <c r="C695" t="str">
        <f>IF(A695="","",IFERROR(AVERAGEIFS(DATOS!$K$2:$K$20000,DATOS!$A$2:$A$20000,A695,DATOS!$G$2:$G$20000,CONFIG_METADATA!$B$4,DATOS!$I$2:$I$20000,"Coro"),""))</f>
        <v/>
      </c>
      <c r="D695" t="str">
        <f>IF(A695="","",IFERROR(AVERAGEIFS(DATOS!$K$2:$K$20000,DATOS!$A$2:$A$20000,A695,DATOS!$G$2:$G$20000,CONFIG_METADATA!$B$4,DATOS!$I$2:$I$20000,"Conjunto"),""))</f>
        <v/>
      </c>
      <c r="E695" t="str">
        <f>IF(A695="","",IFERROR(AVERAGEIFS(DATOS!$K$2:$K$20000,DATOS!$A$2:$A$20000,A695,DATOS!$G$2:$G$20000,CONFIG_METADATA!$B$4,DATOS!$I$2:$I$20000,"&lt;&gt;Lenguaje Musical",DATOS!$I$2:$I$20000,"&lt;&gt;Coro",DATOS!$I$2:$I$20000,"&lt;&gt;Conjunto"),""))</f>
        <v/>
      </c>
      <c r="H695" t="str">
        <f>IF(G695="","",IFERROR(AVERAGEIFS(DATOS!$K$2:$K$20000,DATOS!$A$2:$A$20000,G695,DATOS!$G$2:$G$20000,CONFIG_METADATA!$B$4,DATOS!$I$2:$I$20000,"Lenguaje Musical"),""))</f>
        <v/>
      </c>
      <c r="I695" t="str">
        <f>IF(G695="","",IFERROR(AVERAGEIFS(DATOS!$K$2:$K$20000,DATOS!$A$2:$A$20000,G695,DATOS!$G$2:$G$20000,CONFIG_METADATA!$B$4,DATOS!$I$2:$I$20000,"Coro"),""))</f>
        <v/>
      </c>
      <c r="J695" t="str">
        <f>IF(G695="","",IFERROR(AVERAGEIFS(DATOS!$K$2:$K$20000,DATOS!$A$2:$A$20000,G695,DATOS!$G$2:$G$20000,CONFIG_METADATA!$B$4,DATOS!$I$2:$I$20000,"Conjunto"),""))</f>
        <v/>
      </c>
      <c r="K695" t="str" cm="1">
        <f t="array" ref="K695">IF(G695="","",IFERROR(AVERAGE(IF((DATOS!$A$2:$A$20000=G695)*(DATOS!$G$2:$G$20000=CONFIG_METADATA!$B$4)*(DATOS!$I$2:$I$20000&lt;&gt;"Lenguaje Musical")*(DATOS!$I$2:$I$20000&lt;&gt;"Coro")*(DATOS!$I$2:$I$20000&lt;&gt;"Conjunto"),DATOS!$K$2:$K$20000)),""))</f>
        <v/>
      </c>
      <c r="N695" t="str">
        <f>IF(M695="","",IFERROR(AVERAGEIFS(DATOS!$K$2:$K$20000,DATOS!$A$2:$A$20000,M695,DATOS!$G$2:$G$20000,CONFIG_METADATA!$B$4,DATOS!$I$2:$I$20000,"Lenguaje Musical"),""))</f>
        <v/>
      </c>
      <c r="O695" t="str">
        <f>IF(M695="","",IFERROR(AVERAGEIFS(DATOS!$K$2:$K$20000,DATOS!$A$2:$A$20000,M695,DATOS!$G$2:$G$20000,CONFIG_METADATA!$B$4,DATOS!$I$2:$I$20000,"Coro"),""))</f>
        <v/>
      </c>
      <c r="P695" t="str">
        <f>IF(M695="","",IFERROR(AVERAGEIFS(DATOS!$K$2:$K$20000,DATOS!$A$2:$A$20000,M695,DATOS!$G$2:$G$20000,CONFIG_METADATA!$B$4,DATOS!$I$2:$I$20000,"Conjunto"),""))</f>
        <v/>
      </c>
      <c r="Q695" t="str">
        <f>IF(M695="","",IFERROR(AVERAGEIFS(DATOS!$K$2:$K$20000,DATOS!$A$2:$A$20000,M695,DATOS!$G$2:$G$20000,CONFIG_METADATA!$B$4,DATOS!$I$2:$I$20000,"&lt;&gt;Lenguaje Musical",DATOS!$I$2:$I$20000,"&lt;&gt;Coro",DATOS!$I$2:$I$20000,"&lt;&gt;Conjunto"),""))</f>
        <v/>
      </c>
      <c r="T695" t="str">
        <f>IF(S695="","",IFERROR(AVERAGEIFS(DATOS!$K$2:$K$20000,DATOS!$A$2:$A$20000,S695,DATOS!$G$2:$G$20000,CONFIG_METADATA!$B$4,DATOS!$I$2:$I$20000,"Lenguaje Musical"),""))</f>
        <v/>
      </c>
      <c r="U695" t="str">
        <f>IF(S695="","",IFERROR(AVERAGEIFS(DATOS!$K$2:$K$20000,DATOS!$A$2:$A$20000,S695,DATOS!$G$2:$G$20000,CONFIG_METADATA!$B$4,DATOS!$I$2:$I$20000,"Coro"),""))</f>
        <v/>
      </c>
      <c r="V695" t="str">
        <f>IF(S695="","",IFERROR(AVERAGEIFS(DATOS!$K$2:$K$20000,DATOS!$A$2:$A$20000,S695,DATOS!$G$2:$G$20000,CONFIG_METADATA!$B$4,DATOS!$I$2:$I$20000,"Conjunto"),""))</f>
        <v/>
      </c>
      <c r="W695" t="str" cm="1">
        <f t="array" ref="W695">IF(S695="","",IFERROR(AVERAGE(IF((DATOS!$A$2:$A$20000=S695)*(DATOS!$G$2:$G$20000=CONFIG_METADATA!$B$4)*(DATOS!$I$2:$I$20000&lt;&gt;"Lenguaje Musical")*(DATOS!$I$2:$I$20000&lt;&gt;"Coro")*(DATOS!$I$2:$I$20000&lt;&gt;"Conjunto"),DATOS!$K$2:$K$20000)),""))</f>
        <v/>
      </c>
    </row>
    <row r="696" spans="2:23" x14ac:dyDescent="0.2">
      <c r="B696" t="str">
        <f>IF(A696="","",IFERROR(AVERAGEIFS(DATOS!$K$2:$K$20000,DATOS!$A$2:$A$20000,A696,DATOS!$G$2:$G$20000,CONFIG_METADATA!$B$4,DATOS!$I$2:$I$20000,"Lenguaje Musical"),""))</f>
        <v/>
      </c>
      <c r="C696" t="str">
        <f>IF(A696="","",IFERROR(AVERAGEIFS(DATOS!$K$2:$K$20000,DATOS!$A$2:$A$20000,A696,DATOS!$G$2:$G$20000,CONFIG_METADATA!$B$4,DATOS!$I$2:$I$20000,"Coro"),""))</f>
        <v/>
      </c>
      <c r="D696" t="str">
        <f>IF(A696="","",IFERROR(AVERAGEIFS(DATOS!$K$2:$K$20000,DATOS!$A$2:$A$20000,A696,DATOS!$G$2:$G$20000,CONFIG_METADATA!$B$4,DATOS!$I$2:$I$20000,"Conjunto"),""))</f>
        <v/>
      </c>
      <c r="E696" t="str">
        <f>IF(A696="","",IFERROR(AVERAGEIFS(DATOS!$K$2:$K$20000,DATOS!$A$2:$A$20000,A696,DATOS!$G$2:$G$20000,CONFIG_METADATA!$B$4,DATOS!$I$2:$I$20000,"&lt;&gt;Lenguaje Musical",DATOS!$I$2:$I$20000,"&lt;&gt;Coro",DATOS!$I$2:$I$20000,"&lt;&gt;Conjunto"),""))</f>
        <v/>
      </c>
      <c r="H696" t="str">
        <f>IF(G696="","",IFERROR(AVERAGEIFS(DATOS!$K$2:$K$20000,DATOS!$A$2:$A$20000,G696,DATOS!$G$2:$G$20000,CONFIG_METADATA!$B$4,DATOS!$I$2:$I$20000,"Lenguaje Musical"),""))</f>
        <v/>
      </c>
      <c r="I696" t="str">
        <f>IF(G696="","",IFERROR(AVERAGEIFS(DATOS!$K$2:$K$20000,DATOS!$A$2:$A$20000,G696,DATOS!$G$2:$G$20000,CONFIG_METADATA!$B$4,DATOS!$I$2:$I$20000,"Coro"),""))</f>
        <v/>
      </c>
      <c r="J696" t="str">
        <f>IF(G696="","",IFERROR(AVERAGEIFS(DATOS!$K$2:$K$20000,DATOS!$A$2:$A$20000,G696,DATOS!$G$2:$G$20000,CONFIG_METADATA!$B$4,DATOS!$I$2:$I$20000,"Conjunto"),""))</f>
        <v/>
      </c>
      <c r="K696" t="str" cm="1">
        <f t="array" ref="K696">IF(G696="","",IFERROR(AVERAGE(IF((DATOS!$A$2:$A$20000=G696)*(DATOS!$G$2:$G$20000=CONFIG_METADATA!$B$4)*(DATOS!$I$2:$I$20000&lt;&gt;"Lenguaje Musical")*(DATOS!$I$2:$I$20000&lt;&gt;"Coro")*(DATOS!$I$2:$I$20000&lt;&gt;"Conjunto"),DATOS!$K$2:$K$20000)),""))</f>
        <v/>
      </c>
      <c r="N696" t="str">
        <f>IF(M696="","",IFERROR(AVERAGEIFS(DATOS!$K$2:$K$20000,DATOS!$A$2:$A$20000,M696,DATOS!$G$2:$G$20000,CONFIG_METADATA!$B$4,DATOS!$I$2:$I$20000,"Lenguaje Musical"),""))</f>
        <v/>
      </c>
      <c r="O696" t="str">
        <f>IF(M696="","",IFERROR(AVERAGEIFS(DATOS!$K$2:$K$20000,DATOS!$A$2:$A$20000,M696,DATOS!$G$2:$G$20000,CONFIG_METADATA!$B$4,DATOS!$I$2:$I$20000,"Coro"),""))</f>
        <v/>
      </c>
      <c r="P696" t="str">
        <f>IF(M696="","",IFERROR(AVERAGEIFS(DATOS!$K$2:$K$20000,DATOS!$A$2:$A$20000,M696,DATOS!$G$2:$G$20000,CONFIG_METADATA!$B$4,DATOS!$I$2:$I$20000,"Conjunto"),""))</f>
        <v/>
      </c>
      <c r="Q696" t="str">
        <f>IF(M696="","",IFERROR(AVERAGEIFS(DATOS!$K$2:$K$20000,DATOS!$A$2:$A$20000,M696,DATOS!$G$2:$G$20000,CONFIG_METADATA!$B$4,DATOS!$I$2:$I$20000,"&lt;&gt;Lenguaje Musical",DATOS!$I$2:$I$20000,"&lt;&gt;Coro",DATOS!$I$2:$I$20000,"&lt;&gt;Conjunto"),""))</f>
        <v/>
      </c>
      <c r="T696" t="str">
        <f>IF(S696="","",IFERROR(AVERAGEIFS(DATOS!$K$2:$K$20000,DATOS!$A$2:$A$20000,S696,DATOS!$G$2:$G$20000,CONFIG_METADATA!$B$4,DATOS!$I$2:$I$20000,"Lenguaje Musical"),""))</f>
        <v/>
      </c>
      <c r="U696" t="str">
        <f>IF(S696="","",IFERROR(AVERAGEIFS(DATOS!$K$2:$K$20000,DATOS!$A$2:$A$20000,S696,DATOS!$G$2:$G$20000,CONFIG_METADATA!$B$4,DATOS!$I$2:$I$20000,"Coro"),""))</f>
        <v/>
      </c>
      <c r="V696" t="str">
        <f>IF(S696="","",IFERROR(AVERAGEIFS(DATOS!$K$2:$K$20000,DATOS!$A$2:$A$20000,S696,DATOS!$G$2:$G$20000,CONFIG_METADATA!$B$4,DATOS!$I$2:$I$20000,"Conjunto"),""))</f>
        <v/>
      </c>
      <c r="W696" t="str" cm="1">
        <f t="array" ref="W696">IF(S696="","",IFERROR(AVERAGE(IF((DATOS!$A$2:$A$20000=S696)*(DATOS!$G$2:$G$20000=CONFIG_METADATA!$B$4)*(DATOS!$I$2:$I$20000&lt;&gt;"Lenguaje Musical")*(DATOS!$I$2:$I$20000&lt;&gt;"Coro")*(DATOS!$I$2:$I$20000&lt;&gt;"Conjunto"),DATOS!$K$2:$K$20000)),""))</f>
        <v/>
      </c>
    </row>
    <row r="697" spans="2:23" x14ac:dyDescent="0.2">
      <c r="B697" t="str">
        <f>IF(A697="","",IFERROR(AVERAGEIFS(DATOS!$K$2:$K$20000,DATOS!$A$2:$A$20000,A697,DATOS!$G$2:$G$20000,CONFIG_METADATA!$B$4,DATOS!$I$2:$I$20000,"Lenguaje Musical"),""))</f>
        <v/>
      </c>
      <c r="C697" t="str">
        <f>IF(A697="","",IFERROR(AVERAGEIFS(DATOS!$K$2:$K$20000,DATOS!$A$2:$A$20000,A697,DATOS!$G$2:$G$20000,CONFIG_METADATA!$B$4,DATOS!$I$2:$I$20000,"Coro"),""))</f>
        <v/>
      </c>
      <c r="D697" t="str">
        <f>IF(A697="","",IFERROR(AVERAGEIFS(DATOS!$K$2:$K$20000,DATOS!$A$2:$A$20000,A697,DATOS!$G$2:$G$20000,CONFIG_METADATA!$B$4,DATOS!$I$2:$I$20000,"Conjunto"),""))</f>
        <v/>
      </c>
      <c r="E697" t="str">
        <f>IF(A697="","",IFERROR(AVERAGEIFS(DATOS!$K$2:$K$20000,DATOS!$A$2:$A$20000,A697,DATOS!$G$2:$G$20000,CONFIG_METADATA!$B$4,DATOS!$I$2:$I$20000,"&lt;&gt;Lenguaje Musical",DATOS!$I$2:$I$20000,"&lt;&gt;Coro",DATOS!$I$2:$I$20000,"&lt;&gt;Conjunto"),""))</f>
        <v/>
      </c>
      <c r="H697" t="str">
        <f>IF(G697="","",IFERROR(AVERAGEIFS(DATOS!$K$2:$K$20000,DATOS!$A$2:$A$20000,G697,DATOS!$G$2:$G$20000,CONFIG_METADATA!$B$4,DATOS!$I$2:$I$20000,"Lenguaje Musical"),""))</f>
        <v/>
      </c>
      <c r="I697" t="str">
        <f>IF(G697="","",IFERROR(AVERAGEIFS(DATOS!$K$2:$K$20000,DATOS!$A$2:$A$20000,G697,DATOS!$G$2:$G$20000,CONFIG_METADATA!$B$4,DATOS!$I$2:$I$20000,"Coro"),""))</f>
        <v/>
      </c>
      <c r="J697" t="str">
        <f>IF(G697="","",IFERROR(AVERAGEIFS(DATOS!$K$2:$K$20000,DATOS!$A$2:$A$20000,G697,DATOS!$G$2:$G$20000,CONFIG_METADATA!$B$4,DATOS!$I$2:$I$20000,"Conjunto"),""))</f>
        <v/>
      </c>
      <c r="K697" t="str" cm="1">
        <f t="array" ref="K697">IF(G697="","",IFERROR(AVERAGE(IF((DATOS!$A$2:$A$20000=G697)*(DATOS!$G$2:$G$20000=CONFIG_METADATA!$B$4)*(DATOS!$I$2:$I$20000&lt;&gt;"Lenguaje Musical")*(DATOS!$I$2:$I$20000&lt;&gt;"Coro")*(DATOS!$I$2:$I$20000&lt;&gt;"Conjunto"),DATOS!$K$2:$K$20000)),""))</f>
        <v/>
      </c>
      <c r="N697" t="str">
        <f>IF(M697="","",IFERROR(AVERAGEIFS(DATOS!$K$2:$K$20000,DATOS!$A$2:$A$20000,M697,DATOS!$G$2:$G$20000,CONFIG_METADATA!$B$4,DATOS!$I$2:$I$20000,"Lenguaje Musical"),""))</f>
        <v/>
      </c>
      <c r="O697" t="str">
        <f>IF(M697="","",IFERROR(AVERAGEIFS(DATOS!$K$2:$K$20000,DATOS!$A$2:$A$20000,M697,DATOS!$G$2:$G$20000,CONFIG_METADATA!$B$4,DATOS!$I$2:$I$20000,"Coro"),""))</f>
        <v/>
      </c>
      <c r="P697" t="str">
        <f>IF(M697="","",IFERROR(AVERAGEIFS(DATOS!$K$2:$K$20000,DATOS!$A$2:$A$20000,M697,DATOS!$G$2:$G$20000,CONFIG_METADATA!$B$4,DATOS!$I$2:$I$20000,"Conjunto"),""))</f>
        <v/>
      </c>
      <c r="Q697" t="str">
        <f>IF(M697="","",IFERROR(AVERAGEIFS(DATOS!$K$2:$K$20000,DATOS!$A$2:$A$20000,M697,DATOS!$G$2:$G$20000,CONFIG_METADATA!$B$4,DATOS!$I$2:$I$20000,"&lt;&gt;Lenguaje Musical",DATOS!$I$2:$I$20000,"&lt;&gt;Coro",DATOS!$I$2:$I$20000,"&lt;&gt;Conjunto"),""))</f>
        <v/>
      </c>
      <c r="T697" t="str">
        <f>IF(S697="","",IFERROR(AVERAGEIFS(DATOS!$K$2:$K$20000,DATOS!$A$2:$A$20000,S697,DATOS!$G$2:$G$20000,CONFIG_METADATA!$B$4,DATOS!$I$2:$I$20000,"Lenguaje Musical"),""))</f>
        <v/>
      </c>
      <c r="U697" t="str">
        <f>IF(S697="","",IFERROR(AVERAGEIFS(DATOS!$K$2:$K$20000,DATOS!$A$2:$A$20000,S697,DATOS!$G$2:$G$20000,CONFIG_METADATA!$B$4,DATOS!$I$2:$I$20000,"Coro"),""))</f>
        <v/>
      </c>
      <c r="V697" t="str">
        <f>IF(S697="","",IFERROR(AVERAGEIFS(DATOS!$K$2:$K$20000,DATOS!$A$2:$A$20000,S697,DATOS!$G$2:$G$20000,CONFIG_METADATA!$B$4,DATOS!$I$2:$I$20000,"Conjunto"),""))</f>
        <v/>
      </c>
      <c r="W697" t="str" cm="1">
        <f t="array" ref="W697">IF(S697="","",IFERROR(AVERAGE(IF((DATOS!$A$2:$A$20000=S697)*(DATOS!$G$2:$G$20000=CONFIG_METADATA!$B$4)*(DATOS!$I$2:$I$20000&lt;&gt;"Lenguaje Musical")*(DATOS!$I$2:$I$20000&lt;&gt;"Coro")*(DATOS!$I$2:$I$20000&lt;&gt;"Conjunto"),DATOS!$K$2:$K$20000)),""))</f>
        <v/>
      </c>
    </row>
    <row r="698" spans="2:23" x14ac:dyDescent="0.2">
      <c r="B698" t="str">
        <f>IF(A698="","",IFERROR(AVERAGEIFS(DATOS!$K$2:$K$20000,DATOS!$A$2:$A$20000,A698,DATOS!$G$2:$G$20000,CONFIG_METADATA!$B$4,DATOS!$I$2:$I$20000,"Lenguaje Musical"),""))</f>
        <v/>
      </c>
      <c r="C698" t="str">
        <f>IF(A698="","",IFERROR(AVERAGEIFS(DATOS!$K$2:$K$20000,DATOS!$A$2:$A$20000,A698,DATOS!$G$2:$G$20000,CONFIG_METADATA!$B$4,DATOS!$I$2:$I$20000,"Coro"),""))</f>
        <v/>
      </c>
      <c r="D698" t="str">
        <f>IF(A698="","",IFERROR(AVERAGEIFS(DATOS!$K$2:$K$20000,DATOS!$A$2:$A$20000,A698,DATOS!$G$2:$G$20000,CONFIG_METADATA!$B$4,DATOS!$I$2:$I$20000,"Conjunto"),""))</f>
        <v/>
      </c>
      <c r="E698" t="str">
        <f>IF(A698="","",IFERROR(AVERAGEIFS(DATOS!$K$2:$K$20000,DATOS!$A$2:$A$20000,A698,DATOS!$G$2:$G$20000,CONFIG_METADATA!$B$4,DATOS!$I$2:$I$20000,"&lt;&gt;Lenguaje Musical",DATOS!$I$2:$I$20000,"&lt;&gt;Coro",DATOS!$I$2:$I$20000,"&lt;&gt;Conjunto"),""))</f>
        <v/>
      </c>
      <c r="H698" t="str">
        <f>IF(G698="","",IFERROR(AVERAGEIFS(DATOS!$K$2:$K$20000,DATOS!$A$2:$A$20000,G698,DATOS!$G$2:$G$20000,CONFIG_METADATA!$B$4,DATOS!$I$2:$I$20000,"Lenguaje Musical"),""))</f>
        <v/>
      </c>
      <c r="I698" t="str">
        <f>IF(G698="","",IFERROR(AVERAGEIFS(DATOS!$K$2:$K$20000,DATOS!$A$2:$A$20000,G698,DATOS!$G$2:$G$20000,CONFIG_METADATA!$B$4,DATOS!$I$2:$I$20000,"Coro"),""))</f>
        <v/>
      </c>
      <c r="J698" t="str">
        <f>IF(G698="","",IFERROR(AVERAGEIFS(DATOS!$K$2:$K$20000,DATOS!$A$2:$A$20000,G698,DATOS!$G$2:$G$20000,CONFIG_METADATA!$B$4,DATOS!$I$2:$I$20000,"Conjunto"),""))</f>
        <v/>
      </c>
      <c r="K698" t="str" cm="1">
        <f t="array" ref="K698">IF(G698="","",IFERROR(AVERAGE(IF((DATOS!$A$2:$A$20000=G698)*(DATOS!$G$2:$G$20000=CONFIG_METADATA!$B$4)*(DATOS!$I$2:$I$20000&lt;&gt;"Lenguaje Musical")*(DATOS!$I$2:$I$20000&lt;&gt;"Coro")*(DATOS!$I$2:$I$20000&lt;&gt;"Conjunto"),DATOS!$K$2:$K$20000)),""))</f>
        <v/>
      </c>
      <c r="N698" t="str">
        <f>IF(M698="","",IFERROR(AVERAGEIFS(DATOS!$K$2:$K$20000,DATOS!$A$2:$A$20000,M698,DATOS!$G$2:$G$20000,CONFIG_METADATA!$B$4,DATOS!$I$2:$I$20000,"Lenguaje Musical"),""))</f>
        <v/>
      </c>
      <c r="O698" t="str">
        <f>IF(M698="","",IFERROR(AVERAGEIFS(DATOS!$K$2:$K$20000,DATOS!$A$2:$A$20000,M698,DATOS!$G$2:$G$20000,CONFIG_METADATA!$B$4,DATOS!$I$2:$I$20000,"Coro"),""))</f>
        <v/>
      </c>
      <c r="P698" t="str">
        <f>IF(M698="","",IFERROR(AVERAGEIFS(DATOS!$K$2:$K$20000,DATOS!$A$2:$A$20000,M698,DATOS!$G$2:$G$20000,CONFIG_METADATA!$B$4,DATOS!$I$2:$I$20000,"Conjunto"),""))</f>
        <v/>
      </c>
      <c r="Q698" t="str">
        <f>IF(M698="","",IFERROR(AVERAGEIFS(DATOS!$K$2:$K$20000,DATOS!$A$2:$A$20000,M698,DATOS!$G$2:$G$20000,CONFIG_METADATA!$B$4,DATOS!$I$2:$I$20000,"&lt;&gt;Lenguaje Musical",DATOS!$I$2:$I$20000,"&lt;&gt;Coro",DATOS!$I$2:$I$20000,"&lt;&gt;Conjunto"),""))</f>
        <v/>
      </c>
      <c r="T698" t="str">
        <f>IF(S698="","",IFERROR(AVERAGEIFS(DATOS!$K$2:$K$20000,DATOS!$A$2:$A$20000,S698,DATOS!$G$2:$G$20000,CONFIG_METADATA!$B$4,DATOS!$I$2:$I$20000,"Lenguaje Musical"),""))</f>
        <v/>
      </c>
      <c r="U698" t="str">
        <f>IF(S698="","",IFERROR(AVERAGEIFS(DATOS!$K$2:$K$20000,DATOS!$A$2:$A$20000,S698,DATOS!$G$2:$G$20000,CONFIG_METADATA!$B$4,DATOS!$I$2:$I$20000,"Coro"),""))</f>
        <v/>
      </c>
      <c r="V698" t="str">
        <f>IF(S698="","",IFERROR(AVERAGEIFS(DATOS!$K$2:$K$20000,DATOS!$A$2:$A$20000,S698,DATOS!$G$2:$G$20000,CONFIG_METADATA!$B$4,DATOS!$I$2:$I$20000,"Conjunto"),""))</f>
        <v/>
      </c>
      <c r="W698" t="str" cm="1">
        <f t="array" ref="W698">IF(S698="","",IFERROR(AVERAGE(IF((DATOS!$A$2:$A$20000=S698)*(DATOS!$G$2:$G$20000=CONFIG_METADATA!$B$4)*(DATOS!$I$2:$I$20000&lt;&gt;"Lenguaje Musical")*(DATOS!$I$2:$I$20000&lt;&gt;"Coro")*(DATOS!$I$2:$I$20000&lt;&gt;"Conjunto"),DATOS!$K$2:$K$20000)),""))</f>
        <v/>
      </c>
    </row>
    <row r="699" spans="2:23" x14ac:dyDescent="0.2">
      <c r="B699" t="str">
        <f>IF(A699="","",IFERROR(AVERAGEIFS(DATOS!$K$2:$K$20000,DATOS!$A$2:$A$20000,A699,DATOS!$G$2:$G$20000,CONFIG_METADATA!$B$4,DATOS!$I$2:$I$20000,"Lenguaje Musical"),""))</f>
        <v/>
      </c>
      <c r="C699" t="str">
        <f>IF(A699="","",IFERROR(AVERAGEIFS(DATOS!$K$2:$K$20000,DATOS!$A$2:$A$20000,A699,DATOS!$G$2:$G$20000,CONFIG_METADATA!$B$4,DATOS!$I$2:$I$20000,"Coro"),""))</f>
        <v/>
      </c>
      <c r="D699" t="str">
        <f>IF(A699="","",IFERROR(AVERAGEIFS(DATOS!$K$2:$K$20000,DATOS!$A$2:$A$20000,A699,DATOS!$G$2:$G$20000,CONFIG_METADATA!$B$4,DATOS!$I$2:$I$20000,"Conjunto"),""))</f>
        <v/>
      </c>
      <c r="E699" t="str">
        <f>IF(A699="","",IFERROR(AVERAGEIFS(DATOS!$K$2:$K$20000,DATOS!$A$2:$A$20000,A699,DATOS!$G$2:$G$20000,CONFIG_METADATA!$B$4,DATOS!$I$2:$I$20000,"&lt;&gt;Lenguaje Musical",DATOS!$I$2:$I$20000,"&lt;&gt;Coro",DATOS!$I$2:$I$20000,"&lt;&gt;Conjunto"),""))</f>
        <v/>
      </c>
      <c r="H699" t="str">
        <f>IF(G699="","",IFERROR(AVERAGEIFS(DATOS!$K$2:$K$20000,DATOS!$A$2:$A$20000,G699,DATOS!$G$2:$G$20000,CONFIG_METADATA!$B$4,DATOS!$I$2:$I$20000,"Lenguaje Musical"),""))</f>
        <v/>
      </c>
      <c r="I699" t="str">
        <f>IF(G699="","",IFERROR(AVERAGEIFS(DATOS!$K$2:$K$20000,DATOS!$A$2:$A$20000,G699,DATOS!$G$2:$G$20000,CONFIG_METADATA!$B$4,DATOS!$I$2:$I$20000,"Coro"),""))</f>
        <v/>
      </c>
      <c r="J699" t="str">
        <f>IF(G699="","",IFERROR(AVERAGEIFS(DATOS!$K$2:$K$20000,DATOS!$A$2:$A$20000,G699,DATOS!$G$2:$G$20000,CONFIG_METADATA!$B$4,DATOS!$I$2:$I$20000,"Conjunto"),""))</f>
        <v/>
      </c>
      <c r="K699" t="str" cm="1">
        <f t="array" ref="K699">IF(G699="","",IFERROR(AVERAGE(IF((DATOS!$A$2:$A$20000=G699)*(DATOS!$G$2:$G$20000=CONFIG_METADATA!$B$4)*(DATOS!$I$2:$I$20000&lt;&gt;"Lenguaje Musical")*(DATOS!$I$2:$I$20000&lt;&gt;"Coro")*(DATOS!$I$2:$I$20000&lt;&gt;"Conjunto"),DATOS!$K$2:$K$20000)),""))</f>
        <v/>
      </c>
      <c r="N699" t="str">
        <f>IF(M699="","",IFERROR(AVERAGEIFS(DATOS!$K$2:$K$20000,DATOS!$A$2:$A$20000,M699,DATOS!$G$2:$G$20000,CONFIG_METADATA!$B$4,DATOS!$I$2:$I$20000,"Lenguaje Musical"),""))</f>
        <v/>
      </c>
      <c r="O699" t="str">
        <f>IF(M699="","",IFERROR(AVERAGEIFS(DATOS!$K$2:$K$20000,DATOS!$A$2:$A$20000,M699,DATOS!$G$2:$G$20000,CONFIG_METADATA!$B$4,DATOS!$I$2:$I$20000,"Coro"),""))</f>
        <v/>
      </c>
      <c r="P699" t="str">
        <f>IF(M699="","",IFERROR(AVERAGEIFS(DATOS!$K$2:$K$20000,DATOS!$A$2:$A$20000,M699,DATOS!$G$2:$G$20000,CONFIG_METADATA!$B$4,DATOS!$I$2:$I$20000,"Conjunto"),""))</f>
        <v/>
      </c>
      <c r="Q699" t="str">
        <f>IF(M699="","",IFERROR(AVERAGEIFS(DATOS!$K$2:$K$20000,DATOS!$A$2:$A$20000,M699,DATOS!$G$2:$G$20000,CONFIG_METADATA!$B$4,DATOS!$I$2:$I$20000,"&lt;&gt;Lenguaje Musical",DATOS!$I$2:$I$20000,"&lt;&gt;Coro",DATOS!$I$2:$I$20000,"&lt;&gt;Conjunto"),""))</f>
        <v/>
      </c>
      <c r="T699" t="str">
        <f>IF(S699="","",IFERROR(AVERAGEIFS(DATOS!$K$2:$K$20000,DATOS!$A$2:$A$20000,S699,DATOS!$G$2:$G$20000,CONFIG_METADATA!$B$4,DATOS!$I$2:$I$20000,"Lenguaje Musical"),""))</f>
        <v/>
      </c>
      <c r="U699" t="str">
        <f>IF(S699="","",IFERROR(AVERAGEIFS(DATOS!$K$2:$K$20000,DATOS!$A$2:$A$20000,S699,DATOS!$G$2:$G$20000,CONFIG_METADATA!$B$4,DATOS!$I$2:$I$20000,"Coro"),""))</f>
        <v/>
      </c>
      <c r="V699" t="str">
        <f>IF(S699="","",IFERROR(AVERAGEIFS(DATOS!$K$2:$K$20000,DATOS!$A$2:$A$20000,S699,DATOS!$G$2:$G$20000,CONFIG_METADATA!$B$4,DATOS!$I$2:$I$20000,"Conjunto"),""))</f>
        <v/>
      </c>
      <c r="W699" t="str" cm="1">
        <f t="array" ref="W699">IF(S699="","",IFERROR(AVERAGE(IF((DATOS!$A$2:$A$20000=S699)*(DATOS!$G$2:$G$20000=CONFIG_METADATA!$B$4)*(DATOS!$I$2:$I$20000&lt;&gt;"Lenguaje Musical")*(DATOS!$I$2:$I$20000&lt;&gt;"Coro")*(DATOS!$I$2:$I$20000&lt;&gt;"Conjunto"),DATOS!$K$2:$K$20000)),""))</f>
        <v/>
      </c>
    </row>
    <row r="700" spans="2:23" x14ac:dyDescent="0.2">
      <c r="B700" t="str">
        <f>IF(A700="","",IFERROR(AVERAGEIFS(DATOS!$K$2:$K$20000,DATOS!$A$2:$A$20000,A700,DATOS!$G$2:$G$20000,CONFIG_METADATA!$B$4,DATOS!$I$2:$I$20000,"Lenguaje Musical"),""))</f>
        <v/>
      </c>
      <c r="C700" t="str">
        <f>IF(A700="","",IFERROR(AVERAGEIFS(DATOS!$K$2:$K$20000,DATOS!$A$2:$A$20000,A700,DATOS!$G$2:$G$20000,CONFIG_METADATA!$B$4,DATOS!$I$2:$I$20000,"Coro"),""))</f>
        <v/>
      </c>
      <c r="D700" t="str">
        <f>IF(A700="","",IFERROR(AVERAGEIFS(DATOS!$K$2:$K$20000,DATOS!$A$2:$A$20000,A700,DATOS!$G$2:$G$20000,CONFIG_METADATA!$B$4,DATOS!$I$2:$I$20000,"Conjunto"),""))</f>
        <v/>
      </c>
      <c r="E700" t="str">
        <f>IF(A700="","",IFERROR(AVERAGEIFS(DATOS!$K$2:$K$20000,DATOS!$A$2:$A$20000,A700,DATOS!$G$2:$G$20000,CONFIG_METADATA!$B$4,DATOS!$I$2:$I$20000,"&lt;&gt;Lenguaje Musical",DATOS!$I$2:$I$20000,"&lt;&gt;Coro",DATOS!$I$2:$I$20000,"&lt;&gt;Conjunto"),""))</f>
        <v/>
      </c>
      <c r="H700" t="str">
        <f>IF(G700="","",IFERROR(AVERAGEIFS(DATOS!$K$2:$K$20000,DATOS!$A$2:$A$20000,G700,DATOS!$G$2:$G$20000,CONFIG_METADATA!$B$4,DATOS!$I$2:$I$20000,"Lenguaje Musical"),""))</f>
        <v/>
      </c>
      <c r="I700" t="str">
        <f>IF(G700="","",IFERROR(AVERAGEIFS(DATOS!$K$2:$K$20000,DATOS!$A$2:$A$20000,G700,DATOS!$G$2:$G$20000,CONFIG_METADATA!$B$4,DATOS!$I$2:$I$20000,"Coro"),""))</f>
        <v/>
      </c>
      <c r="J700" t="str">
        <f>IF(G700="","",IFERROR(AVERAGEIFS(DATOS!$K$2:$K$20000,DATOS!$A$2:$A$20000,G700,DATOS!$G$2:$G$20000,CONFIG_METADATA!$B$4,DATOS!$I$2:$I$20000,"Conjunto"),""))</f>
        <v/>
      </c>
      <c r="K700" t="str" cm="1">
        <f t="array" ref="K700">IF(G700="","",IFERROR(AVERAGE(IF((DATOS!$A$2:$A$20000=G700)*(DATOS!$G$2:$G$20000=CONFIG_METADATA!$B$4)*(DATOS!$I$2:$I$20000&lt;&gt;"Lenguaje Musical")*(DATOS!$I$2:$I$20000&lt;&gt;"Coro")*(DATOS!$I$2:$I$20000&lt;&gt;"Conjunto"),DATOS!$K$2:$K$20000)),""))</f>
        <v/>
      </c>
      <c r="N700" t="str">
        <f>IF(M700="","",IFERROR(AVERAGEIFS(DATOS!$K$2:$K$20000,DATOS!$A$2:$A$20000,M700,DATOS!$G$2:$G$20000,CONFIG_METADATA!$B$4,DATOS!$I$2:$I$20000,"Lenguaje Musical"),""))</f>
        <v/>
      </c>
      <c r="O700" t="str">
        <f>IF(M700="","",IFERROR(AVERAGEIFS(DATOS!$K$2:$K$20000,DATOS!$A$2:$A$20000,M700,DATOS!$G$2:$G$20000,CONFIG_METADATA!$B$4,DATOS!$I$2:$I$20000,"Coro"),""))</f>
        <v/>
      </c>
      <c r="P700" t="str">
        <f>IF(M700="","",IFERROR(AVERAGEIFS(DATOS!$K$2:$K$20000,DATOS!$A$2:$A$20000,M700,DATOS!$G$2:$G$20000,CONFIG_METADATA!$B$4,DATOS!$I$2:$I$20000,"Conjunto"),""))</f>
        <v/>
      </c>
      <c r="Q700" t="str">
        <f>IF(M700="","",IFERROR(AVERAGEIFS(DATOS!$K$2:$K$20000,DATOS!$A$2:$A$20000,M700,DATOS!$G$2:$G$20000,CONFIG_METADATA!$B$4,DATOS!$I$2:$I$20000,"&lt;&gt;Lenguaje Musical",DATOS!$I$2:$I$20000,"&lt;&gt;Coro",DATOS!$I$2:$I$20000,"&lt;&gt;Conjunto"),""))</f>
        <v/>
      </c>
      <c r="T700" t="str">
        <f>IF(S700="","",IFERROR(AVERAGEIFS(DATOS!$K$2:$K$20000,DATOS!$A$2:$A$20000,S700,DATOS!$G$2:$G$20000,CONFIG_METADATA!$B$4,DATOS!$I$2:$I$20000,"Lenguaje Musical"),""))</f>
        <v/>
      </c>
      <c r="U700" t="str">
        <f>IF(S700="","",IFERROR(AVERAGEIFS(DATOS!$K$2:$K$20000,DATOS!$A$2:$A$20000,S700,DATOS!$G$2:$G$20000,CONFIG_METADATA!$B$4,DATOS!$I$2:$I$20000,"Coro"),""))</f>
        <v/>
      </c>
      <c r="V700" t="str">
        <f>IF(S700="","",IFERROR(AVERAGEIFS(DATOS!$K$2:$K$20000,DATOS!$A$2:$A$20000,S700,DATOS!$G$2:$G$20000,CONFIG_METADATA!$B$4,DATOS!$I$2:$I$20000,"Conjunto"),""))</f>
        <v/>
      </c>
      <c r="W700" t="str" cm="1">
        <f t="array" ref="W700">IF(S700="","",IFERROR(AVERAGE(IF((DATOS!$A$2:$A$20000=S700)*(DATOS!$G$2:$G$20000=CONFIG_METADATA!$B$4)*(DATOS!$I$2:$I$20000&lt;&gt;"Lenguaje Musical")*(DATOS!$I$2:$I$20000&lt;&gt;"Coro")*(DATOS!$I$2:$I$20000&lt;&gt;"Conjunto"),DATOS!$K$2:$K$20000)),""))</f>
        <v/>
      </c>
    </row>
    <row r="701" spans="2:23" x14ac:dyDescent="0.2">
      <c r="B701" t="str">
        <f>IF(A701="","",IFERROR(AVERAGEIFS(DATOS!$K$2:$K$20000,DATOS!$A$2:$A$20000,A701,DATOS!$G$2:$G$20000,CONFIG_METADATA!$B$4,DATOS!$I$2:$I$20000,"Lenguaje Musical"),""))</f>
        <v/>
      </c>
      <c r="C701" t="str">
        <f>IF(A701="","",IFERROR(AVERAGEIFS(DATOS!$K$2:$K$20000,DATOS!$A$2:$A$20000,A701,DATOS!$G$2:$G$20000,CONFIG_METADATA!$B$4,DATOS!$I$2:$I$20000,"Coro"),""))</f>
        <v/>
      </c>
      <c r="D701" t="str">
        <f>IF(A701="","",IFERROR(AVERAGEIFS(DATOS!$K$2:$K$20000,DATOS!$A$2:$A$20000,A701,DATOS!$G$2:$G$20000,CONFIG_METADATA!$B$4,DATOS!$I$2:$I$20000,"Conjunto"),""))</f>
        <v/>
      </c>
      <c r="E701" t="str">
        <f>IF(A701="","",IFERROR(AVERAGEIFS(DATOS!$K$2:$K$20000,DATOS!$A$2:$A$20000,A701,DATOS!$G$2:$G$20000,CONFIG_METADATA!$B$4,DATOS!$I$2:$I$20000,"&lt;&gt;Lenguaje Musical",DATOS!$I$2:$I$20000,"&lt;&gt;Coro",DATOS!$I$2:$I$20000,"&lt;&gt;Conjunto"),""))</f>
        <v/>
      </c>
      <c r="H701" t="str">
        <f>IF(G701="","",IFERROR(AVERAGEIFS(DATOS!$K$2:$K$20000,DATOS!$A$2:$A$20000,G701,DATOS!$G$2:$G$20000,CONFIG_METADATA!$B$4,DATOS!$I$2:$I$20000,"Lenguaje Musical"),""))</f>
        <v/>
      </c>
      <c r="I701" t="str">
        <f>IF(G701="","",IFERROR(AVERAGEIFS(DATOS!$K$2:$K$20000,DATOS!$A$2:$A$20000,G701,DATOS!$G$2:$G$20000,CONFIG_METADATA!$B$4,DATOS!$I$2:$I$20000,"Coro"),""))</f>
        <v/>
      </c>
      <c r="J701" t="str">
        <f>IF(G701="","",IFERROR(AVERAGEIFS(DATOS!$K$2:$K$20000,DATOS!$A$2:$A$20000,G701,DATOS!$G$2:$G$20000,CONFIG_METADATA!$B$4,DATOS!$I$2:$I$20000,"Conjunto"),""))</f>
        <v/>
      </c>
      <c r="K701" t="str" cm="1">
        <f t="array" ref="K701">IF(G701="","",IFERROR(AVERAGE(IF((DATOS!$A$2:$A$20000=G701)*(DATOS!$G$2:$G$20000=CONFIG_METADATA!$B$4)*(DATOS!$I$2:$I$20000&lt;&gt;"Lenguaje Musical")*(DATOS!$I$2:$I$20000&lt;&gt;"Coro")*(DATOS!$I$2:$I$20000&lt;&gt;"Conjunto"),DATOS!$K$2:$K$20000)),""))</f>
        <v/>
      </c>
      <c r="N701" t="str">
        <f>IF(M701="","",IFERROR(AVERAGEIFS(DATOS!$K$2:$K$20000,DATOS!$A$2:$A$20000,M701,DATOS!$G$2:$G$20000,CONFIG_METADATA!$B$4,DATOS!$I$2:$I$20000,"Lenguaje Musical"),""))</f>
        <v/>
      </c>
      <c r="O701" t="str">
        <f>IF(M701="","",IFERROR(AVERAGEIFS(DATOS!$K$2:$K$20000,DATOS!$A$2:$A$20000,M701,DATOS!$G$2:$G$20000,CONFIG_METADATA!$B$4,DATOS!$I$2:$I$20000,"Coro"),""))</f>
        <v/>
      </c>
      <c r="P701" t="str">
        <f>IF(M701="","",IFERROR(AVERAGEIFS(DATOS!$K$2:$K$20000,DATOS!$A$2:$A$20000,M701,DATOS!$G$2:$G$20000,CONFIG_METADATA!$B$4,DATOS!$I$2:$I$20000,"Conjunto"),""))</f>
        <v/>
      </c>
      <c r="Q701" t="str">
        <f>IF(M701="","",IFERROR(AVERAGEIFS(DATOS!$K$2:$K$20000,DATOS!$A$2:$A$20000,M701,DATOS!$G$2:$G$20000,CONFIG_METADATA!$B$4,DATOS!$I$2:$I$20000,"&lt;&gt;Lenguaje Musical",DATOS!$I$2:$I$20000,"&lt;&gt;Coro",DATOS!$I$2:$I$20000,"&lt;&gt;Conjunto"),""))</f>
        <v/>
      </c>
      <c r="T701" t="str">
        <f>IF(S701="","",IFERROR(AVERAGEIFS(DATOS!$K$2:$K$20000,DATOS!$A$2:$A$20000,S701,DATOS!$G$2:$G$20000,CONFIG_METADATA!$B$4,DATOS!$I$2:$I$20000,"Lenguaje Musical"),""))</f>
        <v/>
      </c>
      <c r="U701" t="str">
        <f>IF(S701="","",IFERROR(AVERAGEIFS(DATOS!$K$2:$K$20000,DATOS!$A$2:$A$20000,S701,DATOS!$G$2:$G$20000,CONFIG_METADATA!$B$4,DATOS!$I$2:$I$20000,"Coro"),""))</f>
        <v/>
      </c>
      <c r="V701" t="str">
        <f>IF(S701="","",IFERROR(AVERAGEIFS(DATOS!$K$2:$K$20000,DATOS!$A$2:$A$20000,S701,DATOS!$G$2:$G$20000,CONFIG_METADATA!$B$4,DATOS!$I$2:$I$20000,"Conjunto"),""))</f>
        <v/>
      </c>
      <c r="W701" t="str" cm="1">
        <f t="array" ref="W701">IF(S701="","",IFERROR(AVERAGE(IF((DATOS!$A$2:$A$20000=S701)*(DATOS!$G$2:$G$20000=CONFIG_METADATA!$B$4)*(DATOS!$I$2:$I$20000&lt;&gt;"Lenguaje Musical")*(DATOS!$I$2:$I$20000&lt;&gt;"Coro")*(DATOS!$I$2:$I$20000&lt;&gt;"Conjunto"),DATOS!$K$2:$K$20000)),""))</f>
        <v/>
      </c>
    </row>
    <row r="702" spans="2:23" x14ac:dyDescent="0.2">
      <c r="B702" t="str">
        <f>IF(A702="","",IFERROR(AVERAGEIFS(DATOS!$K$2:$K$20000,DATOS!$A$2:$A$20000,A702,DATOS!$G$2:$G$20000,CONFIG_METADATA!$B$4,DATOS!$I$2:$I$20000,"Lenguaje Musical"),""))</f>
        <v/>
      </c>
      <c r="C702" t="str">
        <f>IF(A702="","",IFERROR(AVERAGEIFS(DATOS!$K$2:$K$20000,DATOS!$A$2:$A$20000,A702,DATOS!$G$2:$G$20000,CONFIG_METADATA!$B$4,DATOS!$I$2:$I$20000,"Coro"),""))</f>
        <v/>
      </c>
      <c r="D702" t="str">
        <f>IF(A702="","",IFERROR(AVERAGEIFS(DATOS!$K$2:$K$20000,DATOS!$A$2:$A$20000,A702,DATOS!$G$2:$G$20000,CONFIG_METADATA!$B$4,DATOS!$I$2:$I$20000,"Conjunto"),""))</f>
        <v/>
      </c>
      <c r="E702" t="str">
        <f>IF(A702="","",IFERROR(AVERAGEIFS(DATOS!$K$2:$K$20000,DATOS!$A$2:$A$20000,A702,DATOS!$G$2:$G$20000,CONFIG_METADATA!$B$4,DATOS!$I$2:$I$20000,"&lt;&gt;Lenguaje Musical",DATOS!$I$2:$I$20000,"&lt;&gt;Coro",DATOS!$I$2:$I$20000,"&lt;&gt;Conjunto"),""))</f>
        <v/>
      </c>
      <c r="H702" t="str">
        <f>IF(G702="","",IFERROR(AVERAGEIFS(DATOS!$K$2:$K$20000,DATOS!$A$2:$A$20000,G702,DATOS!$G$2:$G$20000,CONFIG_METADATA!$B$4,DATOS!$I$2:$I$20000,"Lenguaje Musical"),""))</f>
        <v/>
      </c>
      <c r="I702" t="str">
        <f>IF(G702="","",IFERROR(AVERAGEIFS(DATOS!$K$2:$K$20000,DATOS!$A$2:$A$20000,G702,DATOS!$G$2:$G$20000,CONFIG_METADATA!$B$4,DATOS!$I$2:$I$20000,"Coro"),""))</f>
        <v/>
      </c>
      <c r="J702" t="str">
        <f>IF(G702="","",IFERROR(AVERAGEIFS(DATOS!$K$2:$K$20000,DATOS!$A$2:$A$20000,G702,DATOS!$G$2:$G$20000,CONFIG_METADATA!$B$4,DATOS!$I$2:$I$20000,"Conjunto"),""))</f>
        <v/>
      </c>
      <c r="K702" t="str" cm="1">
        <f t="array" ref="K702">IF(G702="","",IFERROR(AVERAGE(IF((DATOS!$A$2:$A$20000=G702)*(DATOS!$G$2:$G$20000=CONFIG_METADATA!$B$4)*(DATOS!$I$2:$I$20000&lt;&gt;"Lenguaje Musical")*(DATOS!$I$2:$I$20000&lt;&gt;"Coro")*(DATOS!$I$2:$I$20000&lt;&gt;"Conjunto"),DATOS!$K$2:$K$20000)),""))</f>
        <v/>
      </c>
      <c r="N702" t="str">
        <f>IF(M702="","",IFERROR(AVERAGEIFS(DATOS!$K$2:$K$20000,DATOS!$A$2:$A$20000,M702,DATOS!$G$2:$G$20000,CONFIG_METADATA!$B$4,DATOS!$I$2:$I$20000,"Lenguaje Musical"),""))</f>
        <v/>
      </c>
      <c r="O702" t="str">
        <f>IF(M702="","",IFERROR(AVERAGEIFS(DATOS!$K$2:$K$20000,DATOS!$A$2:$A$20000,M702,DATOS!$G$2:$G$20000,CONFIG_METADATA!$B$4,DATOS!$I$2:$I$20000,"Coro"),""))</f>
        <v/>
      </c>
      <c r="P702" t="str">
        <f>IF(M702="","",IFERROR(AVERAGEIFS(DATOS!$K$2:$K$20000,DATOS!$A$2:$A$20000,M702,DATOS!$G$2:$G$20000,CONFIG_METADATA!$B$4,DATOS!$I$2:$I$20000,"Conjunto"),""))</f>
        <v/>
      </c>
      <c r="Q702" t="str">
        <f>IF(M702="","",IFERROR(AVERAGEIFS(DATOS!$K$2:$K$20000,DATOS!$A$2:$A$20000,M702,DATOS!$G$2:$G$20000,CONFIG_METADATA!$B$4,DATOS!$I$2:$I$20000,"&lt;&gt;Lenguaje Musical",DATOS!$I$2:$I$20000,"&lt;&gt;Coro",DATOS!$I$2:$I$20000,"&lt;&gt;Conjunto"),""))</f>
        <v/>
      </c>
      <c r="T702" t="str">
        <f>IF(S702="","",IFERROR(AVERAGEIFS(DATOS!$K$2:$K$20000,DATOS!$A$2:$A$20000,S702,DATOS!$G$2:$G$20000,CONFIG_METADATA!$B$4,DATOS!$I$2:$I$20000,"Lenguaje Musical"),""))</f>
        <v/>
      </c>
      <c r="U702" t="str">
        <f>IF(S702="","",IFERROR(AVERAGEIFS(DATOS!$K$2:$K$20000,DATOS!$A$2:$A$20000,S702,DATOS!$G$2:$G$20000,CONFIG_METADATA!$B$4,DATOS!$I$2:$I$20000,"Coro"),""))</f>
        <v/>
      </c>
      <c r="V702" t="str">
        <f>IF(S702="","",IFERROR(AVERAGEIFS(DATOS!$K$2:$K$20000,DATOS!$A$2:$A$20000,S702,DATOS!$G$2:$G$20000,CONFIG_METADATA!$B$4,DATOS!$I$2:$I$20000,"Conjunto"),""))</f>
        <v/>
      </c>
      <c r="W702" t="str" cm="1">
        <f t="array" ref="W702">IF(S702="","",IFERROR(AVERAGE(IF((DATOS!$A$2:$A$20000=S702)*(DATOS!$G$2:$G$20000=CONFIG_METADATA!$B$4)*(DATOS!$I$2:$I$20000&lt;&gt;"Lenguaje Musical")*(DATOS!$I$2:$I$20000&lt;&gt;"Coro")*(DATOS!$I$2:$I$20000&lt;&gt;"Conjunto"),DATOS!$K$2:$K$20000)),""))</f>
        <v/>
      </c>
    </row>
    <row r="703" spans="2:23" x14ac:dyDescent="0.2">
      <c r="B703" t="str">
        <f>IF(A703="","",IFERROR(AVERAGEIFS(DATOS!$K$2:$K$20000,DATOS!$A$2:$A$20000,A703,DATOS!$G$2:$G$20000,CONFIG_METADATA!$B$4,DATOS!$I$2:$I$20000,"Lenguaje Musical"),""))</f>
        <v/>
      </c>
      <c r="C703" t="str">
        <f>IF(A703="","",IFERROR(AVERAGEIFS(DATOS!$K$2:$K$20000,DATOS!$A$2:$A$20000,A703,DATOS!$G$2:$G$20000,CONFIG_METADATA!$B$4,DATOS!$I$2:$I$20000,"Coro"),""))</f>
        <v/>
      </c>
      <c r="D703" t="str">
        <f>IF(A703="","",IFERROR(AVERAGEIFS(DATOS!$K$2:$K$20000,DATOS!$A$2:$A$20000,A703,DATOS!$G$2:$G$20000,CONFIG_METADATA!$B$4,DATOS!$I$2:$I$20000,"Conjunto"),""))</f>
        <v/>
      </c>
      <c r="E703" t="str">
        <f>IF(A703="","",IFERROR(AVERAGEIFS(DATOS!$K$2:$K$20000,DATOS!$A$2:$A$20000,A703,DATOS!$G$2:$G$20000,CONFIG_METADATA!$B$4,DATOS!$I$2:$I$20000,"&lt;&gt;Lenguaje Musical",DATOS!$I$2:$I$20000,"&lt;&gt;Coro",DATOS!$I$2:$I$20000,"&lt;&gt;Conjunto"),""))</f>
        <v/>
      </c>
      <c r="H703" t="str">
        <f>IF(G703="","",IFERROR(AVERAGEIFS(DATOS!$K$2:$K$20000,DATOS!$A$2:$A$20000,G703,DATOS!$G$2:$G$20000,CONFIG_METADATA!$B$4,DATOS!$I$2:$I$20000,"Lenguaje Musical"),""))</f>
        <v/>
      </c>
      <c r="I703" t="str">
        <f>IF(G703="","",IFERROR(AVERAGEIFS(DATOS!$K$2:$K$20000,DATOS!$A$2:$A$20000,G703,DATOS!$G$2:$G$20000,CONFIG_METADATA!$B$4,DATOS!$I$2:$I$20000,"Coro"),""))</f>
        <v/>
      </c>
      <c r="J703" t="str">
        <f>IF(G703="","",IFERROR(AVERAGEIFS(DATOS!$K$2:$K$20000,DATOS!$A$2:$A$20000,G703,DATOS!$G$2:$G$20000,CONFIG_METADATA!$B$4,DATOS!$I$2:$I$20000,"Conjunto"),""))</f>
        <v/>
      </c>
      <c r="K703" t="str" cm="1">
        <f t="array" ref="K703">IF(G703="","",IFERROR(AVERAGE(IF((DATOS!$A$2:$A$20000=G703)*(DATOS!$G$2:$G$20000=CONFIG_METADATA!$B$4)*(DATOS!$I$2:$I$20000&lt;&gt;"Lenguaje Musical")*(DATOS!$I$2:$I$20000&lt;&gt;"Coro")*(DATOS!$I$2:$I$20000&lt;&gt;"Conjunto"),DATOS!$K$2:$K$20000)),""))</f>
        <v/>
      </c>
      <c r="N703" t="str">
        <f>IF(M703="","",IFERROR(AVERAGEIFS(DATOS!$K$2:$K$20000,DATOS!$A$2:$A$20000,M703,DATOS!$G$2:$G$20000,CONFIG_METADATA!$B$4,DATOS!$I$2:$I$20000,"Lenguaje Musical"),""))</f>
        <v/>
      </c>
      <c r="O703" t="str">
        <f>IF(M703="","",IFERROR(AVERAGEIFS(DATOS!$K$2:$K$20000,DATOS!$A$2:$A$20000,M703,DATOS!$G$2:$G$20000,CONFIG_METADATA!$B$4,DATOS!$I$2:$I$20000,"Coro"),""))</f>
        <v/>
      </c>
      <c r="P703" t="str">
        <f>IF(M703="","",IFERROR(AVERAGEIFS(DATOS!$K$2:$K$20000,DATOS!$A$2:$A$20000,M703,DATOS!$G$2:$G$20000,CONFIG_METADATA!$B$4,DATOS!$I$2:$I$20000,"Conjunto"),""))</f>
        <v/>
      </c>
      <c r="Q703" t="str">
        <f>IF(M703="","",IFERROR(AVERAGEIFS(DATOS!$K$2:$K$20000,DATOS!$A$2:$A$20000,M703,DATOS!$G$2:$G$20000,CONFIG_METADATA!$B$4,DATOS!$I$2:$I$20000,"&lt;&gt;Lenguaje Musical",DATOS!$I$2:$I$20000,"&lt;&gt;Coro",DATOS!$I$2:$I$20000,"&lt;&gt;Conjunto"),""))</f>
        <v/>
      </c>
      <c r="T703" t="str">
        <f>IF(S703="","",IFERROR(AVERAGEIFS(DATOS!$K$2:$K$20000,DATOS!$A$2:$A$20000,S703,DATOS!$G$2:$G$20000,CONFIG_METADATA!$B$4,DATOS!$I$2:$I$20000,"Lenguaje Musical"),""))</f>
        <v/>
      </c>
      <c r="U703" t="str">
        <f>IF(S703="","",IFERROR(AVERAGEIFS(DATOS!$K$2:$K$20000,DATOS!$A$2:$A$20000,S703,DATOS!$G$2:$G$20000,CONFIG_METADATA!$B$4,DATOS!$I$2:$I$20000,"Coro"),""))</f>
        <v/>
      </c>
      <c r="V703" t="str">
        <f>IF(S703="","",IFERROR(AVERAGEIFS(DATOS!$K$2:$K$20000,DATOS!$A$2:$A$20000,S703,DATOS!$G$2:$G$20000,CONFIG_METADATA!$B$4,DATOS!$I$2:$I$20000,"Conjunto"),""))</f>
        <v/>
      </c>
      <c r="W703" t="str" cm="1">
        <f t="array" ref="W703">IF(S703="","",IFERROR(AVERAGE(IF((DATOS!$A$2:$A$20000=S703)*(DATOS!$G$2:$G$20000=CONFIG_METADATA!$B$4)*(DATOS!$I$2:$I$20000&lt;&gt;"Lenguaje Musical")*(DATOS!$I$2:$I$20000&lt;&gt;"Coro")*(DATOS!$I$2:$I$20000&lt;&gt;"Conjunto"),DATOS!$K$2:$K$20000)),""))</f>
        <v/>
      </c>
    </row>
    <row r="704" spans="2:23" x14ac:dyDescent="0.2">
      <c r="B704" t="str">
        <f>IF(A704="","",IFERROR(AVERAGEIFS(DATOS!$K$2:$K$20000,DATOS!$A$2:$A$20000,A704,DATOS!$G$2:$G$20000,CONFIG_METADATA!$B$4,DATOS!$I$2:$I$20000,"Lenguaje Musical"),""))</f>
        <v/>
      </c>
      <c r="C704" t="str">
        <f>IF(A704="","",IFERROR(AVERAGEIFS(DATOS!$K$2:$K$20000,DATOS!$A$2:$A$20000,A704,DATOS!$G$2:$G$20000,CONFIG_METADATA!$B$4,DATOS!$I$2:$I$20000,"Coro"),""))</f>
        <v/>
      </c>
      <c r="D704" t="str">
        <f>IF(A704="","",IFERROR(AVERAGEIFS(DATOS!$K$2:$K$20000,DATOS!$A$2:$A$20000,A704,DATOS!$G$2:$G$20000,CONFIG_METADATA!$B$4,DATOS!$I$2:$I$20000,"Conjunto"),""))</f>
        <v/>
      </c>
      <c r="E704" t="str">
        <f>IF(A704="","",IFERROR(AVERAGEIFS(DATOS!$K$2:$K$20000,DATOS!$A$2:$A$20000,A704,DATOS!$G$2:$G$20000,CONFIG_METADATA!$B$4,DATOS!$I$2:$I$20000,"&lt;&gt;Lenguaje Musical",DATOS!$I$2:$I$20000,"&lt;&gt;Coro",DATOS!$I$2:$I$20000,"&lt;&gt;Conjunto"),""))</f>
        <v/>
      </c>
      <c r="H704" t="str">
        <f>IF(G704="","",IFERROR(AVERAGEIFS(DATOS!$K$2:$K$20000,DATOS!$A$2:$A$20000,G704,DATOS!$G$2:$G$20000,CONFIG_METADATA!$B$4,DATOS!$I$2:$I$20000,"Lenguaje Musical"),""))</f>
        <v/>
      </c>
      <c r="I704" t="str">
        <f>IF(G704="","",IFERROR(AVERAGEIFS(DATOS!$K$2:$K$20000,DATOS!$A$2:$A$20000,G704,DATOS!$G$2:$G$20000,CONFIG_METADATA!$B$4,DATOS!$I$2:$I$20000,"Coro"),""))</f>
        <v/>
      </c>
      <c r="J704" t="str">
        <f>IF(G704="","",IFERROR(AVERAGEIFS(DATOS!$K$2:$K$20000,DATOS!$A$2:$A$20000,G704,DATOS!$G$2:$G$20000,CONFIG_METADATA!$B$4,DATOS!$I$2:$I$20000,"Conjunto"),""))</f>
        <v/>
      </c>
      <c r="K704" t="str" cm="1">
        <f t="array" ref="K704">IF(G704="","",IFERROR(AVERAGE(IF((DATOS!$A$2:$A$20000=G704)*(DATOS!$G$2:$G$20000=CONFIG_METADATA!$B$4)*(DATOS!$I$2:$I$20000&lt;&gt;"Lenguaje Musical")*(DATOS!$I$2:$I$20000&lt;&gt;"Coro")*(DATOS!$I$2:$I$20000&lt;&gt;"Conjunto"),DATOS!$K$2:$K$20000)),""))</f>
        <v/>
      </c>
      <c r="N704" t="str">
        <f>IF(M704="","",IFERROR(AVERAGEIFS(DATOS!$K$2:$K$20000,DATOS!$A$2:$A$20000,M704,DATOS!$G$2:$G$20000,CONFIG_METADATA!$B$4,DATOS!$I$2:$I$20000,"Lenguaje Musical"),""))</f>
        <v/>
      </c>
      <c r="O704" t="str">
        <f>IF(M704="","",IFERROR(AVERAGEIFS(DATOS!$K$2:$K$20000,DATOS!$A$2:$A$20000,M704,DATOS!$G$2:$G$20000,CONFIG_METADATA!$B$4,DATOS!$I$2:$I$20000,"Coro"),""))</f>
        <v/>
      </c>
      <c r="P704" t="str">
        <f>IF(M704="","",IFERROR(AVERAGEIFS(DATOS!$K$2:$K$20000,DATOS!$A$2:$A$20000,M704,DATOS!$G$2:$G$20000,CONFIG_METADATA!$B$4,DATOS!$I$2:$I$20000,"Conjunto"),""))</f>
        <v/>
      </c>
      <c r="Q704" t="str">
        <f>IF(M704="","",IFERROR(AVERAGEIFS(DATOS!$K$2:$K$20000,DATOS!$A$2:$A$20000,M704,DATOS!$G$2:$G$20000,CONFIG_METADATA!$B$4,DATOS!$I$2:$I$20000,"&lt;&gt;Lenguaje Musical",DATOS!$I$2:$I$20000,"&lt;&gt;Coro",DATOS!$I$2:$I$20000,"&lt;&gt;Conjunto"),""))</f>
        <v/>
      </c>
      <c r="T704" t="str">
        <f>IF(S704="","",IFERROR(AVERAGEIFS(DATOS!$K$2:$K$20000,DATOS!$A$2:$A$20000,S704,DATOS!$G$2:$G$20000,CONFIG_METADATA!$B$4,DATOS!$I$2:$I$20000,"Lenguaje Musical"),""))</f>
        <v/>
      </c>
      <c r="U704" t="str">
        <f>IF(S704="","",IFERROR(AVERAGEIFS(DATOS!$K$2:$K$20000,DATOS!$A$2:$A$20000,S704,DATOS!$G$2:$G$20000,CONFIG_METADATA!$B$4,DATOS!$I$2:$I$20000,"Coro"),""))</f>
        <v/>
      </c>
      <c r="V704" t="str">
        <f>IF(S704="","",IFERROR(AVERAGEIFS(DATOS!$K$2:$K$20000,DATOS!$A$2:$A$20000,S704,DATOS!$G$2:$G$20000,CONFIG_METADATA!$B$4,DATOS!$I$2:$I$20000,"Conjunto"),""))</f>
        <v/>
      </c>
      <c r="W704" t="str" cm="1">
        <f t="array" ref="W704">IF(S704="","",IFERROR(AVERAGE(IF((DATOS!$A$2:$A$20000=S704)*(DATOS!$G$2:$G$20000=CONFIG_METADATA!$B$4)*(DATOS!$I$2:$I$20000&lt;&gt;"Lenguaje Musical")*(DATOS!$I$2:$I$20000&lt;&gt;"Coro")*(DATOS!$I$2:$I$20000&lt;&gt;"Conjunto"),DATOS!$K$2:$K$20000)),""))</f>
        <v/>
      </c>
    </row>
    <row r="705" spans="2:23" x14ac:dyDescent="0.2">
      <c r="B705" t="str">
        <f>IF(A705="","",IFERROR(AVERAGEIFS(DATOS!$K$2:$K$20000,DATOS!$A$2:$A$20000,A705,DATOS!$G$2:$G$20000,CONFIG_METADATA!$B$4,DATOS!$I$2:$I$20000,"Lenguaje Musical"),""))</f>
        <v/>
      </c>
      <c r="C705" t="str">
        <f>IF(A705="","",IFERROR(AVERAGEIFS(DATOS!$K$2:$K$20000,DATOS!$A$2:$A$20000,A705,DATOS!$G$2:$G$20000,CONFIG_METADATA!$B$4,DATOS!$I$2:$I$20000,"Coro"),""))</f>
        <v/>
      </c>
      <c r="D705" t="str">
        <f>IF(A705="","",IFERROR(AVERAGEIFS(DATOS!$K$2:$K$20000,DATOS!$A$2:$A$20000,A705,DATOS!$G$2:$G$20000,CONFIG_METADATA!$B$4,DATOS!$I$2:$I$20000,"Conjunto"),""))</f>
        <v/>
      </c>
      <c r="E705" t="str">
        <f>IF(A705="","",IFERROR(AVERAGEIFS(DATOS!$K$2:$K$20000,DATOS!$A$2:$A$20000,A705,DATOS!$G$2:$G$20000,CONFIG_METADATA!$B$4,DATOS!$I$2:$I$20000,"&lt;&gt;Lenguaje Musical",DATOS!$I$2:$I$20000,"&lt;&gt;Coro",DATOS!$I$2:$I$20000,"&lt;&gt;Conjunto"),""))</f>
        <v/>
      </c>
      <c r="H705" t="str">
        <f>IF(G705="","",IFERROR(AVERAGEIFS(DATOS!$K$2:$K$20000,DATOS!$A$2:$A$20000,G705,DATOS!$G$2:$G$20000,CONFIG_METADATA!$B$4,DATOS!$I$2:$I$20000,"Lenguaje Musical"),""))</f>
        <v/>
      </c>
      <c r="I705" t="str">
        <f>IF(G705="","",IFERROR(AVERAGEIFS(DATOS!$K$2:$K$20000,DATOS!$A$2:$A$20000,G705,DATOS!$G$2:$G$20000,CONFIG_METADATA!$B$4,DATOS!$I$2:$I$20000,"Coro"),""))</f>
        <v/>
      </c>
      <c r="J705" t="str">
        <f>IF(G705="","",IFERROR(AVERAGEIFS(DATOS!$K$2:$K$20000,DATOS!$A$2:$A$20000,G705,DATOS!$G$2:$G$20000,CONFIG_METADATA!$B$4,DATOS!$I$2:$I$20000,"Conjunto"),""))</f>
        <v/>
      </c>
      <c r="K705" t="str" cm="1">
        <f t="array" ref="K705">IF(G705="","",IFERROR(AVERAGE(IF((DATOS!$A$2:$A$20000=G705)*(DATOS!$G$2:$G$20000=CONFIG_METADATA!$B$4)*(DATOS!$I$2:$I$20000&lt;&gt;"Lenguaje Musical")*(DATOS!$I$2:$I$20000&lt;&gt;"Coro")*(DATOS!$I$2:$I$20000&lt;&gt;"Conjunto"),DATOS!$K$2:$K$20000)),""))</f>
        <v/>
      </c>
      <c r="N705" t="str">
        <f>IF(M705="","",IFERROR(AVERAGEIFS(DATOS!$K$2:$K$20000,DATOS!$A$2:$A$20000,M705,DATOS!$G$2:$G$20000,CONFIG_METADATA!$B$4,DATOS!$I$2:$I$20000,"Lenguaje Musical"),""))</f>
        <v/>
      </c>
      <c r="O705" t="str">
        <f>IF(M705="","",IFERROR(AVERAGEIFS(DATOS!$K$2:$K$20000,DATOS!$A$2:$A$20000,M705,DATOS!$G$2:$G$20000,CONFIG_METADATA!$B$4,DATOS!$I$2:$I$20000,"Coro"),""))</f>
        <v/>
      </c>
      <c r="P705" t="str">
        <f>IF(M705="","",IFERROR(AVERAGEIFS(DATOS!$K$2:$K$20000,DATOS!$A$2:$A$20000,M705,DATOS!$G$2:$G$20000,CONFIG_METADATA!$B$4,DATOS!$I$2:$I$20000,"Conjunto"),""))</f>
        <v/>
      </c>
      <c r="Q705" t="str">
        <f>IF(M705="","",IFERROR(AVERAGEIFS(DATOS!$K$2:$K$20000,DATOS!$A$2:$A$20000,M705,DATOS!$G$2:$G$20000,CONFIG_METADATA!$B$4,DATOS!$I$2:$I$20000,"&lt;&gt;Lenguaje Musical",DATOS!$I$2:$I$20000,"&lt;&gt;Coro",DATOS!$I$2:$I$20000,"&lt;&gt;Conjunto"),""))</f>
        <v/>
      </c>
      <c r="T705" t="str">
        <f>IF(S705="","",IFERROR(AVERAGEIFS(DATOS!$K$2:$K$20000,DATOS!$A$2:$A$20000,S705,DATOS!$G$2:$G$20000,CONFIG_METADATA!$B$4,DATOS!$I$2:$I$20000,"Lenguaje Musical"),""))</f>
        <v/>
      </c>
      <c r="U705" t="str">
        <f>IF(S705="","",IFERROR(AVERAGEIFS(DATOS!$K$2:$K$20000,DATOS!$A$2:$A$20000,S705,DATOS!$G$2:$G$20000,CONFIG_METADATA!$B$4,DATOS!$I$2:$I$20000,"Coro"),""))</f>
        <v/>
      </c>
      <c r="V705" t="str">
        <f>IF(S705="","",IFERROR(AVERAGEIFS(DATOS!$K$2:$K$20000,DATOS!$A$2:$A$20000,S705,DATOS!$G$2:$G$20000,CONFIG_METADATA!$B$4,DATOS!$I$2:$I$20000,"Conjunto"),""))</f>
        <v/>
      </c>
      <c r="W705" t="str" cm="1">
        <f t="array" ref="W705">IF(S705="","",IFERROR(AVERAGE(IF((DATOS!$A$2:$A$20000=S705)*(DATOS!$G$2:$G$20000=CONFIG_METADATA!$B$4)*(DATOS!$I$2:$I$20000&lt;&gt;"Lenguaje Musical")*(DATOS!$I$2:$I$20000&lt;&gt;"Coro")*(DATOS!$I$2:$I$20000&lt;&gt;"Conjunto"),DATOS!$K$2:$K$20000)),""))</f>
        <v/>
      </c>
    </row>
    <row r="706" spans="2:23" x14ac:dyDescent="0.2">
      <c r="B706" t="str">
        <f>IF(A706="","",IFERROR(AVERAGEIFS(DATOS!$K$2:$K$20000,DATOS!$A$2:$A$20000,A706,DATOS!$G$2:$G$20000,CONFIG_METADATA!$B$4,DATOS!$I$2:$I$20000,"Lenguaje Musical"),""))</f>
        <v/>
      </c>
      <c r="C706" t="str">
        <f>IF(A706="","",IFERROR(AVERAGEIFS(DATOS!$K$2:$K$20000,DATOS!$A$2:$A$20000,A706,DATOS!$G$2:$G$20000,CONFIG_METADATA!$B$4,DATOS!$I$2:$I$20000,"Coro"),""))</f>
        <v/>
      </c>
      <c r="D706" t="str">
        <f>IF(A706="","",IFERROR(AVERAGEIFS(DATOS!$K$2:$K$20000,DATOS!$A$2:$A$20000,A706,DATOS!$G$2:$G$20000,CONFIG_METADATA!$B$4,DATOS!$I$2:$I$20000,"Conjunto"),""))</f>
        <v/>
      </c>
      <c r="E706" t="str">
        <f>IF(A706="","",IFERROR(AVERAGEIFS(DATOS!$K$2:$K$20000,DATOS!$A$2:$A$20000,A706,DATOS!$G$2:$G$20000,CONFIG_METADATA!$B$4,DATOS!$I$2:$I$20000,"&lt;&gt;Lenguaje Musical",DATOS!$I$2:$I$20000,"&lt;&gt;Coro",DATOS!$I$2:$I$20000,"&lt;&gt;Conjunto"),""))</f>
        <v/>
      </c>
      <c r="H706" t="str">
        <f>IF(G706="","",IFERROR(AVERAGEIFS(DATOS!$K$2:$K$20000,DATOS!$A$2:$A$20000,G706,DATOS!$G$2:$G$20000,CONFIG_METADATA!$B$4,DATOS!$I$2:$I$20000,"Lenguaje Musical"),""))</f>
        <v/>
      </c>
      <c r="I706" t="str">
        <f>IF(G706="","",IFERROR(AVERAGEIFS(DATOS!$K$2:$K$20000,DATOS!$A$2:$A$20000,G706,DATOS!$G$2:$G$20000,CONFIG_METADATA!$B$4,DATOS!$I$2:$I$20000,"Coro"),""))</f>
        <v/>
      </c>
      <c r="J706" t="str">
        <f>IF(G706="","",IFERROR(AVERAGEIFS(DATOS!$K$2:$K$20000,DATOS!$A$2:$A$20000,G706,DATOS!$G$2:$G$20000,CONFIG_METADATA!$B$4,DATOS!$I$2:$I$20000,"Conjunto"),""))</f>
        <v/>
      </c>
      <c r="K706" t="str" cm="1">
        <f t="array" ref="K706">IF(G706="","",IFERROR(AVERAGE(IF((DATOS!$A$2:$A$20000=G706)*(DATOS!$G$2:$G$20000=CONFIG_METADATA!$B$4)*(DATOS!$I$2:$I$20000&lt;&gt;"Lenguaje Musical")*(DATOS!$I$2:$I$20000&lt;&gt;"Coro")*(DATOS!$I$2:$I$20000&lt;&gt;"Conjunto"),DATOS!$K$2:$K$20000)),""))</f>
        <v/>
      </c>
      <c r="N706" t="str">
        <f>IF(M706="","",IFERROR(AVERAGEIFS(DATOS!$K$2:$K$20000,DATOS!$A$2:$A$20000,M706,DATOS!$G$2:$G$20000,CONFIG_METADATA!$B$4,DATOS!$I$2:$I$20000,"Lenguaje Musical"),""))</f>
        <v/>
      </c>
      <c r="O706" t="str">
        <f>IF(M706="","",IFERROR(AVERAGEIFS(DATOS!$K$2:$K$20000,DATOS!$A$2:$A$20000,M706,DATOS!$G$2:$G$20000,CONFIG_METADATA!$B$4,DATOS!$I$2:$I$20000,"Coro"),""))</f>
        <v/>
      </c>
      <c r="P706" t="str">
        <f>IF(M706="","",IFERROR(AVERAGEIFS(DATOS!$K$2:$K$20000,DATOS!$A$2:$A$20000,M706,DATOS!$G$2:$G$20000,CONFIG_METADATA!$B$4,DATOS!$I$2:$I$20000,"Conjunto"),""))</f>
        <v/>
      </c>
      <c r="Q706" t="str">
        <f>IF(M706="","",IFERROR(AVERAGEIFS(DATOS!$K$2:$K$20000,DATOS!$A$2:$A$20000,M706,DATOS!$G$2:$G$20000,CONFIG_METADATA!$B$4,DATOS!$I$2:$I$20000,"&lt;&gt;Lenguaje Musical",DATOS!$I$2:$I$20000,"&lt;&gt;Coro",DATOS!$I$2:$I$20000,"&lt;&gt;Conjunto"),""))</f>
        <v/>
      </c>
      <c r="T706" t="str">
        <f>IF(S706="","",IFERROR(AVERAGEIFS(DATOS!$K$2:$K$20000,DATOS!$A$2:$A$20000,S706,DATOS!$G$2:$G$20000,CONFIG_METADATA!$B$4,DATOS!$I$2:$I$20000,"Lenguaje Musical"),""))</f>
        <v/>
      </c>
      <c r="U706" t="str">
        <f>IF(S706="","",IFERROR(AVERAGEIFS(DATOS!$K$2:$K$20000,DATOS!$A$2:$A$20000,S706,DATOS!$G$2:$G$20000,CONFIG_METADATA!$B$4,DATOS!$I$2:$I$20000,"Coro"),""))</f>
        <v/>
      </c>
      <c r="V706" t="str">
        <f>IF(S706="","",IFERROR(AVERAGEIFS(DATOS!$K$2:$K$20000,DATOS!$A$2:$A$20000,S706,DATOS!$G$2:$G$20000,CONFIG_METADATA!$B$4,DATOS!$I$2:$I$20000,"Conjunto"),""))</f>
        <v/>
      </c>
      <c r="W706" t="str" cm="1">
        <f t="array" ref="W706">IF(S706="","",IFERROR(AVERAGE(IF((DATOS!$A$2:$A$20000=S706)*(DATOS!$G$2:$G$20000=CONFIG_METADATA!$B$4)*(DATOS!$I$2:$I$20000&lt;&gt;"Lenguaje Musical")*(DATOS!$I$2:$I$20000&lt;&gt;"Coro")*(DATOS!$I$2:$I$20000&lt;&gt;"Conjunto"),DATOS!$K$2:$K$20000)),""))</f>
        <v/>
      </c>
    </row>
    <row r="707" spans="2:23" x14ac:dyDescent="0.2">
      <c r="B707" t="str">
        <f>IF(A707="","",IFERROR(AVERAGEIFS(DATOS!$K$2:$K$20000,DATOS!$A$2:$A$20000,A707,DATOS!$G$2:$G$20000,CONFIG_METADATA!$B$4,DATOS!$I$2:$I$20000,"Lenguaje Musical"),""))</f>
        <v/>
      </c>
      <c r="C707" t="str">
        <f>IF(A707="","",IFERROR(AVERAGEIFS(DATOS!$K$2:$K$20000,DATOS!$A$2:$A$20000,A707,DATOS!$G$2:$G$20000,CONFIG_METADATA!$B$4,DATOS!$I$2:$I$20000,"Coro"),""))</f>
        <v/>
      </c>
      <c r="D707" t="str">
        <f>IF(A707="","",IFERROR(AVERAGEIFS(DATOS!$K$2:$K$20000,DATOS!$A$2:$A$20000,A707,DATOS!$G$2:$G$20000,CONFIG_METADATA!$B$4,DATOS!$I$2:$I$20000,"Conjunto"),""))</f>
        <v/>
      </c>
      <c r="E707" t="str">
        <f>IF(A707="","",IFERROR(AVERAGEIFS(DATOS!$K$2:$K$20000,DATOS!$A$2:$A$20000,A707,DATOS!$G$2:$G$20000,CONFIG_METADATA!$B$4,DATOS!$I$2:$I$20000,"&lt;&gt;Lenguaje Musical",DATOS!$I$2:$I$20000,"&lt;&gt;Coro",DATOS!$I$2:$I$20000,"&lt;&gt;Conjunto"),""))</f>
        <v/>
      </c>
      <c r="H707" t="str">
        <f>IF(G707="","",IFERROR(AVERAGEIFS(DATOS!$K$2:$K$20000,DATOS!$A$2:$A$20000,G707,DATOS!$G$2:$G$20000,CONFIG_METADATA!$B$4,DATOS!$I$2:$I$20000,"Lenguaje Musical"),""))</f>
        <v/>
      </c>
      <c r="I707" t="str">
        <f>IF(G707="","",IFERROR(AVERAGEIFS(DATOS!$K$2:$K$20000,DATOS!$A$2:$A$20000,G707,DATOS!$G$2:$G$20000,CONFIG_METADATA!$B$4,DATOS!$I$2:$I$20000,"Coro"),""))</f>
        <v/>
      </c>
      <c r="J707" t="str">
        <f>IF(G707="","",IFERROR(AVERAGEIFS(DATOS!$K$2:$K$20000,DATOS!$A$2:$A$20000,G707,DATOS!$G$2:$G$20000,CONFIG_METADATA!$B$4,DATOS!$I$2:$I$20000,"Conjunto"),""))</f>
        <v/>
      </c>
      <c r="K707" t="str" cm="1">
        <f t="array" ref="K707">IF(G707="","",IFERROR(AVERAGE(IF((DATOS!$A$2:$A$20000=G707)*(DATOS!$G$2:$G$20000=CONFIG_METADATA!$B$4)*(DATOS!$I$2:$I$20000&lt;&gt;"Lenguaje Musical")*(DATOS!$I$2:$I$20000&lt;&gt;"Coro")*(DATOS!$I$2:$I$20000&lt;&gt;"Conjunto"),DATOS!$K$2:$K$20000)),""))</f>
        <v/>
      </c>
      <c r="N707" t="str">
        <f>IF(M707="","",IFERROR(AVERAGEIFS(DATOS!$K$2:$K$20000,DATOS!$A$2:$A$20000,M707,DATOS!$G$2:$G$20000,CONFIG_METADATA!$B$4,DATOS!$I$2:$I$20000,"Lenguaje Musical"),""))</f>
        <v/>
      </c>
      <c r="O707" t="str">
        <f>IF(M707="","",IFERROR(AVERAGEIFS(DATOS!$K$2:$K$20000,DATOS!$A$2:$A$20000,M707,DATOS!$G$2:$G$20000,CONFIG_METADATA!$B$4,DATOS!$I$2:$I$20000,"Coro"),""))</f>
        <v/>
      </c>
      <c r="P707" t="str">
        <f>IF(M707="","",IFERROR(AVERAGEIFS(DATOS!$K$2:$K$20000,DATOS!$A$2:$A$20000,M707,DATOS!$G$2:$G$20000,CONFIG_METADATA!$B$4,DATOS!$I$2:$I$20000,"Conjunto"),""))</f>
        <v/>
      </c>
      <c r="Q707" t="str">
        <f>IF(M707="","",IFERROR(AVERAGEIFS(DATOS!$K$2:$K$20000,DATOS!$A$2:$A$20000,M707,DATOS!$G$2:$G$20000,CONFIG_METADATA!$B$4,DATOS!$I$2:$I$20000,"&lt;&gt;Lenguaje Musical",DATOS!$I$2:$I$20000,"&lt;&gt;Coro",DATOS!$I$2:$I$20000,"&lt;&gt;Conjunto"),""))</f>
        <v/>
      </c>
      <c r="T707" t="str">
        <f>IF(S707="","",IFERROR(AVERAGEIFS(DATOS!$K$2:$K$20000,DATOS!$A$2:$A$20000,S707,DATOS!$G$2:$G$20000,CONFIG_METADATA!$B$4,DATOS!$I$2:$I$20000,"Lenguaje Musical"),""))</f>
        <v/>
      </c>
      <c r="U707" t="str">
        <f>IF(S707="","",IFERROR(AVERAGEIFS(DATOS!$K$2:$K$20000,DATOS!$A$2:$A$20000,S707,DATOS!$G$2:$G$20000,CONFIG_METADATA!$B$4,DATOS!$I$2:$I$20000,"Coro"),""))</f>
        <v/>
      </c>
      <c r="V707" t="str">
        <f>IF(S707="","",IFERROR(AVERAGEIFS(DATOS!$K$2:$K$20000,DATOS!$A$2:$A$20000,S707,DATOS!$G$2:$G$20000,CONFIG_METADATA!$B$4,DATOS!$I$2:$I$20000,"Conjunto"),""))</f>
        <v/>
      </c>
      <c r="W707" t="str" cm="1">
        <f t="array" ref="W707">IF(S707="","",IFERROR(AVERAGE(IF((DATOS!$A$2:$A$20000=S707)*(DATOS!$G$2:$G$20000=CONFIG_METADATA!$B$4)*(DATOS!$I$2:$I$20000&lt;&gt;"Lenguaje Musical")*(DATOS!$I$2:$I$20000&lt;&gt;"Coro")*(DATOS!$I$2:$I$20000&lt;&gt;"Conjunto"),DATOS!$K$2:$K$20000)),""))</f>
        <v/>
      </c>
    </row>
    <row r="708" spans="2:23" x14ac:dyDescent="0.2">
      <c r="B708" t="str">
        <f>IF(A708="","",IFERROR(AVERAGEIFS(DATOS!$K$2:$K$20000,DATOS!$A$2:$A$20000,A708,DATOS!$G$2:$G$20000,CONFIG_METADATA!$B$4,DATOS!$I$2:$I$20000,"Lenguaje Musical"),""))</f>
        <v/>
      </c>
      <c r="C708" t="str">
        <f>IF(A708="","",IFERROR(AVERAGEIFS(DATOS!$K$2:$K$20000,DATOS!$A$2:$A$20000,A708,DATOS!$G$2:$G$20000,CONFIG_METADATA!$B$4,DATOS!$I$2:$I$20000,"Coro"),""))</f>
        <v/>
      </c>
      <c r="D708" t="str">
        <f>IF(A708="","",IFERROR(AVERAGEIFS(DATOS!$K$2:$K$20000,DATOS!$A$2:$A$20000,A708,DATOS!$G$2:$G$20000,CONFIG_METADATA!$B$4,DATOS!$I$2:$I$20000,"Conjunto"),""))</f>
        <v/>
      </c>
      <c r="E708" t="str">
        <f>IF(A708="","",IFERROR(AVERAGEIFS(DATOS!$K$2:$K$20000,DATOS!$A$2:$A$20000,A708,DATOS!$G$2:$G$20000,CONFIG_METADATA!$B$4,DATOS!$I$2:$I$20000,"&lt;&gt;Lenguaje Musical",DATOS!$I$2:$I$20000,"&lt;&gt;Coro",DATOS!$I$2:$I$20000,"&lt;&gt;Conjunto"),""))</f>
        <v/>
      </c>
      <c r="H708" t="str">
        <f>IF(G708="","",IFERROR(AVERAGEIFS(DATOS!$K$2:$K$20000,DATOS!$A$2:$A$20000,G708,DATOS!$G$2:$G$20000,CONFIG_METADATA!$B$4,DATOS!$I$2:$I$20000,"Lenguaje Musical"),""))</f>
        <v/>
      </c>
      <c r="I708" t="str">
        <f>IF(G708="","",IFERROR(AVERAGEIFS(DATOS!$K$2:$K$20000,DATOS!$A$2:$A$20000,G708,DATOS!$G$2:$G$20000,CONFIG_METADATA!$B$4,DATOS!$I$2:$I$20000,"Coro"),""))</f>
        <v/>
      </c>
      <c r="J708" t="str">
        <f>IF(G708="","",IFERROR(AVERAGEIFS(DATOS!$K$2:$K$20000,DATOS!$A$2:$A$20000,G708,DATOS!$G$2:$G$20000,CONFIG_METADATA!$B$4,DATOS!$I$2:$I$20000,"Conjunto"),""))</f>
        <v/>
      </c>
      <c r="K708" t="str" cm="1">
        <f t="array" ref="K708">IF(G708="","",IFERROR(AVERAGE(IF((DATOS!$A$2:$A$20000=G708)*(DATOS!$G$2:$G$20000=CONFIG_METADATA!$B$4)*(DATOS!$I$2:$I$20000&lt;&gt;"Lenguaje Musical")*(DATOS!$I$2:$I$20000&lt;&gt;"Coro")*(DATOS!$I$2:$I$20000&lt;&gt;"Conjunto"),DATOS!$K$2:$K$20000)),""))</f>
        <v/>
      </c>
      <c r="N708" t="str">
        <f>IF(M708="","",IFERROR(AVERAGEIFS(DATOS!$K$2:$K$20000,DATOS!$A$2:$A$20000,M708,DATOS!$G$2:$G$20000,CONFIG_METADATA!$B$4,DATOS!$I$2:$I$20000,"Lenguaje Musical"),""))</f>
        <v/>
      </c>
      <c r="O708" t="str">
        <f>IF(M708="","",IFERROR(AVERAGEIFS(DATOS!$K$2:$K$20000,DATOS!$A$2:$A$20000,M708,DATOS!$G$2:$G$20000,CONFIG_METADATA!$B$4,DATOS!$I$2:$I$20000,"Coro"),""))</f>
        <v/>
      </c>
      <c r="P708" t="str">
        <f>IF(M708="","",IFERROR(AVERAGEIFS(DATOS!$K$2:$K$20000,DATOS!$A$2:$A$20000,M708,DATOS!$G$2:$G$20000,CONFIG_METADATA!$B$4,DATOS!$I$2:$I$20000,"Conjunto"),""))</f>
        <v/>
      </c>
      <c r="Q708" t="str">
        <f>IF(M708="","",IFERROR(AVERAGEIFS(DATOS!$K$2:$K$20000,DATOS!$A$2:$A$20000,M708,DATOS!$G$2:$G$20000,CONFIG_METADATA!$B$4,DATOS!$I$2:$I$20000,"&lt;&gt;Lenguaje Musical",DATOS!$I$2:$I$20000,"&lt;&gt;Coro",DATOS!$I$2:$I$20000,"&lt;&gt;Conjunto"),""))</f>
        <v/>
      </c>
      <c r="T708" t="str">
        <f>IF(S708="","",IFERROR(AVERAGEIFS(DATOS!$K$2:$K$20000,DATOS!$A$2:$A$20000,S708,DATOS!$G$2:$G$20000,CONFIG_METADATA!$B$4,DATOS!$I$2:$I$20000,"Lenguaje Musical"),""))</f>
        <v/>
      </c>
      <c r="U708" t="str">
        <f>IF(S708="","",IFERROR(AVERAGEIFS(DATOS!$K$2:$K$20000,DATOS!$A$2:$A$20000,S708,DATOS!$G$2:$G$20000,CONFIG_METADATA!$B$4,DATOS!$I$2:$I$20000,"Coro"),""))</f>
        <v/>
      </c>
      <c r="V708" t="str">
        <f>IF(S708="","",IFERROR(AVERAGEIFS(DATOS!$K$2:$K$20000,DATOS!$A$2:$A$20000,S708,DATOS!$G$2:$G$20000,CONFIG_METADATA!$B$4,DATOS!$I$2:$I$20000,"Conjunto"),""))</f>
        <v/>
      </c>
      <c r="W708" t="str" cm="1">
        <f t="array" ref="W708">IF(S708="","",IFERROR(AVERAGE(IF((DATOS!$A$2:$A$20000=S708)*(DATOS!$G$2:$G$20000=CONFIG_METADATA!$B$4)*(DATOS!$I$2:$I$20000&lt;&gt;"Lenguaje Musical")*(DATOS!$I$2:$I$20000&lt;&gt;"Coro")*(DATOS!$I$2:$I$20000&lt;&gt;"Conjunto"),DATOS!$K$2:$K$20000)),""))</f>
        <v/>
      </c>
    </row>
    <row r="709" spans="2:23" x14ac:dyDescent="0.2">
      <c r="B709" t="str">
        <f>IF(A709="","",IFERROR(AVERAGEIFS(DATOS!$K$2:$K$20000,DATOS!$A$2:$A$20000,A709,DATOS!$G$2:$G$20000,CONFIG_METADATA!$B$4,DATOS!$I$2:$I$20000,"Lenguaje Musical"),""))</f>
        <v/>
      </c>
      <c r="C709" t="str">
        <f>IF(A709="","",IFERROR(AVERAGEIFS(DATOS!$K$2:$K$20000,DATOS!$A$2:$A$20000,A709,DATOS!$G$2:$G$20000,CONFIG_METADATA!$B$4,DATOS!$I$2:$I$20000,"Coro"),""))</f>
        <v/>
      </c>
      <c r="D709" t="str">
        <f>IF(A709="","",IFERROR(AVERAGEIFS(DATOS!$K$2:$K$20000,DATOS!$A$2:$A$20000,A709,DATOS!$G$2:$G$20000,CONFIG_METADATA!$B$4,DATOS!$I$2:$I$20000,"Conjunto"),""))</f>
        <v/>
      </c>
      <c r="E709" t="str">
        <f>IF(A709="","",IFERROR(AVERAGEIFS(DATOS!$K$2:$K$20000,DATOS!$A$2:$A$20000,A709,DATOS!$G$2:$G$20000,CONFIG_METADATA!$B$4,DATOS!$I$2:$I$20000,"&lt;&gt;Lenguaje Musical",DATOS!$I$2:$I$20000,"&lt;&gt;Coro",DATOS!$I$2:$I$20000,"&lt;&gt;Conjunto"),""))</f>
        <v/>
      </c>
      <c r="H709" t="str">
        <f>IF(G709="","",IFERROR(AVERAGEIFS(DATOS!$K$2:$K$20000,DATOS!$A$2:$A$20000,G709,DATOS!$G$2:$G$20000,CONFIG_METADATA!$B$4,DATOS!$I$2:$I$20000,"Lenguaje Musical"),""))</f>
        <v/>
      </c>
      <c r="I709" t="str">
        <f>IF(G709="","",IFERROR(AVERAGEIFS(DATOS!$K$2:$K$20000,DATOS!$A$2:$A$20000,G709,DATOS!$G$2:$G$20000,CONFIG_METADATA!$B$4,DATOS!$I$2:$I$20000,"Coro"),""))</f>
        <v/>
      </c>
      <c r="J709" t="str">
        <f>IF(G709="","",IFERROR(AVERAGEIFS(DATOS!$K$2:$K$20000,DATOS!$A$2:$A$20000,G709,DATOS!$G$2:$G$20000,CONFIG_METADATA!$B$4,DATOS!$I$2:$I$20000,"Conjunto"),""))</f>
        <v/>
      </c>
      <c r="K709" t="str" cm="1">
        <f t="array" ref="K709">IF(G709="","",IFERROR(AVERAGE(IF((DATOS!$A$2:$A$20000=G709)*(DATOS!$G$2:$G$20000=CONFIG_METADATA!$B$4)*(DATOS!$I$2:$I$20000&lt;&gt;"Lenguaje Musical")*(DATOS!$I$2:$I$20000&lt;&gt;"Coro")*(DATOS!$I$2:$I$20000&lt;&gt;"Conjunto"),DATOS!$K$2:$K$20000)),""))</f>
        <v/>
      </c>
      <c r="N709" t="str">
        <f>IF(M709="","",IFERROR(AVERAGEIFS(DATOS!$K$2:$K$20000,DATOS!$A$2:$A$20000,M709,DATOS!$G$2:$G$20000,CONFIG_METADATA!$B$4,DATOS!$I$2:$I$20000,"Lenguaje Musical"),""))</f>
        <v/>
      </c>
      <c r="O709" t="str">
        <f>IF(M709="","",IFERROR(AVERAGEIFS(DATOS!$K$2:$K$20000,DATOS!$A$2:$A$20000,M709,DATOS!$G$2:$G$20000,CONFIG_METADATA!$B$4,DATOS!$I$2:$I$20000,"Coro"),""))</f>
        <v/>
      </c>
      <c r="P709" t="str">
        <f>IF(M709="","",IFERROR(AVERAGEIFS(DATOS!$K$2:$K$20000,DATOS!$A$2:$A$20000,M709,DATOS!$G$2:$G$20000,CONFIG_METADATA!$B$4,DATOS!$I$2:$I$20000,"Conjunto"),""))</f>
        <v/>
      </c>
      <c r="Q709" t="str">
        <f>IF(M709="","",IFERROR(AVERAGEIFS(DATOS!$K$2:$K$20000,DATOS!$A$2:$A$20000,M709,DATOS!$G$2:$G$20000,CONFIG_METADATA!$B$4,DATOS!$I$2:$I$20000,"&lt;&gt;Lenguaje Musical",DATOS!$I$2:$I$20000,"&lt;&gt;Coro",DATOS!$I$2:$I$20000,"&lt;&gt;Conjunto"),""))</f>
        <v/>
      </c>
      <c r="T709" t="str">
        <f>IF(S709="","",IFERROR(AVERAGEIFS(DATOS!$K$2:$K$20000,DATOS!$A$2:$A$20000,S709,DATOS!$G$2:$G$20000,CONFIG_METADATA!$B$4,DATOS!$I$2:$I$20000,"Lenguaje Musical"),""))</f>
        <v/>
      </c>
      <c r="U709" t="str">
        <f>IF(S709="","",IFERROR(AVERAGEIFS(DATOS!$K$2:$K$20000,DATOS!$A$2:$A$20000,S709,DATOS!$G$2:$G$20000,CONFIG_METADATA!$B$4,DATOS!$I$2:$I$20000,"Coro"),""))</f>
        <v/>
      </c>
      <c r="V709" t="str">
        <f>IF(S709="","",IFERROR(AVERAGEIFS(DATOS!$K$2:$K$20000,DATOS!$A$2:$A$20000,S709,DATOS!$G$2:$G$20000,CONFIG_METADATA!$B$4,DATOS!$I$2:$I$20000,"Conjunto"),""))</f>
        <v/>
      </c>
      <c r="W709" t="str" cm="1">
        <f t="array" ref="W709">IF(S709="","",IFERROR(AVERAGE(IF((DATOS!$A$2:$A$20000=S709)*(DATOS!$G$2:$G$20000=CONFIG_METADATA!$B$4)*(DATOS!$I$2:$I$20000&lt;&gt;"Lenguaje Musical")*(DATOS!$I$2:$I$20000&lt;&gt;"Coro")*(DATOS!$I$2:$I$20000&lt;&gt;"Conjunto"),DATOS!$K$2:$K$20000)),""))</f>
        <v/>
      </c>
    </row>
    <row r="710" spans="2:23" x14ac:dyDescent="0.2">
      <c r="B710" t="str">
        <f>IF(A710="","",IFERROR(AVERAGEIFS(DATOS!$K$2:$K$20000,DATOS!$A$2:$A$20000,A710,DATOS!$G$2:$G$20000,CONFIG_METADATA!$B$4,DATOS!$I$2:$I$20000,"Lenguaje Musical"),""))</f>
        <v/>
      </c>
      <c r="C710" t="str">
        <f>IF(A710="","",IFERROR(AVERAGEIFS(DATOS!$K$2:$K$20000,DATOS!$A$2:$A$20000,A710,DATOS!$G$2:$G$20000,CONFIG_METADATA!$B$4,DATOS!$I$2:$I$20000,"Coro"),""))</f>
        <v/>
      </c>
      <c r="D710" t="str">
        <f>IF(A710="","",IFERROR(AVERAGEIFS(DATOS!$K$2:$K$20000,DATOS!$A$2:$A$20000,A710,DATOS!$G$2:$G$20000,CONFIG_METADATA!$B$4,DATOS!$I$2:$I$20000,"Conjunto"),""))</f>
        <v/>
      </c>
      <c r="E710" t="str">
        <f>IF(A710="","",IFERROR(AVERAGEIFS(DATOS!$K$2:$K$20000,DATOS!$A$2:$A$20000,A710,DATOS!$G$2:$G$20000,CONFIG_METADATA!$B$4,DATOS!$I$2:$I$20000,"&lt;&gt;Lenguaje Musical",DATOS!$I$2:$I$20000,"&lt;&gt;Coro",DATOS!$I$2:$I$20000,"&lt;&gt;Conjunto"),""))</f>
        <v/>
      </c>
      <c r="N710" t="str">
        <f>IF(M710="","",IFERROR(AVERAGEIFS(DATOS!$K$2:$K$20000,DATOS!$A$2:$A$20000,M710,DATOS!$G$2:$G$20000,CONFIG_METADATA!$B$4,DATOS!$I$2:$I$20000,"Lenguaje Musical"),""))</f>
        <v/>
      </c>
      <c r="O710" t="str">
        <f>IF(M710="","",IFERROR(AVERAGEIFS(DATOS!$K$2:$K$20000,DATOS!$A$2:$A$20000,M710,DATOS!$G$2:$G$20000,CONFIG_METADATA!$B$4,DATOS!$I$2:$I$20000,"Coro"),""))</f>
        <v/>
      </c>
      <c r="P710" t="str">
        <f>IF(M710="","",IFERROR(AVERAGEIFS(DATOS!$K$2:$K$20000,DATOS!$A$2:$A$20000,M710,DATOS!$G$2:$G$20000,CONFIG_METADATA!$B$4,DATOS!$I$2:$I$20000,"Conjunto"),""))</f>
        <v/>
      </c>
      <c r="Q710" t="str">
        <f>IF(M710="","",IFERROR(AVERAGEIFS(DATOS!$K$2:$K$20000,DATOS!$A$2:$A$20000,M710,DATOS!$G$2:$G$20000,CONFIG_METADATA!$B$4,DATOS!$I$2:$I$20000,"&lt;&gt;Lenguaje Musical",DATOS!$I$2:$I$20000,"&lt;&gt;Coro",DATOS!$I$2:$I$20000,"&lt;&gt;Conjunto"),""))</f>
        <v/>
      </c>
      <c r="T710" t="str">
        <f>IF(S710="","",IFERROR(AVERAGEIFS(DATOS!$K$2:$K$20000,DATOS!$A$2:$A$20000,S710,DATOS!$G$2:$G$20000,CONFIG_METADATA!$B$4,DATOS!$I$2:$I$20000,"Lenguaje Musical"),""))</f>
        <v/>
      </c>
      <c r="U710" t="str">
        <f>IF(S710="","",IFERROR(AVERAGEIFS(DATOS!$K$2:$K$20000,DATOS!$A$2:$A$20000,S710,DATOS!$G$2:$G$20000,CONFIG_METADATA!$B$4,DATOS!$I$2:$I$20000,"Coro"),""))</f>
        <v/>
      </c>
      <c r="V710" t="str">
        <f>IF(S710="","",IFERROR(AVERAGEIFS(DATOS!$K$2:$K$20000,DATOS!$A$2:$A$20000,S710,DATOS!$G$2:$G$20000,CONFIG_METADATA!$B$4,DATOS!$I$2:$I$20000,"Conjunto"),""))</f>
        <v/>
      </c>
      <c r="W710" t="str" cm="1">
        <f t="array" ref="W710">IF(S710="","",IFERROR(AVERAGE(IF((DATOS!$A$2:$A$20000=S710)*(DATOS!$G$2:$G$20000=CONFIG_METADATA!$B$4)*(DATOS!$I$2:$I$20000&lt;&gt;"Lenguaje Musical")*(DATOS!$I$2:$I$20000&lt;&gt;"Coro")*(DATOS!$I$2:$I$20000&lt;&gt;"Conjunto"),DATOS!$K$2:$K$20000)),""))</f>
        <v/>
      </c>
    </row>
    <row r="711" spans="2:23" x14ac:dyDescent="0.2">
      <c r="B711" t="str">
        <f>IF(A711="","",IFERROR(AVERAGEIFS(DATOS!$K$2:$K$20000,DATOS!$A$2:$A$20000,A711,DATOS!$G$2:$G$20000,CONFIG_METADATA!$B$4,DATOS!$I$2:$I$20000,"Lenguaje Musical"),""))</f>
        <v/>
      </c>
      <c r="C711" t="str">
        <f>IF(A711="","",IFERROR(AVERAGEIFS(DATOS!$K$2:$K$20000,DATOS!$A$2:$A$20000,A711,DATOS!$G$2:$G$20000,CONFIG_METADATA!$B$4,DATOS!$I$2:$I$20000,"Coro"),""))</f>
        <v/>
      </c>
      <c r="D711" t="str">
        <f>IF(A711="","",IFERROR(AVERAGEIFS(DATOS!$K$2:$K$20000,DATOS!$A$2:$A$20000,A711,DATOS!$G$2:$G$20000,CONFIG_METADATA!$B$4,DATOS!$I$2:$I$20000,"Conjunto"),""))</f>
        <v/>
      </c>
      <c r="E711" t="str">
        <f>IF(A711="","",IFERROR(AVERAGEIFS(DATOS!$K$2:$K$20000,DATOS!$A$2:$A$20000,A711,DATOS!$G$2:$G$20000,CONFIG_METADATA!$B$4,DATOS!$I$2:$I$20000,"&lt;&gt;Lenguaje Musical",DATOS!$I$2:$I$20000,"&lt;&gt;Coro",DATOS!$I$2:$I$20000,"&lt;&gt;Conjunto"),""))</f>
        <v/>
      </c>
      <c r="N711" t="str">
        <f>IF(M711="","",IFERROR(AVERAGEIFS(DATOS!$K$2:$K$20000,DATOS!$A$2:$A$20000,M711,DATOS!$G$2:$G$20000,CONFIG_METADATA!$B$4,DATOS!$I$2:$I$20000,"Lenguaje Musical"),""))</f>
        <v/>
      </c>
      <c r="O711" t="str">
        <f>IF(M711="","",IFERROR(AVERAGEIFS(DATOS!$K$2:$K$20000,DATOS!$A$2:$A$20000,M711,DATOS!$G$2:$G$20000,CONFIG_METADATA!$B$4,DATOS!$I$2:$I$20000,"Coro"),""))</f>
        <v/>
      </c>
      <c r="P711" t="str">
        <f>IF(M711="","",IFERROR(AVERAGEIFS(DATOS!$K$2:$K$20000,DATOS!$A$2:$A$20000,M711,DATOS!$G$2:$G$20000,CONFIG_METADATA!$B$4,DATOS!$I$2:$I$20000,"Conjunto"),""))</f>
        <v/>
      </c>
      <c r="Q711" t="str">
        <f>IF(M711="","",IFERROR(AVERAGEIFS(DATOS!$K$2:$K$20000,DATOS!$A$2:$A$20000,M711,DATOS!$G$2:$G$20000,CONFIG_METADATA!$B$4,DATOS!$I$2:$I$20000,"&lt;&gt;Lenguaje Musical",DATOS!$I$2:$I$20000,"&lt;&gt;Coro",DATOS!$I$2:$I$20000,"&lt;&gt;Conjunto"),""))</f>
        <v/>
      </c>
      <c r="T711" t="str">
        <f>IF(S711="","",IFERROR(AVERAGEIFS(DATOS!$K$2:$K$20000,DATOS!$A$2:$A$20000,S711,DATOS!$G$2:$G$20000,CONFIG_METADATA!$B$4,DATOS!$I$2:$I$20000,"Lenguaje Musical"),""))</f>
        <v/>
      </c>
      <c r="U711" t="str">
        <f>IF(S711="","",IFERROR(AVERAGEIFS(DATOS!$K$2:$K$20000,DATOS!$A$2:$A$20000,S711,DATOS!$G$2:$G$20000,CONFIG_METADATA!$B$4,DATOS!$I$2:$I$20000,"Coro"),""))</f>
        <v/>
      </c>
      <c r="V711" t="str">
        <f>IF(S711="","",IFERROR(AVERAGEIFS(DATOS!$K$2:$K$20000,DATOS!$A$2:$A$20000,S711,DATOS!$G$2:$G$20000,CONFIG_METADATA!$B$4,DATOS!$I$2:$I$20000,"Conjunto"),""))</f>
        <v/>
      </c>
      <c r="W711" t="str" cm="1">
        <f t="array" ref="W711">IF(S711="","",IFERROR(AVERAGE(IF((DATOS!$A$2:$A$20000=S711)*(DATOS!$G$2:$G$20000=CONFIG_METADATA!$B$4)*(DATOS!$I$2:$I$20000&lt;&gt;"Lenguaje Musical")*(DATOS!$I$2:$I$20000&lt;&gt;"Coro")*(DATOS!$I$2:$I$20000&lt;&gt;"Conjunto"),DATOS!$K$2:$K$20000)),""))</f>
        <v/>
      </c>
    </row>
    <row r="712" spans="2:23" x14ac:dyDescent="0.2">
      <c r="B712" t="str">
        <f>IF(A712="","",IFERROR(AVERAGEIFS(DATOS!$K$2:$K$20000,DATOS!$A$2:$A$20000,A712,DATOS!$G$2:$G$20000,CONFIG_METADATA!$B$4,DATOS!$I$2:$I$20000,"Lenguaje Musical"),""))</f>
        <v/>
      </c>
      <c r="C712" t="str">
        <f>IF(A712="","",IFERROR(AVERAGEIFS(DATOS!$K$2:$K$20000,DATOS!$A$2:$A$20000,A712,DATOS!$G$2:$G$20000,CONFIG_METADATA!$B$4,DATOS!$I$2:$I$20000,"Coro"),""))</f>
        <v/>
      </c>
      <c r="D712" t="str">
        <f>IF(A712="","",IFERROR(AVERAGEIFS(DATOS!$K$2:$K$20000,DATOS!$A$2:$A$20000,A712,DATOS!$G$2:$G$20000,CONFIG_METADATA!$B$4,DATOS!$I$2:$I$20000,"Conjunto"),""))</f>
        <v/>
      </c>
      <c r="E712" t="str">
        <f>IF(A712="","",IFERROR(AVERAGEIFS(DATOS!$K$2:$K$20000,DATOS!$A$2:$A$20000,A712,DATOS!$G$2:$G$20000,CONFIG_METADATA!$B$4,DATOS!$I$2:$I$20000,"&lt;&gt;Lenguaje Musical",DATOS!$I$2:$I$20000,"&lt;&gt;Coro",DATOS!$I$2:$I$20000,"&lt;&gt;Conjunto"),""))</f>
        <v/>
      </c>
      <c r="N712" t="str">
        <f>IF(M712="","",IFERROR(AVERAGEIFS(DATOS!$K$2:$K$20000,DATOS!$A$2:$A$20000,M712,DATOS!$G$2:$G$20000,CONFIG_METADATA!$B$4,DATOS!$I$2:$I$20000,"Lenguaje Musical"),""))</f>
        <v/>
      </c>
      <c r="O712" t="str">
        <f>IF(M712="","",IFERROR(AVERAGEIFS(DATOS!$K$2:$K$20000,DATOS!$A$2:$A$20000,M712,DATOS!$G$2:$G$20000,CONFIG_METADATA!$B$4,DATOS!$I$2:$I$20000,"Coro"),""))</f>
        <v/>
      </c>
      <c r="P712" t="str">
        <f>IF(M712="","",IFERROR(AVERAGEIFS(DATOS!$K$2:$K$20000,DATOS!$A$2:$A$20000,M712,DATOS!$G$2:$G$20000,CONFIG_METADATA!$B$4,DATOS!$I$2:$I$20000,"Conjunto"),""))</f>
        <v/>
      </c>
      <c r="Q712" t="str">
        <f>IF(M712="","",IFERROR(AVERAGEIFS(DATOS!$K$2:$K$20000,DATOS!$A$2:$A$20000,M712,DATOS!$G$2:$G$20000,CONFIG_METADATA!$B$4,DATOS!$I$2:$I$20000,"&lt;&gt;Lenguaje Musical",DATOS!$I$2:$I$20000,"&lt;&gt;Coro",DATOS!$I$2:$I$20000,"&lt;&gt;Conjunto"),""))</f>
        <v/>
      </c>
      <c r="T712" t="str">
        <f>IF(S712="","",IFERROR(AVERAGEIFS(DATOS!$K$2:$K$20000,DATOS!$A$2:$A$20000,S712,DATOS!$G$2:$G$20000,CONFIG_METADATA!$B$4,DATOS!$I$2:$I$20000,"Lenguaje Musical"),""))</f>
        <v/>
      </c>
      <c r="U712" t="str">
        <f>IF(S712="","",IFERROR(AVERAGEIFS(DATOS!$K$2:$K$20000,DATOS!$A$2:$A$20000,S712,DATOS!$G$2:$G$20000,CONFIG_METADATA!$B$4,DATOS!$I$2:$I$20000,"Coro"),""))</f>
        <v/>
      </c>
      <c r="V712" t="str">
        <f>IF(S712="","",IFERROR(AVERAGEIFS(DATOS!$K$2:$K$20000,DATOS!$A$2:$A$20000,S712,DATOS!$G$2:$G$20000,CONFIG_METADATA!$B$4,DATOS!$I$2:$I$20000,"Conjunto"),""))</f>
        <v/>
      </c>
      <c r="W712" t="str" cm="1">
        <f t="array" ref="W712">IF(S712="","",IFERROR(AVERAGE(IF((DATOS!$A$2:$A$20000=S712)*(DATOS!$G$2:$G$20000=CONFIG_METADATA!$B$4)*(DATOS!$I$2:$I$20000&lt;&gt;"Lenguaje Musical")*(DATOS!$I$2:$I$20000&lt;&gt;"Coro")*(DATOS!$I$2:$I$20000&lt;&gt;"Conjunto"),DATOS!$K$2:$K$20000)),""))</f>
        <v/>
      </c>
    </row>
    <row r="713" spans="2:23" x14ac:dyDescent="0.2">
      <c r="B713" t="str">
        <f>IF(A713="","",IFERROR(AVERAGEIFS(DATOS!$K$2:$K$20000,DATOS!$A$2:$A$20000,A713,DATOS!$G$2:$G$20000,CONFIG_METADATA!$B$4,DATOS!$I$2:$I$20000,"Lenguaje Musical"),""))</f>
        <v/>
      </c>
      <c r="C713" t="str">
        <f>IF(A713="","",IFERROR(AVERAGEIFS(DATOS!$K$2:$K$20000,DATOS!$A$2:$A$20000,A713,DATOS!$G$2:$G$20000,CONFIG_METADATA!$B$4,DATOS!$I$2:$I$20000,"Coro"),""))</f>
        <v/>
      </c>
      <c r="D713" t="str">
        <f>IF(A713="","",IFERROR(AVERAGEIFS(DATOS!$K$2:$K$20000,DATOS!$A$2:$A$20000,A713,DATOS!$G$2:$G$20000,CONFIG_METADATA!$B$4,DATOS!$I$2:$I$20000,"Conjunto"),""))</f>
        <v/>
      </c>
      <c r="E713" t="str">
        <f>IF(A713="","",IFERROR(AVERAGEIFS(DATOS!$K$2:$K$20000,DATOS!$A$2:$A$20000,A713,DATOS!$G$2:$G$20000,CONFIG_METADATA!$B$4,DATOS!$I$2:$I$20000,"&lt;&gt;Lenguaje Musical",DATOS!$I$2:$I$20000,"&lt;&gt;Coro",DATOS!$I$2:$I$20000,"&lt;&gt;Conjunto"),""))</f>
        <v/>
      </c>
      <c r="N713" t="str">
        <f>IF(M713="","",IFERROR(AVERAGEIFS(DATOS!$K$2:$K$20000,DATOS!$A$2:$A$20000,M713,DATOS!$G$2:$G$20000,CONFIG_METADATA!$B$4,DATOS!$I$2:$I$20000,"Lenguaje Musical"),""))</f>
        <v/>
      </c>
      <c r="O713" t="str">
        <f>IF(M713="","",IFERROR(AVERAGEIFS(DATOS!$K$2:$K$20000,DATOS!$A$2:$A$20000,M713,DATOS!$G$2:$G$20000,CONFIG_METADATA!$B$4,DATOS!$I$2:$I$20000,"Coro"),""))</f>
        <v/>
      </c>
      <c r="P713" t="str">
        <f>IF(M713="","",IFERROR(AVERAGEIFS(DATOS!$K$2:$K$20000,DATOS!$A$2:$A$20000,M713,DATOS!$G$2:$G$20000,CONFIG_METADATA!$B$4,DATOS!$I$2:$I$20000,"Conjunto"),""))</f>
        <v/>
      </c>
      <c r="Q713" t="str">
        <f>IF(M713="","",IFERROR(AVERAGEIFS(DATOS!$K$2:$K$20000,DATOS!$A$2:$A$20000,M713,DATOS!$G$2:$G$20000,CONFIG_METADATA!$B$4,DATOS!$I$2:$I$20000,"&lt;&gt;Lenguaje Musical",DATOS!$I$2:$I$20000,"&lt;&gt;Coro",DATOS!$I$2:$I$20000,"&lt;&gt;Conjunto"),""))</f>
        <v/>
      </c>
      <c r="T713" t="str">
        <f>IF(S713="","",IFERROR(AVERAGEIFS(DATOS!$K$2:$K$20000,DATOS!$A$2:$A$20000,S713,DATOS!$G$2:$G$20000,CONFIG_METADATA!$B$4,DATOS!$I$2:$I$20000,"Lenguaje Musical"),""))</f>
        <v/>
      </c>
      <c r="U713" t="str">
        <f>IF(S713="","",IFERROR(AVERAGEIFS(DATOS!$K$2:$K$20000,DATOS!$A$2:$A$20000,S713,DATOS!$G$2:$G$20000,CONFIG_METADATA!$B$4,DATOS!$I$2:$I$20000,"Coro"),""))</f>
        <v/>
      </c>
      <c r="V713" t="str">
        <f>IF(S713="","",IFERROR(AVERAGEIFS(DATOS!$K$2:$K$20000,DATOS!$A$2:$A$20000,S713,DATOS!$G$2:$G$20000,CONFIG_METADATA!$B$4,DATOS!$I$2:$I$20000,"Conjunto"),""))</f>
        <v/>
      </c>
      <c r="W713" t="str" cm="1">
        <f t="array" ref="W713">IF(S713="","",IFERROR(AVERAGE(IF((DATOS!$A$2:$A$20000=S713)*(DATOS!$G$2:$G$20000=CONFIG_METADATA!$B$4)*(DATOS!$I$2:$I$20000&lt;&gt;"Lenguaje Musical")*(DATOS!$I$2:$I$20000&lt;&gt;"Coro")*(DATOS!$I$2:$I$20000&lt;&gt;"Conjunto"),DATOS!$K$2:$K$20000)),""))</f>
        <v/>
      </c>
    </row>
    <row r="714" spans="2:23" x14ac:dyDescent="0.2">
      <c r="B714" t="str">
        <f>IF(A714="","",IFERROR(AVERAGEIFS(DATOS!$K$2:$K$20000,DATOS!$A$2:$A$20000,A714,DATOS!$G$2:$G$20000,CONFIG_METADATA!$B$4,DATOS!$I$2:$I$20000,"Lenguaje Musical"),""))</f>
        <v/>
      </c>
      <c r="C714" t="str">
        <f>IF(A714="","",IFERROR(AVERAGEIFS(DATOS!$K$2:$K$20000,DATOS!$A$2:$A$20000,A714,DATOS!$G$2:$G$20000,CONFIG_METADATA!$B$4,DATOS!$I$2:$I$20000,"Coro"),""))</f>
        <v/>
      </c>
      <c r="D714" t="str">
        <f>IF(A714="","",IFERROR(AVERAGEIFS(DATOS!$K$2:$K$20000,DATOS!$A$2:$A$20000,A714,DATOS!$G$2:$G$20000,CONFIG_METADATA!$B$4,DATOS!$I$2:$I$20000,"Conjunto"),""))</f>
        <v/>
      </c>
      <c r="E714" t="str">
        <f>IF(A714="","",IFERROR(AVERAGEIFS(DATOS!$K$2:$K$20000,DATOS!$A$2:$A$20000,A714,DATOS!$G$2:$G$20000,CONFIG_METADATA!$B$4,DATOS!$I$2:$I$20000,"&lt;&gt;Lenguaje Musical",DATOS!$I$2:$I$20000,"&lt;&gt;Coro",DATOS!$I$2:$I$20000,"&lt;&gt;Conjunto"),""))</f>
        <v/>
      </c>
      <c r="N714" t="str">
        <f>IF(M714="","",IFERROR(AVERAGEIFS(DATOS!$K$2:$K$20000,DATOS!$A$2:$A$20000,M714,DATOS!$G$2:$G$20000,CONFIG_METADATA!$B$4,DATOS!$I$2:$I$20000,"Lenguaje Musical"),""))</f>
        <v/>
      </c>
      <c r="O714" t="str">
        <f>IF(M714="","",IFERROR(AVERAGEIFS(DATOS!$K$2:$K$20000,DATOS!$A$2:$A$20000,M714,DATOS!$G$2:$G$20000,CONFIG_METADATA!$B$4,DATOS!$I$2:$I$20000,"Coro"),""))</f>
        <v/>
      </c>
      <c r="P714" t="str">
        <f>IF(M714="","",IFERROR(AVERAGEIFS(DATOS!$K$2:$K$20000,DATOS!$A$2:$A$20000,M714,DATOS!$G$2:$G$20000,CONFIG_METADATA!$B$4,DATOS!$I$2:$I$20000,"Conjunto"),""))</f>
        <v/>
      </c>
      <c r="Q714" t="str">
        <f>IF(M714="","",IFERROR(AVERAGEIFS(DATOS!$K$2:$K$20000,DATOS!$A$2:$A$20000,M714,DATOS!$G$2:$G$20000,CONFIG_METADATA!$B$4,DATOS!$I$2:$I$20000,"&lt;&gt;Lenguaje Musical",DATOS!$I$2:$I$20000,"&lt;&gt;Coro",DATOS!$I$2:$I$20000,"&lt;&gt;Conjunto"),""))</f>
        <v/>
      </c>
      <c r="T714" t="str">
        <f>IF(S714="","",IFERROR(AVERAGEIFS(DATOS!$K$2:$K$20000,DATOS!$A$2:$A$20000,S714,DATOS!$G$2:$G$20000,CONFIG_METADATA!$B$4,DATOS!$I$2:$I$20000,"Lenguaje Musical"),""))</f>
        <v/>
      </c>
      <c r="U714" t="str">
        <f>IF(S714="","",IFERROR(AVERAGEIFS(DATOS!$K$2:$K$20000,DATOS!$A$2:$A$20000,S714,DATOS!$G$2:$G$20000,CONFIG_METADATA!$B$4,DATOS!$I$2:$I$20000,"Coro"),""))</f>
        <v/>
      </c>
      <c r="V714" t="str">
        <f>IF(S714="","",IFERROR(AVERAGEIFS(DATOS!$K$2:$K$20000,DATOS!$A$2:$A$20000,S714,DATOS!$G$2:$G$20000,CONFIG_METADATA!$B$4,DATOS!$I$2:$I$20000,"Conjunto"),""))</f>
        <v/>
      </c>
      <c r="W714" t="str" cm="1">
        <f t="array" ref="W714">IF(S714="","",IFERROR(AVERAGE(IF((DATOS!$A$2:$A$20000=S714)*(DATOS!$G$2:$G$20000=CONFIG_METADATA!$B$4)*(DATOS!$I$2:$I$20000&lt;&gt;"Lenguaje Musical")*(DATOS!$I$2:$I$20000&lt;&gt;"Coro")*(DATOS!$I$2:$I$20000&lt;&gt;"Conjunto"),DATOS!$K$2:$K$20000)),""))</f>
        <v/>
      </c>
    </row>
    <row r="715" spans="2:23" x14ac:dyDescent="0.2">
      <c r="B715" t="str">
        <f>IF(A715="","",IFERROR(AVERAGEIFS(DATOS!$K$2:$K$20000,DATOS!$A$2:$A$20000,A715,DATOS!$G$2:$G$20000,CONFIG_METADATA!$B$4,DATOS!$I$2:$I$20000,"Lenguaje Musical"),""))</f>
        <v/>
      </c>
      <c r="C715" t="str">
        <f>IF(A715="","",IFERROR(AVERAGEIFS(DATOS!$K$2:$K$20000,DATOS!$A$2:$A$20000,A715,DATOS!$G$2:$G$20000,CONFIG_METADATA!$B$4,DATOS!$I$2:$I$20000,"Coro"),""))</f>
        <v/>
      </c>
      <c r="D715" t="str">
        <f>IF(A715="","",IFERROR(AVERAGEIFS(DATOS!$K$2:$K$20000,DATOS!$A$2:$A$20000,A715,DATOS!$G$2:$G$20000,CONFIG_METADATA!$B$4,DATOS!$I$2:$I$20000,"Conjunto"),""))</f>
        <v/>
      </c>
      <c r="E715" t="str">
        <f>IF(A715="","",IFERROR(AVERAGEIFS(DATOS!$K$2:$K$20000,DATOS!$A$2:$A$20000,A715,DATOS!$G$2:$G$20000,CONFIG_METADATA!$B$4,DATOS!$I$2:$I$20000,"&lt;&gt;Lenguaje Musical",DATOS!$I$2:$I$20000,"&lt;&gt;Coro",DATOS!$I$2:$I$20000,"&lt;&gt;Conjunto"),""))</f>
        <v/>
      </c>
      <c r="N715" t="str">
        <f>IF(M715="","",IFERROR(AVERAGEIFS(DATOS!$K$2:$K$20000,DATOS!$A$2:$A$20000,M715,DATOS!$G$2:$G$20000,CONFIG_METADATA!$B$4,DATOS!$I$2:$I$20000,"Lenguaje Musical"),""))</f>
        <v/>
      </c>
      <c r="O715" t="str">
        <f>IF(M715="","",IFERROR(AVERAGEIFS(DATOS!$K$2:$K$20000,DATOS!$A$2:$A$20000,M715,DATOS!$G$2:$G$20000,CONFIG_METADATA!$B$4,DATOS!$I$2:$I$20000,"Coro"),""))</f>
        <v/>
      </c>
      <c r="P715" t="str">
        <f>IF(M715="","",IFERROR(AVERAGEIFS(DATOS!$K$2:$K$20000,DATOS!$A$2:$A$20000,M715,DATOS!$G$2:$G$20000,CONFIG_METADATA!$B$4,DATOS!$I$2:$I$20000,"Conjunto"),""))</f>
        <v/>
      </c>
      <c r="Q715" t="str">
        <f>IF(M715="","",IFERROR(AVERAGEIFS(DATOS!$K$2:$K$20000,DATOS!$A$2:$A$20000,M715,DATOS!$G$2:$G$20000,CONFIG_METADATA!$B$4,DATOS!$I$2:$I$20000,"&lt;&gt;Lenguaje Musical",DATOS!$I$2:$I$20000,"&lt;&gt;Coro",DATOS!$I$2:$I$20000,"&lt;&gt;Conjunto"),""))</f>
        <v/>
      </c>
      <c r="T715" t="str">
        <f>IF(S715="","",IFERROR(AVERAGEIFS(DATOS!$K$2:$K$20000,DATOS!$A$2:$A$20000,S715,DATOS!$G$2:$G$20000,CONFIG_METADATA!$B$4,DATOS!$I$2:$I$20000,"Lenguaje Musical"),""))</f>
        <v/>
      </c>
      <c r="U715" t="str">
        <f>IF(S715="","",IFERROR(AVERAGEIFS(DATOS!$K$2:$K$20000,DATOS!$A$2:$A$20000,S715,DATOS!$G$2:$G$20000,CONFIG_METADATA!$B$4,DATOS!$I$2:$I$20000,"Coro"),""))</f>
        <v/>
      </c>
      <c r="V715" t="str">
        <f>IF(S715="","",IFERROR(AVERAGEIFS(DATOS!$K$2:$K$20000,DATOS!$A$2:$A$20000,S715,DATOS!$G$2:$G$20000,CONFIG_METADATA!$B$4,DATOS!$I$2:$I$20000,"Conjunto"),""))</f>
        <v/>
      </c>
      <c r="W715" t="str" cm="1">
        <f t="array" ref="W715">IF(S715="","",IFERROR(AVERAGE(IF((DATOS!$A$2:$A$20000=S715)*(DATOS!$G$2:$G$20000=CONFIG_METADATA!$B$4)*(DATOS!$I$2:$I$20000&lt;&gt;"Lenguaje Musical")*(DATOS!$I$2:$I$20000&lt;&gt;"Coro")*(DATOS!$I$2:$I$20000&lt;&gt;"Conjunto"),DATOS!$K$2:$K$20000)),""))</f>
        <v/>
      </c>
    </row>
    <row r="716" spans="2:23" x14ac:dyDescent="0.2">
      <c r="B716" t="str">
        <f>IF(A716="","",IFERROR(AVERAGEIFS(DATOS!$K$2:$K$20000,DATOS!$A$2:$A$20000,A716,DATOS!$G$2:$G$20000,CONFIG_METADATA!$B$4,DATOS!$I$2:$I$20000,"Lenguaje Musical"),""))</f>
        <v/>
      </c>
      <c r="C716" t="str">
        <f>IF(A716="","",IFERROR(AVERAGEIFS(DATOS!$K$2:$K$20000,DATOS!$A$2:$A$20000,A716,DATOS!$G$2:$G$20000,CONFIG_METADATA!$B$4,DATOS!$I$2:$I$20000,"Coro"),""))</f>
        <v/>
      </c>
      <c r="D716" t="str">
        <f>IF(A716="","",IFERROR(AVERAGEIFS(DATOS!$K$2:$K$20000,DATOS!$A$2:$A$20000,A716,DATOS!$G$2:$G$20000,CONFIG_METADATA!$B$4,DATOS!$I$2:$I$20000,"Conjunto"),""))</f>
        <v/>
      </c>
      <c r="E716" t="str">
        <f>IF(A716="","",IFERROR(AVERAGEIFS(DATOS!$K$2:$K$20000,DATOS!$A$2:$A$20000,A716,DATOS!$G$2:$G$20000,CONFIG_METADATA!$B$4,DATOS!$I$2:$I$20000,"&lt;&gt;Lenguaje Musical",DATOS!$I$2:$I$20000,"&lt;&gt;Coro",DATOS!$I$2:$I$20000,"&lt;&gt;Conjunto"),""))</f>
        <v/>
      </c>
      <c r="N716" t="str">
        <f>IF(M716="","",IFERROR(AVERAGEIFS(DATOS!$K$2:$K$20000,DATOS!$A$2:$A$20000,M716,DATOS!$G$2:$G$20000,CONFIG_METADATA!$B$4,DATOS!$I$2:$I$20000,"Lenguaje Musical"),""))</f>
        <v/>
      </c>
      <c r="O716" t="str">
        <f>IF(M716="","",IFERROR(AVERAGEIFS(DATOS!$K$2:$K$20000,DATOS!$A$2:$A$20000,M716,DATOS!$G$2:$G$20000,CONFIG_METADATA!$B$4,DATOS!$I$2:$I$20000,"Coro"),""))</f>
        <v/>
      </c>
      <c r="P716" t="str">
        <f>IF(M716="","",IFERROR(AVERAGEIFS(DATOS!$K$2:$K$20000,DATOS!$A$2:$A$20000,M716,DATOS!$G$2:$G$20000,CONFIG_METADATA!$B$4,DATOS!$I$2:$I$20000,"Conjunto"),""))</f>
        <v/>
      </c>
      <c r="Q716" t="str">
        <f>IF(M716="","",IFERROR(AVERAGEIFS(DATOS!$K$2:$K$20000,DATOS!$A$2:$A$20000,M716,DATOS!$G$2:$G$20000,CONFIG_METADATA!$B$4,DATOS!$I$2:$I$20000,"&lt;&gt;Lenguaje Musical",DATOS!$I$2:$I$20000,"&lt;&gt;Coro",DATOS!$I$2:$I$20000,"&lt;&gt;Conjunto"),""))</f>
        <v/>
      </c>
      <c r="T716" t="str">
        <f>IF(S716="","",IFERROR(AVERAGEIFS(DATOS!$K$2:$K$20000,DATOS!$A$2:$A$20000,S716,DATOS!$G$2:$G$20000,CONFIG_METADATA!$B$4,DATOS!$I$2:$I$20000,"Lenguaje Musical"),""))</f>
        <v/>
      </c>
      <c r="U716" t="str">
        <f>IF(S716="","",IFERROR(AVERAGEIFS(DATOS!$K$2:$K$20000,DATOS!$A$2:$A$20000,S716,DATOS!$G$2:$G$20000,CONFIG_METADATA!$B$4,DATOS!$I$2:$I$20000,"Coro"),""))</f>
        <v/>
      </c>
      <c r="V716" t="str">
        <f>IF(S716="","",IFERROR(AVERAGEIFS(DATOS!$K$2:$K$20000,DATOS!$A$2:$A$20000,S716,DATOS!$G$2:$G$20000,CONFIG_METADATA!$B$4,DATOS!$I$2:$I$20000,"Conjunto"),""))</f>
        <v/>
      </c>
      <c r="W716" t="str" cm="1">
        <f t="array" ref="W716">IF(S716="","",IFERROR(AVERAGE(IF((DATOS!$A$2:$A$20000=S716)*(DATOS!$G$2:$G$20000=CONFIG_METADATA!$B$4)*(DATOS!$I$2:$I$20000&lt;&gt;"Lenguaje Musical")*(DATOS!$I$2:$I$20000&lt;&gt;"Coro")*(DATOS!$I$2:$I$20000&lt;&gt;"Conjunto"),DATOS!$K$2:$K$20000)),""))</f>
        <v/>
      </c>
    </row>
    <row r="717" spans="2:23" x14ac:dyDescent="0.2">
      <c r="B717" t="str">
        <f>IF(A717="","",IFERROR(AVERAGEIFS(DATOS!$K$2:$K$20000,DATOS!$A$2:$A$20000,A717,DATOS!$G$2:$G$20000,CONFIG_METADATA!$B$4,DATOS!$I$2:$I$20000,"Lenguaje Musical"),""))</f>
        <v/>
      </c>
      <c r="C717" t="str">
        <f>IF(A717="","",IFERROR(AVERAGEIFS(DATOS!$K$2:$K$20000,DATOS!$A$2:$A$20000,A717,DATOS!$G$2:$G$20000,CONFIG_METADATA!$B$4,DATOS!$I$2:$I$20000,"Coro"),""))</f>
        <v/>
      </c>
      <c r="D717" t="str">
        <f>IF(A717="","",IFERROR(AVERAGEIFS(DATOS!$K$2:$K$20000,DATOS!$A$2:$A$20000,A717,DATOS!$G$2:$G$20000,CONFIG_METADATA!$B$4,DATOS!$I$2:$I$20000,"Conjunto"),""))</f>
        <v/>
      </c>
      <c r="E717" t="str">
        <f>IF(A717="","",IFERROR(AVERAGEIFS(DATOS!$K$2:$K$20000,DATOS!$A$2:$A$20000,A717,DATOS!$G$2:$G$20000,CONFIG_METADATA!$B$4,DATOS!$I$2:$I$20000,"&lt;&gt;Lenguaje Musical",DATOS!$I$2:$I$20000,"&lt;&gt;Coro",DATOS!$I$2:$I$20000,"&lt;&gt;Conjunto"),""))</f>
        <v/>
      </c>
      <c r="N717" t="str">
        <f>IF(M717="","",IFERROR(AVERAGEIFS(DATOS!$K$2:$K$20000,DATOS!$A$2:$A$20000,M717,DATOS!$G$2:$G$20000,CONFIG_METADATA!$B$4,DATOS!$I$2:$I$20000,"Lenguaje Musical"),""))</f>
        <v/>
      </c>
      <c r="O717" t="str">
        <f>IF(M717="","",IFERROR(AVERAGEIFS(DATOS!$K$2:$K$20000,DATOS!$A$2:$A$20000,M717,DATOS!$G$2:$G$20000,CONFIG_METADATA!$B$4,DATOS!$I$2:$I$20000,"Coro"),""))</f>
        <v/>
      </c>
      <c r="P717" t="str">
        <f>IF(M717="","",IFERROR(AVERAGEIFS(DATOS!$K$2:$K$20000,DATOS!$A$2:$A$20000,M717,DATOS!$G$2:$G$20000,CONFIG_METADATA!$B$4,DATOS!$I$2:$I$20000,"Conjunto"),""))</f>
        <v/>
      </c>
      <c r="Q717" t="str">
        <f>IF(M717="","",IFERROR(AVERAGEIFS(DATOS!$K$2:$K$20000,DATOS!$A$2:$A$20000,M717,DATOS!$G$2:$G$20000,CONFIG_METADATA!$B$4,DATOS!$I$2:$I$20000,"&lt;&gt;Lenguaje Musical",DATOS!$I$2:$I$20000,"&lt;&gt;Coro",DATOS!$I$2:$I$20000,"&lt;&gt;Conjunto"),""))</f>
        <v/>
      </c>
      <c r="T717" t="str">
        <f>IF(S717="","",IFERROR(AVERAGEIFS(DATOS!$K$2:$K$20000,DATOS!$A$2:$A$20000,S717,DATOS!$G$2:$G$20000,CONFIG_METADATA!$B$4,DATOS!$I$2:$I$20000,"Lenguaje Musical"),""))</f>
        <v/>
      </c>
      <c r="U717" t="str">
        <f>IF(S717="","",IFERROR(AVERAGEIFS(DATOS!$K$2:$K$20000,DATOS!$A$2:$A$20000,S717,DATOS!$G$2:$G$20000,CONFIG_METADATA!$B$4,DATOS!$I$2:$I$20000,"Coro"),""))</f>
        <v/>
      </c>
      <c r="V717" t="str">
        <f>IF(S717="","",IFERROR(AVERAGEIFS(DATOS!$K$2:$K$20000,DATOS!$A$2:$A$20000,S717,DATOS!$G$2:$G$20000,CONFIG_METADATA!$B$4,DATOS!$I$2:$I$20000,"Conjunto"),""))</f>
        <v/>
      </c>
      <c r="W717" t="str" cm="1">
        <f t="array" ref="W717">IF(S717="","",IFERROR(AVERAGE(IF((DATOS!$A$2:$A$20000=S717)*(DATOS!$G$2:$G$20000=CONFIG_METADATA!$B$4)*(DATOS!$I$2:$I$20000&lt;&gt;"Lenguaje Musical")*(DATOS!$I$2:$I$20000&lt;&gt;"Coro")*(DATOS!$I$2:$I$20000&lt;&gt;"Conjunto"),DATOS!$K$2:$K$20000)),""))</f>
        <v/>
      </c>
    </row>
    <row r="718" spans="2:23" x14ac:dyDescent="0.2">
      <c r="B718" t="str">
        <f>IF(A718="","",IFERROR(AVERAGEIFS(DATOS!$K$2:$K$20000,DATOS!$A$2:$A$20000,A718,DATOS!$G$2:$G$20000,CONFIG_METADATA!$B$4,DATOS!$I$2:$I$20000,"Lenguaje Musical"),""))</f>
        <v/>
      </c>
      <c r="C718" t="str">
        <f>IF(A718="","",IFERROR(AVERAGEIFS(DATOS!$K$2:$K$20000,DATOS!$A$2:$A$20000,A718,DATOS!$G$2:$G$20000,CONFIG_METADATA!$B$4,DATOS!$I$2:$I$20000,"Coro"),""))</f>
        <v/>
      </c>
      <c r="D718" t="str">
        <f>IF(A718="","",IFERROR(AVERAGEIFS(DATOS!$K$2:$K$20000,DATOS!$A$2:$A$20000,A718,DATOS!$G$2:$G$20000,CONFIG_METADATA!$B$4,DATOS!$I$2:$I$20000,"Conjunto"),""))</f>
        <v/>
      </c>
      <c r="E718" t="str">
        <f>IF(A718="","",IFERROR(AVERAGEIFS(DATOS!$K$2:$K$20000,DATOS!$A$2:$A$20000,A718,DATOS!$G$2:$G$20000,CONFIG_METADATA!$B$4,DATOS!$I$2:$I$20000,"&lt;&gt;Lenguaje Musical",DATOS!$I$2:$I$20000,"&lt;&gt;Coro",DATOS!$I$2:$I$20000,"&lt;&gt;Conjunto"),""))</f>
        <v/>
      </c>
      <c r="N718" t="str">
        <f>IF(M718="","",IFERROR(AVERAGEIFS(DATOS!$K$2:$K$20000,DATOS!$A$2:$A$20000,M718,DATOS!$G$2:$G$20000,CONFIG_METADATA!$B$4,DATOS!$I$2:$I$20000,"Lenguaje Musical"),""))</f>
        <v/>
      </c>
      <c r="O718" t="str">
        <f>IF(M718="","",IFERROR(AVERAGEIFS(DATOS!$K$2:$K$20000,DATOS!$A$2:$A$20000,M718,DATOS!$G$2:$G$20000,CONFIG_METADATA!$B$4,DATOS!$I$2:$I$20000,"Coro"),""))</f>
        <v/>
      </c>
      <c r="P718" t="str">
        <f>IF(M718="","",IFERROR(AVERAGEIFS(DATOS!$K$2:$K$20000,DATOS!$A$2:$A$20000,M718,DATOS!$G$2:$G$20000,CONFIG_METADATA!$B$4,DATOS!$I$2:$I$20000,"Conjunto"),""))</f>
        <v/>
      </c>
      <c r="Q718" t="str">
        <f>IF(M718="","",IFERROR(AVERAGEIFS(DATOS!$K$2:$K$20000,DATOS!$A$2:$A$20000,M718,DATOS!$G$2:$G$20000,CONFIG_METADATA!$B$4,DATOS!$I$2:$I$20000,"&lt;&gt;Lenguaje Musical",DATOS!$I$2:$I$20000,"&lt;&gt;Coro",DATOS!$I$2:$I$20000,"&lt;&gt;Conjunto"),""))</f>
        <v/>
      </c>
      <c r="T718" t="str">
        <f>IF(S718="","",IFERROR(AVERAGEIFS(DATOS!$K$2:$K$20000,DATOS!$A$2:$A$20000,S718,DATOS!$G$2:$G$20000,CONFIG_METADATA!$B$4,DATOS!$I$2:$I$20000,"Lenguaje Musical"),""))</f>
        <v/>
      </c>
      <c r="U718" t="str">
        <f>IF(S718="","",IFERROR(AVERAGEIFS(DATOS!$K$2:$K$20000,DATOS!$A$2:$A$20000,S718,DATOS!$G$2:$G$20000,CONFIG_METADATA!$B$4,DATOS!$I$2:$I$20000,"Coro"),""))</f>
        <v/>
      </c>
      <c r="V718" t="str">
        <f>IF(S718="","",IFERROR(AVERAGEIFS(DATOS!$K$2:$K$20000,DATOS!$A$2:$A$20000,S718,DATOS!$G$2:$G$20000,CONFIG_METADATA!$B$4,DATOS!$I$2:$I$20000,"Conjunto"),""))</f>
        <v/>
      </c>
      <c r="W718" t="str" cm="1">
        <f t="array" ref="W718">IF(S718="","",IFERROR(AVERAGE(IF((DATOS!$A$2:$A$20000=S718)*(DATOS!$G$2:$G$20000=CONFIG_METADATA!$B$4)*(DATOS!$I$2:$I$20000&lt;&gt;"Lenguaje Musical")*(DATOS!$I$2:$I$20000&lt;&gt;"Coro")*(DATOS!$I$2:$I$20000&lt;&gt;"Conjunto"),DATOS!$K$2:$K$20000)),""))</f>
        <v/>
      </c>
    </row>
    <row r="719" spans="2:23" x14ac:dyDescent="0.2">
      <c r="B719" t="str">
        <f>IF(A719="","",IFERROR(AVERAGEIFS(DATOS!$K$2:$K$20000,DATOS!$A$2:$A$20000,A719,DATOS!$G$2:$G$20000,CONFIG_METADATA!$B$4,DATOS!$I$2:$I$20000,"Lenguaje Musical"),""))</f>
        <v/>
      </c>
      <c r="C719" t="str">
        <f>IF(A719="","",IFERROR(AVERAGEIFS(DATOS!$K$2:$K$20000,DATOS!$A$2:$A$20000,A719,DATOS!$G$2:$G$20000,CONFIG_METADATA!$B$4,DATOS!$I$2:$I$20000,"Coro"),""))</f>
        <v/>
      </c>
      <c r="D719" t="str">
        <f>IF(A719="","",IFERROR(AVERAGEIFS(DATOS!$K$2:$K$20000,DATOS!$A$2:$A$20000,A719,DATOS!$G$2:$G$20000,CONFIG_METADATA!$B$4,DATOS!$I$2:$I$20000,"Conjunto"),""))</f>
        <v/>
      </c>
      <c r="E719" t="str">
        <f>IF(A719="","",IFERROR(AVERAGEIFS(DATOS!$K$2:$K$20000,DATOS!$A$2:$A$20000,A719,DATOS!$G$2:$G$20000,CONFIG_METADATA!$B$4,DATOS!$I$2:$I$20000,"&lt;&gt;Lenguaje Musical",DATOS!$I$2:$I$20000,"&lt;&gt;Coro",DATOS!$I$2:$I$20000,"&lt;&gt;Conjunto"),""))</f>
        <v/>
      </c>
      <c r="N719" t="str">
        <f>IF(M719="","",IFERROR(AVERAGEIFS(DATOS!$K$2:$K$20000,DATOS!$A$2:$A$20000,M719,DATOS!$G$2:$G$20000,CONFIG_METADATA!$B$4,DATOS!$I$2:$I$20000,"Lenguaje Musical"),""))</f>
        <v/>
      </c>
      <c r="O719" t="str">
        <f>IF(M719="","",IFERROR(AVERAGEIFS(DATOS!$K$2:$K$20000,DATOS!$A$2:$A$20000,M719,DATOS!$G$2:$G$20000,CONFIG_METADATA!$B$4,DATOS!$I$2:$I$20000,"Coro"),""))</f>
        <v/>
      </c>
      <c r="P719" t="str">
        <f>IF(M719="","",IFERROR(AVERAGEIFS(DATOS!$K$2:$K$20000,DATOS!$A$2:$A$20000,M719,DATOS!$G$2:$G$20000,CONFIG_METADATA!$B$4,DATOS!$I$2:$I$20000,"Conjunto"),""))</f>
        <v/>
      </c>
      <c r="Q719" t="str">
        <f>IF(M719="","",IFERROR(AVERAGEIFS(DATOS!$K$2:$K$20000,DATOS!$A$2:$A$20000,M719,DATOS!$G$2:$G$20000,CONFIG_METADATA!$B$4,DATOS!$I$2:$I$20000,"&lt;&gt;Lenguaje Musical",DATOS!$I$2:$I$20000,"&lt;&gt;Coro",DATOS!$I$2:$I$20000,"&lt;&gt;Conjunto"),""))</f>
        <v/>
      </c>
      <c r="T719" t="str">
        <f>IF(S719="","",IFERROR(AVERAGEIFS(DATOS!$K$2:$K$20000,DATOS!$A$2:$A$20000,S719,DATOS!$G$2:$G$20000,CONFIG_METADATA!$B$4,DATOS!$I$2:$I$20000,"Lenguaje Musical"),""))</f>
        <v/>
      </c>
      <c r="U719" t="str">
        <f>IF(S719="","",IFERROR(AVERAGEIFS(DATOS!$K$2:$K$20000,DATOS!$A$2:$A$20000,S719,DATOS!$G$2:$G$20000,CONFIG_METADATA!$B$4,DATOS!$I$2:$I$20000,"Coro"),""))</f>
        <v/>
      </c>
      <c r="V719" t="str">
        <f>IF(S719="","",IFERROR(AVERAGEIFS(DATOS!$K$2:$K$20000,DATOS!$A$2:$A$20000,S719,DATOS!$G$2:$G$20000,CONFIG_METADATA!$B$4,DATOS!$I$2:$I$20000,"Conjunto"),""))</f>
        <v/>
      </c>
      <c r="W719" t="str" cm="1">
        <f t="array" ref="W719">IF(S719="","",IFERROR(AVERAGE(IF((DATOS!$A$2:$A$20000=S719)*(DATOS!$G$2:$G$20000=CONFIG_METADATA!$B$4)*(DATOS!$I$2:$I$20000&lt;&gt;"Lenguaje Musical")*(DATOS!$I$2:$I$20000&lt;&gt;"Coro")*(DATOS!$I$2:$I$20000&lt;&gt;"Conjunto"),DATOS!$K$2:$K$20000)),""))</f>
        <v/>
      </c>
    </row>
    <row r="720" spans="2:23" x14ac:dyDescent="0.2">
      <c r="B720" t="str">
        <f>IF(A720="","",IFERROR(AVERAGEIFS(DATOS!$K$2:$K$20000,DATOS!$A$2:$A$20000,A720,DATOS!$G$2:$G$20000,CONFIG_METADATA!$B$4,DATOS!$I$2:$I$20000,"Lenguaje Musical"),""))</f>
        <v/>
      </c>
      <c r="C720" t="str">
        <f>IF(A720="","",IFERROR(AVERAGEIFS(DATOS!$K$2:$K$20000,DATOS!$A$2:$A$20000,A720,DATOS!$G$2:$G$20000,CONFIG_METADATA!$B$4,DATOS!$I$2:$I$20000,"Coro"),""))</f>
        <v/>
      </c>
      <c r="D720" t="str">
        <f>IF(A720="","",IFERROR(AVERAGEIFS(DATOS!$K$2:$K$20000,DATOS!$A$2:$A$20000,A720,DATOS!$G$2:$G$20000,CONFIG_METADATA!$B$4,DATOS!$I$2:$I$20000,"Conjunto"),""))</f>
        <v/>
      </c>
      <c r="E720" t="str">
        <f>IF(A720="","",IFERROR(AVERAGEIFS(DATOS!$K$2:$K$20000,DATOS!$A$2:$A$20000,A720,DATOS!$G$2:$G$20000,CONFIG_METADATA!$B$4,DATOS!$I$2:$I$20000,"&lt;&gt;Lenguaje Musical",DATOS!$I$2:$I$20000,"&lt;&gt;Coro",DATOS!$I$2:$I$20000,"&lt;&gt;Conjunto"),""))</f>
        <v/>
      </c>
      <c r="N720" t="str">
        <f>IF(M720="","",IFERROR(AVERAGEIFS(DATOS!$K$2:$K$20000,DATOS!$A$2:$A$20000,M720,DATOS!$G$2:$G$20000,CONFIG_METADATA!$B$4,DATOS!$I$2:$I$20000,"Lenguaje Musical"),""))</f>
        <v/>
      </c>
      <c r="O720" t="str">
        <f>IF(M720="","",IFERROR(AVERAGEIFS(DATOS!$K$2:$K$20000,DATOS!$A$2:$A$20000,M720,DATOS!$G$2:$G$20000,CONFIG_METADATA!$B$4,DATOS!$I$2:$I$20000,"Coro"),""))</f>
        <v/>
      </c>
      <c r="P720" t="str">
        <f>IF(M720="","",IFERROR(AVERAGEIFS(DATOS!$K$2:$K$20000,DATOS!$A$2:$A$20000,M720,DATOS!$G$2:$G$20000,CONFIG_METADATA!$B$4,DATOS!$I$2:$I$20000,"Conjunto"),""))</f>
        <v/>
      </c>
      <c r="Q720" t="str">
        <f>IF(M720="","",IFERROR(AVERAGEIFS(DATOS!$K$2:$K$20000,DATOS!$A$2:$A$20000,M720,DATOS!$G$2:$G$20000,CONFIG_METADATA!$B$4,DATOS!$I$2:$I$20000,"&lt;&gt;Lenguaje Musical",DATOS!$I$2:$I$20000,"&lt;&gt;Coro",DATOS!$I$2:$I$20000,"&lt;&gt;Conjunto"),""))</f>
        <v/>
      </c>
      <c r="T720" t="str">
        <f>IF(S720="","",IFERROR(AVERAGEIFS(DATOS!$K$2:$K$20000,DATOS!$A$2:$A$20000,S720,DATOS!$G$2:$G$20000,CONFIG_METADATA!$B$4,DATOS!$I$2:$I$20000,"Lenguaje Musical"),""))</f>
        <v/>
      </c>
      <c r="U720" t="str">
        <f>IF(S720="","",IFERROR(AVERAGEIFS(DATOS!$K$2:$K$20000,DATOS!$A$2:$A$20000,S720,DATOS!$G$2:$G$20000,CONFIG_METADATA!$B$4,DATOS!$I$2:$I$20000,"Coro"),""))</f>
        <v/>
      </c>
      <c r="V720" t="str">
        <f>IF(S720="","",IFERROR(AVERAGEIFS(DATOS!$K$2:$K$20000,DATOS!$A$2:$A$20000,S720,DATOS!$G$2:$G$20000,CONFIG_METADATA!$B$4,DATOS!$I$2:$I$20000,"Conjunto"),""))</f>
        <v/>
      </c>
      <c r="W720" t="str" cm="1">
        <f t="array" ref="W720">IF(S720="","",IFERROR(AVERAGE(IF((DATOS!$A$2:$A$20000=S720)*(DATOS!$G$2:$G$20000=CONFIG_METADATA!$B$4)*(DATOS!$I$2:$I$20000&lt;&gt;"Lenguaje Musical")*(DATOS!$I$2:$I$20000&lt;&gt;"Coro")*(DATOS!$I$2:$I$20000&lt;&gt;"Conjunto"),DATOS!$K$2:$K$20000)),""))</f>
        <v/>
      </c>
    </row>
    <row r="721" spans="2:23" x14ac:dyDescent="0.2">
      <c r="B721" t="str">
        <f>IF(A721="","",IFERROR(AVERAGEIFS(DATOS!$K$2:$K$20000,DATOS!$A$2:$A$20000,A721,DATOS!$G$2:$G$20000,CONFIG_METADATA!$B$4,DATOS!$I$2:$I$20000,"Lenguaje Musical"),""))</f>
        <v/>
      </c>
      <c r="C721" t="str">
        <f>IF(A721="","",IFERROR(AVERAGEIFS(DATOS!$K$2:$K$20000,DATOS!$A$2:$A$20000,A721,DATOS!$G$2:$G$20000,CONFIG_METADATA!$B$4,DATOS!$I$2:$I$20000,"Coro"),""))</f>
        <v/>
      </c>
      <c r="D721" t="str">
        <f>IF(A721="","",IFERROR(AVERAGEIFS(DATOS!$K$2:$K$20000,DATOS!$A$2:$A$20000,A721,DATOS!$G$2:$G$20000,CONFIG_METADATA!$B$4,DATOS!$I$2:$I$20000,"Conjunto"),""))</f>
        <v/>
      </c>
      <c r="E721" t="str">
        <f>IF(A721="","",IFERROR(AVERAGEIFS(DATOS!$K$2:$K$20000,DATOS!$A$2:$A$20000,A721,DATOS!$G$2:$G$20000,CONFIG_METADATA!$B$4,DATOS!$I$2:$I$20000,"&lt;&gt;Lenguaje Musical",DATOS!$I$2:$I$20000,"&lt;&gt;Coro",DATOS!$I$2:$I$20000,"&lt;&gt;Conjunto"),""))</f>
        <v/>
      </c>
      <c r="N721" t="str">
        <f>IF(M721="","",IFERROR(AVERAGEIFS(DATOS!$K$2:$K$20000,DATOS!$A$2:$A$20000,M721,DATOS!$G$2:$G$20000,CONFIG_METADATA!$B$4,DATOS!$I$2:$I$20000,"Lenguaje Musical"),""))</f>
        <v/>
      </c>
      <c r="O721" t="str">
        <f>IF(M721="","",IFERROR(AVERAGEIFS(DATOS!$K$2:$K$20000,DATOS!$A$2:$A$20000,M721,DATOS!$G$2:$G$20000,CONFIG_METADATA!$B$4,DATOS!$I$2:$I$20000,"Coro"),""))</f>
        <v/>
      </c>
      <c r="P721" t="str">
        <f>IF(M721="","",IFERROR(AVERAGEIFS(DATOS!$K$2:$K$20000,DATOS!$A$2:$A$20000,M721,DATOS!$G$2:$G$20000,CONFIG_METADATA!$B$4,DATOS!$I$2:$I$20000,"Conjunto"),""))</f>
        <v/>
      </c>
      <c r="Q721" t="str">
        <f>IF(M721="","",IFERROR(AVERAGEIFS(DATOS!$K$2:$K$20000,DATOS!$A$2:$A$20000,M721,DATOS!$G$2:$G$20000,CONFIG_METADATA!$B$4,DATOS!$I$2:$I$20000,"&lt;&gt;Lenguaje Musical",DATOS!$I$2:$I$20000,"&lt;&gt;Coro",DATOS!$I$2:$I$20000,"&lt;&gt;Conjunto"),""))</f>
        <v/>
      </c>
      <c r="T721" t="str">
        <f>IF(S721="","",IFERROR(AVERAGEIFS(DATOS!$K$2:$K$20000,DATOS!$A$2:$A$20000,S721,DATOS!$G$2:$G$20000,CONFIG_METADATA!$B$4,DATOS!$I$2:$I$20000,"Lenguaje Musical"),""))</f>
        <v/>
      </c>
      <c r="U721" t="str">
        <f>IF(S721="","",IFERROR(AVERAGEIFS(DATOS!$K$2:$K$20000,DATOS!$A$2:$A$20000,S721,DATOS!$G$2:$G$20000,CONFIG_METADATA!$B$4,DATOS!$I$2:$I$20000,"Coro"),""))</f>
        <v/>
      </c>
      <c r="V721" t="str">
        <f>IF(S721="","",IFERROR(AVERAGEIFS(DATOS!$K$2:$K$20000,DATOS!$A$2:$A$20000,S721,DATOS!$G$2:$G$20000,CONFIG_METADATA!$B$4,DATOS!$I$2:$I$20000,"Conjunto"),""))</f>
        <v/>
      </c>
      <c r="W721" t="str" cm="1">
        <f t="array" ref="W721">IF(S721="","",IFERROR(AVERAGE(IF((DATOS!$A$2:$A$20000=S721)*(DATOS!$G$2:$G$20000=CONFIG_METADATA!$B$4)*(DATOS!$I$2:$I$20000&lt;&gt;"Lenguaje Musical")*(DATOS!$I$2:$I$20000&lt;&gt;"Coro")*(DATOS!$I$2:$I$20000&lt;&gt;"Conjunto"),DATOS!$K$2:$K$20000)),""))</f>
        <v/>
      </c>
    </row>
    <row r="722" spans="2:23" x14ac:dyDescent="0.2">
      <c r="B722" t="str">
        <f>IF(A722="","",IFERROR(AVERAGEIFS(DATOS!$K$2:$K$20000,DATOS!$A$2:$A$20000,A722,DATOS!$G$2:$G$20000,CONFIG_METADATA!$B$4,DATOS!$I$2:$I$20000,"Lenguaje Musical"),""))</f>
        <v/>
      </c>
      <c r="C722" t="str">
        <f>IF(A722="","",IFERROR(AVERAGEIFS(DATOS!$K$2:$K$20000,DATOS!$A$2:$A$20000,A722,DATOS!$G$2:$G$20000,CONFIG_METADATA!$B$4,DATOS!$I$2:$I$20000,"Coro"),""))</f>
        <v/>
      </c>
      <c r="D722" t="str">
        <f>IF(A722="","",IFERROR(AVERAGEIFS(DATOS!$K$2:$K$20000,DATOS!$A$2:$A$20000,A722,DATOS!$G$2:$G$20000,CONFIG_METADATA!$B$4,DATOS!$I$2:$I$20000,"Conjunto"),""))</f>
        <v/>
      </c>
      <c r="E722" t="str">
        <f>IF(A722="","",IFERROR(AVERAGEIFS(DATOS!$K$2:$K$20000,DATOS!$A$2:$A$20000,A722,DATOS!$G$2:$G$20000,CONFIG_METADATA!$B$4,DATOS!$I$2:$I$20000,"&lt;&gt;Lenguaje Musical",DATOS!$I$2:$I$20000,"&lt;&gt;Coro",DATOS!$I$2:$I$20000,"&lt;&gt;Conjunto"),""))</f>
        <v/>
      </c>
      <c r="N722" t="str">
        <f>IF(M722="","",IFERROR(AVERAGEIFS(DATOS!$K$2:$K$20000,DATOS!$A$2:$A$20000,M722,DATOS!$G$2:$G$20000,CONFIG_METADATA!$B$4,DATOS!$I$2:$I$20000,"Lenguaje Musical"),""))</f>
        <v/>
      </c>
      <c r="O722" t="str">
        <f>IF(M722="","",IFERROR(AVERAGEIFS(DATOS!$K$2:$K$20000,DATOS!$A$2:$A$20000,M722,DATOS!$G$2:$G$20000,CONFIG_METADATA!$B$4,DATOS!$I$2:$I$20000,"Coro"),""))</f>
        <v/>
      </c>
      <c r="P722" t="str">
        <f>IF(M722="","",IFERROR(AVERAGEIFS(DATOS!$K$2:$K$20000,DATOS!$A$2:$A$20000,M722,DATOS!$G$2:$G$20000,CONFIG_METADATA!$B$4,DATOS!$I$2:$I$20000,"Conjunto"),""))</f>
        <v/>
      </c>
      <c r="Q722" t="str">
        <f>IF(M722="","",IFERROR(AVERAGEIFS(DATOS!$K$2:$K$20000,DATOS!$A$2:$A$20000,M722,DATOS!$G$2:$G$20000,CONFIG_METADATA!$B$4,DATOS!$I$2:$I$20000,"&lt;&gt;Lenguaje Musical",DATOS!$I$2:$I$20000,"&lt;&gt;Coro",DATOS!$I$2:$I$20000,"&lt;&gt;Conjunto"),""))</f>
        <v/>
      </c>
      <c r="T722" t="str">
        <f>IF(S722="","",IFERROR(AVERAGEIFS(DATOS!$K$2:$K$20000,DATOS!$A$2:$A$20000,S722,DATOS!$G$2:$G$20000,CONFIG_METADATA!$B$4,DATOS!$I$2:$I$20000,"Lenguaje Musical"),""))</f>
        <v/>
      </c>
      <c r="U722" t="str">
        <f>IF(S722="","",IFERROR(AVERAGEIFS(DATOS!$K$2:$K$20000,DATOS!$A$2:$A$20000,S722,DATOS!$G$2:$G$20000,CONFIG_METADATA!$B$4,DATOS!$I$2:$I$20000,"Coro"),""))</f>
        <v/>
      </c>
      <c r="V722" t="str">
        <f>IF(S722="","",IFERROR(AVERAGEIFS(DATOS!$K$2:$K$20000,DATOS!$A$2:$A$20000,S722,DATOS!$G$2:$G$20000,CONFIG_METADATA!$B$4,DATOS!$I$2:$I$20000,"Conjunto"),""))</f>
        <v/>
      </c>
      <c r="W722" t="str" cm="1">
        <f t="array" ref="W722">IF(S722="","",IFERROR(AVERAGE(IF((DATOS!$A$2:$A$20000=S722)*(DATOS!$G$2:$G$20000=CONFIG_METADATA!$B$4)*(DATOS!$I$2:$I$20000&lt;&gt;"Lenguaje Musical")*(DATOS!$I$2:$I$20000&lt;&gt;"Coro")*(DATOS!$I$2:$I$20000&lt;&gt;"Conjunto"),DATOS!$K$2:$K$20000)),""))</f>
        <v/>
      </c>
    </row>
    <row r="723" spans="2:23" x14ac:dyDescent="0.2">
      <c r="B723" t="str">
        <f>IF(A723="","",IFERROR(AVERAGEIFS(DATOS!$K$2:$K$20000,DATOS!$A$2:$A$20000,A723,DATOS!$G$2:$G$20000,CONFIG_METADATA!$B$4,DATOS!$I$2:$I$20000,"Lenguaje Musical"),""))</f>
        <v/>
      </c>
      <c r="C723" t="str">
        <f>IF(A723="","",IFERROR(AVERAGEIFS(DATOS!$K$2:$K$20000,DATOS!$A$2:$A$20000,A723,DATOS!$G$2:$G$20000,CONFIG_METADATA!$B$4,DATOS!$I$2:$I$20000,"Coro"),""))</f>
        <v/>
      </c>
      <c r="D723" t="str">
        <f>IF(A723="","",IFERROR(AVERAGEIFS(DATOS!$K$2:$K$20000,DATOS!$A$2:$A$20000,A723,DATOS!$G$2:$G$20000,CONFIG_METADATA!$B$4,DATOS!$I$2:$I$20000,"Conjunto"),""))</f>
        <v/>
      </c>
      <c r="E723" t="str">
        <f>IF(A723="","",IFERROR(AVERAGEIFS(DATOS!$K$2:$K$20000,DATOS!$A$2:$A$20000,A723,DATOS!$G$2:$G$20000,CONFIG_METADATA!$B$4,DATOS!$I$2:$I$20000,"&lt;&gt;Lenguaje Musical",DATOS!$I$2:$I$20000,"&lt;&gt;Coro",DATOS!$I$2:$I$20000,"&lt;&gt;Conjunto"),""))</f>
        <v/>
      </c>
      <c r="N723" t="str">
        <f>IF(M723="","",IFERROR(AVERAGEIFS(DATOS!$K$2:$K$20000,DATOS!$A$2:$A$20000,M723,DATOS!$G$2:$G$20000,CONFIG_METADATA!$B$4,DATOS!$I$2:$I$20000,"Lenguaje Musical"),""))</f>
        <v/>
      </c>
      <c r="O723" t="str">
        <f>IF(M723="","",IFERROR(AVERAGEIFS(DATOS!$K$2:$K$20000,DATOS!$A$2:$A$20000,M723,DATOS!$G$2:$G$20000,CONFIG_METADATA!$B$4,DATOS!$I$2:$I$20000,"Coro"),""))</f>
        <v/>
      </c>
      <c r="P723" t="str">
        <f>IF(M723="","",IFERROR(AVERAGEIFS(DATOS!$K$2:$K$20000,DATOS!$A$2:$A$20000,M723,DATOS!$G$2:$G$20000,CONFIG_METADATA!$B$4,DATOS!$I$2:$I$20000,"Conjunto"),""))</f>
        <v/>
      </c>
      <c r="Q723" t="str">
        <f>IF(M723="","",IFERROR(AVERAGEIFS(DATOS!$K$2:$K$20000,DATOS!$A$2:$A$20000,M723,DATOS!$G$2:$G$20000,CONFIG_METADATA!$B$4,DATOS!$I$2:$I$20000,"&lt;&gt;Lenguaje Musical",DATOS!$I$2:$I$20000,"&lt;&gt;Coro",DATOS!$I$2:$I$20000,"&lt;&gt;Conjunto"),""))</f>
        <v/>
      </c>
      <c r="T723" t="str">
        <f>IF(S723="","",IFERROR(AVERAGEIFS(DATOS!$K$2:$K$20000,DATOS!$A$2:$A$20000,S723,DATOS!$G$2:$G$20000,CONFIG_METADATA!$B$4,DATOS!$I$2:$I$20000,"Lenguaje Musical"),""))</f>
        <v/>
      </c>
      <c r="U723" t="str">
        <f>IF(S723="","",IFERROR(AVERAGEIFS(DATOS!$K$2:$K$20000,DATOS!$A$2:$A$20000,S723,DATOS!$G$2:$G$20000,CONFIG_METADATA!$B$4,DATOS!$I$2:$I$20000,"Coro"),""))</f>
        <v/>
      </c>
      <c r="V723" t="str">
        <f>IF(S723="","",IFERROR(AVERAGEIFS(DATOS!$K$2:$K$20000,DATOS!$A$2:$A$20000,S723,DATOS!$G$2:$G$20000,CONFIG_METADATA!$B$4,DATOS!$I$2:$I$20000,"Conjunto"),""))</f>
        <v/>
      </c>
      <c r="W723" t="str" cm="1">
        <f t="array" ref="W723">IF(S723="","",IFERROR(AVERAGE(IF((DATOS!$A$2:$A$20000=S723)*(DATOS!$G$2:$G$20000=CONFIG_METADATA!$B$4)*(DATOS!$I$2:$I$20000&lt;&gt;"Lenguaje Musical")*(DATOS!$I$2:$I$20000&lt;&gt;"Coro")*(DATOS!$I$2:$I$20000&lt;&gt;"Conjunto"),DATOS!$K$2:$K$20000)),""))</f>
        <v/>
      </c>
    </row>
    <row r="724" spans="2:23" x14ac:dyDescent="0.2">
      <c r="B724" t="str">
        <f>IF(A724="","",IFERROR(AVERAGEIFS(DATOS!$K$2:$K$20000,DATOS!$A$2:$A$20000,A724,DATOS!$G$2:$G$20000,CONFIG_METADATA!$B$4,DATOS!$I$2:$I$20000,"Lenguaje Musical"),""))</f>
        <v/>
      </c>
      <c r="C724" t="str">
        <f>IF(A724="","",IFERROR(AVERAGEIFS(DATOS!$K$2:$K$20000,DATOS!$A$2:$A$20000,A724,DATOS!$G$2:$G$20000,CONFIG_METADATA!$B$4,DATOS!$I$2:$I$20000,"Coro"),""))</f>
        <v/>
      </c>
      <c r="D724" t="str">
        <f>IF(A724="","",IFERROR(AVERAGEIFS(DATOS!$K$2:$K$20000,DATOS!$A$2:$A$20000,A724,DATOS!$G$2:$G$20000,CONFIG_METADATA!$B$4,DATOS!$I$2:$I$20000,"Conjunto"),""))</f>
        <v/>
      </c>
      <c r="E724" t="str">
        <f>IF(A724="","",IFERROR(AVERAGEIFS(DATOS!$K$2:$K$20000,DATOS!$A$2:$A$20000,A724,DATOS!$G$2:$G$20000,CONFIG_METADATA!$B$4,DATOS!$I$2:$I$20000,"&lt;&gt;Lenguaje Musical",DATOS!$I$2:$I$20000,"&lt;&gt;Coro",DATOS!$I$2:$I$20000,"&lt;&gt;Conjunto"),""))</f>
        <v/>
      </c>
      <c r="N724" t="str">
        <f>IF(M724="","",IFERROR(AVERAGEIFS(DATOS!$K$2:$K$20000,DATOS!$A$2:$A$20000,M724,DATOS!$G$2:$G$20000,CONFIG_METADATA!$B$4,DATOS!$I$2:$I$20000,"Lenguaje Musical"),""))</f>
        <v/>
      </c>
      <c r="O724" t="str">
        <f>IF(M724="","",IFERROR(AVERAGEIFS(DATOS!$K$2:$K$20000,DATOS!$A$2:$A$20000,M724,DATOS!$G$2:$G$20000,CONFIG_METADATA!$B$4,DATOS!$I$2:$I$20000,"Coro"),""))</f>
        <v/>
      </c>
      <c r="P724" t="str">
        <f>IF(M724="","",IFERROR(AVERAGEIFS(DATOS!$K$2:$K$20000,DATOS!$A$2:$A$20000,M724,DATOS!$G$2:$G$20000,CONFIG_METADATA!$B$4,DATOS!$I$2:$I$20000,"Conjunto"),""))</f>
        <v/>
      </c>
      <c r="Q724" t="str">
        <f>IF(M724="","",IFERROR(AVERAGEIFS(DATOS!$K$2:$K$20000,DATOS!$A$2:$A$20000,M724,DATOS!$G$2:$G$20000,CONFIG_METADATA!$B$4,DATOS!$I$2:$I$20000,"&lt;&gt;Lenguaje Musical",DATOS!$I$2:$I$20000,"&lt;&gt;Coro",DATOS!$I$2:$I$20000,"&lt;&gt;Conjunto"),""))</f>
        <v/>
      </c>
      <c r="T724" t="str">
        <f>IF(S724="","",IFERROR(AVERAGEIFS(DATOS!$K$2:$K$20000,DATOS!$A$2:$A$20000,S724,DATOS!$G$2:$G$20000,CONFIG_METADATA!$B$4,DATOS!$I$2:$I$20000,"Lenguaje Musical"),""))</f>
        <v/>
      </c>
      <c r="U724" t="str">
        <f>IF(S724="","",IFERROR(AVERAGEIFS(DATOS!$K$2:$K$20000,DATOS!$A$2:$A$20000,S724,DATOS!$G$2:$G$20000,CONFIG_METADATA!$B$4,DATOS!$I$2:$I$20000,"Coro"),""))</f>
        <v/>
      </c>
      <c r="V724" t="str">
        <f>IF(S724="","",IFERROR(AVERAGEIFS(DATOS!$K$2:$K$20000,DATOS!$A$2:$A$20000,S724,DATOS!$G$2:$G$20000,CONFIG_METADATA!$B$4,DATOS!$I$2:$I$20000,"Conjunto"),""))</f>
        <v/>
      </c>
      <c r="W724" t="str" cm="1">
        <f t="array" ref="W724">IF(S724="","",IFERROR(AVERAGE(IF((DATOS!$A$2:$A$20000=S724)*(DATOS!$G$2:$G$20000=CONFIG_METADATA!$B$4)*(DATOS!$I$2:$I$20000&lt;&gt;"Lenguaje Musical")*(DATOS!$I$2:$I$20000&lt;&gt;"Coro")*(DATOS!$I$2:$I$20000&lt;&gt;"Conjunto"),DATOS!$K$2:$K$20000)),""))</f>
        <v/>
      </c>
    </row>
    <row r="725" spans="2:23" x14ac:dyDescent="0.2">
      <c r="B725" t="str">
        <f>IF(A725="","",IFERROR(AVERAGEIFS(DATOS!$K$2:$K$20000,DATOS!$A$2:$A$20000,A725,DATOS!$G$2:$G$20000,CONFIG_METADATA!$B$4,DATOS!$I$2:$I$20000,"Lenguaje Musical"),""))</f>
        <v/>
      </c>
      <c r="C725" t="str">
        <f>IF(A725="","",IFERROR(AVERAGEIFS(DATOS!$K$2:$K$20000,DATOS!$A$2:$A$20000,A725,DATOS!$G$2:$G$20000,CONFIG_METADATA!$B$4,DATOS!$I$2:$I$20000,"Coro"),""))</f>
        <v/>
      </c>
      <c r="D725" t="str">
        <f>IF(A725="","",IFERROR(AVERAGEIFS(DATOS!$K$2:$K$20000,DATOS!$A$2:$A$20000,A725,DATOS!$G$2:$G$20000,CONFIG_METADATA!$B$4,DATOS!$I$2:$I$20000,"Conjunto"),""))</f>
        <v/>
      </c>
      <c r="E725" t="str">
        <f>IF(A725="","",IFERROR(AVERAGEIFS(DATOS!$K$2:$K$20000,DATOS!$A$2:$A$20000,A725,DATOS!$G$2:$G$20000,CONFIG_METADATA!$B$4,DATOS!$I$2:$I$20000,"&lt;&gt;Lenguaje Musical",DATOS!$I$2:$I$20000,"&lt;&gt;Coro",DATOS!$I$2:$I$20000,"&lt;&gt;Conjunto"),""))</f>
        <v/>
      </c>
      <c r="N725" t="str">
        <f>IF(M725="","",IFERROR(AVERAGEIFS(DATOS!$K$2:$K$20000,DATOS!$A$2:$A$20000,M725,DATOS!$G$2:$G$20000,CONFIG_METADATA!$B$4,DATOS!$I$2:$I$20000,"Lenguaje Musical"),""))</f>
        <v/>
      </c>
      <c r="O725" t="str">
        <f>IF(M725="","",IFERROR(AVERAGEIFS(DATOS!$K$2:$K$20000,DATOS!$A$2:$A$20000,M725,DATOS!$G$2:$G$20000,CONFIG_METADATA!$B$4,DATOS!$I$2:$I$20000,"Coro"),""))</f>
        <v/>
      </c>
      <c r="P725" t="str">
        <f>IF(M725="","",IFERROR(AVERAGEIFS(DATOS!$K$2:$K$20000,DATOS!$A$2:$A$20000,M725,DATOS!$G$2:$G$20000,CONFIG_METADATA!$B$4,DATOS!$I$2:$I$20000,"Conjunto"),""))</f>
        <v/>
      </c>
      <c r="Q725" t="str">
        <f>IF(M725="","",IFERROR(AVERAGEIFS(DATOS!$K$2:$K$20000,DATOS!$A$2:$A$20000,M725,DATOS!$G$2:$G$20000,CONFIG_METADATA!$B$4,DATOS!$I$2:$I$20000,"&lt;&gt;Lenguaje Musical",DATOS!$I$2:$I$20000,"&lt;&gt;Coro",DATOS!$I$2:$I$20000,"&lt;&gt;Conjunto"),""))</f>
        <v/>
      </c>
      <c r="T725" t="str">
        <f>IF(S725="","",IFERROR(AVERAGEIFS(DATOS!$K$2:$K$20000,DATOS!$A$2:$A$20000,S725,DATOS!$G$2:$G$20000,CONFIG_METADATA!$B$4,DATOS!$I$2:$I$20000,"Lenguaje Musical"),""))</f>
        <v/>
      </c>
      <c r="U725" t="str">
        <f>IF(S725="","",IFERROR(AVERAGEIFS(DATOS!$K$2:$K$20000,DATOS!$A$2:$A$20000,S725,DATOS!$G$2:$G$20000,CONFIG_METADATA!$B$4,DATOS!$I$2:$I$20000,"Coro"),""))</f>
        <v/>
      </c>
      <c r="V725" t="str">
        <f>IF(S725="","",IFERROR(AVERAGEIFS(DATOS!$K$2:$K$20000,DATOS!$A$2:$A$20000,S725,DATOS!$G$2:$G$20000,CONFIG_METADATA!$B$4,DATOS!$I$2:$I$20000,"Conjunto"),""))</f>
        <v/>
      </c>
      <c r="W725" t="str" cm="1">
        <f t="array" ref="W725">IF(S725="","",IFERROR(AVERAGE(IF((DATOS!$A$2:$A$20000=S725)*(DATOS!$G$2:$G$20000=CONFIG_METADATA!$B$4)*(DATOS!$I$2:$I$20000&lt;&gt;"Lenguaje Musical")*(DATOS!$I$2:$I$20000&lt;&gt;"Coro")*(DATOS!$I$2:$I$20000&lt;&gt;"Conjunto"),DATOS!$K$2:$K$20000)),""))</f>
        <v/>
      </c>
    </row>
    <row r="726" spans="2:23" x14ac:dyDescent="0.2">
      <c r="B726" t="str">
        <f>IF(A726="","",IFERROR(AVERAGEIFS(DATOS!$K$2:$K$20000,DATOS!$A$2:$A$20000,A726,DATOS!$G$2:$G$20000,CONFIG_METADATA!$B$4,DATOS!$I$2:$I$20000,"Lenguaje Musical"),""))</f>
        <v/>
      </c>
      <c r="C726" t="str">
        <f>IF(A726="","",IFERROR(AVERAGEIFS(DATOS!$K$2:$K$20000,DATOS!$A$2:$A$20000,A726,DATOS!$G$2:$G$20000,CONFIG_METADATA!$B$4,DATOS!$I$2:$I$20000,"Coro"),""))</f>
        <v/>
      </c>
      <c r="D726" t="str">
        <f>IF(A726="","",IFERROR(AVERAGEIFS(DATOS!$K$2:$K$20000,DATOS!$A$2:$A$20000,A726,DATOS!$G$2:$G$20000,CONFIG_METADATA!$B$4,DATOS!$I$2:$I$20000,"Conjunto"),""))</f>
        <v/>
      </c>
      <c r="E726" t="str">
        <f>IF(A726="","",IFERROR(AVERAGEIFS(DATOS!$K$2:$K$20000,DATOS!$A$2:$A$20000,A726,DATOS!$G$2:$G$20000,CONFIG_METADATA!$B$4,DATOS!$I$2:$I$20000,"&lt;&gt;Lenguaje Musical",DATOS!$I$2:$I$20000,"&lt;&gt;Coro",DATOS!$I$2:$I$20000,"&lt;&gt;Conjunto"),""))</f>
        <v/>
      </c>
      <c r="N726" t="str">
        <f>IF(M726="","",IFERROR(AVERAGEIFS(DATOS!$K$2:$K$20000,DATOS!$A$2:$A$20000,M726,DATOS!$G$2:$G$20000,CONFIG_METADATA!$B$4,DATOS!$I$2:$I$20000,"Lenguaje Musical"),""))</f>
        <v/>
      </c>
      <c r="O726" t="str">
        <f>IF(M726="","",IFERROR(AVERAGEIFS(DATOS!$K$2:$K$20000,DATOS!$A$2:$A$20000,M726,DATOS!$G$2:$G$20000,CONFIG_METADATA!$B$4,DATOS!$I$2:$I$20000,"Coro"),""))</f>
        <v/>
      </c>
      <c r="P726" t="str">
        <f>IF(M726="","",IFERROR(AVERAGEIFS(DATOS!$K$2:$K$20000,DATOS!$A$2:$A$20000,M726,DATOS!$G$2:$G$20000,CONFIG_METADATA!$B$4,DATOS!$I$2:$I$20000,"Conjunto"),""))</f>
        <v/>
      </c>
      <c r="Q726" t="str">
        <f>IF(M726="","",IFERROR(AVERAGEIFS(DATOS!$K$2:$K$20000,DATOS!$A$2:$A$20000,M726,DATOS!$G$2:$G$20000,CONFIG_METADATA!$B$4,DATOS!$I$2:$I$20000,"&lt;&gt;Lenguaje Musical",DATOS!$I$2:$I$20000,"&lt;&gt;Coro",DATOS!$I$2:$I$20000,"&lt;&gt;Conjunto"),""))</f>
        <v/>
      </c>
      <c r="T726" t="str">
        <f>IF(S726="","",IFERROR(AVERAGEIFS(DATOS!$K$2:$K$20000,DATOS!$A$2:$A$20000,S726,DATOS!$G$2:$G$20000,CONFIG_METADATA!$B$4,DATOS!$I$2:$I$20000,"Lenguaje Musical"),""))</f>
        <v/>
      </c>
      <c r="U726" t="str">
        <f>IF(S726="","",IFERROR(AVERAGEIFS(DATOS!$K$2:$K$20000,DATOS!$A$2:$A$20000,S726,DATOS!$G$2:$G$20000,CONFIG_METADATA!$B$4,DATOS!$I$2:$I$20000,"Coro"),""))</f>
        <v/>
      </c>
      <c r="V726" t="str">
        <f>IF(S726="","",IFERROR(AVERAGEIFS(DATOS!$K$2:$K$20000,DATOS!$A$2:$A$20000,S726,DATOS!$G$2:$G$20000,CONFIG_METADATA!$B$4,DATOS!$I$2:$I$20000,"Conjunto"),""))</f>
        <v/>
      </c>
      <c r="W726" t="str" cm="1">
        <f t="array" ref="W726">IF(S726="","",IFERROR(AVERAGE(IF((DATOS!$A$2:$A$20000=S726)*(DATOS!$G$2:$G$20000=CONFIG_METADATA!$B$4)*(DATOS!$I$2:$I$20000&lt;&gt;"Lenguaje Musical")*(DATOS!$I$2:$I$20000&lt;&gt;"Coro")*(DATOS!$I$2:$I$20000&lt;&gt;"Conjunto"),DATOS!$K$2:$K$20000)),""))</f>
        <v/>
      </c>
    </row>
    <row r="727" spans="2:23" x14ac:dyDescent="0.2">
      <c r="B727" t="str">
        <f>IF(A727="","",IFERROR(AVERAGEIFS(DATOS!$K$2:$K$20000,DATOS!$A$2:$A$20000,A727,DATOS!$G$2:$G$20000,CONFIG_METADATA!$B$4,DATOS!$I$2:$I$20000,"Lenguaje Musical"),""))</f>
        <v/>
      </c>
      <c r="C727" t="str">
        <f>IF(A727="","",IFERROR(AVERAGEIFS(DATOS!$K$2:$K$20000,DATOS!$A$2:$A$20000,A727,DATOS!$G$2:$G$20000,CONFIG_METADATA!$B$4,DATOS!$I$2:$I$20000,"Coro"),""))</f>
        <v/>
      </c>
      <c r="D727" t="str">
        <f>IF(A727="","",IFERROR(AVERAGEIFS(DATOS!$K$2:$K$20000,DATOS!$A$2:$A$20000,A727,DATOS!$G$2:$G$20000,CONFIG_METADATA!$B$4,DATOS!$I$2:$I$20000,"Conjunto"),""))</f>
        <v/>
      </c>
      <c r="E727" t="str">
        <f>IF(A727="","",IFERROR(AVERAGEIFS(DATOS!$K$2:$K$20000,DATOS!$A$2:$A$20000,A727,DATOS!$G$2:$G$20000,CONFIG_METADATA!$B$4,DATOS!$I$2:$I$20000,"&lt;&gt;Lenguaje Musical",DATOS!$I$2:$I$20000,"&lt;&gt;Coro",DATOS!$I$2:$I$20000,"&lt;&gt;Conjunto"),""))</f>
        <v/>
      </c>
      <c r="N727" t="str">
        <f>IF(M727="","",IFERROR(AVERAGEIFS(DATOS!$K$2:$K$20000,DATOS!$A$2:$A$20000,M727,DATOS!$G$2:$G$20000,CONFIG_METADATA!$B$4,DATOS!$I$2:$I$20000,"Lenguaje Musical"),""))</f>
        <v/>
      </c>
      <c r="O727" t="str">
        <f>IF(M727="","",IFERROR(AVERAGEIFS(DATOS!$K$2:$K$20000,DATOS!$A$2:$A$20000,M727,DATOS!$G$2:$G$20000,CONFIG_METADATA!$B$4,DATOS!$I$2:$I$20000,"Coro"),""))</f>
        <v/>
      </c>
      <c r="P727" t="str">
        <f>IF(M727="","",IFERROR(AVERAGEIFS(DATOS!$K$2:$K$20000,DATOS!$A$2:$A$20000,M727,DATOS!$G$2:$G$20000,CONFIG_METADATA!$B$4,DATOS!$I$2:$I$20000,"Conjunto"),""))</f>
        <v/>
      </c>
      <c r="Q727" t="str">
        <f>IF(M727="","",IFERROR(AVERAGEIFS(DATOS!$K$2:$K$20000,DATOS!$A$2:$A$20000,M727,DATOS!$G$2:$G$20000,CONFIG_METADATA!$B$4,DATOS!$I$2:$I$20000,"&lt;&gt;Lenguaje Musical",DATOS!$I$2:$I$20000,"&lt;&gt;Coro",DATOS!$I$2:$I$20000,"&lt;&gt;Conjunto"),""))</f>
        <v/>
      </c>
      <c r="T727" t="str">
        <f>IF(S727="","",IFERROR(AVERAGEIFS(DATOS!$K$2:$K$20000,DATOS!$A$2:$A$20000,S727,DATOS!$G$2:$G$20000,CONFIG_METADATA!$B$4,DATOS!$I$2:$I$20000,"Lenguaje Musical"),""))</f>
        <v/>
      </c>
      <c r="U727" t="str">
        <f>IF(S727="","",IFERROR(AVERAGEIFS(DATOS!$K$2:$K$20000,DATOS!$A$2:$A$20000,S727,DATOS!$G$2:$G$20000,CONFIG_METADATA!$B$4,DATOS!$I$2:$I$20000,"Coro"),""))</f>
        <v/>
      </c>
      <c r="V727" t="str">
        <f>IF(S727="","",IFERROR(AVERAGEIFS(DATOS!$K$2:$K$20000,DATOS!$A$2:$A$20000,S727,DATOS!$G$2:$G$20000,CONFIG_METADATA!$B$4,DATOS!$I$2:$I$20000,"Conjunto"),""))</f>
        <v/>
      </c>
      <c r="W727" t="str" cm="1">
        <f t="array" ref="W727">IF(S727="","",IFERROR(AVERAGE(IF((DATOS!$A$2:$A$20000=S727)*(DATOS!$G$2:$G$20000=CONFIG_METADATA!$B$4)*(DATOS!$I$2:$I$20000&lt;&gt;"Lenguaje Musical")*(DATOS!$I$2:$I$20000&lt;&gt;"Coro")*(DATOS!$I$2:$I$20000&lt;&gt;"Conjunto"),DATOS!$K$2:$K$20000)),""))</f>
        <v/>
      </c>
    </row>
    <row r="728" spans="2:23" x14ac:dyDescent="0.2">
      <c r="B728" t="str">
        <f>IF(A728="","",IFERROR(AVERAGEIFS(DATOS!$K$2:$K$20000,DATOS!$A$2:$A$20000,A728,DATOS!$G$2:$G$20000,CONFIG_METADATA!$B$4,DATOS!$I$2:$I$20000,"Lenguaje Musical"),""))</f>
        <v/>
      </c>
      <c r="C728" t="str">
        <f>IF(A728="","",IFERROR(AVERAGEIFS(DATOS!$K$2:$K$20000,DATOS!$A$2:$A$20000,A728,DATOS!$G$2:$G$20000,CONFIG_METADATA!$B$4,DATOS!$I$2:$I$20000,"Coro"),""))</f>
        <v/>
      </c>
      <c r="D728" t="str">
        <f>IF(A728="","",IFERROR(AVERAGEIFS(DATOS!$K$2:$K$20000,DATOS!$A$2:$A$20000,A728,DATOS!$G$2:$G$20000,CONFIG_METADATA!$B$4,DATOS!$I$2:$I$20000,"Conjunto"),""))</f>
        <v/>
      </c>
      <c r="E728" t="str">
        <f>IF(A728="","",IFERROR(AVERAGEIFS(DATOS!$K$2:$K$20000,DATOS!$A$2:$A$20000,A728,DATOS!$G$2:$G$20000,CONFIG_METADATA!$B$4,DATOS!$I$2:$I$20000,"&lt;&gt;Lenguaje Musical",DATOS!$I$2:$I$20000,"&lt;&gt;Coro",DATOS!$I$2:$I$20000,"&lt;&gt;Conjunto"),""))</f>
        <v/>
      </c>
      <c r="N728" t="str">
        <f>IF(M728="","",IFERROR(AVERAGEIFS(DATOS!$K$2:$K$20000,DATOS!$A$2:$A$20000,M728,DATOS!$G$2:$G$20000,CONFIG_METADATA!$B$4,DATOS!$I$2:$I$20000,"Lenguaje Musical"),""))</f>
        <v/>
      </c>
      <c r="O728" t="str">
        <f>IF(M728="","",IFERROR(AVERAGEIFS(DATOS!$K$2:$K$20000,DATOS!$A$2:$A$20000,M728,DATOS!$G$2:$G$20000,CONFIG_METADATA!$B$4,DATOS!$I$2:$I$20000,"Coro"),""))</f>
        <v/>
      </c>
      <c r="P728" t="str">
        <f>IF(M728="","",IFERROR(AVERAGEIFS(DATOS!$K$2:$K$20000,DATOS!$A$2:$A$20000,M728,DATOS!$G$2:$G$20000,CONFIG_METADATA!$B$4,DATOS!$I$2:$I$20000,"Conjunto"),""))</f>
        <v/>
      </c>
      <c r="Q728" t="str">
        <f>IF(M728="","",IFERROR(AVERAGEIFS(DATOS!$K$2:$K$20000,DATOS!$A$2:$A$20000,M728,DATOS!$G$2:$G$20000,CONFIG_METADATA!$B$4,DATOS!$I$2:$I$20000,"&lt;&gt;Lenguaje Musical",DATOS!$I$2:$I$20000,"&lt;&gt;Coro",DATOS!$I$2:$I$20000,"&lt;&gt;Conjunto"),""))</f>
        <v/>
      </c>
      <c r="T728" t="str">
        <f>IF(S728="","",IFERROR(AVERAGEIFS(DATOS!$K$2:$K$20000,DATOS!$A$2:$A$20000,S728,DATOS!$G$2:$G$20000,CONFIG_METADATA!$B$4,DATOS!$I$2:$I$20000,"Lenguaje Musical"),""))</f>
        <v/>
      </c>
      <c r="U728" t="str">
        <f>IF(S728="","",IFERROR(AVERAGEIFS(DATOS!$K$2:$K$20000,DATOS!$A$2:$A$20000,S728,DATOS!$G$2:$G$20000,CONFIG_METADATA!$B$4,DATOS!$I$2:$I$20000,"Coro"),""))</f>
        <v/>
      </c>
      <c r="V728" t="str">
        <f>IF(S728="","",IFERROR(AVERAGEIFS(DATOS!$K$2:$K$20000,DATOS!$A$2:$A$20000,S728,DATOS!$G$2:$G$20000,CONFIG_METADATA!$B$4,DATOS!$I$2:$I$20000,"Conjunto"),""))</f>
        <v/>
      </c>
      <c r="W728" t="str" cm="1">
        <f t="array" ref="W728">IF(S728="","",IFERROR(AVERAGE(IF((DATOS!$A$2:$A$20000=S728)*(DATOS!$G$2:$G$20000=CONFIG_METADATA!$B$4)*(DATOS!$I$2:$I$20000&lt;&gt;"Lenguaje Musical")*(DATOS!$I$2:$I$20000&lt;&gt;"Coro")*(DATOS!$I$2:$I$20000&lt;&gt;"Conjunto"),DATOS!$K$2:$K$20000)),""))</f>
        <v/>
      </c>
    </row>
    <row r="729" spans="2:23" x14ac:dyDescent="0.2">
      <c r="B729" t="str">
        <f>IF(A729="","",IFERROR(AVERAGEIFS(DATOS!$K$2:$K$20000,DATOS!$A$2:$A$20000,A729,DATOS!$G$2:$G$20000,CONFIG_METADATA!$B$4,DATOS!$I$2:$I$20000,"Lenguaje Musical"),""))</f>
        <v/>
      </c>
      <c r="C729" t="str">
        <f>IF(A729="","",IFERROR(AVERAGEIFS(DATOS!$K$2:$K$20000,DATOS!$A$2:$A$20000,A729,DATOS!$G$2:$G$20000,CONFIG_METADATA!$B$4,DATOS!$I$2:$I$20000,"Coro"),""))</f>
        <v/>
      </c>
      <c r="D729" t="str">
        <f>IF(A729="","",IFERROR(AVERAGEIFS(DATOS!$K$2:$K$20000,DATOS!$A$2:$A$20000,A729,DATOS!$G$2:$G$20000,CONFIG_METADATA!$B$4,DATOS!$I$2:$I$20000,"Conjunto"),""))</f>
        <v/>
      </c>
      <c r="E729" t="str">
        <f>IF(A729="","",IFERROR(AVERAGEIFS(DATOS!$K$2:$K$20000,DATOS!$A$2:$A$20000,A729,DATOS!$G$2:$G$20000,CONFIG_METADATA!$B$4,DATOS!$I$2:$I$20000,"&lt;&gt;Lenguaje Musical",DATOS!$I$2:$I$20000,"&lt;&gt;Coro",DATOS!$I$2:$I$20000,"&lt;&gt;Conjunto"),""))</f>
        <v/>
      </c>
      <c r="N729" t="str">
        <f>IF(M729="","",IFERROR(AVERAGEIFS(DATOS!$K$2:$K$20000,DATOS!$A$2:$A$20000,M729,DATOS!$G$2:$G$20000,CONFIG_METADATA!$B$4,DATOS!$I$2:$I$20000,"Lenguaje Musical"),""))</f>
        <v/>
      </c>
      <c r="O729" t="str">
        <f>IF(M729="","",IFERROR(AVERAGEIFS(DATOS!$K$2:$K$20000,DATOS!$A$2:$A$20000,M729,DATOS!$G$2:$G$20000,CONFIG_METADATA!$B$4,DATOS!$I$2:$I$20000,"Coro"),""))</f>
        <v/>
      </c>
      <c r="P729" t="str">
        <f>IF(M729="","",IFERROR(AVERAGEIFS(DATOS!$K$2:$K$20000,DATOS!$A$2:$A$20000,M729,DATOS!$G$2:$G$20000,CONFIG_METADATA!$B$4,DATOS!$I$2:$I$20000,"Conjunto"),""))</f>
        <v/>
      </c>
      <c r="Q729" t="str">
        <f>IF(M729="","",IFERROR(AVERAGEIFS(DATOS!$K$2:$K$20000,DATOS!$A$2:$A$20000,M729,DATOS!$G$2:$G$20000,CONFIG_METADATA!$B$4,DATOS!$I$2:$I$20000,"&lt;&gt;Lenguaje Musical",DATOS!$I$2:$I$20000,"&lt;&gt;Coro",DATOS!$I$2:$I$20000,"&lt;&gt;Conjunto"),""))</f>
        <v/>
      </c>
      <c r="T729" t="str">
        <f>IF(S729="","",IFERROR(AVERAGEIFS(DATOS!$K$2:$K$20000,DATOS!$A$2:$A$20000,S729,DATOS!$G$2:$G$20000,CONFIG_METADATA!$B$4,DATOS!$I$2:$I$20000,"Lenguaje Musical"),""))</f>
        <v/>
      </c>
      <c r="U729" t="str">
        <f>IF(S729="","",IFERROR(AVERAGEIFS(DATOS!$K$2:$K$20000,DATOS!$A$2:$A$20000,S729,DATOS!$G$2:$G$20000,CONFIG_METADATA!$B$4,DATOS!$I$2:$I$20000,"Coro"),""))</f>
        <v/>
      </c>
      <c r="V729" t="str">
        <f>IF(S729="","",IFERROR(AVERAGEIFS(DATOS!$K$2:$K$20000,DATOS!$A$2:$A$20000,S729,DATOS!$G$2:$G$20000,CONFIG_METADATA!$B$4,DATOS!$I$2:$I$20000,"Conjunto"),""))</f>
        <v/>
      </c>
      <c r="W729" t="str" cm="1">
        <f t="array" ref="W729">IF(S729="","",IFERROR(AVERAGE(IF((DATOS!$A$2:$A$20000=S729)*(DATOS!$G$2:$G$20000=CONFIG_METADATA!$B$4)*(DATOS!$I$2:$I$20000&lt;&gt;"Lenguaje Musical")*(DATOS!$I$2:$I$20000&lt;&gt;"Coro")*(DATOS!$I$2:$I$20000&lt;&gt;"Conjunto"),DATOS!$K$2:$K$20000)),""))</f>
        <v/>
      </c>
    </row>
    <row r="730" spans="2:23" x14ac:dyDescent="0.2">
      <c r="B730" t="str">
        <f>IF(A730="","",IFERROR(AVERAGEIFS(DATOS!$K$2:$K$20000,DATOS!$A$2:$A$20000,A730,DATOS!$G$2:$G$20000,CONFIG_METADATA!$B$4,DATOS!$I$2:$I$20000,"Lenguaje Musical"),""))</f>
        <v/>
      </c>
      <c r="C730" t="str">
        <f>IF(A730="","",IFERROR(AVERAGEIFS(DATOS!$K$2:$K$20000,DATOS!$A$2:$A$20000,A730,DATOS!$G$2:$G$20000,CONFIG_METADATA!$B$4,DATOS!$I$2:$I$20000,"Coro"),""))</f>
        <v/>
      </c>
      <c r="D730" t="str">
        <f>IF(A730="","",IFERROR(AVERAGEIFS(DATOS!$K$2:$K$20000,DATOS!$A$2:$A$20000,A730,DATOS!$G$2:$G$20000,CONFIG_METADATA!$B$4,DATOS!$I$2:$I$20000,"Conjunto"),""))</f>
        <v/>
      </c>
      <c r="E730" t="str">
        <f>IF(A730="","",IFERROR(AVERAGEIFS(DATOS!$K$2:$K$20000,DATOS!$A$2:$A$20000,A730,DATOS!$G$2:$G$20000,CONFIG_METADATA!$B$4,DATOS!$I$2:$I$20000,"&lt;&gt;Lenguaje Musical",DATOS!$I$2:$I$20000,"&lt;&gt;Coro",DATOS!$I$2:$I$20000,"&lt;&gt;Conjunto"),""))</f>
        <v/>
      </c>
      <c r="N730" t="str">
        <f>IF(M730="","",IFERROR(AVERAGEIFS(DATOS!$K$2:$K$20000,DATOS!$A$2:$A$20000,M730,DATOS!$G$2:$G$20000,CONFIG_METADATA!$B$4,DATOS!$I$2:$I$20000,"Lenguaje Musical"),""))</f>
        <v/>
      </c>
      <c r="O730" t="str">
        <f>IF(M730="","",IFERROR(AVERAGEIFS(DATOS!$K$2:$K$20000,DATOS!$A$2:$A$20000,M730,DATOS!$G$2:$G$20000,CONFIG_METADATA!$B$4,DATOS!$I$2:$I$20000,"Coro"),""))</f>
        <v/>
      </c>
      <c r="P730" t="str">
        <f>IF(M730="","",IFERROR(AVERAGEIFS(DATOS!$K$2:$K$20000,DATOS!$A$2:$A$20000,M730,DATOS!$G$2:$G$20000,CONFIG_METADATA!$B$4,DATOS!$I$2:$I$20000,"Conjunto"),""))</f>
        <v/>
      </c>
      <c r="Q730" t="str">
        <f>IF(M730="","",IFERROR(AVERAGEIFS(DATOS!$K$2:$K$20000,DATOS!$A$2:$A$20000,M730,DATOS!$G$2:$G$20000,CONFIG_METADATA!$B$4,DATOS!$I$2:$I$20000,"&lt;&gt;Lenguaje Musical",DATOS!$I$2:$I$20000,"&lt;&gt;Coro",DATOS!$I$2:$I$20000,"&lt;&gt;Conjunto"),""))</f>
        <v/>
      </c>
      <c r="T730" t="str">
        <f>IF(S730="","",IFERROR(AVERAGEIFS(DATOS!$K$2:$K$20000,DATOS!$A$2:$A$20000,S730,DATOS!$G$2:$G$20000,CONFIG_METADATA!$B$4,DATOS!$I$2:$I$20000,"Lenguaje Musical"),""))</f>
        <v/>
      </c>
      <c r="U730" t="str">
        <f>IF(S730="","",IFERROR(AVERAGEIFS(DATOS!$K$2:$K$20000,DATOS!$A$2:$A$20000,S730,DATOS!$G$2:$G$20000,CONFIG_METADATA!$B$4,DATOS!$I$2:$I$20000,"Coro"),""))</f>
        <v/>
      </c>
      <c r="V730" t="str">
        <f>IF(S730="","",IFERROR(AVERAGEIFS(DATOS!$K$2:$K$20000,DATOS!$A$2:$A$20000,S730,DATOS!$G$2:$G$20000,CONFIG_METADATA!$B$4,DATOS!$I$2:$I$20000,"Conjunto"),""))</f>
        <v/>
      </c>
      <c r="W730" t="str" cm="1">
        <f t="array" ref="W730">IF(S730="","",IFERROR(AVERAGE(IF((DATOS!$A$2:$A$20000=S730)*(DATOS!$G$2:$G$20000=CONFIG_METADATA!$B$4)*(DATOS!$I$2:$I$20000&lt;&gt;"Lenguaje Musical")*(DATOS!$I$2:$I$20000&lt;&gt;"Coro")*(DATOS!$I$2:$I$20000&lt;&gt;"Conjunto"),DATOS!$K$2:$K$20000)),""))</f>
        <v/>
      </c>
    </row>
    <row r="731" spans="2:23" x14ac:dyDescent="0.2">
      <c r="B731" t="str">
        <f>IF(A731="","",IFERROR(AVERAGEIFS(DATOS!$K$2:$K$20000,DATOS!$A$2:$A$20000,A731,DATOS!$G$2:$G$20000,CONFIG_METADATA!$B$4,DATOS!$I$2:$I$20000,"Lenguaje Musical"),""))</f>
        <v/>
      </c>
      <c r="C731" t="str">
        <f>IF(A731="","",IFERROR(AVERAGEIFS(DATOS!$K$2:$K$20000,DATOS!$A$2:$A$20000,A731,DATOS!$G$2:$G$20000,CONFIG_METADATA!$B$4,DATOS!$I$2:$I$20000,"Coro"),""))</f>
        <v/>
      </c>
      <c r="D731" t="str">
        <f>IF(A731="","",IFERROR(AVERAGEIFS(DATOS!$K$2:$K$20000,DATOS!$A$2:$A$20000,A731,DATOS!$G$2:$G$20000,CONFIG_METADATA!$B$4,DATOS!$I$2:$I$20000,"Conjunto"),""))</f>
        <v/>
      </c>
      <c r="E731" t="str">
        <f>IF(A731="","",IFERROR(AVERAGEIFS(DATOS!$K$2:$K$20000,DATOS!$A$2:$A$20000,A731,DATOS!$G$2:$G$20000,CONFIG_METADATA!$B$4,DATOS!$I$2:$I$20000,"&lt;&gt;Lenguaje Musical",DATOS!$I$2:$I$20000,"&lt;&gt;Coro",DATOS!$I$2:$I$20000,"&lt;&gt;Conjunto"),""))</f>
        <v/>
      </c>
      <c r="N731" t="str">
        <f>IF(M731="","",IFERROR(AVERAGEIFS(DATOS!$K$2:$K$20000,DATOS!$A$2:$A$20000,M731,DATOS!$G$2:$G$20000,CONFIG_METADATA!$B$4,DATOS!$I$2:$I$20000,"Lenguaje Musical"),""))</f>
        <v/>
      </c>
      <c r="O731" t="str">
        <f>IF(M731="","",IFERROR(AVERAGEIFS(DATOS!$K$2:$K$20000,DATOS!$A$2:$A$20000,M731,DATOS!$G$2:$G$20000,CONFIG_METADATA!$B$4,DATOS!$I$2:$I$20000,"Coro"),""))</f>
        <v/>
      </c>
      <c r="P731" t="str">
        <f>IF(M731="","",IFERROR(AVERAGEIFS(DATOS!$K$2:$K$20000,DATOS!$A$2:$A$20000,M731,DATOS!$G$2:$G$20000,CONFIG_METADATA!$B$4,DATOS!$I$2:$I$20000,"Conjunto"),""))</f>
        <v/>
      </c>
      <c r="Q731" t="str">
        <f>IF(M731="","",IFERROR(AVERAGEIFS(DATOS!$K$2:$K$20000,DATOS!$A$2:$A$20000,M731,DATOS!$G$2:$G$20000,CONFIG_METADATA!$B$4,DATOS!$I$2:$I$20000,"&lt;&gt;Lenguaje Musical",DATOS!$I$2:$I$20000,"&lt;&gt;Coro",DATOS!$I$2:$I$20000,"&lt;&gt;Conjunto"),""))</f>
        <v/>
      </c>
      <c r="T731" t="str">
        <f>IF(S731="","",IFERROR(AVERAGEIFS(DATOS!$K$2:$K$20000,DATOS!$A$2:$A$20000,S731,DATOS!$G$2:$G$20000,CONFIG_METADATA!$B$4,DATOS!$I$2:$I$20000,"Lenguaje Musical"),""))</f>
        <v/>
      </c>
      <c r="U731" t="str">
        <f>IF(S731="","",IFERROR(AVERAGEIFS(DATOS!$K$2:$K$20000,DATOS!$A$2:$A$20000,S731,DATOS!$G$2:$G$20000,CONFIG_METADATA!$B$4,DATOS!$I$2:$I$20000,"Coro"),""))</f>
        <v/>
      </c>
      <c r="V731" t="str">
        <f>IF(S731="","",IFERROR(AVERAGEIFS(DATOS!$K$2:$K$20000,DATOS!$A$2:$A$20000,S731,DATOS!$G$2:$G$20000,CONFIG_METADATA!$B$4,DATOS!$I$2:$I$20000,"Conjunto"),""))</f>
        <v/>
      </c>
      <c r="W731" t="str" cm="1">
        <f t="array" ref="W731">IF(S731="","",IFERROR(AVERAGE(IF((DATOS!$A$2:$A$20000=S731)*(DATOS!$G$2:$G$20000=CONFIG_METADATA!$B$4)*(DATOS!$I$2:$I$20000&lt;&gt;"Lenguaje Musical")*(DATOS!$I$2:$I$20000&lt;&gt;"Coro")*(DATOS!$I$2:$I$20000&lt;&gt;"Conjunto"),DATOS!$K$2:$K$20000)),""))</f>
        <v/>
      </c>
    </row>
    <row r="732" spans="2:23" x14ac:dyDescent="0.2">
      <c r="B732" t="str">
        <f>IF(A732="","",IFERROR(AVERAGEIFS(DATOS!$K$2:$K$20000,DATOS!$A$2:$A$20000,A732,DATOS!$G$2:$G$20000,CONFIG_METADATA!$B$4,DATOS!$I$2:$I$20000,"Lenguaje Musical"),""))</f>
        <v/>
      </c>
      <c r="C732" t="str">
        <f>IF(A732="","",IFERROR(AVERAGEIFS(DATOS!$K$2:$K$20000,DATOS!$A$2:$A$20000,A732,DATOS!$G$2:$G$20000,CONFIG_METADATA!$B$4,DATOS!$I$2:$I$20000,"Coro"),""))</f>
        <v/>
      </c>
      <c r="D732" t="str">
        <f>IF(A732="","",IFERROR(AVERAGEIFS(DATOS!$K$2:$K$20000,DATOS!$A$2:$A$20000,A732,DATOS!$G$2:$G$20000,CONFIG_METADATA!$B$4,DATOS!$I$2:$I$20000,"Conjunto"),""))</f>
        <v/>
      </c>
      <c r="E732" t="str">
        <f>IF(A732="","",IFERROR(AVERAGEIFS(DATOS!$K$2:$K$20000,DATOS!$A$2:$A$20000,A732,DATOS!$G$2:$G$20000,CONFIG_METADATA!$B$4,DATOS!$I$2:$I$20000,"&lt;&gt;Lenguaje Musical",DATOS!$I$2:$I$20000,"&lt;&gt;Coro",DATOS!$I$2:$I$20000,"&lt;&gt;Conjunto"),""))</f>
        <v/>
      </c>
      <c r="N732" t="str">
        <f>IF(M732="","",IFERROR(AVERAGEIFS(DATOS!$K$2:$K$20000,DATOS!$A$2:$A$20000,M732,DATOS!$G$2:$G$20000,CONFIG_METADATA!$B$4,DATOS!$I$2:$I$20000,"Lenguaje Musical"),""))</f>
        <v/>
      </c>
      <c r="O732" t="str">
        <f>IF(M732="","",IFERROR(AVERAGEIFS(DATOS!$K$2:$K$20000,DATOS!$A$2:$A$20000,M732,DATOS!$G$2:$G$20000,CONFIG_METADATA!$B$4,DATOS!$I$2:$I$20000,"Coro"),""))</f>
        <v/>
      </c>
      <c r="P732" t="str">
        <f>IF(M732="","",IFERROR(AVERAGEIFS(DATOS!$K$2:$K$20000,DATOS!$A$2:$A$20000,M732,DATOS!$G$2:$G$20000,CONFIG_METADATA!$B$4,DATOS!$I$2:$I$20000,"Conjunto"),""))</f>
        <v/>
      </c>
      <c r="Q732" t="str">
        <f>IF(M732="","",IFERROR(AVERAGEIFS(DATOS!$K$2:$K$20000,DATOS!$A$2:$A$20000,M732,DATOS!$G$2:$G$20000,CONFIG_METADATA!$B$4,DATOS!$I$2:$I$20000,"&lt;&gt;Lenguaje Musical",DATOS!$I$2:$I$20000,"&lt;&gt;Coro",DATOS!$I$2:$I$20000,"&lt;&gt;Conjunto"),""))</f>
        <v/>
      </c>
      <c r="T732" t="str">
        <f>IF(S732="","",IFERROR(AVERAGEIFS(DATOS!$K$2:$K$20000,DATOS!$A$2:$A$20000,S732,DATOS!$G$2:$G$20000,CONFIG_METADATA!$B$4,DATOS!$I$2:$I$20000,"Lenguaje Musical"),""))</f>
        <v/>
      </c>
      <c r="U732" t="str">
        <f>IF(S732="","",IFERROR(AVERAGEIFS(DATOS!$K$2:$K$20000,DATOS!$A$2:$A$20000,S732,DATOS!$G$2:$G$20000,CONFIG_METADATA!$B$4,DATOS!$I$2:$I$20000,"Coro"),""))</f>
        <v/>
      </c>
      <c r="V732" t="str">
        <f>IF(S732="","",IFERROR(AVERAGEIFS(DATOS!$K$2:$K$20000,DATOS!$A$2:$A$20000,S732,DATOS!$G$2:$G$20000,CONFIG_METADATA!$B$4,DATOS!$I$2:$I$20000,"Conjunto"),""))</f>
        <v/>
      </c>
      <c r="W732" t="str" cm="1">
        <f t="array" ref="W732">IF(S732="","",IFERROR(AVERAGE(IF((DATOS!$A$2:$A$20000=S732)*(DATOS!$G$2:$G$20000=CONFIG_METADATA!$B$4)*(DATOS!$I$2:$I$20000&lt;&gt;"Lenguaje Musical")*(DATOS!$I$2:$I$20000&lt;&gt;"Coro")*(DATOS!$I$2:$I$20000&lt;&gt;"Conjunto"),DATOS!$K$2:$K$20000)),""))</f>
        <v/>
      </c>
    </row>
    <row r="733" spans="2:23" x14ac:dyDescent="0.2">
      <c r="B733" t="str">
        <f>IF(A733="","",IFERROR(AVERAGEIFS(DATOS!$K$2:$K$20000,DATOS!$A$2:$A$20000,A733,DATOS!$G$2:$G$20000,CONFIG_METADATA!$B$4,DATOS!$I$2:$I$20000,"Lenguaje Musical"),""))</f>
        <v/>
      </c>
      <c r="C733" t="str">
        <f>IF(A733="","",IFERROR(AVERAGEIFS(DATOS!$K$2:$K$20000,DATOS!$A$2:$A$20000,A733,DATOS!$G$2:$G$20000,CONFIG_METADATA!$B$4,DATOS!$I$2:$I$20000,"Coro"),""))</f>
        <v/>
      </c>
      <c r="D733" t="str">
        <f>IF(A733="","",IFERROR(AVERAGEIFS(DATOS!$K$2:$K$20000,DATOS!$A$2:$A$20000,A733,DATOS!$G$2:$G$20000,CONFIG_METADATA!$B$4,DATOS!$I$2:$I$20000,"Conjunto"),""))</f>
        <v/>
      </c>
      <c r="E733" t="str">
        <f>IF(A733="","",IFERROR(AVERAGEIFS(DATOS!$K$2:$K$20000,DATOS!$A$2:$A$20000,A733,DATOS!$G$2:$G$20000,CONFIG_METADATA!$B$4,DATOS!$I$2:$I$20000,"&lt;&gt;Lenguaje Musical",DATOS!$I$2:$I$20000,"&lt;&gt;Coro",DATOS!$I$2:$I$20000,"&lt;&gt;Conjunto"),""))</f>
        <v/>
      </c>
      <c r="N733" t="str">
        <f>IF(M733="","",IFERROR(AVERAGEIFS(DATOS!$K$2:$K$20000,DATOS!$A$2:$A$20000,M733,DATOS!$G$2:$G$20000,CONFIG_METADATA!$B$4,DATOS!$I$2:$I$20000,"Lenguaje Musical"),""))</f>
        <v/>
      </c>
      <c r="O733" t="str">
        <f>IF(M733="","",IFERROR(AVERAGEIFS(DATOS!$K$2:$K$20000,DATOS!$A$2:$A$20000,M733,DATOS!$G$2:$G$20000,CONFIG_METADATA!$B$4,DATOS!$I$2:$I$20000,"Coro"),""))</f>
        <v/>
      </c>
      <c r="P733" t="str">
        <f>IF(M733="","",IFERROR(AVERAGEIFS(DATOS!$K$2:$K$20000,DATOS!$A$2:$A$20000,M733,DATOS!$G$2:$G$20000,CONFIG_METADATA!$B$4,DATOS!$I$2:$I$20000,"Conjunto"),""))</f>
        <v/>
      </c>
      <c r="Q733" t="str">
        <f>IF(M733="","",IFERROR(AVERAGEIFS(DATOS!$K$2:$K$20000,DATOS!$A$2:$A$20000,M733,DATOS!$G$2:$G$20000,CONFIG_METADATA!$B$4,DATOS!$I$2:$I$20000,"&lt;&gt;Lenguaje Musical",DATOS!$I$2:$I$20000,"&lt;&gt;Coro",DATOS!$I$2:$I$20000,"&lt;&gt;Conjunto"),""))</f>
        <v/>
      </c>
      <c r="T733" t="str">
        <f>IF(S733="","",IFERROR(AVERAGEIFS(DATOS!$K$2:$K$20000,DATOS!$A$2:$A$20000,S733,DATOS!$G$2:$G$20000,CONFIG_METADATA!$B$4,DATOS!$I$2:$I$20000,"Lenguaje Musical"),""))</f>
        <v/>
      </c>
      <c r="U733" t="str">
        <f>IF(S733="","",IFERROR(AVERAGEIFS(DATOS!$K$2:$K$20000,DATOS!$A$2:$A$20000,S733,DATOS!$G$2:$G$20000,CONFIG_METADATA!$B$4,DATOS!$I$2:$I$20000,"Coro"),""))</f>
        <v/>
      </c>
      <c r="V733" t="str">
        <f>IF(S733="","",IFERROR(AVERAGEIFS(DATOS!$K$2:$K$20000,DATOS!$A$2:$A$20000,S733,DATOS!$G$2:$G$20000,CONFIG_METADATA!$B$4,DATOS!$I$2:$I$20000,"Conjunto"),""))</f>
        <v/>
      </c>
      <c r="W733" t="str" cm="1">
        <f t="array" ref="W733">IF(S733="","",IFERROR(AVERAGE(IF((DATOS!$A$2:$A$20000=S733)*(DATOS!$G$2:$G$20000=CONFIG_METADATA!$B$4)*(DATOS!$I$2:$I$20000&lt;&gt;"Lenguaje Musical")*(DATOS!$I$2:$I$20000&lt;&gt;"Coro")*(DATOS!$I$2:$I$20000&lt;&gt;"Conjunto"),DATOS!$K$2:$K$20000)),""))</f>
        <v/>
      </c>
    </row>
    <row r="734" spans="2:23" x14ac:dyDescent="0.2">
      <c r="B734" t="str">
        <f>IF(A734="","",IFERROR(AVERAGEIFS(DATOS!$K$2:$K$20000,DATOS!$A$2:$A$20000,A734,DATOS!$G$2:$G$20000,CONFIG_METADATA!$B$4,DATOS!$I$2:$I$20000,"Lenguaje Musical"),""))</f>
        <v/>
      </c>
      <c r="C734" t="str">
        <f>IF(A734="","",IFERROR(AVERAGEIFS(DATOS!$K$2:$K$20000,DATOS!$A$2:$A$20000,A734,DATOS!$G$2:$G$20000,CONFIG_METADATA!$B$4,DATOS!$I$2:$I$20000,"Coro"),""))</f>
        <v/>
      </c>
      <c r="D734" t="str">
        <f>IF(A734="","",IFERROR(AVERAGEIFS(DATOS!$K$2:$K$20000,DATOS!$A$2:$A$20000,A734,DATOS!$G$2:$G$20000,CONFIG_METADATA!$B$4,DATOS!$I$2:$I$20000,"Conjunto"),""))</f>
        <v/>
      </c>
      <c r="E734" t="str">
        <f>IF(A734="","",IFERROR(AVERAGEIFS(DATOS!$K$2:$K$20000,DATOS!$A$2:$A$20000,A734,DATOS!$G$2:$G$20000,CONFIG_METADATA!$B$4,DATOS!$I$2:$I$20000,"&lt;&gt;Lenguaje Musical",DATOS!$I$2:$I$20000,"&lt;&gt;Coro",DATOS!$I$2:$I$20000,"&lt;&gt;Conjunto"),""))</f>
        <v/>
      </c>
      <c r="N734" t="str">
        <f>IF(M734="","",IFERROR(AVERAGEIFS(DATOS!$K$2:$K$20000,DATOS!$A$2:$A$20000,M734,DATOS!$G$2:$G$20000,CONFIG_METADATA!$B$4,DATOS!$I$2:$I$20000,"Lenguaje Musical"),""))</f>
        <v/>
      </c>
      <c r="O734" t="str">
        <f>IF(M734="","",IFERROR(AVERAGEIFS(DATOS!$K$2:$K$20000,DATOS!$A$2:$A$20000,M734,DATOS!$G$2:$G$20000,CONFIG_METADATA!$B$4,DATOS!$I$2:$I$20000,"Coro"),""))</f>
        <v/>
      </c>
      <c r="P734" t="str">
        <f>IF(M734="","",IFERROR(AVERAGEIFS(DATOS!$K$2:$K$20000,DATOS!$A$2:$A$20000,M734,DATOS!$G$2:$G$20000,CONFIG_METADATA!$B$4,DATOS!$I$2:$I$20000,"Conjunto"),""))</f>
        <v/>
      </c>
      <c r="Q734" t="str">
        <f>IF(M734="","",IFERROR(AVERAGEIFS(DATOS!$K$2:$K$20000,DATOS!$A$2:$A$20000,M734,DATOS!$G$2:$G$20000,CONFIG_METADATA!$B$4,DATOS!$I$2:$I$20000,"&lt;&gt;Lenguaje Musical",DATOS!$I$2:$I$20000,"&lt;&gt;Coro",DATOS!$I$2:$I$20000,"&lt;&gt;Conjunto"),""))</f>
        <v/>
      </c>
      <c r="T734" t="str">
        <f>IF(S734="","",IFERROR(AVERAGEIFS(DATOS!$K$2:$K$20000,DATOS!$A$2:$A$20000,S734,DATOS!$G$2:$G$20000,CONFIG_METADATA!$B$4,DATOS!$I$2:$I$20000,"Lenguaje Musical"),""))</f>
        <v/>
      </c>
      <c r="U734" t="str">
        <f>IF(S734="","",IFERROR(AVERAGEIFS(DATOS!$K$2:$K$20000,DATOS!$A$2:$A$20000,S734,DATOS!$G$2:$G$20000,CONFIG_METADATA!$B$4,DATOS!$I$2:$I$20000,"Coro"),""))</f>
        <v/>
      </c>
      <c r="V734" t="str">
        <f>IF(S734="","",IFERROR(AVERAGEIFS(DATOS!$K$2:$K$20000,DATOS!$A$2:$A$20000,S734,DATOS!$G$2:$G$20000,CONFIG_METADATA!$B$4,DATOS!$I$2:$I$20000,"Conjunto"),""))</f>
        <v/>
      </c>
      <c r="W734" t="str" cm="1">
        <f t="array" ref="W734">IF(S734="","",IFERROR(AVERAGE(IF((DATOS!$A$2:$A$20000=S734)*(DATOS!$G$2:$G$20000=CONFIG_METADATA!$B$4)*(DATOS!$I$2:$I$20000&lt;&gt;"Lenguaje Musical")*(DATOS!$I$2:$I$20000&lt;&gt;"Coro")*(DATOS!$I$2:$I$20000&lt;&gt;"Conjunto"),DATOS!$K$2:$K$20000)),""))</f>
        <v/>
      </c>
    </row>
    <row r="735" spans="2:23" x14ac:dyDescent="0.2">
      <c r="B735" t="str">
        <f>IF(A735="","",IFERROR(AVERAGEIFS(DATOS!$K$2:$K$20000,DATOS!$A$2:$A$20000,A735,DATOS!$G$2:$G$20000,CONFIG_METADATA!$B$4,DATOS!$I$2:$I$20000,"Lenguaje Musical"),""))</f>
        <v/>
      </c>
      <c r="C735" t="str">
        <f>IF(A735="","",IFERROR(AVERAGEIFS(DATOS!$K$2:$K$20000,DATOS!$A$2:$A$20000,A735,DATOS!$G$2:$G$20000,CONFIG_METADATA!$B$4,DATOS!$I$2:$I$20000,"Coro"),""))</f>
        <v/>
      </c>
      <c r="D735" t="str">
        <f>IF(A735="","",IFERROR(AVERAGEIFS(DATOS!$K$2:$K$20000,DATOS!$A$2:$A$20000,A735,DATOS!$G$2:$G$20000,CONFIG_METADATA!$B$4,DATOS!$I$2:$I$20000,"Conjunto"),""))</f>
        <v/>
      </c>
      <c r="E735" t="str">
        <f>IF(A735="","",IFERROR(AVERAGEIFS(DATOS!$K$2:$K$20000,DATOS!$A$2:$A$20000,A735,DATOS!$G$2:$G$20000,CONFIG_METADATA!$B$4,DATOS!$I$2:$I$20000,"&lt;&gt;Lenguaje Musical",DATOS!$I$2:$I$20000,"&lt;&gt;Coro",DATOS!$I$2:$I$20000,"&lt;&gt;Conjunto"),""))</f>
        <v/>
      </c>
      <c r="N735" t="str">
        <f>IF(M735="","",IFERROR(AVERAGEIFS(DATOS!$K$2:$K$20000,DATOS!$A$2:$A$20000,M735,DATOS!$G$2:$G$20000,CONFIG_METADATA!$B$4,DATOS!$I$2:$I$20000,"Lenguaje Musical"),""))</f>
        <v/>
      </c>
      <c r="O735" t="str">
        <f>IF(M735="","",IFERROR(AVERAGEIFS(DATOS!$K$2:$K$20000,DATOS!$A$2:$A$20000,M735,DATOS!$G$2:$G$20000,CONFIG_METADATA!$B$4,DATOS!$I$2:$I$20000,"Coro"),""))</f>
        <v/>
      </c>
      <c r="P735" t="str">
        <f>IF(M735="","",IFERROR(AVERAGEIFS(DATOS!$K$2:$K$20000,DATOS!$A$2:$A$20000,M735,DATOS!$G$2:$G$20000,CONFIG_METADATA!$B$4,DATOS!$I$2:$I$20000,"Conjunto"),""))</f>
        <v/>
      </c>
      <c r="Q735" t="str">
        <f>IF(M735="","",IFERROR(AVERAGEIFS(DATOS!$K$2:$K$20000,DATOS!$A$2:$A$20000,M735,DATOS!$G$2:$G$20000,CONFIG_METADATA!$B$4,DATOS!$I$2:$I$20000,"&lt;&gt;Lenguaje Musical",DATOS!$I$2:$I$20000,"&lt;&gt;Coro",DATOS!$I$2:$I$20000,"&lt;&gt;Conjunto"),""))</f>
        <v/>
      </c>
      <c r="T735" t="str">
        <f>IF(S735="","",IFERROR(AVERAGEIFS(DATOS!$K$2:$K$20000,DATOS!$A$2:$A$20000,S735,DATOS!$G$2:$G$20000,CONFIG_METADATA!$B$4,DATOS!$I$2:$I$20000,"Lenguaje Musical"),""))</f>
        <v/>
      </c>
      <c r="U735" t="str">
        <f>IF(S735="","",IFERROR(AVERAGEIFS(DATOS!$K$2:$K$20000,DATOS!$A$2:$A$20000,S735,DATOS!$G$2:$G$20000,CONFIG_METADATA!$B$4,DATOS!$I$2:$I$20000,"Coro"),""))</f>
        <v/>
      </c>
      <c r="V735" t="str">
        <f>IF(S735="","",IFERROR(AVERAGEIFS(DATOS!$K$2:$K$20000,DATOS!$A$2:$A$20000,S735,DATOS!$G$2:$G$20000,CONFIG_METADATA!$B$4,DATOS!$I$2:$I$20000,"Conjunto"),""))</f>
        <v/>
      </c>
      <c r="W735" t="str" cm="1">
        <f t="array" ref="W735">IF(S735="","",IFERROR(AVERAGE(IF((DATOS!$A$2:$A$20000=S735)*(DATOS!$G$2:$G$20000=CONFIG_METADATA!$B$4)*(DATOS!$I$2:$I$20000&lt;&gt;"Lenguaje Musical")*(DATOS!$I$2:$I$20000&lt;&gt;"Coro")*(DATOS!$I$2:$I$20000&lt;&gt;"Conjunto"),DATOS!$K$2:$K$20000)),""))</f>
        <v/>
      </c>
    </row>
    <row r="736" spans="2:23" x14ac:dyDescent="0.2">
      <c r="B736" t="str">
        <f>IF(A736="","",IFERROR(AVERAGEIFS(DATOS!$K$2:$K$20000,DATOS!$A$2:$A$20000,A736,DATOS!$G$2:$G$20000,CONFIG_METADATA!$B$4,DATOS!$I$2:$I$20000,"Lenguaje Musical"),""))</f>
        <v/>
      </c>
      <c r="C736" t="str">
        <f>IF(A736="","",IFERROR(AVERAGEIFS(DATOS!$K$2:$K$20000,DATOS!$A$2:$A$20000,A736,DATOS!$G$2:$G$20000,CONFIG_METADATA!$B$4,DATOS!$I$2:$I$20000,"Coro"),""))</f>
        <v/>
      </c>
      <c r="D736" t="str">
        <f>IF(A736="","",IFERROR(AVERAGEIFS(DATOS!$K$2:$K$20000,DATOS!$A$2:$A$20000,A736,DATOS!$G$2:$G$20000,CONFIG_METADATA!$B$4,DATOS!$I$2:$I$20000,"Conjunto"),""))</f>
        <v/>
      </c>
      <c r="E736" t="str">
        <f>IF(A736="","",IFERROR(AVERAGEIFS(DATOS!$K$2:$K$20000,DATOS!$A$2:$A$20000,A736,DATOS!$G$2:$G$20000,CONFIG_METADATA!$B$4,DATOS!$I$2:$I$20000,"&lt;&gt;Lenguaje Musical",DATOS!$I$2:$I$20000,"&lt;&gt;Coro",DATOS!$I$2:$I$20000,"&lt;&gt;Conjunto"),""))</f>
        <v/>
      </c>
      <c r="N736" t="str">
        <f>IF(M736="","",IFERROR(AVERAGEIFS(DATOS!$K$2:$K$20000,DATOS!$A$2:$A$20000,M736,DATOS!$G$2:$G$20000,CONFIG_METADATA!$B$4,DATOS!$I$2:$I$20000,"Lenguaje Musical"),""))</f>
        <v/>
      </c>
      <c r="O736" t="str">
        <f>IF(M736="","",IFERROR(AVERAGEIFS(DATOS!$K$2:$K$20000,DATOS!$A$2:$A$20000,M736,DATOS!$G$2:$G$20000,CONFIG_METADATA!$B$4,DATOS!$I$2:$I$20000,"Coro"),""))</f>
        <v/>
      </c>
      <c r="P736" t="str">
        <f>IF(M736="","",IFERROR(AVERAGEIFS(DATOS!$K$2:$K$20000,DATOS!$A$2:$A$20000,M736,DATOS!$G$2:$G$20000,CONFIG_METADATA!$B$4,DATOS!$I$2:$I$20000,"Conjunto"),""))</f>
        <v/>
      </c>
      <c r="Q736" t="str">
        <f>IF(M736="","",IFERROR(AVERAGEIFS(DATOS!$K$2:$K$20000,DATOS!$A$2:$A$20000,M736,DATOS!$G$2:$G$20000,CONFIG_METADATA!$B$4,DATOS!$I$2:$I$20000,"&lt;&gt;Lenguaje Musical",DATOS!$I$2:$I$20000,"&lt;&gt;Coro",DATOS!$I$2:$I$20000,"&lt;&gt;Conjunto"),""))</f>
        <v/>
      </c>
      <c r="T736" t="str">
        <f>IF(S736="","",IFERROR(AVERAGEIFS(DATOS!$K$2:$K$20000,DATOS!$A$2:$A$20000,S736,DATOS!$G$2:$G$20000,CONFIG_METADATA!$B$4,DATOS!$I$2:$I$20000,"Lenguaje Musical"),""))</f>
        <v/>
      </c>
      <c r="U736" t="str">
        <f>IF(S736="","",IFERROR(AVERAGEIFS(DATOS!$K$2:$K$20000,DATOS!$A$2:$A$20000,S736,DATOS!$G$2:$G$20000,CONFIG_METADATA!$B$4,DATOS!$I$2:$I$20000,"Coro"),""))</f>
        <v/>
      </c>
      <c r="V736" t="str">
        <f>IF(S736="","",IFERROR(AVERAGEIFS(DATOS!$K$2:$K$20000,DATOS!$A$2:$A$20000,S736,DATOS!$G$2:$G$20000,CONFIG_METADATA!$B$4,DATOS!$I$2:$I$20000,"Conjunto"),""))</f>
        <v/>
      </c>
      <c r="W736" t="str" cm="1">
        <f t="array" ref="W736">IF(S736="","",IFERROR(AVERAGE(IF((DATOS!$A$2:$A$20000=S736)*(DATOS!$G$2:$G$20000=CONFIG_METADATA!$B$4)*(DATOS!$I$2:$I$20000&lt;&gt;"Lenguaje Musical")*(DATOS!$I$2:$I$20000&lt;&gt;"Coro")*(DATOS!$I$2:$I$20000&lt;&gt;"Conjunto"),DATOS!$K$2:$K$20000)),""))</f>
        <v/>
      </c>
    </row>
    <row r="737" spans="2:23" x14ac:dyDescent="0.2">
      <c r="B737" t="str">
        <f>IF(A737="","",IFERROR(AVERAGEIFS(DATOS!$K$2:$K$20000,DATOS!$A$2:$A$20000,A737,DATOS!$G$2:$G$20000,CONFIG_METADATA!$B$4,DATOS!$I$2:$I$20000,"Lenguaje Musical"),""))</f>
        <v/>
      </c>
      <c r="C737" t="str">
        <f>IF(A737="","",IFERROR(AVERAGEIFS(DATOS!$K$2:$K$20000,DATOS!$A$2:$A$20000,A737,DATOS!$G$2:$G$20000,CONFIG_METADATA!$B$4,DATOS!$I$2:$I$20000,"Coro"),""))</f>
        <v/>
      </c>
      <c r="D737" t="str">
        <f>IF(A737="","",IFERROR(AVERAGEIFS(DATOS!$K$2:$K$20000,DATOS!$A$2:$A$20000,A737,DATOS!$G$2:$G$20000,CONFIG_METADATA!$B$4,DATOS!$I$2:$I$20000,"Conjunto"),""))</f>
        <v/>
      </c>
      <c r="E737" t="str">
        <f>IF(A737="","",IFERROR(AVERAGEIFS(DATOS!$K$2:$K$20000,DATOS!$A$2:$A$20000,A737,DATOS!$G$2:$G$20000,CONFIG_METADATA!$B$4,DATOS!$I$2:$I$20000,"&lt;&gt;Lenguaje Musical",DATOS!$I$2:$I$20000,"&lt;&gt;Coro",DATOS!$I$2:$I$20000,"&lt;&gt;Conjunto"),""))</f>
        <v/>
      </c>
      <c r="N737" t="str">
        <f>IF(M737="","",IFERROR(AVERAGEIFS(DATOS!$K$2:$K$20000,DATOS!$A$2:$A$20000,M737,DATOS!$G$2:$G$20000,CONFIG_METADATA!$B$4,DATOS!$I$2:$I$20000,"Lenguaje Musical"),""))</f>
        <v/>
      </c>
      <c r="O737" t="str">
        <f>IF(M737="","",IFERROR(AVERAGEIFS(DATOS!$K$2:$K$20000,DATOS!$A$2:$A$20000,M737,DATOS!$G$2:$G$20000,CONFIG_METADATA!$B$4,DATOS!$I$2:$I$20000,"Coro"),""))</f>
        <v/>
      </c>
      <c r="P737" t="str">
        <f>IF(M737="","",IFERROR(AVERAGEIFS(DATOS!$K$2:$K$20000,DATOS!$A$2:$A$20000,M737,DATOS!$G$2:$G$20000,CONFIG_METADATA!$B$4,DATOS!$I$2:$I$20000,"Conjunto"),""))</f>
        <v/>
      </c>
      <c r="Q737" t="str">
        <f>IF(M737="","",IFERROR(AVERAGEIFS(DATOS!$K$2:$K$20000,DATOS!$A$2:$A$20000,M737,DATOS!$G$2:$G$20000,CONFIG_METADATA!$B$4,DATOS!$I$2:$I$20000,"&lt;&gt;Lenguaje Musical",DATOS!$I$2:$I$20000,"&lt;&gt;Coro",DATOS!$I$2:$I$20000,"&lt;&gt;Conjunto"),""))</f>
        <v/>
      </c>
      <c r="T737" t="str">
        <f>IF(S737="","",IFERROR(AVERAGEIFS(DATOS!$K$2:$K$20000,DATOS!$A$2:$A$20000,S737,DATOS!$G$2:$G$20000,CONFIG_METADATA!$B$4,DATOS!$I$2:$I$20000,"Lenguaje Musical"),""))</f>
        <v/>
      </c>
      <c r="U737" t="str">
        <f>IF(S737="","",IFERROR(AVERAGEIFS(DATOS!$K$2:$K$20000,DATOS!$A$2:$A$20000,S737,DATOS!$G$2:$G$20000,CONFIG_METADATA!$B$4,DATOS!$I$2:$I$20000,"Coro"),""))</f>
        <v/>
      </c>
      <c r="V737" t="str">
        <f>IF(S737="","",IFERROR(AVERAGEIFS(DATOS!$K$2:$K$20000,DATOS!$A$2:$A$20000,S737,DATOS!$G$2:$G$20000,CONFIG_METADATA!$B$4,DATOS!$I$2:$I$20000,"Conjunto"),""))</f>
        <v/>
      </c>
      <c r="W737" t="str" cm="1">
        <f t="array" ref="W737">IF(S737="","",IFERROR(AVERAGE(IF((DATOS!$A$2:$A$20000=S737)*(DATOS!$G$2:$G$20000=CONFIG_METADATA!$B$4)*(DATOS!$I$2:$I$20000&lt;&gt;"Lenguaje Musical")*(DATOS!$I$2:$I$20000&lt;&gt;"Coro")*(DATOS!$I$2:$I$20000&lt;&gt;"Conjunto"),DATOS!$K$2:$K$20000)),""))</f>
        <v/>
      </c>
    </row>
    <row r="738" spans="2:23" x14ac:dyDescent="0.2">
      <c r="B738" t="str">
        <f>IF(A738="","",IFERROR(AVERAGEIFS(DATOS!$K$2:$K$20000,DATOS!$A$2:$A$20000,A738,DATOS!$G$2:$G$20000,CONFIG_METADATA!$B$4,DATOS!$I$2:$I$20000,"Lenguaje Musical"),""))</f>
        <v/>
      </c>
      <c r="C738" t="str">
        <f>IF(A738="","",IFERROR(AVERAGEIFS(DATOS!$K$2:$K$20000,DATOS!$A$2:$A$20000,A738,DATOS!$G$2:$G$20000,CONFIG_METADATA!$B$4,DATOS!$I$2:$I$20000,"Coro"),""))</f>
        <v/>
      </c>
      <c r="D738" t="str">
        <f>IF(A738="","",IFERROR(AVERAGEIFS(DATOS!$K$2:$K$20000,DATOS!$A$2:$A$20000,A738,DATOS!$G$2:$G$20000,CONFIG_METADATA!$B$4,DATOS!$I$2:$I$20000,"Conjunto"),""))</f>
        <v/>
      </c>
      <c r="E738" t="str">
        <f>IF(A738="","",IFERROR(AVERAGEIFS(DATOS!$K$2:$K$20000,DATOS!$A$2:$A$20000,A738,DATOS!$G$2:$G$20000,CONFIG_METADATA!$B$4,DATOS!$I$2:$I$20000,"&lt;&gt;Lenguaje Musical",DATOS!$I$2:$I$20000,"&lt;&gt;Coro",DATOS!$I$2:$I$20000,"&lt;&gt;Conjunto"),""))</f>
        <v/>
      </c>
      <c r="N738" t="str">
        <f>IF(M738="","",IFERROR(AVERAGEIFS(DATOS!$K$2:$K$20000,DATOS!$A$2:$A$20000,M738,DATOS!$G$2:$G$20000,CONFIG_METADATA!$B$4,DATOS!$I$2:$I$20000,"Lenguaje Musical"),""))</f>
        <v/>
      </c>
      <c r="O738" t="str">
        <f>IF(M738="","",IFERROR(AVERAGEIFS(DATOS!$K$2:$K$20000,DATOS!$A$2:$A$20000,M738,DATOS!$G$2:$G$20000,CONFIG_METADATA!$B$4,DATOS!$I$2:$I$20000,"Coro"),""))</f>
        <v/>
      </c>
      <c r="P738" t="str">
        <f>IF(M738="","",IFERROR(AVERAGEIFS(DATOS!$K$2:$K$20000,DATOS!$A$2:$A$20000,M738,DATOS!$G$2:$G$20000,CONFIG_METADATA!$B$4,DATOS!$I$2:$I$20000,"Conjunto"),""))</f>
        <v/>
      </c>
      <c r="Q738" t="str">
        <f>IF(M738="","",IFERROR(AVERAGEIFS(DATOS!$K$2:$K$20000,DATOS!$A$2:$A$20000,M738,DATOS!$G$2:$G$20000,CONFIG_METADATA!$B$4,DATOS!$I$2:$I$20000,"&lt;&gt;Lenguaje Musical",DATOS!$I$2:$I$20000,"&lt;&gt;Coro",DATOS!$I$2:$I$20000,"&lt;&gt;Conjunto"),""))</f>
        <v/>
      </c>
      <c r="T738" t="str">
        <f>IF(S738="","",IFERROR(AVERAGEIFS(DATOS!$K$2:$K$20000,DATOS!$A$2:$A$20000,S738,DATOS!$G$2:$G$20000,CONFIG_METADATA!$B$4,DATOS!$I$2:$I$20000,"Lenguaje Musical"),""))</f>
        <v/>
      </c>
      <c r="U738" t="str">
        <f>IF(S738="","",IFERROR(AVERAGEIFS(DATOS!$K$2:$K$20000,DATOS!$A$2:$A$20000,S738,DATOS!$G$2:$G$20000,CONFIG_METADATA!$B$4,DATOS!$I$2:$I$20000,"Coro"),""))</f>
        <v/>
      </c>
      <c r="V738" t="str">
        <f>IF(S738="","",IFERROR(AVERAGEIFS(DATOS!$K$2:$K$20000,DATOS!$A$2:$A$20000,S738,DATOS!$G$2:$G$20000,CONFIG_METADATA!$B$4,DATOS!$I$2:$I$20000,"Conjunto"),""))</f>
        <v/>
      </c>
      <c r="W738" t="str" cm="1">
        <f t="array" ref="W738">IF(S738="","",IFERROR(AVERAGE(IF((DATOS!$A$2:$A$20000=S738)*(DATOS!$G$2:$G$20000=CONFIG_METADATA!$B$4)*(DATOS!$I$2:$I$20000&lt;&gt;"Lenguaje Musical")*(DATOS!$I$2:$I$20000&lt;&gt;"Coro")*(DATOS!$I$2:$I$20000&lt;&gt;"Conjunto"),DATOS!$K$2:$K$20000)),""))</f>
        <v/>
      </c>
    </row>
    <row r="739" spans="2:23" x14ac:dyDescent="0.2">
      <c r="B739" t="str">
        <f>IF(A739="","",IFERROR(AVERAGEIFS(DATOS!$K$2:$K$20000,DATOS!$A$2:$A$20000,A739,DATOS!$G$2:$G$20000,CONFIG_METADATA!$B$4,DATOS!$I$2:$I$20000,"Lenguaje Musical"),""))</f>
        <v/>
      </c>
      <c r="C739" t="str">
        <f>IF(A739="","",IFERROR(AVERAGEIFS(DATOS!$K$2:$K$20000,DATOS!$A$2:$A$20000,A739,DATOS!$G$2:$G$20000,CONFIG_METADATA!$B$4,DATOS!$I$2:$I$20000,"Coro"),""))</f>
        <v/>
      </c>
      <c r="D739" t="str">
        <f>IF(A739="","",IFERROR(AVERAGEIFS(DATOS!$K$2:$K$20000,DATOS!$A$2:$A$20000,A739,DATOS!$G$2:$G$20000,CONFIG_METADATA!$B$4,DATOS!$I$2:$I$20000,"Conjunto"),""))</f>
        <v/>
      </c>
      <c r="E739" t="str">
        <f>IF(A739="","",IFERROR(AVERAGEIFS(DATOS!$K$2:$K$20000,DATOS!$A$2:$A$20000,A739,DATOS!$G$2:$G$20000,CONFIG_METADATA!$B$4,DATOS!$I$2:$I$20000,"&lt;&gt;Lenguaje Musical",DATOS!$I$2:$I$20000,"&lt;&gt;Coro",DATOS!$I$2:$I$20000,"&lt;&gt;Conjunto"),""))</f>
        <v/>
      </c>
      <c r="N739" t="str">
        <f>IF(M739="","",IFERROR(AVERAGEIFS(DATOS!$K$2:$K$20000,DATOS!$A$2:$A$20000,M739,DATOS!$G$2:$G$20000,CONFIG_METADATA!$B$4,DATOS!$I$2:$I$20000,"Lenguaje Musical"),""))</f>
        <v/>
      </c>
      <c r="O739" t="str">
        <f>IF(M739="","",IFERROR(AVERAGEIFS(DATOS!$K$2:$K$20000,DATOS!$A$2:$A$20000,M739,DATOS!$G$2:$G$20000,CONFIG_METADATA!$B$4,DATOS!$I$2:$I$20000,"Coro"),""))</f>
        <v/>
      </c>
      <c r="P739" t="str">
        <f>IF(M739="","",IFERROR(AVERAGEIFS(DATOS!$K$2:$K$20000,DATOS!$A$2:$A$20000,M739,DATOS!$G$2:$G$20000,CONFIG_METADATA!$B$4,DATOS!$I$2:$I$20000,"Conjunto"),""))</f>
        <v/>
      </c>
      <c r="Q739" t="str">
        <f>IF(M739="","",IFERROR(AVERAGEIFS(DATOS!$K$2:$K$20000,DATOS!$A$2:$A$20000,M739,DATOS!$G$2:$G$20000,CONFIG_METADATA!$B$4,DATOS!$I$2:$I$20000,"&lt;&gt;Lenguaje Musical",DATOS!$I$2:$I$20000,"&lt;&gt;Coro",DATOS!$I$2:$I$20000,"&lt;&gt;Conjunto"),""))</f>
        <v/>
      </c>
      <c r="T739" t="str">
        <f>IF(S739="","",IFERROR(AVERAGEIFS(DATOS!$K$2:$K$20000,DATOS!$A$2:$A$20000,S739,DATOS!$G$2:$G$20000,CONFIG_METADATA!$B$4,DATOS!$I$2:$I$20000,"Lenguaje Musical"),""))</f>
        <v/>
      </c>
      <c r="U739" t="str">
        <f>IF(S739="","",IFERROR(AVERAGEIFS(DATOS!$K$2:$K$20000,DATOS!$A$2:$A$20000,S739,DATOS!$G$2:$G$20000,CONFIG_METADATA!$B$4,DATOS!$I$2:$I$20000,"Coro"),""))</f>
        <v/>
      </c>
      <c r="V739" t="str">
        <f>IF(S739="","",IFERROR(AVERAGEIFS(DATOS!$K$2:$K$20000,DATOS!$A$2:$A$20000,S739,DATOS!$G$2:$G$20000,CONFIG_METADATA!$B$4,DATOS!$I$2:$I$20000,"Conjunto"),""))</f>
        <v/>
      </c>
      <c r="W739" t="str" cm="1">
        <f t="array" ref="W739">IF(S739="","",IFERROR(AVERAGE(IF((DATOS!$A$2:$A$20000=S739)*(DATOS!$G$2:$G$20000=CONFIG_METADATA!$B$4)*(DATOS!$I$2:$I$20000&lt;&gt;"Lenguaje Musical")*(DATOS!$I$2:$I$20000&lt;&gt;"Coro")*(DATOS!$I$2:$I$20000&lt;&gt;"Conjunto"),DATOS!$K$2:$K$20000)),""))</f>
        <v/>
      </c>
    </row>
    <row r="740" spans="2:23" x14ac:dyDescent="0.2">
      <c r="B740" t="str">
        <f>IF(A740="","",IFERROR(AVERAGEIFS(DATOS!$K$2:$K$20000,DATOS!$A$2:$A$20000,A740,DATOS!$G$2:$G$20000,CONFIG_METADATA!$B$4,DATOS!$I$2:$I$20000,"Lenguaje Musical"),""))</f>
        <v/>
      </c>
      <c r="C740" t="str">
        <f>IF(A740="","",IFERROR(AVERAGEIFS(DATOS!$K$2:$K$20000,DATOS!$A$2:$A$20000,A740,DATOS!$G$2:$G$20000,CONFIG_METADATA!$B$4,DATOS!$I$2:$I$20000,"Coro"),""))</f>
        <v/>
      </c>
      <c r="D740" t="str">
        <f>IF(A740="","",IFERROR(AVERAGEIFS(DATOS!$K$2:$K$20000,DATOS!$A$2:$A$20000,A740,DATOS!$G$2:$G$20000,CONFIG_METADATA!$B$4,DATOS!$I$2:$I$20000,"Conjunto"),""))</f>
        <v/>
      </c>
      <c r="E740" t="str">
        <f>IF(A740="","",IFERROR(AVERAGEIFS(DATOS!$K$2:$K$20000,DATOS!$A$2:$A$20000,A740,DATOS!$G$2:$G$20000,CONFIG_METADATA!$B$4,DATOS!$I$2:$I$20000,"&lt;&gt;Lenguaje Musical",DATOS!$I$2:$I$20000,"&lt;&gt;Coro",DATOS!$I$2:$I$20000,"&lt;&gt;Conjunto"),""))</f>
        <v/>
      </c>
      <c r="N740" t="str">
        <f>IF(M740="","",IFERROR(AVERAGEIFS(DATOS!$K$2:$K$20000,DATOS!$A$2:$A$20000,M740,DATOS!$G$2:$G$20000,CONFIG_METADATA!$B$4,DATOS!$I$2:$I$20000,"Lenguaje Musical"),""))</f>
        <v/>
      </c>
      <c r="O740" t="str">
        <f>IF(M740="","",IFERROR(AVERAGEIFS(DATOS!$K$2:$K$20000,DATOS!$A$2:$A$20000,M740,DATOS!$G$2:$G$20000,CONFIG_METADATA!$B$4,DATOS!$I$2:$I$20000,"Coro"),""))</f>
        <v/>
      </c>
      <c r="P740" t="str">
        <f>IF(M740="","",IFERROR(AVERAGEIFS(DATOS!$K$2:$K$20000,DATOS!$A$2:$A$20000,M740,DATOS!$G$2:$G$20000,CONFIG_METADATA!$B$4,DATOS!$I$2:$I$20000,"Conjunto"),""))</f>
        <v/>
      </c>
      <c r="Q740" t="str">
        <f>IF(M740="","",IFERROR(AVERAGEIFS(DATOS!$K$2:$K$20000,DATOS!$A$2:$A$20000,M740,DATOS!$G$2:$G$20000,CONFIG_METADATA!$B$4,DATOS!$I$2:$I$20000,"&lt;&gt;Lenguaje Musical",DATOS!$I$2:$I$20000,"&lt;&gt;Coro",DATOS!$I$2:$I$20000,"&lt;&gt;Conjunto"),""))</f>
        <v/>
      </c>
      <c r="T740" t="str">
        <f>IF(S740="","",IFERROR(AVERAGEIFS(DATOS!$K$2:$K$20000,DATOS!$A$2:$A$20000,S740,DATOS!$G$2:$G$20000,CONFIG_METADATA!$B$4,DATOS!$I$2:$I$20000,"Lenguaje Musical"),""))</f>
        <v/>
      </c>
      <c r="U740" t="str">
        <f>IF(S740="","",IFERROR(AVERAGEIFS(DATOS!$K$2:$K$20000,DATOS!$A$2:$A$20000,S740,DATOS!$G$2:$G$20000,CONFIG_METADATA!$B$4,DATOS!$I$2:$I$20000,"Coro"),""))</f>
        <v/>
      </c>
      <c r="V740" t="str">
        <f>IF(S740="","",IFERROR(AVERAGEIFS(DATOS!$K$2:$K$20000,DATOS!$A$2:$A$20000,S740,DATOS!$G$2:$G$20000,CONFIG_METADATA!$B$4,DATOS!$I$2:$I$20000,"Conjunto"),""))</f>
        <v/>
      </c>
      <c r="W740" t="str" cm="1">
        <f t="array" ref="W740">IF(S740="","",IFERROR(AVERAGE(IF((DATOS!$A$2:$A$20000=S740)*(DATOS!$G$2:$G$20000=CONFIG_METADATA!$B$4)*(DATOS!$I$2:$I$20000&lt;&gt;"Lenguaje Musical")*(DATOS!$I$2:$I$20000&lt;&gt;"Coro")*(DATOS!$I$2:$I$20000&lt;&gt;"Conjunto"),DATOS!$K$2:$K$20000)),""))</f>
        <v/>
      </c>
    </row>
    <row r="741" spans="2:23" x14ac:dyDescent="0.2">
      <c r="B741" t="str">
        <f>IF(A741="","",IFERROR(AVERAGEIFS(DATOS!$K$2:$K$20000,DATOS!$A$2:$A$20000,A741,DATOS!$G$2:$G$20000,CONFIG_METADATA!$B$4,DATOS!$I$2:$I$20000,"Lenguaje Musical"),""))</f>
        <v/>
      </c>
      <c r="C741" t="str">
        <f>IF(A741="","",IFERROR(AVERAGEIFS(DATOS!$K$2:$K$20000,DATOS!$A$2:$A$20000,A741,DATOS!$G$2:$G$20000,CONFIG_METADATA!$B$4,DATOS!$I$2:$I$20000,"Coro"),""))</f>
        <v/>
      </c>
      <c r="D741" t="str">
        <f>IF(A741="","",IFERROR(AVERAGEIFS(DATOS!$K$2:$K$20000,DATOS!$A$2:$A$20000,A741,DATOS!$G$2:$G$20000,CONFIG_METADATA!$B$4,DATOS!$I$2:$I$20000,"Conjunto"),""))</f>
        <v/>
      </c>
      <c r="E741" t="str">
        <f>IF(A741="","",IFERROR(AVERAGEIFS(DATOS!$K$2:$K$20000,DATOS!$A$2:$A$20000,A741,DATOS!$G$2:$G$20000,CONFIG_METADATA!$B$4,DATOS!$I$2:$I$20000,"&lt;&gt;Lenguaje Musical",DATOS!$I$2:$I$20000,"&lt;&gt;Coro",DATOS!$I$2:$I$20000,"&lt;&gt;Conjunto"),""))</f>
        <v/>
      </c>
      <c r="N741" t="str">
        <f>IF(M741="","",IFERROR(AVERAGEIFS(DATOS!$K$2:$K$20000,DATOS!$A$2:$A$20000,M741,DATOS!$G$2:$G$20000,CONFIG_METADATA!$B$4,DATOS!$I$2:$I$20000,"Lenguaje Musical"),""))</f>
        <v/>
      </c>
      <c r="O741" t="str">
        <f>IF(M741="","",IFERROR(AVERAGEIFS(DATOS!$K$2:$K$20000,DATOS!$A$2:$A$20000,M741,DATOS!$G$2:$G$20000,CONFIG_METADATA!$B$4,DATOS!$I$2:$I$20000,"Coro"),""))</f>
        <v/>
      </c>
      <c r="P741" t="str">
        <f>IF(M741="","",IFERROR(AVERAGEIFS(DATOS!$K$2:$K$20000,DATOS!$A$2:$A$20000,M741,DATOS!$G$2:$G$20000,CONFIG_METADATA!$B$4,DATOS!$I$2:$I$20000,"Conjunto"),""))</f>
        <v/>
      </c>
      <c r="Q741" t="str">
        <f>IF(M741="","",IFERROR(AVERAGEIFS(DATOS!$K$2:$K$20000,DATOS!$A$2:$A$20000,M741,DATOS!$G$2:$G$20000,CONFIG_METADATA!$B$4,DATOS!$I$2:$I$20000,"&lt;&gt;Lenguaje Musical",DATOS!$I$2:$I$20000,"&lt;&gt;Coro",DATOS!$I$2:$I$20000,"&lt;&gt;Conjunto"),""))</f>
        <v/>
      </c>
      <c r="T741" t="str">
        <f>IF(S741="","",IFERROR(AVERAGEIFS(DATOS!$K$2:$K$20000,DATOS!$A$2:$A$20000,S741,DATOS!$G$2:$G$20000,CONFIG_METADATA!$B$4,DATOS!$I$2:$I$20000,"Lenguaje Musical"),""))</f>
        <v/>
      </c>
      <c r="U741" t="str">
        <f>IF(S741="","",IFERROR(AVERAGEIFS(DATOS!$K$2:$K$20000,DATOS!$A$2:$A$20000,S741,DATOS!$G$2:$G$20000,CONFIG_METADATA!$B$4,DATOS!$I$2:$I$20000,"Coro"),""))</f>
        <v/>
      </c>
      <c r="V741" t="str">
        <f>IF(S741="","",IFERROR(AVERAGEIFS(DATOS!$K$2:$K$20000,DATOS!$A$2:$A$20000,S741,DATOS!$G$2:$G$20000,CONFIG_METADATA!$B$4,DATOS!$I$2:$I$20000,"Conjunto"),""))</f>
        <v/>
      </c>
      <c r="W741" t="str" cm="1">
        <f t="array" ref="W741">IF(S741="","",IFERROR(AVERAGE(IF((DATOS!$A$2:$A$20000=S741)*(DATOS!$G$2:$G$20000=CONFIG_METADATA!$B$4)*(DATOS!$I$2:$I$20000&lt;&gt;"Lenguaje Musical")*(DATOS!$I$2:$I$20000&lt;&gt;"Coro")*(DATOS!$I$2:$I$20000&lt;&gt;"Conjunto"),DATOS!$K$2:$K$20000)),""))</f>
        <v/>
      </c>
    </row>
    <row r="742" spans="2:23" x14ac:dyDescent="0.2">
      <c r="B742" t="str">
        <f>IF(A742="","",IFERROR(AVERAGEIFS(DATOS!$K$2:$K$20000,DATOS!$A$2:$A$20000,A742,DATOS!$G$2:$G$20000,CONFIG_METADATA!$B$4,DATOS!$I$2:$I$20000,"Lenguaje Musical"),""))</f>
        <v/>
      </c>
      <c r="C742" t="str">
        <f>IF(A742="","",IFERROR(AVERAGEIFS(DATOS!$K$2:$K$20000,DATOS!$A$2:$A$20000,A742,DATOS!$G$2:$G$20000,CONFIG_METADATA!$B$4,DATOS!$I$2:$I$20000,"Coro"),""))</f>
        <v/>
      </c>
      <c r="D742" t="str">
        <f>IF(A742="","",IFERROR(AVERAGEIFS(DATOS!$K$2:$K$20000,DATOS!$A$2:$A$20000,A742,DATOS!$G$2:$G$20000,CONFIG_METADATA!$B$4,DATOS!$I$2:$I$20000,"Conjunto"),""))</f>
        <v/>
      </c>
      <c r="E742" t="str">
        <f>IF(A742="","",IFERROR(AVERAGEIFS(DATOS!$K$2:$K$20000,DATOS!$A$2:$A$20000,A742,DATOS!$G$2:$G$20000,CONFIG_METADATA!$B$4,DATOS!$I$2:$I$20000,"&lt;&gt;Lenguaje Musical",DATOS!$I$2:$I$20000,"&lt;&gt;Coro",DATOS!$I$2:$I$20000,"&lt;&gt;Conjunto"),""))</f>
        <v/>
      </c>
      <c r="N742" t="str">
        <f>IF(M742="","",IFERROR(AVERAGEIFS(DATOS!$K$2:$K$20000,DATOS!$A$2:$A$20000,M742,DATOS!$G$2:$G$20000,CONFIG_METADATA!$B$4,DATOS!$I$2:$I$20000,"Lenguaje Musical"),""))</f>
        <v/>
      </c>
      <c r="O742" t="str">
        <f>IF(M742="","",IFERROR(AVERAGEIFS(DATOS!$K$2:$K$20000,DATOS!$A$2:$A$20000,M742,DATOS!$G$2:$G$20000,CONFIG_METADATA!$B$4,DATOS!$I$2:$I$20000,"Coro"),""))</f>
        <v/>
      </c>
      <c r="P742" t="str">
        <f>IF(M742="","",IFERROR(AVERAGEIFS(DATOS!$K$2:$K$20000,DATOS!$A$2:$A$20000,M742,DATOS!$G$2:$G$20000,CONFIG_METADATA!$B$4,DATOS!$I$2:$I$20000,"Conjunto"),""))</f>
        <v/>
      </c>
      <c r="Q742" t="str">
        <f>IF(M742="","",IFERROR(AVERAGEIFS(DATOS!$K$2:$K$20000,DATOS!$A$2:$A$20000,M742,DATOS!$G$2:$G$20000,CONFIG_METADATA!$B$4,DATOS!$I$2:$I$20000,"&lt;&gt;Lenguaje Musical",DATOS!$I$2:$I$20000,"&lt;&gt;Coro",DATOS!$I$2:$I$20000,"&lt;&gt;Conjunto"),""))</f>
        <v/>
      </c>
      <c r="T742" t="str">
        <f>IF(S742="","",IFERROR(AVERAGEIFS(DATOS!$K$2:$K$20000,DATOS!$A$2:$A$20000,S742,DATOS!$G$2:$G$20000,CONFIG_METADATA!$B$4,DATOS!$I$2:$I$20000,"Lenguaje Musical"),""))</f>
        <v/>
      </c>
      <c r="U742" t="str">
        <f>IF(S742="","",IFERROR(AVERAGEIFS(DATOS!$K$2:$K$20000,DATOS!$A$2:$A$20000,S742,DATOS!$G$2:$G$20000,CONFIG_METADATA!$B$4,DATOS!$I$2:$I$20000,"Coro"),""))</f>
        <v/>
      </c>
      <c r="V742" t="str">
        <f>IF(S742="","",IFERROR(AVERAGEIFS(DATOS!$K$2:$K$20000,DATOS!$A$2:$A$20000,S742,DATOS!$G$2:$G$20000,CONFIG_METADATA!$B$4,DATOS!$I$2:$I$20000,"Conjunto"),""))</f>
        <v/>
      </c>
      <c r="W742" t="str" cm="1">
        <f t="array" ref="W742">IF(S742="","",IFERROR(AVERAGE(IF((DATOS!$A$2:$A$20000=S742)*(DATOS!$G$2:$G$20000=CONFIG_METADATA!$B$4)*(DATOS!$I$2:$I$20000&lt;&gt;"Lenguaje Musical")*(DATOS!$I$2:$I$20000&lt;&gt;"Coro")*(DATOS!$I$2:$I$20000&lt;&gt;"Conjunto"),DATOS!$K$2:$K$20000)),""))</f>
        <v/>
      </c>
    </row>
    <row r="743" spans="2:23" x14ac:dyDescent="0.2">
      <c r="B743" t="str">
        <f>IF(A743="","",IFERROR(AVERAGEIFS(DATOS!$K$2:$K$20000,DATOS!$A$2:$A$20000,A743,DATOS!$G$2:$G$20000,CONFIG_METADATA!$B$4,DATOS!$I$2:$I$20000,"Lenguaje Musical"),""))</f>
        <v/>
      </c>
      <c r="C743" t="str">
        <f>IF(A743="","",IFERROR(AVERAGEIFS(DATOS!$K$2:$K$20000,DATOS!$A$2:$A$20000,A743,DATOS!$G$2:$G$20000,CONFIG_METADATA!$B$4,DATOS!$I$2:$I$20000,"Coro"),""))</f>
        <v/>
      </c>
      <c r="D743" t="str">
        <f>IF(A743="","",IFERROR(AVERAGEIFS(DATOS!$K$2:$K$20000,DATOS!$A$2:$A$20000,A743,DATOS!$G$2:$G$20000,CONFIG_METADATA!$B$4,DATOS!$I$2:$I$20000,"Conjunto"),""))</f>
        <v/>
      </c>
      <c r="E743" t="str">
        <f>IF(A743="","",IFERROR(AVERAGEIFS(DATOS!$K$2:$K$20000,DATOS!$A$2:$A$20000,A743,DATOS!$G$2:$G$20000,CONFIG_METADATA!$B$4,DATOS!$I$2:$I$20000,"&lt;&gt;Lenguaje Musical",DATOS!$I$2:$I$20000,"&lt;&gt;Coro",DATOS!$I$2:$I$20000,"&lt;&gt;Conjunto"),""))</f>
        <v/>
      </c>
      <c r="N743" t="str">
        <f>IF(M743="","",IFERROR(AVERAGEIFS(DATOS!$K$2:$K$20000,DATOS!$A$2:$A$20000,M743,DATOS!$G$2:$G$20000,CONFIG_METADATA!$B$4,DATOS!$I$2:$I$20000,"Lenguaje Musical"),""))</f>
        <v/>
      </c>
      <c r="O743" t="str">
        <f>IF(M743="","",IFERROR(AVERAGEIFS(DATOS!$K$2:$K$20000,DATOS!$A$2:$A$20000,M743,DATOS!$G$2:$G$20000,CONFIG_METADATA!$B$4,DATOS!$I$2:$I$20000,"Coro"),""))</f>
        <v/>
      </c>
      <c r="P743" t="str">
        <f>IF(M743="","",IFERROR(AVERAGEIFS(DATOS!$K$2:$K$20000,DATOS!$A$2:$A$20000,M743,DATOS!$G$2:$G$20000,CONFIG_METADATA!$B$4,DATOS!$I$2:$I$20000,"Conjunto"),""))</f>
        <v/>
      </c>
      <c r="Q743" t="str">
        <f>IF(M743="","",IFERROR(AVERAGEIFS(DATOS!$K$2:$K$20000,DATOS!$A$2:$A$20000,M743,DATOS!$G$2:$G$20000,CONFIG_METADATA!$B$4,DATOS!$I$2:$I$20000,"&lt;&gt;Lenguaje Musical",DATOS!$I$2:$I$20000,"&lt;&gt;Coro",DATOS!$I$2:$I$20000,"&lt;&gt;Conjunto"),""))</f>
        <v/>
      </c>
      <c r="T743" t="str">
        <f>IF(S743="","",IFERROR(AVERAGEIFS(DATOS!$K$2:$K$20000,DATOS!$A$2:$A$20000,S743,DATOS!$G$2:$G$20000,CONFIG_METADATA!$B$4,DATOS!$I$2:$I$20000,"Lenguaje Musical"),""))</f>
        <v/>
      </c>
      <c r="U743" t="str">
        <f>IF(S743="","",IFERROR(AVERAGEIFS(DATOS!$K$2:$K$20000,DATOS!$A$2:$A$20000,S743,DATOS!$G$2:$G$20000,CONFIG_METADATA!$B$4,DATOS!$I$2:$I$20000,"Coro"),""))</f>
        <v/>
      </c>
      <c r="V743" t="str">
        <f>IF(S743="","",IFERROR(AVERAGEIFS(DATOS!$K$2:$K$20000,DATOS!$A$2:$A$20000,S743,DATOS!$G$2:$G$20000,CONFIG_METADATA!$B$4,DATOS!$I$2:$I$20000,"Conjunto"),""))</f>
        <v/>
      </c>
      <c r="W743" t="str" cm="1">
        <f t="array" ref="W743">IF(S743="","",IFERROR(AVERAGE(IF((DATOS!$A$2:$A$20000=S743)*(DATOS!$G$2:$G$20000=CONFIG_METADATA!$B$4)*(DATOS!$I$2:$I$20000&lt;&gt;"Lenguaje Musical")*(DATOS!$I$2:$I$20000&lt;&gt;"Coro")*(DATOS!$I$2:$I$20000&lt;&gt;"Conjunto"),DATOS!$K$2:$K$20000)),""))</f>
        <v/>
      </c>
    </row>
    <row r="744" spans="2:23" x14ac:dyDescent="0.2">
      <c r="B744" t="str">
        <f>IF(A744="","",IFERROR(AVERAGEIFS(DATOS!$K$2:$K$20000,DATOS!$A$2:$A$20000,A744,DATOS!$G$2:$G$20000,CONFIG_METADATA!$B$4,DATOS!$I$2:$I$20000,"Lenguaje Musical"),""))</f>
        <v/>
      </c>
      <c r="C744" t="str">
        <f>IF(A744="","",IFERROR(AVERAGEIFS(DATOS!$K$2:$K$20000,DATOS!$A$2:$A$20000,A744,DATOS!$G$2:$G$20000,CONFIG_METADATA!$B$4,DATOS!$I$2:$I$20000,"Coro"),""))</f>
        <v/>
      </c>
      <c r="D744" t="str">
        <f>IF(A744="","",IFERROR(AVERAGEIFS(DATOS!$K$2:$K$20000,DATOS!$A$2:$A$20000,A744,DATOS!$G$2:$G$20000,CONFIG_METADATA!$B$4,DATOS!$I$2:$I$20000,"Conjunto"),""))</f>
        <v/>
      </c>
      <c r="E744" t="str">
        <f>IF(A744="","",IFERROR(AVERAGEIFS(DATOS!$K$2:$K$20000,DATOS!$A$2:$A$20000,A744,DATOS!$G$2:$G$20000,CONFIG_METADATA!$B$4,DATOS!$I$2:$I$20000,"&lt;&gt;Lenguaje Musical",DATOS!$I$2:$I$20000,"&lt;&gt;Coro",DATOS!$I$2:$I$20000,"&lt;&gt;Conjunto"),""))</f>
        <v/>
      </c>
      <c r="N744" t="str">
        <f>IF(M744="","",IFERROR(AVERAGEIFS(DATOS!$K$2:$K$20000,DATOS!$A$2:$A$20000,M744,DATOS!$G$2:$G$20000,CONFIG_METADATA!$B$4,DATOS!$I$2:$I$20000,"Lenguaje Musical"),""))</f>
        <v/>
      </c>
      <c r="O744" t="str">
        <f>IF(M744="","",IFERROR(AVERAGEIFS(DATOS!$K$2:$K$20000,DATOS!$A$2:$A$20000,M744,DATOS!$G$2:$G$20000,CONFIG_METADATA!$B$4,DATOS!$I$2:$I$20000,"Coro"),""))</f>
        <v/>
      </c>
      <c r="P744" t="str">
        <f>IF(M744="","",IFERROR(AVERAGEIFS(DATOS!$K$2:$K$20000,DATOS!$A$2:$A$20000,M744,DATOS!$G$2:$G$20000,CONFIG_METADATA!$B$4,DATOS!$I$2:$I$20000,"Conjunto"),""))</f>
        <v/>
      </c>
      <c r="Q744" t="str">
        <f>IF(M744="","",IFERROR(AVERAGEIFS(DATOS!$K$2:$K$20000,DATOS!$A$2:$A$20000,M744,DATOS!$G$2:$G$20000,CONFIG_METADATA!$B$4,DATOS!$I$2:$I$20000,"&lt;&gt;Lenguaje Musical",DATOS!$I$2:$I$20000,"&lt;&gt;Coro",DATOS!$I$2:$I$20000,"&lt;&gt;Conjunto"),""))</f>
        <v/>
      </c>
      <c r="T744" t="str">
        <f>IF(S744="","",IFERROR(AVERAGEIFS(DATOS!$K$2:$K$20000,DATOS!$A$2:$A$20000,S744,DATOS!$G$2:$G$20000,CONFIG_METADATA!$B$4,DATOS!$I$2:$I$20000,"Lenguaje Musical"),""))</f>
        <v/>
      </c>
      <c r="U744" t="str">
        <f>IF(S744="","",IFERROR(AVERAGEIFS(DATOS!$K$2:$K$20000,DATOS!$A$2:$A$20000,S744,DATOS!$G$2:$G$20000,CONFIG_METADATA!$B$4,DATOS!$I$2:$I$20000,"Coro"),""))</f>
        <v/>
      </c>
      <c r="V744" t="str">
        <f>IF(S744="","",IFERROR(AVERAGEIFS(DATOS!$K$2:$K$20000,DATOS!$A$2:$A$20000,S744,DATOS!$G$2:$G$20000,CONFIG_METADATA!$B$4,DATOS!$I$2:$I$20000,"Conjunto"),""))</f>
        <v/>
      </c>
      <c r="W744" t="str" cm="1">
        <f t="array" ref="W744">IF(S744="","",IFERROR(AVERAGE(IF((DATOS!$A$2:$A$20000=S744)*(DATOS!$G$2:$G$20000=CONFIG_METADATA!$B$4)*(DATOS!$I$2:$I$20000&lt;&gt;"Lenguaje Musical")*(DATOS!$I$2:$I$20000&lt;&gt;"Coro")*(DATOS!$I$2:$I$20000&lt;&gt;"Conjunto"),DATOS!$K$2:$K$20000)),""))</f>
        <v/>
      </c>
    </row>
    <row r="745" spans="2:23" x14ac:dyDescent="0.2">
      <c r="B745" t="str">
        <f>IF(A745="","",IFERROR(AVERAGEIFS(DATOS!$K$2:$K$20000,DATOS!$A$2:$A$20000,A745,DATOS!$G$2:$G$20000,CONFIG_METADATA!$B$4,DATOS!$I$2:$I$20000,"Lenguaje Musical"),""))</f>
        <v/>
      </c>
      <c r="C745" t="str">
        <f>IF(A745="","",IFERROR(AVERAGEIFS(DATOS!$K$2:$K$20000,DATOS!$A$2:$A$20000,A745,DATOS!$G$2:$G$20000,CONFIG_METADATA!$B$4,DATOS!$I$2:$I$20000,"Coro"),""))</f>
        <v/>
      </c>
      <c r="D745" t="str">
        <f>IF(A745="","",IFERROR(AVERAGEIFS(DATOS!$K$2:$K$20000,DATOS!$A$2:$A$20000,A745,DATOS!$G$2:$G$20000,CONFIG_METADATA!$B$4,DATOS!$I$2:$I$20000,"Conjunto"),""))</f>
        <v/>
      </c>
      <c r="E745" t="str">
        <f>IF(A745="","",IFERROR(AVERAGEIFS(DATOS!$K$2:$K$20000,DATOS!$A$2:$A$20000,A745,DATOS!$G$2:$G$20000,CONFIG_METADATA!$B$4,DATOS!$I$2:$I$20000,"&lt;&gt;Lenguaje Musical",DATOS!$I$2:$I$20000,"&lt;&gt;Coro",DATOS!$I$2:$I$20000,"&lt;&gt;Conjunto"),""))</f>
        <v/>
      </c>
      <c r="N745" t="str">
        <f>IF(M745="","",IFERROR(AVERAGEIFS(DATOS!$K$2:$K$20000,DATOS!$A$2:$A$20000,M745,DATOS!$G$2:$G$20000,CONFIG_METADATA!$B$4,DATOS!$I$2:$I$20000,"Lenguaje Musical"),""))</f>
        <v/>
      </c>
      <c r="O745" t="str">
        <f>IF(M745="","",IFERROR(AVERAGEIFS(DATOS!$K$2:$K$20000,DATOS!$A$2:$A$20000,M745,DATOS!$G$2:$G$20000,CONFIG_METADATA!$B$4,DATOS!$I$2:$I$20000,"Coro"),""))</f>
        <v/>
      </c>
      <c r="P745" t="str">
        <f>IF(M745="","",IFERROR(AVERAGEIFS(DATOS!$K$2:$K$20000,DATOS!$A$2:$A$20000,M745,DATOS!$G$2:$G$20000,CONFIG_METADATA!$B$4,DATOS!$I$2:$I$20000,"Conjunto"),""))</f>
        <v/>
      </c>
      <c r="Q745" t="str">
        <f>IF(M745="","",IFERROR(AVERAGEIFS(DATOS!$K$2:$K$20000,DATOS!$A$2:$A$20000,M745,DATOS!$G$2:$G$20000,CONFIG_METADATA!$B$4,DATOS!$I$2:$I$20000,"&lt;&gt;Lenguaje Musical",DATOS!$I$2:$I$20000,"&lt;&gt;Coro",DATOS!$I$2:$I$20000,"&lt;&gt;Conjunto"),""))</f>
        <v/>
      </c>
      <c r="T745" t="str">
        <f>IF(S745="","",IFERROR(AVERAGEIFS(DATOS!$K$2:$K$20000,DATOS!$A$2:$A$20000,S745,DATOS!$G$2:$G$20000,CONFIG_METADATA!$B$4,DATOS!$I$2:$I$20000,"Lenguaje Musical"),""))</f>
        <v/>
      </c>
      <c r="U745" t="str">
        <f>IF(S745="","",IFERROR(AVERAGEIFS(DATOS!$K$2:$K$20000,DATOS!$A$2:$A$20000,S745,DATOS!$G$2:$G$20000,CONFIG_METADATA!$B$4,DATOS!$I$2:$I$20000,"Coro"),""))</f>
        <v/>
      </c>
      <c r="V745" t="str">
        <f>IF(S745="","",IFERROR(AVERAGEIFS(DATOS!$K$2:$K$20000,DATOS!$A$2:$A$20000,S745,DATOS!$G$2:$G$20000,CONFIG_METADATA!$B$4,DATOS!$I$2:$I$20000,"Conjunto"),""))</f>
        <v/>
      </c>
      <c r="W745" t="str" cm="1">
        <f t="array" ref="W745">IF(S745="","",IFERROR(AVERAGE(IF((DATOS!$A$2:$A$20000=S745)*(DATOS!$G$2:$G$20000=CONFIG_METADATA!$B$4)*(DATOS!$I$2:$I$20000&lt;&gt;"Lenguaje Musical")*(DATOS!$I$2:$I$20000&lt;&gt;"Coro")*(DATOS!$I$2:$I$20000&lt;&gt;"Conjunto"),DATOS!$K$2:$K$20000)),""))</f>
        <v/>
      </c>
    </row>
    <row r="746" spans="2:23" x14ac:dyDescent="0.2">
      <c r="B746" t="str">
        <f>IF(A746="","",IFERROR(AVERAGEIFS(DATOS!$K$2:$K$20000,DATOS!$A$2:$A$20000,A746,DATOS!$G$2:$G$20000,CONFIG_METADATA!$B$4,DATOS!$I$2:$I$20000,"Lenguaje Musical"),""))</f>
        <v/>
      </c>
      <c r="C746" t="str">
        <f>IF(A746="","",IFERROR(AVERAGEIFS(DATOS!$K$2:$K$20000,DATOS!$A$2:$A$20000,A746,DATOS!$G$2:$G$20000,CONFIG_METADATA!$B$4,DATOS!$I$2:$I$20000,"Coro"),""))</f>
        <v/>
      </c>
      <c r="D746" t="str">
        <f>IF(A746="","",IFERROR(AVERAGEIFS(DATOS!$K$2:$K$20000,DATOS!$A$2:$A$20000,A746,DATOS!$G$2:$G$20000,CONFIG_METADATA!$B$4,DATOS!$I$2:$I$20000,"Conjunto"),""))</f>
        <v/>
      </c>
      <c r="E746" t="str">
        <f>IF(A746="","",IFERROR(AVERAGEIFS(DATOS!$K$2:$K$20000,DATOS!$A$2:$A$20000,A746,DATOS!$G$2:$G$20000,CONFIG_METADATA!$B$4,DATOS!$I$2:$I$20000,"&lt;&gt;Lenguaje Musical",DATOS!$I$2:$I$20000,"&lt;&gt;Coro",DATOS!$I$2:$I$20000,"&lt;&gt;Conjunto"),""))</f>
        <v/>
      </c>
      <c r="N746" t="str">
        <f>IF(M746="","",IFERROR(AVERAGEIFS(DATOS!$K$2:$K$20000,DATOS!$A$2:$A$20000,M746,DATOS!$G$2:$G$20000,CONFIG_METADATA!$B$4,DATOS!$I$2:$I$20000,"Lenguaje Musical"),""))</f>
        <v/>
      </c>
      <c r="O746" t="str">
        <f>IF(M746="","",IFERROR(AVERAGEIFS(DATOS!$K$2:$K$20000,DATOS!$A$2:$A$20000,M746,DATOS!$G$2:$G$20000,CONFIG_METADATA!$B$4,DATOS!$I$2:$I$20000,"Coro"),""))</f>
        <v/>
      </c>
      <c r="P746" t="str">
        <f>IF(M746="","",IFERROR(AVERAGEIFS(DATOS!$K$2:$K$20000,DATOS!$A$2:$A$20000,M746,DATOS!$G$2:$G$20000,CONFIG_METADATA!$B$4,DATOS!$I$2:$I$20000,"Conjunto"),""))</f>
        <v/>
      </c>
      <c r="Q746" t="str">
        <f>IF(M746="","",IFERROR(AVERAGEIFS(DATOS!$K$2:$K$20000,DATOS!$A$2:$A$20000,M746,DATOS!$G$2:$G$20000,CONFIG_METADATA!$B$4,DATOS!$I$2:$I$20000,"&lt;&gt;Lenguaje Musical",DATOS!$I$2:$I$20000,"&lt;&gt;Coro",DATOS!$I$2:$I$20000,"&lt;&gt;Conjunto"),""))</f>
        <v/>
      </c>
      <c r="T746" t="str">
        <f>IF(S746="","",IFERROR(AVERAGEIFS(DATOS!$K$2:$K$20000,DATOS!$A$2:$A$20000,S746,DATOS!$G$2:$G$20000,CONFIG_METADATA!$B$4,DATOS!$I$2:$I$20000,"Lenguaje Musical"),""))</f>
        <v/>
      </c>
      <c r="U746" t="str">
        <f>IF(S746="","",IFERROR(AVERAGEIFS(DATOS!$K$2:$K$20000,DATOS!$A$2:$A$20000,S746,DATOS!$G$2:$G$20000,CONFIG_METADATA!$B$4,DATOS!$I$2:$I$20000,"Coro"),""))</f>
        <v/>
      </c>
      <c r="V746" t="str">
        <f>IF(S746="","",IFERROR(AVERAGEIFS(DATOS!$K$2:$K$20000,DATOS!$A$2:$A$20000,S746,DATOS!$G$2:$G$20000,CONFIG_METADATA!$B$4,DATOS!$I$2:$I$20000,"Conjunto"),""))</f>
        <v/>
      </c>
      <c r="W746" t="str" cm="1">
        <f t="array" ref="W746">IF(S746="","",IFERROR(AVERAGE(IF((DATOS!$A$2:$A$20000=S746)*(DATOS!$G$2:$G$20000=CONFIG_METADATA!$B$4)*(DATOS!$I$2:$I$20000&lt;&gt;"Lenguaje Musical")*(DATOS!$I$2:$I$20000&lt;&gt;"Coro")*(DATOS!$I$2:$I$20000&lt;&gt;"Conjunto"),DATOS!$K$2:$K$20000)),""))</f>
        <v/>
      </c>
    </row>
    <row r="747" spans="2:23" x14ac:dyDescent="0.2">
      <c r="B747" t="str">
        <f>IF(A747="","",IFERROR(AVERAGEIFS(DATOS!$K$2:$K$20000,DATOS!$A$2:$A$20000,A747,DATOS!$G$2:$G$20000,CONFIG_METADATA!$B$4,DATOS!$I$2:$I$20000,"Lenguaje Musical"),""))</f>
        <v/>
      </c>
      <c r="C747" t="str">
        <f>IF(A747="","",IFERROR(AVERAGEIFS(DATOS!$K$2:$K$20000,DATOS!$A$2:$A$20000,A747,DATOS!$G$2:$G$20000,CONFIG_METADATA!$B$4,DATOS!$I$2:$I$20000,"Coro"),""))</f>
        <v/>
      </c>
      <c r="D747" t="str">
        <f>IF(A747="","",IFERROR(AVERAGEIFS(DATOS!$K$2:$K$20000,DATOS!$A$2:$A$20000,A747,DATOS!$G$2:$G$20000,CONFIG_METADATA!$B$4,DATOS!$I$2:$I$20000,"Conjunto"),""))</f>
        <v/>
      </c>
      <c r="E747" t="str">
        <f>IF(A747="","",IFERROR(AVERAGEIFS(DATOS!$K$2:$K$20000,DATOS!$A$2:$A$20000,A747,DATOS!$G$2:$G$20000,CONFIG_METADATA!$B$4,DATOS!$I$2:$I$20000,"&lt;&gt;Lenguaje Musical",DATOS!$I$2:$I$20000,"&lt;&gt;Coro",DATOS!$I$2:$I$20000,"&lt;&gt;Conjunto"),""))</f>
        <v/>
      </c>
      <c r="N747" t="str">
        <f>IF(M747="","",IFERROR(AVERAGEIFS(DATOS!$K$2:$K$20000,DATOS!$A$2:$A$20000,M747,DATOS!$G$2:$G$20000,CONFIG_METADATA!$B$4,DATOS!$I$2:$I$20000,"Lenguaje Musical"),""))</f>
        <v/>
      </c>
      <c r="O747" t="str">
        <f>IF(M747="","",IFERROR(AVERAGEIFS(DATOS!$K$2:$K$20000,DATOS!$A$2:$A$20000,M747,DATOS!$G$2:$G$20000,CONFIG_METADATA!$B$4,DATOS!$I$2:$I$20000,"Coro"),""))</f>
        <v/>
      </c>
      <c r="P747" t="str">
        <f>IF(M747="","",IFERROR(AVERAGEIFS(DATOS!$K$2:$K$20000,DATOS!$A$2:$A$20000,M747,DATOS!$G$2:$G$20000,CONFIG_METADATA!$B$4,DATOS!$I$2:$I$20000,"Conjunto"),""))</f>
        <v/>
      </c>
      <c r="Q747" t="str">
        <f>IF(M747="","",IFERROR(AVERAGEIFS(DATOS!$K$2:$K$20000,DATOS!$A$2:$A$20000,M747,DATOS!$G$2:$G$20000,CONFIG_METADATA!$B$4,DATOS!$I$2:$I$20000,"&lt;&gt;Lenguaje Musical",DATOS!$I$2:$I$20000,"&lt;&gt;Coro",DATOS!$I$2:$I$20000,"&lt;&gt;Conjunto"),""))</f>
        <v/>
      </c>
      <c r="T747" t="str">
        <f>IF(S747="","",IFERROR(AVERAGEIFS(DATOS!$K$2:$K$20000,DATOS!$A$2:$A$20000,S747,DATOS!$G$2:$G$20000,CONFIG_METADATA!$B$4,DATOS!$I$2:$I$20000,"Lenguaje Musical"),""))</f>
        <v/>
      </c>
      <c r="U747" t="str">
        <f>IF(S747="","",IFERROR(AVERAGEIFS(DATOS!$K$2:$K$20000,DATOS!$A$2:$A$20000,S747,DATOS!$G$2:$G$20000,CONFIG_METADATA!$B$4,DATOS!$I$2:$I$20000,"Coro"),""))</f>
        <v/>
      </c>
      <c r="V747" t="str">
        <f>IF(S747="","",IFERROR(AVERAGEIFS(DATOS!$K$2:$K$20000,DATOS!$A$2:$A$20000,S747,DATOS!$G$2:$G$20000,CONFIG_METADATA!$B$4,DATOS!$I$2:$I$20000,"Conjunto"),""))</f>
        <v/>
      </c>
      <c r="W747" t="str" cm="1">
        <f t="array" ref="W747">IF(S747="","",IFERROR(AVERAGE(IF((DATOS!$A$2:$A$20000=S747)*(DATOS!$G$2:$G$20000=CONFIG_METADATA!$B$4)*(DATOS!$I$2:$I$20000&lt;&gt;"Lenguaje Musical")*(DATOS!$I$2:$I$20000&lt;&gt;"Coro")*(DATOS!$I$2:$I$20000&lt;&gt;"Conjunto"),DATOS!$K$2:$K$20000)),""))</f>
        <v/>
      </c>
    </row>
    <row r="748" spans="2:23" x14ac:dyDescent="0.2">
      <c r="B748" t="str">
        <f>IF(A748="","",IFERROR(AVERAGEIFS(DATOS!$K$2:$K$20000,DATOS!$A$2:$A$20000,A748,DATOS!$G$2:$G$20000,CONFIG_METADATA!$B$4,DATOS!$I$2:$I$20000,"Lenguaje Musical"),""))</f>
        <v/>
      </c>
      <c r="C748" t="str">
        <f>IF(A748="","",IFERROR(AVERAGEIFS(DATOS!$K$2:$K$20000,DATOS!$A$2:$A$20000,A748,DATOS!$G$2:$G$20000,CONFIG_METADATA!$B$4,DATOS!$I$2:$I$20000,"Coro"),""))</f>
        <v/>
      </c>
      <c r="D748" t="str">
        <f>IF(A748="","",IFERROR(AVERAGEIFS(DATOS!$K$2:$K$20000,DATOS!$A$2:$A$20000,A748,DATOS!$G$2:$G$20000,CONFIG_METADATA!$B$4,DATOS!$I$2:$I$20000,"Conjunto"),""))</f>
        <v/>
      </c>
      <c r="E748" t="str">
        <f>IF(A748="","",IFERROR(AVERAGEIFS(DATOS!$K$2:$K$20000,DATOS!$A$2:$A$20000,A748,DATOS!$G$2:$G$20000,CONFIG_METADATA!$B$4,DATOS!$I$2:$I$20000,"&lt;&gt;Lenguaje Musical",DATOS!$I$2:$I$20000,"&lt;&gt;Coro",DATOS!$I$2:$I$20000,"&lt;&gt;Conjunto"),""))</f>
        <v/>
      </c>
      <c r="N748" t="str">
        <f>IF(M748="","",IFERROR(AVERAGEIFS(DATOS!$K$2:$K$20000,DATOS!$A$2:$A$20000,M748,DATOS!$G$2:$G$20000,CONFIG_METADATA!$B$4,DATOS!$I$2:$I$20000,"Lenguaje Musical"),""))</f>
        <v/>
      </c>
      <c r="O748" t="str">
        <f>IF(M748="","",IFERROR(AVERAGEIFS(DATOS!$K$2:$K$20000,DATOS!$A$2:$A$20000,M748,DATOS!$G$2:$G$20000,CONFIG_METADATA!$B$4,DATOS!$I$2:$I$20000,"Coro"),""))</f>
        <v/>
      </c>
      <c r="P748" t="str">
        <f>IF(M748="","",IFERROR(AVERAGEIFS(DATOS!$K$2:$K$20000,DATOS!$A$2:$A$20000,M748,DATOS!$G$2:$G$20000,CONFIG_METADATA!$B$4,DATOS!$I$2:$I$20000,"Conjunto"),""))</f>
        <v/>
      </c>
      <c r="Q748" t="str">
        <f>IF(M748="","",IFERROR(AVERAGEIFS(DATOS!$K$2:$K$20000,DATOS!$A$2:$A$20000,M748,DATOS!$G$2:$G$20000,CONFIG_METADATA!$B$4,DATOS!$I$2:$I$20000,"&lt;&gt;Lenguaje Musical",DATOS!$I$2:$I$20000,"&lt;&gt;Coro",DATOS!$I$2:$I$20000,"&lt;&gt;Conjunto"),""))</f>
        <v/>
      </c>
      <c r="T748" t="str">
        <f>IF(S748="","",IFERROR(AVERAGEIFS(DATOS!$K$2:$K$20000,DATOS!$A$2:$A$20000,S748,DATOS!$G$2:$G$20000,CONFIG_METADATA!$B$4,DATOS!$I$2:$I$20000,"Lenguaje Musical"),""))</f>
        <v/>
      </c>
      <c r="U748" t="str">
        <f>IF(S748="","",IFERROR(AVERAGEIFS(DATOS!$K$2:$K$20000,DATOS!$A$2:$A$20000,S748,DATOS!$G$2:$G$20000,CONFIG_METADATA!$B$4,DATOS!$I$2:$I$20000,"Coro"),""))</f>
        <v/>
      </c>
      <c r="V748" t="str">
        <f>IF(S748="","",IFERROR(AVERAGEIFS(DATOS!$K$2:$K$20000,DATOS!$A$2:$A$20000,S748,DATOS!$G$2:$G$20000,CONFIG_METADATA!$B$4,DATOS!$I$2:$I$20000,"Conjunto"),""))</f>
        <v/>
      </c>
      <c r="W748" t="str" cm="1">
        <f t="array" ref="W748">IF(S748="","",IFERROR(AVERAGE(IF((DATOS!$A$2:$A$20000=S748)*(DATOS!$G$2:$G$20000=CONFIG_METADATA!$B$4)*(DATOS!$I$2:$I$20000&lt;&gt;"Lenguaje Musical")*(DATOS!$I$2:$I$20000&lt;&gt;"Coro")*(DATOS!$I$2:$I$20000&lt;&gt;"Conjunto"),DATOS!$K$2:$K$20000)),""))</f>
        <v/>
      </c>
    </row>
    <row r="749" spans="2:23" x14ac:dyDescent="0.2">
      <c r="B749" t="str">
        <f>IF(A749="","",IFERROR(AVERAGEIFS(DATOS!$K$2:$K$20000,DATOS!$A$2:$A$20000,A749,DATOS!$G$2:$G$20000,CONFIG_METADATA!$B$4,DATOS!$I$2:$I$20000,"Lenguaje Musical"),""))</f>
        <v/>
      </c>
      <c r="C749" t="str">
        <f>IF(A749="","",IFERROR(AVERAGEIFS(DATOS!$K$2:$K$20000,DATOS!$A$2:$A$20000,A749,DATOS!$G$2:$G$20000,CONFIG_METADATA!$B$4,DATOS!$I$2:$I$20000,"Coro"),""))</f>
        <v/>
      </c>
      <c r="D749" t="str">
        <f>IF(A749="","",IFERROR(AVERAGEIFS(DATOS!$K$2:$K$20000,DATOS!$A$2:$A$20000,A749,DATOS!$G$2:$G$20000,CONFIG_METADATA!$B$4,DATOS!$I$2:$I$20000,"Conjunto"),""))</f>
        <v/>
      </c>
      <c r="E749" t="str">
        <f>IF(A749="","",IFERROR(AVERAGEIFS(DATOS!$K$2:$K$20000,DATOS!$A$2:$A$20000,A749,DATOS!$G$2:$G$20000,CONFIG_METADATA!$B$4,DATOS!$I$2:$I$20000,"&lt;&gt;Lenguaje Musical",DATOS!$I$2:$I$20000,"&lt;&gt;Coro",DATOS!$I$2:$I$20000,"&lt;&gt;Conjunto"),""))</f>
        <v/>
      </c>
      <c r="N749" t="str">
        <f>IF(M749="","",IFERROR(AVERAGEIFS(DATOS!$K$2:$K$20000,DATOS!$A$2:$A$20000,M749,DATOS!$G$2:$G$20000,CONFIG_METADATA!$B$4,DATOS!$I$2:$I$20000,"Lenguaje Musical"),""))</f>
        <v/>
      </c>
      <c r="O749" t="str">
        <f>IF(M749="","",IFERROR(AVERAGEIFS(DATOS!$K$2:$K$20000,DATOS!$A$2:$A$20000,M749,DATOS!$G$2:$G$20000,CONFIG_METADATA!$B$4,DATOS!$I$2:$I$20000,"Coro"),""))</f>
        <v/>
      </c>
      <c r="P749" t="str">
        <f>IF(M749="","",IFERROR(AVERAGEIFS(DATOS!$K$2:$K$20000,DATOS!$A$2:$A$20000,M749,DATOS!$G$2:$G$20000,CONFIG_METADATA!$B$4,DATOS!$I$2:$I$20000,"Conjunto"),""))</f>
        <v/>
      </c>
      <c r="Q749" t="str">
        <f>IF(M749="","",IFERROR(AVERAGEIFS(DATOS!$K$2:$K$20000,DATOS!$A$2:$A$20000,M749,DATOS!$G$2:$G$20000,CONFIG_METADATA!$B$4,DATOS!$I$2:$I$20000,"&lt;&gt;Lenguaje Musical",DATOS!$I$2:$I$20000,"&lt;&gt;Coro",DATOS!$I$2:$I$20000,"&lt;&gt;Conjunto"),""))</f>
        <v/>
      </c>
      <c r="T749" t="str">
        <f>IF(S749="","",IFERROR(AVERAGEIFS(DATOS!$K$2:$K$20000,DATOS!$A$2:$A$20000,S749,DATOS!$G$2:$G$20000,CONFIG_METADATA!$B$4,DATOS!$I$2:$I$20000,"Lenguaje Musical"),""))</f>
        <v/>
      </c>
      <c r="U749" t="str">
        <f>IF(S749="","",IFERROR(AVERAGEIFS(DATOS!$K$2:$K$20000,DATOS!$A$2:$A$20000,S749,DATOS!$G$2:$G$20000,CONFIG_METADATA!$B$4,DATOS!$I$2:$I$20000,"Coro"),""))</f>
        <v/>
      </c>
      <c r="V749" t="str">
        <f>IF(S749="","",IFERROR(AVERAGEIFS(DATOS!$K$2:$K$20000,DATOS!$A$2:$A$20000,S749,DATOS!$G$2:$G$20000,CONFIG_METADATA!$B$4,DATOS!$I$2:$I$20000,"Conjunto"),""))</f>
        <v/>
      </c>
      <c r="W749" t="str" cm="1">
        <f t="array" ref="W749">IF(S749="","",IFERROR(AVERAGE(IF((DATOS!$A$2:$A$20000=S749)*(DATOS!$G$2:$G$20000=CONFIG_METADATA!$B$4)*(DATOS!$I$2:$I$20000&lt;&gt;"Lenguaje Musical")*(DATOS!$I$2:$I$20000&lt;&gt;"Coro")*(DATOS!$I$2:$I$20000&lt;&gt;"Conjunto"),DATOS!$K$2:$K$20000)),""))</f>
        <v/>
      </c>
    </row>
    <row r="750" spans="2:23" x14ac:dyDescent="0.2">
      <c r="B750" t="str">
        <f>IF(A750="","",IFERROR(AVERAGEIFS(DATOS!$K$2:$K$20000,DATOS!$A$2:$A$20000,A750,DATOS!$G$2:$G$20000,CONFIG_METADATA!$B$4,DATOS!$I$2:$I$20000,"Lenguaje Musical"),""))</f>
        <v/>
      </c>
      <c r="C750" t="str">
        <f>IF(A750="","",IFERROR(AVERAGEIFS(DATOS!$K$2:$K$20000,DATOS!$A$2:$A$20000,A750,DATOS!$G$2:$G$20000,CONFIG_METADATA!$B$4,DATOS!$I$2:$I$20000,"Coro"),""))</f>
        <v/>
      </c>
      <c r="D750" t="str">
        <f>IF(A750="","",IFERROR(AVERAGEIFS(DATOS!$K$2:$K$20000,DATOS!$A$2:$A$20000,A750,DATOS!$G$2:$G$20000,CONFIG_METADATA!$B$4,DATOS!$I$2:$I$20000,"Conjunto"),""))</f>
        <v/>
      </c>
      <c r="E750" t="str">
        <f>IF(A750="","",IFERROR(AVERAGEIFS(DATOS!$K$2:$K$20000,DATOS!$A$2:$A$20000,A750,DATOS!$G$2:$G$20000,CONFIG_METADATA!$B$4,DATOS!$I$2:$I$20000,"&lt;&gt;Lenguaje Musical",DATOS!$I$2:$I$20000,"&lt;&gt;Coro",DATOS!$I$2:$I$20000,"&lt;&gt;Conjunto"),""))</f>
        <v/>
      </c>
      <c r="N750" t="str">
        <f>IF(M750="","",IFERROR(AVERAGEIFS(DATOS!$K$2:$K$20000,DATOS!$A$2:$A$20000,M750,DATOS!$G$2:$G$20000,CONFIG_METADATA!$B$4,DATOS!$I$2:$I$20000,"Lenguaje Musical"),""))</f>
        <v/>
      </c>
      <c r="O750" t="str">
        <f>IF(M750="","",IFERROR(AVERAGEIFS(DATOS!$K$2:$K$20000,DATOS!$A$2:$A$20000,M750,DATOS!$G$2:$G$20000,CONFIG_METADATA!$B$4,DATOS!$I$2:$I$20000,"Coro"),""))</f>
        <v/>
      </c>
      <c r="P750" t="str">
        <f>IF(M750="","",IFERROR(AVERAGEIFS(DATOS!$K$2:$K$20000,DATOS!$A$2:$A$20000,M750,DATOS!$G$2:$G$20000,CONFIG_METADATA!$B$4,DATOS!$I$2:$I$20000,"Conjunto"),""))</f>
        <v/>
      </c>
      <c r="Q750" t="str">
        <f>IF(M750="","",IFERROR(AVERAGEIFS(DATOS!$K$2:$K$20000,DATOS!$A$2:$A$20000,M750,DATOS!$G$2:$G$20000,CONFIG_METADATA!$B$4,DATOS!$I$2:$I$20000,"&lt;&gt;Lenguaje Musical",DATOS!$I$2:$I$20000,"&lt;&gt;Coro",DATOS!$I$2:$I$20000,"&lt;&gt;Conjunto"),""))</f>
        <v/>
      </c>
      <c r="T750" t="str">
        <f>IF(S750="","",IFERROR(AVERAGEIFS(DATOS!$K$2:$K$20000,DATOS!$A$2:$A$20000,S750,DATOS!$G$2:$G$20000,CONFIG_METADATA!$B$4,DATOS!$I$2:$I$20000,"Lenguaje Musical"),""))</f>
        <v/>
      </c>
      <c r="U750" t="str">
        <f>IF(S750="","",IFERROR(AVERAGEIFS(DATOS!$K$2:$K$20000,DATOS!$A$2:$A$20000,S750,DATOS!$G$2:$G$20000,CONFIG_METADATA!$B$4,DATOS!$I$2:$I$20000,"Coro"),""))</f>
        <v/>
      </c>
      <c r="V750" t="str">
        <f>IF(S750="","",IFERROR(AVERAGEIFS(DATOS!$K$2:$K$20000,DATOS!$A$2:$A$20000,S750,DATOS!$G$2:$G$20000,CONFIG_METADATA!$B$4,DATOS!$I$2:$I$20000,"Conjunto"),""))</f>
        <v/>
      </c>
      <c r="W750" t="str" cm="1">
        <f t="array" ref="W750">IF(S750="","",IFERROR(AVERAGE(IF((DATOS!$A$2:$A$20000=S750)*(DATOS!$G$2:$G$20000=CONFIG_METADATA!$B$4)*(DATOS!$I$2:$I$20000&lt;&gt;"Lenguaje Musical")*(DATOS!$I$2:$I$20000&lt;&gt;"Coro")*(DATOS!$I$2:$I$20000&lt;&gt;"Conjunto"),DATOS!$K$2:$K$20000)),""))</f>
        <v/>
      </c>
    </row>
    <row r="751" spans="2:23" x14ac:dyDescent="0.2">
      <c r="B751" t="str">
        <f>IF(A751="","",IFERROR(AVERAGEIFS(DATOS!$K$2:$K$20000,DATOS!$A$2:$A$20000,A751,DATOS!$G$2:$G$20000,CONFIG_METADATA!$B$4,DATOS!$I$2:$I$20000,"Lenguaje Musical"),""))</f>
        <v/>
      </c>
      <c r="C751" t="str">
        <f>IF(A751="","",IFERROR(AVERAGEIFS(DATOS!$K$2:$K$20000,DATOS!$A$2:$A$20000,A751,DATOS!$G$2:$G$20000,CONFIG_METADATA!$B$4,DATOS!$I$2:$I$20000,"Coro"),""))</f>
        <v/>
      </c>
      <c r="D751" t="str">
        <f>IF(A751="","",IFERROR(AVERAGEIFS(DATOS!$K$2:$K$20000,DATOS!$A$2:$A$20000,A751,DATOS!$G$2:$G$20000,CONFIG_METADATA!$B$4,DATOS!$I$2:$I$20000,"Conjunto"),""))</f>
        <v/>
      </c>
      <c r="E751" t="str">
        <f>IF(A751="","",IFERROR(AVERAGEIFS(DATOS!$K$2:$K$20000,DATOS!$A$2:$A$20000,A751,DATOS!$G$2:$G$20000,CONFIG_METADATA!$B$4,DATOS!$I$2:$I$20000,"&lt;&gt;Lenguaje Musical",DATOS!$I$2:$I$20000,"&lt;&gt;Coro",DATOS!$I$2:$I$20000,"&lt;&gt;Conjunto"),""))</f>
        <v/>
      </c>
      <c r="N751" t="str">
        <f>IF(M751="","",IFERROR(AVERAGEIFS(DATOS!$K$2:$K$20000,DATOS!$A$2:$A$20000,M751,DATOS!$G$2:$G$20000,CONFIG_METADATA!$B$4,DATOS!$I$2:$I$20000,"Lenguaje Musical"),""))</f>
        <v/>
      </c>
      <c r="O751" t="str">
        <f>IF(M751="","",IFERROR(AVERAGEIFS(DATOS!$K$2:$K$20000,DATOS!$A$2:$A$20000,M751,DATOS!$G$2:$G$20000,CONFIG_METADATA!$B$4,DATOS!$I$2:$I$20000,"Coro"),""))</f>
        <v/>
      </c>
      <c r="P751" t="str">
        <f>IF(M751="","",IFERROR(AVERAGEIFS(DATOS!$K$2:$K$20000,DATOS!$A$2:$A$20000,M751,DATOS!$G$2:$G$20000,CONFIG_METADATA!$B$4,DATOS!$I$2:$I$20000,"Conjunto"),""))</f>
        <v/>
      </c>
      <c r="Q751" t="str">
        <f>IF(M751="","",IFERROR(AVERAGEIFS(DATOS!$K$2:$K$20000,DATOS!$A$2:$A$20000,M751,DATOS!$G$2:$G$20000,CONFIG_METADATA!$B$4,DATOS!$I$2:$I$20000,"&lt;&gt;Lenguaje Musical",DATOS!$I$2:$I$20000,"&lt;&gt;Coro",DATOS!$I$2:$I$20000,"&lt;&gt;Conjunto"),""))</f>
        <v/>
      </c>
      <c r="T751" t="str">
        <f>IF(S751="","",IFERROR(AVERAGEIFS(DATOS!$K$2:$K$20000,DATOS!$A$2:$A$20000,S751,DATOS!$G$2:$G$20000,CONFIG_METADATA!$B$4,DATOS!$I$2:$I$20000,"Lenguaje Musical"),""))</f>
        <v/>
      </c>
      <c r="U751" t="str">
        <f>IF(S751="","",IFERROR(AVERAGEIFS(DATOS!$K$2:$K$20000,DATOS!$A$2:$A$20000,S751,DATOS!$G$2:$G$20000,CONFIG_METADATA!$B$4,DATOS!$I$2:$I$20000,"Coro"),""))</f>
        <v/>
      </c>
      <c r="V751" t="str">
        <f>IF(S751="","",IFERROR(AVERAGEIFS(DATOS!$K$2:$K$20000,DATOS!$A$2:$A$20000,S751,DATOS!$G$2:$G$20000,CONFIG_METADATA!$B$4,DATOS!$I$2:$I$20000,"Conjunto"),""))</f>
        <v/>
      </c>
      <c r="W751" t="str" cm="1">
        <f t="array" ref="W751">IF(S751="","",IFERROR(AVERAGE(IF((DATOS!$A$2:$A$20000=S751)*(DATOS!$G$2:$G$20000=CONFIG_METADATA!$B$4)*(DATOS!$I$2:$I$20000&lt;&gt;"Lenguaje Musical")*(DATOS!$I$2:$I$20000&lt;&gt;"Coro")*(DATOS!$I$2:$I$20000&lt;&gt;"Conjunto"),DATOS!$K$2:$K$20000)),""))</f>
        <v/>
      </c>
    </row>
    <row r="752" spans="2:23" x14ac:dyDescent="0.2">
      <c r="B752" t="str">
        <f>IF(A752="","",IFERROR(AVERAGEIFS(DATOS!$K$2:$K$20000,DATOS!$A$2:$A$20000,A752,DATOS!$G$2:$G$20000,CONFIG_METADATA!$B$4,DATOS!$I$2:$I$20000,"Lenguaje Musical"),""))</f>
        <v/>
      </c>
      <c r="C752" t="str">
        <f>IF(A752="","",IFERROR(AVERAGEIFS(DATOS!$K$2:$K$20000,DATOS!$A$2:$A$20000,A752,DATOS!$G$2:$G$20000,CONFIG_METADATA!$B$4,DATOS!$I$2:$I$20000,"Coro"),""))</f>
        <v/>
      </c>
      <c r="D752" t="str">
        <f>IF(A752="","",IFERROR(AVERAGEIFS(DATOS!$K$2:$K$20000,DATOS!$A$2:$A$20000,A752,DATOS!$G$2:$G$20000,CONFIG_METADATA!$B$4,DATOS!$I$2:$I$20000,"Conjunto"),""))</f>
        <v/>
      </c>
      <c r="E752" t="str">
        <f>IF(A752="","",IFERROR(AVERAGEIFS(DATOS!$K$2:$K$20000,DATOS!$A$2:$A$20000,A752,DATOS!$G$2:$G$20000,CONFIG_METADATA!$B$4,DATOS!$I$2:$I$20000,"&lt;&gt;Lenguaje Musical",DATOS!$I$2:$I$20000,"&lt;&gt;Coro",DATOS!$I$2:$I$20000,"&lt;&gt;Conjunto"),""))</f>
        <v/>
      </c>
      <c r="N752" t="str">
        <f>IF(M752="","",IFERROR(AVERAGEIFS(DATOS!$K$2:$K$20000,DATOS!$A$2:$A$20000,M752,DATOS!$G$2:$G$20000,CONFIG_METADATA!$B$4,DATOS!$I$2:$I$20000,"Lenguaje Musical"),""))</f>
        <v/>
      </c>
      <c r="O752" t="str">
        <f>IF(M752="","",IFERROR(AVERAGEIFS(DATOS!$K$2:$K$20000,DATOS!$A$2:$A$20000,M752,DATOS!$G$2:$G$20000,CONFIG_METADATA!$B$4,DATOS!$I$2:$I$20000,"Coro"),""))</f>
        <v/>
      </c>
      <c r="P752" t="str">
        <f>IF(M752="","",IFERROR(AVERAGEIFS(DATOS!$K$2:$K$20000,DATOS!$A$2:$A$20000,M752,DATOS!$G$2:$G$20000,CONFIG_METADATA!$B$4,DATOS!$I$2:$I$20000,"Conjunto"),""))</f>
        <v/>
      </c>
      <c r="Q752" t="str">
        <f>IF(M752="","",IFERROR(AVERAGEIFS(DATOS!$K$2:$K$20000,DATOS!$A$2:$A$20000,M752,DATOS!$G$2:$G$20000,CONFIG_METADATA!$B$4,DATOS!$I$2:$I$20000,"&lt;&gt;Lenguaje Musical",DATOS!$I$2:$I$20000,"&lt;&gt;Coro",DATOS!$I$2:$I$20000,"&lt;&gt;Conjunto"),""))</f>
        <v/>
      </c>
      <c r="T752" t="str">
        <f>IF(S752="","",IFERROR(AVERAGEIFS(DATOS!$K$2:$K$20000,DATOS!$A$2:$A$20000,S752,DATOS!$G$2:$G$20000,CONFIG_METADATA!$B$4,DATOS!$I$2:$I$20000,"Lenguaje Musical"),""))</f>
        <v/>
      </c>
      <c r="U752" t="str">
        <f>IF(S752="","",IFERROR(AVERAGEIFS(DATOS!$K$2:$K$20000,DATOS!$A$2:$A$20000,S752,DATOS!$G$2:$G$20000,CONFIG_METADATA!$B$4,DATOS!$I$2:$I$20000,"Coro"),""))</f>
        <v/>
      </c>
      <c r="V752" t="str">
        <f>IF(S752="","",IFERROR(AVERAGEIFS(DATOS!$K$2:$K$20000,DATOS!$A$2:$A$20000,S752,DATOS!$G$2:$G$20000,CONFIG_METADATA!$B$4,DATOS!$I$2:$I$20000,"Conjunto"),""))</f>
        <v/>
      </c>
      <c r="W752" t="str" cm="1">
        <f t="array" ref="W752">IF(S752="","",IFERROR(AVERAGE(IF((DATOS!$A$2:$A$20000=S752)*(DATOS!$G$2:$G$20000=CONFIG_METADATA!$B$4)*(DATOS!$I$2:$I$20000&lt;&gt;"Lenguaje Musical")*(DATOS!$I$2:$I$20000&lt;&gt;"Coro")*(DATOS!$I$2:$I$20000&lt;&gt;"Conjunto"),DATOS!$K$2:$K$20000)),""))</f>
        <v/>
      </c>
    </row>
    <row r="753" spans="2:23" x14ac:dyDescent="0.2">
      <c r="B753" t="str">
        <f>IF(A753="","",IFERROR(AVERAGEIFS(DATOS!$K$2:$K$20000,DATOS!$A$2:$A$20000,A753,DATOS!$G$2:$G$20000,CONFIG_METADATA!$B$4,DATOS!$I$2:$I$20000,"Lenguaje Musical"),""))</f>
        <v/>
      </c>
      <c r="C753" t="str">
        <f>IF(A753="","",IFERROR(AVERAGEIFS(DATOS!$K$2:$K$20000,DATOS!$A$2:$A$20000,A753,DATOS!$G$2:$G$20000,CONFIG_METADATA!$B$4,DATOS!$I$2:$I$20000,"Coro"),""))</f>
        <v/>
      </c>
      <c r="D753" t="str">
        <f>IF(A753="","",IFERROR(AVERAGEIFS(DATOS!$K$2:$K$20000,DATOS!$A$2:$A$20000,A753,DATOS!$G$2:$G$20000,CONFIG_METADATA!$B$4,DATOS!$I$2:$I$20000,"Conjunto"),""))</f>
        <v/>
      </c>
      <c r="E753" t="str">
        <f>IF(A753="","",IFERROR(AVERAGEIFS(DATOS!$K$2:$K$20000,DATOS!$A$2:$A$20000,A753,DATOS!$G$2:$G$20000,CONFIG_METADATA!$B$4,DATOS!$I$2:$I$20000,"&lt;&gt;Lenguaje Musical",DATOS!$I$2:$I$20000,"&lt;&gt;Coro",DATOS!$I$2:$I$20000,"&lt;&gt;Conjunto"),""))</f>
        <v/>
      </c>
      <c r="N753" t="str">
        <f>IF(M753="","",IFERROR(AVERAGEIFS(DATOS!$K$2:$K$20000,DATOS!$A$2:$A$20000,M753,DATOS!$G$2:$G$20000,CONFIG_METADATA!$B$4,DATOS!$I$2:$I$20000,"Lenguaje Musical"),""))</f>
        <v/>
      </c>
      <c r="O753" t="str">
        <f>IF(M753="","",IFERROR(AVERAGEIFS(DATOS!$K$2:$K$20000,DATOS!$A$2:$A$20000,M753,DATOS!$G$2:$G$20000,CONFIG_METADATA!$B$4,DATOS!$I$2:$I$20000,"Coro"),""))</f>
        <v/>
      </c>
      <c r="P753" t="str">
        <f>IF(M753="","",IFERROR(AVERAGEIFS(DATOS!$K$2:$K$20000,DATOS!$A$2:$A$20000,M753,DATOS!$G$2:$G$20000,CONFIG_METADATA!$B$4,DATOS!$I$2:$I$20000,"Conjunto"),""))</f>
        <v/>
      </c>
      <c r="Q753" t="str">
        <f>IF(M753="","",IFERROR(AVERAGEIFS(DATOS!$K$2:$K$20000,DATOS!$A$2:$A$20000,M753,DATOS!$G$2:$G$20000,CONFIG_METADATA!$B$4,DATOS!$I$2:$I$20000,"&lt;&gt;Lenguaje Musical",DATOS!$I$2:$I$20000,"&lt;&gt;Coro",DATOS!$I$2:$I$20000,"&lt;&gt;Conjunto"),""))</f>
        <v/>
      </c>
      <c r="T753" t="str">
        <f>IF(S753="","",IFERROR(AVERAGEIFS(DATOS!$K$2:$K$20000,DATOS!$A$2:$A$20000,S753,DATOS!$G$2:$G$20000,CONFIG_METADATA!$B$4,DATOS!$I$2:$I$20000,"Lenguaje Musical"),""))</f>
        <v/>
      </c>
      <c r="U753" t="str">
        <f>IF(S753="","",IFERROR(AVERAGEIFS(DATOS!$K$2:$K$20000,DATOS!$A$2:$A$20000,S753,DATOS!$G$2:$G$20000,CONFIG_METADATA!$B$4,DATOS!$I$2:$I$20000,"Coro"),""))</f>
        <v/>
      </c>
      <c r="V753" t="str">
        <f>IF(S753="","",IFERROR(AVERAGEIFS(DATOS!$K$2:$K$20000,DATOS!$A$2:$A$20000,S753,DATOS!$G$2:$G$20000,CONFIG_METADATA!$B$4,DATOS!$I$2:$I$20000,"Conjunto"),""))</f>
        <v/>
      </c>
      <c r="W753" t="str" cm="1">
        <f t="array" ref="W753">IF(S753="","",IFERROR(AVERAGE(IF((DATOS!$A$2:$A$20000=S753)*(DATOS!$G$2:$G$20000=CONFIG_METADATA!$B$4)*(DATOS!$I$2:$I$20000&lt;&gt;"Lenguaje Musical")*(DATOS!$I$2:$I$20000&lt;&gt;"Coro")*(DATOS!$I$2:$I$20000&lt;&gt;"Conjunto"),DATOS!$K$2:$K$20000)),""))</f>
        <v/>
      </c>
    </row>
    <row r="754" spans="2:23" x14ac:dyDescent="0.2">
      <c r="B754" t="str">
        <f>IF(A754="","",IFERROR(AVERAGEIFS(DATOS!$K$2:$K$20000,DATOS!$A$2:$A$20000,A754,DATOS!$G$2:$G$20000,CONFIG_METADATA!$B$4,DATOS!$I$2:$I$20000,"Lenguaje Musical"),""))</f>
        <v/>
      </c>
      <c r="C754" t="str">
        <f>IF(A754="","",IFERROR(AVERAGEIFS(DATOS!$K$2:$K$20000,DATOS!$A$2:$A$20000,A754,DATOS!$G$2:$G$20000,CONFIG_METADATA!$B$4,DATOS!$I$2:$I$20000,"Coro"),""))</f>
        <v/>
      </c>
      <c r="D754" t="str">
        <f>IF(A754="","",IFERROR(AVERAGEIFS(DATOS!$K$2:$K$20000,DATOS!$A$2:$A$20000,A754,DATOS!$G$2:$G$20000,CONFIG_METADATA!$B$4,DATOS!$I$2:$I$20000,"Conjunto"),""))</f>
        <v/>
      </c>
      <c r="E754" t="str">
        <f>IF(A754="","",IFERROR(AVERAGEIFS(DATOS!$K$2:$K$20000,DATOS!$A$2:$A$20000,A754,DATOS!$G$2:$G$20000,CONFIG_METADATA!$B$4,DATOS!$I$2:$I$20000,"&lt;&gt;Lenguaje Musical",DATOS!$I$2:$I$20000,"&lt;&gt;Coro",DATOS!$I$2:$I$20000,"&lt;&gt;Conjunto"),""))</f>
        <v/>
      </c>
      <c r="N754" t="str">
        <f>IF(M754="","",IFERROR(AVERAGEIFS(DATOS!$K$2:$K$20000,DATOS!$A$2:$A$20000,M754,DATOS!$G$2:$G$20000,CONFIG_METADATA!$B$4,DATOS!$I$2:$I$20000,"Lenguaje Musical"),""))</f>
        <v/>
      </c>
      <c r="O754" t="str">
        <f>IF(M754="","",IFERROR(AVERAGEIFS(DATOS!$K$2:$K$20000,DATOS!$A$2:$A$20000,M754,DATOS!$G$2:$G$20000,CONFIG_METADATA!$B$4,DATOS!$I$2:$I$20000,"Coro"),""))</f>
        <v/>
      </c>
      <c r="P754" t="str">
        <f>IF(M754="","",IFERROR(AVERAGEIFS(DATOS!$K$2:$K$20000,DATOS!$A$2:$A$20000,M754,DATOS!$G$2:$G$20000,CONFIG_METADATA!$B$4,DATOS!$I$2:$I$20000,"Conjunto"),""))</f>
        <v/>
      </c>
      <c r="Q754" t="str">
        <f>IF(M754="","",IFERROR(AVERAGEIFS(DATOS!$K$2:$K$20000,DATOS!$A$2:$A$20000,M754,DATOS!$G$2:$G$20000,CONFIG_METADATA!$B$4,DATOS!$I$2:$I$20000,"&lt;&gt;Lenguaje Musical",DATOS!$I$2:$I$20000,"&lt;&gt;Coro",DATOS!$I$2:$I$20000,"&lt;&gt;Conjunto"),""))</f>
        <v/>
      </c>
      <c r="T754" t="str">
        <f>IF(S754="","",IFERROR(AVERAGEIFS(DATOS!$K$2:$K$20000,DATOS!$A$2:$A$20000,S754,DATOS!$G$2:$G$20000,CONFIG_METADATA!$B$4,DATOS!$I$2:$I$20000,"Lenguaje Musical"),""))</f>
        <v/>
      </c>
      <c r="U754" t="str">
        <f>IF(S754="","",IFERROR(AVERAGEIFS(DATOS!$K$2:$K$20000,DATOS!$A$2:$A$20000,S754,DATOS!$G$2:$G$20000,CONFIG_METADATA!$B$4,DATOS!$I$2:$I$20000,"Coro"),""))</f>
        <v/>
      </c>
      <c r="V754" t="str">
        <f>IF(S754="","",IFERROR(AVERAGEIFS(DATOS!$K$2:$K$20000,DATOS!$A$2:$A$20000,S754,DATOS!$G$2:$G$20000,CONFIG_METADATA!$B$4,DATOS!$I$2:$I$20000,"Conjunto"),""))</f>
        <v/>
      </c>
      <c r="W754" t="str" cm="1">
        <f t="array" ref="W754">IF(S754="","",IFERROR(AVERAGE(IF((DATOS!$A$2:$A$20000=S754)*(DATOS!$G$2:$G$20000=CONFIG_METADATA!$B$4)*(DATOS!$I$2:$I$20000&lt;&gt;"Lenguaje Musical")*(DATOS!$I$2:$I$20000&lt;&gt;"Coro")*(DATOS!$I$2:$I$20000&lt;&gt;"Conjunto"),DATOS!$K$2:$K$20000)),""))</f>
        <v/>
      </c>
    </row>
    <row r="755" spans="2:23" x14ac:dyDescent="0.2">
      <c r="B755" t="str">
        <f>IF(A755="","",IFERROR(AVERAGEIFS(DATOS!$K$2:$K$20000,DATOS!$A$2:$A$20000,A755,DATOS!$G$2:$G$20000,CONFIG_METADATA!$B$4,DATOS!$I$2:$I$20000,"Lenguaje Musical"),""))</f>
        <v/>
      </c>
      <c r="C755" t="str">
        <f>IF(A755="","",IFERROR(AVERAGEIFS(DATOS!$K$2:$K$20000,DATOS!$A$2:$A$20000,A755,DATOS!$G$2:$G$20000,CONFIG_METADATA!$B$4,DATOS!$I$2:$I$20000,"Coro"),""))</f>
        <v/>
      </c>
      <c r="D755" t="str">
        <f>IF(A755="","",IFERROR(AVERAGEIFS(DATOS!$K$2:$K$20000,DATOS!$A$2:$A$20000,A755,DATOS!$G$2:$G$20000,CONFIG_METADATA!$B$4,DATOS!$I$2:$I$20000,"Conjunto"),""))</f>
        <v/>
      </c>
      <c r="E755" t="str">
        <f>IF(A755="","",IFERROR(AVERAGEIFS(DATOS!$K$2:$K$20000,DATOS!$A$2:$A$20000,A755,DATOS!$G$2:$G$20000,CONFIG_METADATA!$B$4,DATOS!$I$2:$I$20000,"&lt;&gt;Lenguaje Musical",DATOS!$I$2:$I$20000,"&lt;&gt;Coro",DATOS!$I$2:$I$20000,"&lt;&gt;Conjunto"),""))</f>
        <v/>
      </c>
      <c r="N755" t="str">
        <f>IF(M755="","",IFERROR(AVERAGEIFS(DATOS!$K$2:$K$20000,DATOS!$A$2:$A$20000,M755,DATOS!$G$2:$G$20000,CONFIG_METADATA!$B$4,DATOS!$I$2:$I$20000,"Lenguaje Musical"),""))</f>
        <v/>
      </c>
      <c r="O755" t="str">
        <f>IF(M755="","",IFERROR(AVERAGEIFS(DATOS!$K$2:$K$20000,DATOS!$A$2:$A$20000,M755,DATOS!$G$2:$G$20000,CONFIG_METADATA!$B$4,DATOS!$I$2:$I$20000,"Coro"),""))</f>
        <v/>
      </c>
      <c r="P755" t="str">
        <f>IF(M755="","",IFERROR(AVERAGEIFS(DATOS!$K$2:$K$20000,DATOS!$A$2:$A$20000,M755,DATOS!$G$2:$G$20000,CONFIG_METADATA!$B$4,DATOS!$I$2:$I$20000,"Conjunto"),""))</f>
        <v/>
      </c>
      <c r="Q755" t="str">
        <f>IF(M755="","",IFERROR(AVERAGEIFS(DATOS!$K$2:$K$20000,DATOS!$A$2:$A$20000,M755,DATOS!$G$2:$G$20000,CONFIG_METADATA!$B$4,DATOS!$I$2:$I$20000,"&lt;&gt;Lenguaje Musical",DATOS!$I$2:$I$20000,"&lt;&gt;Coro",DATOS!$I$2:$I$20000,"&lt;&gt;Conjunto"),""))</f>
        <v/>
      </c>
      <c r="T755" t="str">
        <f>IF(S755="","",IFERROR(AVERAGEIFS(DATOS!$K$2:$K$20000,DATOS!$A$2:$A$20000,S755,DATOS!$G$2:$G$20000,CONFIG_METADATA!$B$4,DATOS!$I$2:$I$20000,"Lenguaje Musical"),""))</f>
        <v/>
      </c>
      <c r="U755" t="str">
        <f>IF(S755="","",IFERROR(AVERAGEIFS(DATOS!$K$2:$K$20000,DATOS!$A$2:$A$20000,S755,DATOS!$G$2:$G$20000,CONFIG_METADATA!$B$4,DATOS!$I$2:$I$20000,"Coro"),""))</f>
        <v/>
      </c>
      <c r="V755" t="str">
        <f>IF(S755="","",IFERROR(AVERAGEIFS(DATOS!$K$2:$K$20000,DATOS!$A$2:$A$20000,S755,DATOS!$G$2:$G$20000,CONFIG_METADATA!$B$4,DATOS!$I$2:$I$20000,"Conjunto"),""))</f>
        <v/>
      </c>
      <c r="W755" t="str" cm="1">
        <f t="array" ref="W755">IF(S755="","",IFERROR(AVERAGE(IF((DATOS!$A$2:$A$20000=S755)*(DATOS!$G$2:$G$20000=CONFIG_METADATA!$B$4)*(DATOS!$I$2:$I$20000&lt;&gt;"Lenguaje Musical")*(DATOS!$I$2:$I$20000&lt;&gt;"Coro")*(DATOS!$I$2:$I$20000&lt;&gt;"Conjunto"),DATOS!$K$2:$K$20000)),""))</f>
        <v/>
      </c>
    </row>
    <row r="756" spans="2:23" x14ac:dyDescent="0.2">
      <c r="B756" t="str">
        <f>IF(A756="","",IFERROR(AVERAGEIFS(DATOS!$K$2:$K$20000,DATOS!$A$2:$A$20000,A756,DATOS!$G$2:$G$20000,CONFIG_METADATA!$B$4,DATOS!$I$2:$I$20000,"Lenguaje Musical"),""))</f>
        <v/>
      </c>
      <c r="C756" t="str">
        <f>IF(A756="","",IFERROR(AVERAGEIFS(DATOS!$K$2:$K$20000,DATOS!$A$2:$A$20000,A756,DATOS!$G$2:$G$20000,CONFIG_METADATA!$B$4,DATOS!$I$2:$I$20000,"Coro"),""))</f>
        <v/>
      </c>
      <c r="D756" t="str">
        <f>IF(A756="","",IFERROR(AVERAGEIFS(DATOS!$K$2:$K$20000,DATOS!$A$2:$A$20000,A756,DATOS!$G$2:$G$20000,CONFIG_METADATA!$B$4,DATOS!$I$2:$I$20000,"Conjunto"),""))</f>
        <v/>
      </c>
      <c r="E756" t="str">
        <f>IF(A756="","",IFERROR(AVERAGEIFS(DATOS!$K$2:$K$20000,DATOS!$A$2:$A$20000,A756,DATOS!$G$2:$G$20000,CONFIG_METADATA!$B$4,DATOS!$I$2:$I$20000,"&lt;&gt;Lenguaje Musical",DATOS!$I$2:$I$20000,"&lt;&gt;Coro",DATOS!$I$2:$I$20000,"&lt;&gt;Conjunto"),""))</f>
        <v/>
      </c>
      <c r="N756" t="str">
        <f>IF(M756="","",IFERROR(AVERAGEIFS(DATOS!$K$2:$K$20000,DATOS!$A$2:$A$20000,M756,DATOS!$G$2:$G$20000,CONFIG_METADATA!$B$4,DATOS!$I$2:$I$20000,"Lenguaje Musical"),""))</f>
        <v/>
      </c>
      <c r="O756" t="str">
        <f>IF(M756="","",IFERROR(AVERAGEIFS(DATOS!$K$2:$K$20000,DATOS!$A$2:$A$20000,M756,DATOS!$G$2:$G$20000,CONFIG_METADATA!$B$4,DATOS!$I$2:$I$20000,"Coro"),""))</f>
        <v/>
      </c>
      <c r="P756" t="str">
        <f>IF(M756="","",IFERROR(AVERAGEIFS(DATOS!$K$2:$K$20000,DATOS!$A$2:$A$20000,M756,DATOS!$G$2:$G$20000,CONFIG_METADATA!$B$4,DATOS!$I$2:$I$20000,"Conjunto"),""))</f>
        <v/>
      </c>
      <c r="Q756" t="str">
        <f>IF(M756="","",IFERROR(AVERAGEIFS(DATOS!$K$2:$K$20000,DATOS!$A$2:$A$20000,M756,DATOS!$G$2:$G$20000,CONFIG_METADATA!$B$4,DATOS!$I$2:$I$20000,"&lt;&gt;Lenguaje Musical",DATOS!$I$2:$I$20000,"&lt;&gt;Coro",DATOS!$I$2:$I$20000,"&lt;&gt;Conjunto"),""))</f>
        <v/>
      </c>
      <c r="T756" t="str">
        <f>IF(S756="","",IFERROR(AVERAGEIFS(DATOS!$K$2:$K$20000,DATOS!$A$2:$A$20000,S756,DATOS!$G$2:$G$20000,CONFIG_METADATA!$B$4,DATOS!$I$2:$I$20000,"Lenguaje Musical"),""))</f>
        <v/>
      </c>
      <c r="U756" t="str">
        <f>IF(S756="","",IFERROR(AVERAGEIFS(DATOS!$K$2:$K$20000,DATOS!$A$2:$A$20000,S756,DATOS!$G$2:$G$20000,CONFIG_METADATA!$B$4,DATOS!$I$2:$I$20000,"Coro"),""))</f>
        <v/>
      </c>
      <c r="V756" t="str">
        <f>IF(S756="","",IFERROR(AVERAGEIFS(DATOS!$K$2:$K$20000,DATOS!$A$2:$A$20000,S756,DATOS!$G$2:$G$20000,CONFIG_METADATA!$B$4,DATOS!$I$2:$I$20000,"Conjunto"),""))</f>
        <v/>
      </c>
      <c r="W756" t="str" cm="1">
        <f t="array" ref="W756">IF(S756="","",IFERROR(AVERAGE(IF((DATOS!$A$2:$A$20000=S756)*(DATOS!$G$2:$G$20000=CONFIG_METADATA!$B$4)*(DATOS!$I$2:$I$20000&lt;&gt;"Lenguaje Musical")*(DATOS!$I$2:$I$20000&lt;&gt;"Coro")*(DATOS!$I$2:$I$20000&lt;&gt;"Conjunto"),DATOS!$K$2:$K$20000)),""))</f>
        <v/>
      </c>
    </row>
    <row r="757" spans="2:23" x14ac:dyDescent="0.2">
      <c r="B757" t="str">
        <f>IF(A757="","",IFERROR(AVERAGEIFS(DATOS!$K$2:$K$20000,DATOS!$A$2:$A$20000,A757,DATOS!$G$2:$G$20000,CONFIG_METADATA!$B$4,DATOS!$I$2:$I$20000,"Lenguaje Musical"),""))</f>
        <v/>
      </c>
      <c r="C757" t="str">
        <f>IF(A757="","",IFERROR(AVERAGEIFS(DATOS!$K$2:$K$20000,DATOS!$A$2:$A$20000,A757,DATOS!$G$2:$G$20000,CONFIG_METADATA!$B$4,DATOS!$I$2:$I$20000,"Coro"),""))</f>
        <v/>
      </c>
      <c r="D757" t="str">
        <f>IF(A757="","",IFERROR(AVERAGEIFS(DATOS!$K$2:$K$20000,DATOS!$A$2:$A$20000,A757,DATOS!$G$2:$G$20000,CONFIG_METADATA!$B$4,DATOS!$I$2:$I$20000,"Conjunto"),""))</f>
        <v/>
      </c>
      <c r="E757" t="str">
        <f>IF(A757="","",IFERROR(AVERAGEIFS(DATOS!$K$2:$K$20000,DATOS!$A$2:$A$20000,A757,DATOS!$G$2:$G$20000,CONFIG_METADATA!$B$4,DATOS!$I$2:$I$20000,"&lt;&gt;Lenguaje Musical",DATOS!$I$2:$I$20000,"&lt;&gt;Coro",DATOS!$I$2:$I$20000,"&lt;&gt;Conjunto"),""))</f>
        <v/>
      </c>
      <c r="N757" t="str">
        <f>IF(M757="","",IFERROR(AVERAGEIFS(DATOS!$K$2:$K$20000,DATOS!$A$2:$A$20000,M757,DATOS!$G$2:$G$20000,CONFIG_METADATA!$B$4,DATOS!$I$2:$I$20000,"Lenguaje Musical"),""))</f>
        <v/>
      </c>
      <c r="O757" t="str">
        <f>IF(M757="","",IFERROR(AVERAGEIFS(DATOS!$K$2:$K$20000,DATOS!$A$2:$A$20000,M757,DATOS!$G$2:$G$20000,CONFIG_METADATA!$B$4,DATOS!$I$2:$I$20000,"Coro"),""))</f>
        <v/>
      </c>
      <c r="P757" t="str">
        <f>IF(M757="","",IFERROR(AVERAGEIFS(DATOS!$K$2:$K$20000,DATOS!$A$2:$A$20000,M757,DATOS!$G$2:$G$20000,CONFIG_METADATA!$B$4,DATOS!$I$2:$I$20000,"Conjunto"),""))</f>
        <v/>
      </c>
      <c r="Q757" t="str">
        <f>IF(M757="","",IFERROR(AVERAGEIFS(DATOS!$K$2:$K$20000,DATOS!$A$2:$A$20000,M757,DATOS!$G$2:$G$20000,CONFIG_METADATA!$B$4,DATOS!$I$2:$I$20000,"&lt;&gt;Lenguaje Musical",DATOS!$I$2:$I$20000,"&lt;&gt;Coro",DATOS!$I$2:$I$20000,"&lt;&gt;Conjunto"),""))</f>
        <v/>
      </c>
      <c r="T757" t="str">
        <f>IF(S757="","",IFERROR(AVERAGEIFS(DATOS!$K$2:$K$20000,DATOS!$A$2:$A$20000,S757,DATOS!$G$2:$G$20000,CONFIG_METADATA!$B$4,DATOS!$I$2:$I$20000,"Lenguaje Musical"),""))</f>
        <v/>
      </c>
      <c r="U757" t="str">
        <f>IF(S757="","",IFERROR(AVERAGEIFS(DATOS!$K$2:$K$20000,DATOS!$A$2:$A$20000,S757,DATOS!$G$2:$G$20000,CONFIG_METADATA!$B$4,DATOS!$I$2:$I$20000,"Coro"),""))</f>
        <v/>
      </c>
      <c r="V757" t="str">
        <f>IF(S757="","",IFERROR(AVERAGEIFS(DATOS!$K$2:$K$20000,DATOS!$A$2:$A$20000,S757,DATOS!$G$2:$G$20000,CONFIG_METADATA!$B$4,DATOS!$I$2:$I$20000,"Conjunto"),""))</f>
        <v/>
      </c>
      <c r="W757" t="str" cm="1">
        <f t="array" ref="W757">IF(S757="","",IFERROR(AVERAGE(IF((DATOS!$A$2:$A$20000=S757)*(DATOS!$G$2:$G$20000=CONFIG_METADATA!$B$4)*(DATOS!$I$2:$I$20000&lt;&gt;"Lenguaje Musical")*(DATOS!$I$2:$I$20000&lt;&gt;"Coro")*(DATOS!$I$2:$I$20000&lt;&gt;"Conjunto"),DATOS!$K$2:$K$20000)),""))</f>
        <v/>
      </c>
    </row>
    <row r="758" spans="2:23" x14ac:dyDescent="0.2">
      <c r="B758" t="str">
        <f>IF(A758="","",IFERROR(AVERAGEIFS(DATOS!$K$2:$K$20000,DATOS!$A$2:$A$20000,A758,DATOS!$G$2:$G$20000,CONFIG_METADATA!$B$4,DATOS!$I$2:$I$20000,"Lenguaje Musical"),""))</f>
        <v/>
      </c>
      <c r="C758" t="str">
        <f>IF(A758="","",IFERROR(AVERAGEIFS(DATOS!$K$2:$K$20000,DATOS!$A$2:$A$20000,A758,DATOS!$G$2:$G$20000,CONFIG_METADATA!$B$4,DATOS!$I$2:$I$20000,"Coro"),""))</f>
        <v/>
      </c>
      <c r="D758" t="str">
        <f>IF(A758="","",IFERROR(AVERAGEIFS(DATOS!$K$2:$K$20000,DATOS!$A$2:$A$20000,A758,DATOS!$G$2:$G$20000,CONFIG_METADATA!$B$4,DATOS!$I$2:$I$20000,"Conjunto"),""))</f>
        <v/>
      </c>
      <c r="E758" t="str">
        <f>IF(A758="","",IFERROR(AVERAGEIFS(DATOS!$K$2:$K$20000,DATOS!$A$2:$A$20000,A758,DATOS!$G$2:$G$20000,CONFIG_METADATA!$B$4,DATOS!$I$2:$I$20000,"&lt;&gt;Lenguaje Musical",DATOS!$I$2:$I$20000,"&lt;&gt;Coro",DATOS!$I$2:$I$20000,"&lt;&gt;Conjunto"),""))</f>
        <v/>
      </c>
      <c r="N758" t="str">
        <f>IF(M758="","",IFERROR(AVERAGEIFS(DATOS!$K$2:$K$20000,DATOS!$A$2:$A$20000,M758,DATOS!$G$2:$G$20000,CONFIG_METADATA!$B$4,DATOS!$I$2:$I$20000,"Lenguaje Musical"),""))</f>
        <v/>
      </c>
      <c r="O758" t="str">
        <f>IF(M758="","",IFERROR(AVERAGEIFS(DATOS!$K$2:$K$20000,DATOS!$A$2:$A$20000,M758,DATOS!$G$2:$G$20000,CONFIG_METADATA!$B$4,DATOS!$I$2:$I$20000,"Coro"),""))</f>
        <v/>
      </c>
      <c r="P758" t="str">
        <f>IF(M758="","",IFERROR(AVERAGEIFS(DATOS!$K$2:$K$20000,DATOS!$A$2:$A$20000,M758,DATOS!$G$2:$G$20000,CONFIG_METADATA!$B$4,DATOS!$I$2:$I$20000,"Conjunto"),""))</f>
        <v/>
      </c>
      <c r="Q758" t="str">
        <f>IF(M758="","",IFERROR(AVERAGEIFS(DATOS!$K$2:$K$20000,DATOS!$A$2:$A$20000,M758,DATOS!$G$2:$G$20000,CONFIG_METADATA!$B$4,DATOS!$I$2:$I$20000,"&lt;&gt;Lenguaje Musical",DATOS!$I$2:$I$20000,"&lt;&gt;Coro",DATOS!$I$2:$I$20000,"&lt;&gt;Conjunto"),""))</f>
        <v/>
      </c>
      <c r="T758" t="str">
        <f>IF(S758="","",IFERROR(AVERAGEIFS(DATOS!$K$2:$K$20000,DATOS!$A$2:$A$20000,S758,DATOS!$G$2:$G$20000,CONFIG_METADATA!$B$4,DATOS!$I$2:$I$20000,"Lenguaje Musical"),""))</f>
        <v/>
      </c>
      <c r="U758" t="str">
        <f>IF(S758="","",IFERROR(AVERAGEIFS(DATOS!$K$2:$K$20000,DATOS!$A$2:$A$20000,S758,DATOS!$G$2:$G$20000,CONFIG_METADATA!$B$4,DATOS!$I$2:$I$20000,"Coro"),""))</f>
        <v/>
      </c>
      <c r="V758" t="str">
        <f>IF(S758="","",IFERROR(AVERAGEIFS(DATOS!$K$2:$K$20000,DATOS!$A$2:$A$20000,S758,DATOS!$G$2:$G$20000,CONFIG_METADATA!$B$4,DATOS!$I$2:$I$20000,"Conjunto"),""))</f>
        <v/>
      </c>
      <c r="W758" t="str" cm="1">
        <f t="array" ref="W758">IF(S758="","",IFERROR(AVERAGE(IF((DATOS!$A$2:$A$20000=S758)*(DATOS!$G$2:$G$20000=CONFIG_METADATA!$B$4)*(DATOS!$I$2:$I$20000&lt;&gt;"Lenguaje Musical")*(DATOS!$I$2:$I$20000&lt;&gt;"Coro")*(DATOS!$I$2:$I$20000&lt;&gt;"Conjunto"),DATOS!$K$2:$K$20000)),""))</f>
        <v/>
      </c>
    </row>
    <row r="759" spans="2:23" x14ac:dyDescent="0.2">
      <c r="B759" t="str">
        <f>IF(A759="","",IFERROR(AVERAGEIFS(DATOS!$K$2:$K$20000,DATOS!$A$2:$A$20000,A759,DATOS!$G$2:$G$20000,CONFIG_METADATA!$B$4,DATOS!$I$2:$I$20000,"Lenguaje Musical"),""))</f>
        <v/>
      </c>
      <c r="C759" t="str">
        <f>IF(A759="","",IFERROR(AVERAGEIFS(DATOS!$K$2:$K$20000,DATOS!$A$2:$A$20000,A759,DATOS!$G$2:$G$20000,CONFIG_METADATA!$B$4,DATOS!$I$2:$I$20000,"Coro"),""))</f>
        <v/>
      </c>
      <c r="D759" t="str">
        <f>IF(A759="","",IFERROR(AVERAGEIFS(DATOS!$K$2:$K$20000,DATOS!$A$2:$A$20000,A759,DATOS!$G$2:$G$20000,CONFIG_METADATA!$B$4,DATOS!$I$2:$I$20000,"Conjunto"),""))</f>
        <v/>
      </c>
      <c r="E759" t="str">
        <f>IF(A759="","",IFERROR(AVERAGEIFS(DATOS!$K$2:$K$20000,DATOS!$A$2:$A$20000,A759,DATOS!$G$2:$G$20000,CONFIG_METADATA!$B$4,DATOS!$I$2:$I$20000,"&lt;&gt;Lenguaje Musical",DATOS!$I$2:$I$20000,"&lt;&gt;Coro",DATOS!$I$2:$I$20000,"&lt;&gt;Conjunto"),""))</f>
        <v/>
      </c>
      <c r="N759" t="str">
        <f>IF(M759="","",IFERROR(AVERAGEIFS(DATOS!$K$2:$K$20000,DATOS!$A$2:$A$20000,M759,DATOS!$G$2:$G$20000,CONFIG_METADATA!$B$4,DATOS!$I$2:$I$20000,"Lenguaje Musical"),""))</f>
        <v/>
      </c>
      <c r="O759" t="str">
        <f>IF(M759="","",IFERROR(AVERAGEIFS(DATOS!$K$2:$K$20000,DATOS!$A$2:$A$20000,M759,DATOS!$G$2:$G$20000,CONFIG_METADATA!$B$4,DATOS!$I$2:$I$20000,"Coro"),""))</f>
        <v/>
      </c>
      <c r="P759" t="str">
        <f>IF(M759="","",IFERROR(AVERAGEIFS(DATOS!$K$2:$K$20000,DATOS!$A$2:$A$20000,M759,DATOS!$G$2:$G$20000,CONFIG_METADATA!$B$4,DATOS!$I$2:$I$20000,"Conjunto"),""))</f>
        <v/>
      </c>
      <c r="Q759" t="str">
        <f>IF(M759="","",IFERROR(AVERAGEIFS(DATOS!$K$2:$K$20000,DATOS!$A$2:$A$20000,M759,DATOS!$G$2:$G$20000,CONFIG_METADATA!$B$4,DATOS!$I$2:$I$20000,"&lt;&gt;Lenguaje Musical",DATOS!$I$2:$I$20000,"&lt;&gt;Coro",DATOS!$I$2:$I$20000,"&lt;&gt;Conjunto"),""))</f>
        <v/>
      </c>
      <c r="T759" t="str">
        <f>IF(S759="","",IFERROR(AVERAGEIFS(DATOS!$K$2:$K$20000,DATOS!$A$2:$A$20000,S759,DATOS!$G$2:$G$20000,CONFIG_METADATA!$B$4,DATOS!$I$2:$I$20000,"Lenguaje Musical"),""))</f>
        <v/>
      </c>
      <c r="U759" t="str">
        <f>IF(S759="","",IFERROR(AVERAGEIFS(DATOS!$K$2:$K$20000,DATOS!$A$2:$A$20000,S759,DATOS!$G$2:$G$20000,CONFIG_METADATA!$B$4,DATOS!$I$2:$I$20000,"Coro"),""))</f>
        <v/>
      </c>
      <c r="V759" t="str">
        <f>IF(S759="","",IFERROR(AVERAGEIFS(DATOS!$K$2:$K$20000,DATOS!$A$2:$A$20000,S759,DATOS!$G$2:$G$20000,CONFIG_METADATA!$B$4,DATOS!$I$2:$I$20000,"Conjunto"),""))</f>
        <v/>
      </c>
      <c r="W759" t="str" cm="1">
        <f t="array" ref="W759">IF(S759="","",IFERROR(AVERAGE(IF((DATOS!$A$2:$A$20000=S759)*(DATOS!$G$2:$G$20000=CONFIG_METADATA!$B$4)*(DATOS!$I$2:$I$20000&lt;&gt;"Lenguaje Musical")*(DATOS!$I$2:$I$20000&lt;&gt;"Coro")*(DATOS!$I$2:$I$20000&lt;&gt;"Conjunto"),DATOS!$K$2:$K$20000)),""))</f>
        <v/>
      </c>
    </row>
    <row r="760" spans="2:23" x14ac:dyDescent="0.2">
      <c r="B760" t="str">
        <f>IF(A760="","",IFERROR(AVERAGEIFS(DATOS!$K$2:$K$20000,DATOS!$A$2:$A$20000,A760,DATOS!$G$2:$G$20000,CONFIG_METADATA!$B$4,DATOS!$I$2:$I$20000,"Lenguaje Musical"),""))</f>
        <v/>
      </c>
      <c r="C760" t="str">
        <f>IF(A760="","",IFERROR(AVERAGEIFS(DATOS!$K$2:$K$20000,DATOS!$A$2:$A$20000,A760,DATOS!$G$2:$G$20000,CONFIG_METADATA!$B$4,DATOS!$I$2:$I$20000,"Coro"),""))</f>
        <v/>
      </c>
      <c r="D760" t="str">
        <f>IF(A760="","",IFERROR(AVERAGEIFS(DATOS!$K$2:$K$20000,DATOS!$A$2:$A$20000,A760,DATOS!$G$2:$G$20000,CONFIG_METADATA!$B$4,DATOS!$I$2:$I$20000,"Conjunto"),""))</f>
        <v/>
      </c>
      <c r="E760" t="str">
        <f>IF(A760="","",IFERROR(AVERAGEIFS(DATOS!$K$2:$K$20000,DATOS!$A$2:$A$20000,A760,DATOS!$G$2:$G$20000,CONFIG_METADATA!$B$4,DATOS!$I$2:$I$20000,"&lt;&gt;Lenguaje Musical",DATOS!$I$2:$I$20000,"&lt;&gt;Coro",DATOS!$I$2:$I$20000,"&lt;&gt;Conjunto"),""))</f>
        <v/>
      </c>
      <c r="N760" t="str">
        <f>IF(M760="","",IFERROR(AVERAGEIFS(DATOS!$K$2:$K$20000,DATOS!$A$2:$A$20000,M760,DATOS!$G$2:$G$20000,CONFIG_METADATA!$B$4,DATOS!$I$2:$I$20000,"Lenguaje Musical"),""))</f>
        <v/>
      </c>
      <c r="O760" t="str">
        <f>IF(M760="","",IFERROR(AVERAGEIFS(DATOS!$K$2:$K$20000,DATOS!$A$2:$A$20000,M760,DATOS!$G$2:$G$20000,CONFIG_METADATA!$B$4,DATOS!$I$2:$I$20000,"Coro"),""))</f>
        <v/>
      </c>
      <c r="P760" t="str">
        <f>IF(M760="","",IFERROR(AVERAGEIFS(DATOS!$K$2:$K$20000,DATOS!$A$2:$A$20000,M760,DATOS!$G$2:$G$20000,CONFIG_METADATA!$B$4,DATOS!$I$2:$I$20000,"Conjunto"),""))</f>
        <v/>
      </c>
      <c r="Q760" t="str">
        <f>IF(M760="","",IFERROR(AVERAGEIFS(DATOS!$K$2:$K$20000,DATOS!$A$2:$A$20000,M760,DATOS!$G$2:$G$20000,CONFIG_METADATA!$B$4,DATOS!$I$2:$I$20000,"&lt;&gt;Lenguaje Musical",DATOS!$I$2:$I$20000,"&lt;&gt;Coro",DATOS!$I$2:$I$20000,"&lt;&gt;Conjunto"),""))</f>
        <v/>
      </c>
      <c r="T760" t="str">
        <f>IF(S760="","",IFERROR(AVERAGEIFS(DATOS!$K$2:$K$20000,DATOS!$A$2:$A$20000,S760,DATOS!$G$2:$G$20000,CONFIG_METADATA!$B$4,DATOS!$I$2:$I$20000,"Lenguaje Musical"),""))</f>
        <v/>
      </c>
      <c r="U760" t="str">
        <f>IF(S760="","",IFERROR(AVERAGEIFS(DATOS!$K$2:$K$20000,DATOS!$A$2:$A$20000,S760,DATOS!$G$2:$G$20000,CONFIG_METADATA!$B$4,DATOS!$I$2:$I$20000,"Coro"),""))</f>
        <v/>
      </c>
      <c r="V760" t="str">
        <f>IF(S760="","",IFERROR(AVERAGEIFS(DATOS!$K$2:$K$20000,DATOS!$A$2:$A$20000,S760,DATOS!$G$2:$G$20000,CONFIG_METADATA!$B$4,DATOS!$I$2:$I$20000,"Conjunto"),""))</f>
        <v/>
      </c>
      <c r="W760" t="str" cm="1">
        <f t="array" ref="W760">IF(S760="","",IFERROR(AVERAGE(IF((DATOS!$A$2:$A$20000=S760)*(DATOS!$G$2:$G$20000=CONFIG_METADATA!$B$4)*(DATOS!$I$2:$I$20000&lt;&gt;"Lenguaje Musical")*(DATOS!$I$2:$I$20000&lt;&gt;"Coro")*(DATOS!$I$2:$I$20000&lt;&gt;"Conjunto"),DATOS!$K$2:$K$20000)),""))</f>
        <v/>
      </c>
    </row>
    <row r="761" spans="2:23" x14ac:dyDescent="0.2">
      <c r="B761" t="str">
        <f>IF(A761="","",IFERROR(AVERAGEIFS(DATOS!$K$2:$K$20000,DATOS!$A$2:$A$20000,A761,DATOS!$G$2:$G$20000,CONFIG_METADATA!$B$4,DATOS!$I$2:$I$20000,"Lenguaje Musical"),""))</f>
        <v/>
      </c>
      <c r="C761" t="str">
        <f>IF(A761="","",IFERROR(AVERAGEIFS(DATOS!$K$2:$K$20000,DATOS!$A$2:$A$20000,A761,DATOS!$G$2:$G$20000,CONFIG_METADATA!$B$4,DATOS!$I$2:$I$20000,"Coro"),""))</f>
        <v/>
      </c>
      <c r="D761" t="str">
        <f>IF(A761="","",IFERROR(AVERAGEIFS(DATOS!$K$2:$K$20000,DATOS!$A$2:$A$20000,A761,DATOS!$G$2:$G$20000,CONFIG_METADATA!$B$4,DATOS!$I$2:$I$20000,"Conjunto"),""))</f>
        <v/>
      </c>
      <c r="E761" t="str">
        <f>IF(A761="","",IFERROR(AVERAGEIFS(DATOS!$K$2:$K$20000,DATOS!$A$2:$A$20000,A761,DATOS!$G$2:$G$20000,CONFIG_METADATA!$B$4,DATOS!$I$2:$I$20000,"&lt;&gt;Lenguaje Musical",DATOS!$I$2:$I$20000,"&lt;&gt;Coro",DATOS!$I$2:$I$20000,"&lt;&gt;Conjunto"),""))</f>
        <v/>
      </c>
      <c r="N761" t="str">
        <f>IF(M761="","",IFERROR(AVERAGEIFS(DATOS!$K$2:$K$20000,DATOS!$A$2:$A$20000,M761,DATOS!$G$2:$G$20000,CONFIG_METADATA!$B$4,DATOS!$I$2:$I$20000,"Lenguaje Musical"),""))</f>
        <v/>
      </c>
      <c r="O761" t="str">
        <f>IF(M761="","",IFERROR(AVERAGEIFS(DATOS!$K$2:$K$20000,DATOS!$A$2:$A$20000,M761,DATOS!$G$2:$G$20000,CONFIG_METADATA!$B$4,DATOS!$I$2:$I$20000,"Coro"),""))</f>
        <v/>
      </c>
      <c r="P761" t="str">
        <f>IF(M761="","",IFERROR(AVERAGEIFS(DATOS!$K$2:$K$20000,DATOS!$A$2:$A$20000,M761,DATOS!$G$2:$G$20000,CONFIG_METADATA!$B$4,DATOS!$I$2:$I$20000,"Conjunto"),""))</f>
        <v/>
      </c>
      <c r="Q761" t="str">
        <f>IF(M761="","",IFERROR(AVERAGEIFS(DATOS!$K$2:$K$20000,DATOS!$A$2:$A$20000,M761,DATOS!$G$2:$G$20000,CONFIG_METADATA!$B$4,DATOS!$I$2:$I$20000,"&lt;&gt;Lenguaje Musical",DATOS!$I$2:$I$20000,"&lt;&gt;Coro",DATOS!$I$2:$I$20000,"&lt;&gt;Conjunto"),""))</f>
        <v/>
      </c>
      <c r="T761" t="str">
        <f>IF(S761="","",IFERROR(AVERAGEIFS(DATOS!$K$2:$K$20000,DATOS!$A$2:$A$20000,S761,DATOS!$G$2:$G$20000,CONFIG_METADATA!$B$4,DATOS!$I$2:$I$20000,"Lenguaje Musical"),""))</f>
        <v/>
      </c>
      <c r="U761" t="str">
        <f>IF(S761="","",IFERROR(AVERAGEIFS(DATOS!$K$2:$K$20000,DATOS!$A$2:$A$20000,S761,DATOS!$G$2:$G$20000,CONFIG_METADATA!$B$4,DATOS!$I$2:$I$20000,"Coro"),""))</f>
        <v/>
      </c>
      <c r="V761" t="str">
        <f>IF(S761="","",IFERROR(AVERAGEIFS(DATOS!$K$2:$K$20000,DATOS!$A$2:$A$20000,S761,DATOS!$G$2:$G$20000,CONFIG_METADATA!$B$4,DATOS!$I$2:$I$20000,"Conjunto"),""))</f>
        <v/>
      </c>
      <c r="W761" t="str" cm="1">
        <f t="array" ref="W761">IF(S761="","",IFERROR(AVERAGE(IF((DATOS!$A$2:$A$20000=S761)*(DATOS!$G$2:$G$20000=CONFIG_METADATA!$B$4)*(DATOS!$I$2:$I$20000&lt;&gt;"Lenguaje Musical")*(DATOS!$I$2:$I$20000&lt;&gt;"Coro")*(DATOS!$I$2:$I$20000&lt;&gt;"Conjunto"),DATOS!$K$2:$K$20000)),""))</f>
        <v/>
      </c>
    </row>
    <row r="762" spans="2:23" x14ac:dyDescent="0.2">
      <c r="B762" t="str">
        <f>IF(A762="","",IFERROR(AVERAGEIFS(DATOS!$K$2:$K$20000,DATOS!$A$2:$A$20000,A762,DATOS!$G$2:$G$20000,CONFIG_METADATA!$B$4,DATOS!$I$2:$I$20000,"Lenguaje Musical"),""))</f>
        <v/>
      </c>
      <c r="C762" t="str">
        <f>IF(A762="","",IFERROR(AVERAGEIFS(DATOS!$K$2:$K$20000,DATOS!$A$2:$A$20000,A762,DATOS!$G$2:$G$20000,CONFIG_METADATA!$B$4,DATOS!$I$2:$I$20000,"Coro"),""))</f>
        <v/>
      </c>
      <c r="D762" t="str">
        <f>IF(A762="","",IFERROR(AVERAGEIFS(DATOS!$K$2:$K$20000,DATOS!$A$2:$A$20000,A762,DATOS!$G$2:$G$20000,CONFIG_METADATA!$B$4,DATOS!$I$2:$I$20000,"Conjunto"),""))</f>
        <v/>
      </c>
      <c r="E762" t="str">
        <f>IF(A762="","",IFERROR(AVERAGEIFS(DATOS!$K$2:$K$20000,DATOS!$A$2:$A$20000,A762,DATOS!$G$2:$G$20000,CONFIG_METADATA!$B$4,DATOS!$I$2:$I$20000,"&lt;&gt;Lenguaje Musical",DATOS!$I$2:$I$20000,"&lt;&gt;Coro",DATOS!$I$2:$I$20000,"&lt;&gt;Conjunto"),""))</f>
        <v/>
      </c>
      <c r="N762" t="str">
        <f>IF(M762="","",IFERROR(AVERAGEIFS(DATOS!$K$2:$K$20000,DATOS!$A$2:$A$20000,M762,DATOS!$G$2:$G$20000,CONFIG_METADATA!$B$4,DATOS!$I$2:$I$20000,"Lenguaje Musical"),""))</f>
        <v/>
      </c>
      <c r="O762" t="str">
        <f>IF(M762="","",IFERROR(AVERAGEIFS(DATOS!$K$2:$K$20000,DATOS!$A$2:$A$20000,M762,DATOS!$G$2:$G$20000,CONFIG_METADATA!$B$4,DATOS!$I$2:$I$20000,"Coro"),""))</f>
        <v/>
      </c>
      <c r="P762" t="str">
        <f>IF(M762="","",IFERROR(AVERAGEIFS(DATOS!$K$2:$K$20000,DATOS!$A$2:$A$20000,M762,DATOS!$G$2:$G$20000,CONFIG_METADATA!$B$4,DATOS!$I$2:$I$20000,"Conjunto"),""))</f>
        <v/>
      </c>
      <c r="Q762" t="str">
        <f>IF(M762="","",IFERROR(AVERAGEIFS(DATOS!$K$2:$K$20000,DATOS!$A$2:$A$20000,M762,DATOS!$G$2:$G$20000,CONFIG_METADATA!$B$4,DATOS!$I$2:$I$20000,"&lt;&gt;Lenguaje Musical",DATOS!$I$2:$I$20000,"&lt;&gt;Coro",DATOS!$I$2:$I$20000,"&lt;&gt;Conjunto"),""))</f>
        <v/>
      </c>
      <c r="T762" t="str">
        <f>IF(S762="","",IFERROR(AVERAGEIFS(DATOS!$K$2:$K$20000,DATOS!$A$2:$A$20000,S762,DATOS!$G$2:$G$20000,CONFIG_METADATA!$B$4,DATOS!$I$2:$I$20000,"Lenguaje Musical"),""))</f>
        <v/>
      </c>
      <c r="U762" t="str">
        <f>IF(S762="","",IFERROR(AVERAGEIFS(DATOS!$K$2:$K$20000,DATOS!$A$2:$A$20000,S762,DATOS!$G$2:$G$20000,CONFIG_METADATA!$B$4,DATOS!$I$2:$I$20000,"Coro"),""))</f>
        <v/>
      </c>
      <c r="V762" t="str">
        <f>IF(S762="","",IFERROR(AVERAGEIFS(DATOS!$K$2:$K$20000,DATOS!$A$2:$A$20000,S762,DATOS!$G$2:$G$20000,CONFIG_METADATA!$B$4,DATOS!$I$2:$I$20000,"Conjunto"),""))</f>
        <v/>
      </c>
      <c r="W762" t="str" cm="1">
        <f t="array" ref="W762">IF(S762="","",IFERROR(AVERAGE(IF((DATOS!$A$2:$A$20000=S762)*(DATOS!$G$2:$G$20000=CONFIG_METADATA!$B$4)*(DATOS!$I$2:$I$20000&lt;&gt;"Lenguaje Musical")*(DATOS!$I$2:$I$20000&lt;&gt;"Coro")*(DATOS!$I$2:$I$20000&lt;&gt;"Conjunto"),DATOS!$K$2:$K$20000)),""))</f>
        <v/>
      </c>
    </row>
    <row r="763" spans="2:23" x14ac:dyDescent="0.2">
      <c r="B763" t="str">
        <f>IF(A763="","",IFERROR(AVERAGEIFS(DATOS!$K$2:$K$20000,DATOS!$A$2:$A$20000,A763,DATOS!$G$2:$G$20000,CONFIG_METADATA!$B$4,DATOS!$I$2:$I$20000,"Lenguaje Musical"),""))</f>
        <v/>
      </c>
      <c r="C763" t="str">
        <f>IF(A763="","",IFERROR(AVERAGEIFS(DATOS!$K$2:$K$20000,DATOS!$A$2:$A$20000,A763,DATOS!$G$2:$G$20000,CONFIG_METADATA!$B$4,DATOS!$I$2:$I$20000,"Coro"),""))</f>
        <v/>
      </c>
      <c r="D763" t="str">
        <f>IF(A763="","",IFERROR(AVERAGEIFS(DATOS!$K$2:$K$20000,DATOS!$A$2:$A$20000,A763,DATOS!$G$2:$G$20000,CONFIG_METADATA!$B$4,DATOS!$I$2:$I$20000,"Conjunto"),""))</f>
        <v/>
      </c>
      <c r="E763" t="str">
        <f>IF(A763="","",IFERROR(AVERAGEIFS(DATOS!$K$2:$K$20000,DATOS!$A$2:$A$20000,A763,DATOS!$G$2:$G$20000,CONFIG_METADATA!$B$4,DATOS!$I$2:$I$20000,"&lt;&gt;Lenguaje Musical",DATOS!$I$2:$I$20000,"&lt;&gt;Coro",DATOS!$I$2:$I$20000,"&lt;&gt;Conjunto"),""))</f>
        <v/>
      </c>
      <c r="N763" t="str">
        <f>IF(M763="","",IFERROR(AVERAGEIFS(DATOS!$K$2:$K$20000,DATOS!$A$2:$A$20000,M763,DATOS!$G$2:$G$20000,CONFIG_METADATA!$B$4,DATOS!$I$2:$I$20000,"Lenguaje Musical"),""))</f>
        <v/>
      </c>
      <c r="O763" t="str">
        <f>IF(M763="","",IFERROR(AVERAGEIFS(DATOS!$K$2:$K$20000,DATOS!$A$2:$A$20000,M763,DATOS!$G$2:$G$20000,CONFIG_METADATA!$B$4,DATOS!$I$2:$I$20000,"Coro"),""))</f>
        <v/>
      </c>
      <c r="P763" t="str">
        <f>IF(M763="","",IFERROR(AVERAGEIFS(DATOS!$K$2:$K$20000,DATOS!$A$2:$A$20000,M763,DATOS!$G$2:$G$20000,CONFIG_METADATA!$B$4,DATOS!$I$2:$I$20000,"Conjunto"),""))</f>
        <v/>
      </c>
      <c r="Q763" t="str">
        <f>IF(M763="","",IFERROR(AVERAGEIFS(DATOS!$K$2:$K$20000,DATOS!$A$2:$A$20000,M763,DATOS!$G$2:$G$20000,CONFIG_METADATA!$B$4,DATOS!$I$2:$I$20000,"&lt;&gt;Lenguaje Musical",DATOS!$I$2:$I$20000,"&lt;&gt;Coro",DATOS!$I$2:$I$20000,"&lt;&gt;Conjunto"),""))</f>
        <v/>
      </c>
      <c r="T763" t="str">
        <f>IF(S763="","",IFERROR(AVERAGEIFS(DATOS!$K$2:$K$20000,DATOS!$A$2:$A$20000,S763,DATOS!$G$2:$G$20000,CONFIG_METADATA!$B$4,DATOS!$I$2:$I$20000,"Lenguaje Musical"),""))</f>
        <v/>
      </c>
      <c r="U763" t="str">
        <f>IF(S763="","",IFERROR(AVERAGEIFS(DATOS!$K$2:$K$20000,DATOS!$A$2:$A$20000,S763,DATOS!$G$2:$G$20000,CONFIG_METADATA!$B$4,DATOS!$I$2:$I$20000,"Coro"),""))</f>
        <v/>
      </c>
      <c r="V763" t="str">
        <f>IF(S763="","",IFERROR(AVERAGEIFS(DATOS!$K$2:$K$20000,DATOS!$A$2:$A$20000,S763,DATOS!$G$2:$G$20000,CONFIG_METADATA!$B$4,DATOS!$I$2:$I$20000,"Conjunto"),""))</f>
        <v/>
      </c>
      <c r="W763" t="str" cm="1">
        <f t="array" ref="W763">IF(S763="","",IFERROR(AVERAGE(IF((DATOS!$A$2:$A$20000=S763)*(DATOS!$G$2:$G$20000=CONFIG_METADATA!$B$4)*(DATOS!$I$2:$I$20000&lt;&gt;"Lenguaje Musical")*(DATOS!$I$2:$I$20000&lt;&gt;"Coro")*(DATOS!$I$2:$I$20000&lt;&gt;"Conjunto"),DATOS!$K$2:$K$20000)),""))</f>
        <v/>
      </c>
    </row>
    <row r="764" spans="2:23" x14ac:dyDescent="0.2">
      <c r="B764" t="str">
        <f>IF(A764="","",IFERROR(AVERAGEIFS(DATOS!$K$2:$K$20000,DATOS!$A$2:$A$20000,A764,DATOS!$G$2:$G$20000,CONFIG_METADATA!$B$4,DATOS!$I$2:$I$20000,"Lenguaje Musical"),""))</f>
        <v/>
      </c>
      <c r="C764" t="str">
        <f>IF(A764="","",IFERROR(AVERAGEIFS(DATOS!$K$2:$K$20000,DATOS!$A$2:$A$20000,A764,DATOS!$G$2:$G$20000,CONFIG_METADATA!$B$4,DATOS!$I$2:$I$20000,"Coro"),""))</f>
        <v/>
      </c>
      <c r="D764" t="str">
        <f>IF(A764="","",IFERROR(AVERAGEIFS(DATOS!$K$2:$K$20000,DATOS!$A$2:$A$20000,A764,DATOS!$G$2:$G$20000,CONFIG_METADATA!$B$4,DATOS!$I$2:$I$20000,"Conjunto"),""))</f>
        <v/>
      </c>
      <c r="E764" t="str">
        <f>IF(A764="","",IFERROR(AVERAGEIFS(DATOS!$K$2:$K$20000,DATOS!$A$2:$A$20000,A764,DATOS!$G$2:$G$20000,CONFIG_METADATA!$B$4,DATOS!$I$2:$I$20000,"&lt;&gt;Lenguaje Musical",DATOS!$I$2:$I$20000,"&lt;&gt;Coro",DATOS!$I$2:$I$20000,"&lt;&gt;Conjunto"),""))</f>
        <v/>
      </c>
      <c r="N764" t="str">
        <f>IF(M764="","",IFERROR(AVERAGEIFS(DATOS!$K$2:$K$20000,DATOS!$A$2:$A$20000,M764,DATOS!$G$2:$G$20000,CONFIG_METADATA!$B$4,DATOS!$I$2:$I$20000,"Lenguaje Musical"),""))</f>
        <v/>
      </c>
      <c r="O764" t="str">
        <f>IF(M764="","",IFERROR(AVERAGEIFS(DATOS!$K$2:$K$20000,DATOS!$A$2:$A$20000,M764,DATOS!$G$2:$G$20000,CONFIG_METADATA!$B$4,DATOS!$I$2:$I$20000,"Coro"),""))</f>
        <v/>
      </c>
      <c r="P764" t="str">
        <f>IF(M764="","",IFERROR(AVERAGEIFS(DATOS!$K$2:$K$20000,DATOS!$A$2:$A$20000,M764,DATOS!$G$2:$G$20000,CONFIG_METADATA!$B$4,DATOS!$I$2:$I$20000,"Conjunto"),""))</f>
        <v/>
      </c>
      <c r="Q764" t="str">
        <f>IF(M764="","",IFERROR(AVERAGEIFS(DATOS!$K$2:$K$20000,DATOS!$A$2:$A$20000,M764,DATOS!$G$2:$G$20000,CONFIG_METADATA!$B$4,DATOS!$I$2:$I$20000,"&lt;&gt;Lenguaje Musical",DATOS!$I$2:$I$20000,"&lt;&gt;Coro",DATOS!$I$2:$I$20000,"&lt;&gt;Conjunto"),""))</f>
        <v/>
      </c>
      <c r="T764" t="str">
        <f>IF(S764="","",IFERROR(AVERAGEIFS(DATOS!$K$2:$K$20000,DATOS!$A$2:$A$20000,S764,DATOS!$G$2:$G$20000,CONFIG_METADATA!$B$4,DATOS!$I$2:$I$20000,"Lenguaje Musical"),""))</f>
        <v/>
      </c>
      <c r="U764" t="str">
        <f>IF(S764="","",IFERROR(AVERAGEIFS(DATOS!$K$2:$K$20000,DATOS!$A$2:$A$20000,S764,DATOS!$G$2:$G$20000,CONFIG_METADATA!$B$4,DATOS!$I$2:$I$20000,"Coro"),""))</f>
        <v/>
      </c>
      <c r="V764" t="str">
        <f>IF(S764="","",IFERROR(AVERAGEIFS(DATOS!$K$2:$K$20000,DATOS!$A$2:$A$20000,S764,DATOS!$G$2:$G$20000,CONFIG_METADATA!$B$4,DATOS!$I$2:$I$20000,"Conjunto"),""))</f>
        <v/>
      </c>
      <c r="W764" t="str" cm="1">
        <f t="array" ref="W764">IF(S764="","",IFERROR(AVERAGE(IF((DATOS!$A$2:$A$20000=S764)*(DATOS!$G$2:$G$20000=CONFIG_METADATA!$B$4)*(DATOS!$I$2:$I$20000&lt;&gt;"Lenguaje Musical")*(DATOS!$I$2:$I$20000&lt;&gt;"Coro")*(DATOS!$I$2:$I$20000&lt;&gt;"Conjunto"),DATOS!$K$2:$K$20000)),""))</f>
        <v/>
      </c>
    </row>
    <row r="765" spans="2:23" x14ac:dyDescent="0.2">
      <c r="B765" t="str">
        <f>IF(A765="","",IFERROR(AVERAGEIFS(DATOS!$K$2:$K$20000,DATOS!$A$2:$A$20000,A765,DATOS!$G$2:$G$20000,CONFIG_METADATA!$B$4,DATOS!$I$2:$I$20000,"Lenguaje Musical"),""))</f>
        <v/>
      </c>
      <c r="C765" t="str">
        <f>IF(A765="","",IFERROR(AVERAGEIFS(DATOS!$K$2:$K$20000,DATOS!$A$2:$A$20000,A765,DATOS!$G$2:$G$20000,CONFIG_METADATA!$B$4,DATOS!$I$2:$I$20000,"Coro"),""))</f>
        <v/>
      </c>
      <c r="D765" t="str">
        <f>IF(A765="","",IFERROR(AVERAGEIFS(DATOS!$K$2:$K$20000,DATOS!$A$2:$A$20000,A765,DATOS!$G$2:$G$20000,CONFIG_METADATA!$B$4,DATOS!$I$2:$I$20000,"Conjunto"),""))</f>
        <v/>
      </c>
      <c r="E765" t="str">
        <f>IF(A765="","",IFERROR(AVERAGEIFS(DATOS!$K$2:$K$20000,DATOS!$A$2:$A$20000,A765,DATOS!$G$2:$G$20000,CONFIG_METADATA!$B$4,DATOS!$I$2:$I$20000,"&lt;&gt;Lenguaje Musical",DATOS!$I$2:$I$20000,"&lt;&gt;Coro",DATOS!$I$2:$I$20000,"&lt;&gt;Conjunto"),""))</f>
        <v/>
      </c>
      <c r="N765" t="str">
        <f>IF(M765="","",IFERROR(AVERAGEIFS(DATOS!$K$2:$K$20000,DATOS!$A$2:$A$20000,M765,DATOS!$G$2:$G$20000,CONFIG_METADATA!$B$4,DATOS!$I$2:$I$20000,"Lenguaje Musical"),""))</f>
        <v/>
      </c>
      <c r="O765" t="str">
        <f>IF(M765="","",IFERROR(AVERAGEIFS(DATOS!$K$2:$K$20000,DATOS!$A$2:$A$20000,M765,DATOS!$G$2:$G$20000,CONFIG_METADATA!$B$4,DATOS!$I$2:$I$20000,"Coro"),""))</f>
        <v/>
      </c>
      <c r="P765" t="str">
        <f>IF(M765="","",IFERROR(AVERAGEIFS(DATOS!$K$2:$K$20000,DATOS!$A$2:$A$20000,M765,DATOS!$G$2:$G$20000,CONFIG_METADATA!$B$4,DATOS!$I$2:$I$20000,"Conjunto"),""))</f>
        <v/>
      </c>
      <c r="Q765" t="str">
        <f>IF(M765="","",IFERROR(AVERAGEIFS(DATOS!$K$2:$K$20000,DATOS!$A$2:$A$20000,M765,DATOS!$G$2:$G$20000,CONFIG_METADATA!$B$4,DATOS!$I$2:$I$20000,"&lt;&gt;Lenguaje Musical",DATOS!$I$2:$I$20000,"&lt;&gt;Coro",DATOS!$I$2:$I$20000,"&lt;&gt;Conjunto"),""))</f>
        <v/>
      </c>
      <c r="T765" t="str">
        <f>IF(S765="","",IFERROR(AVERAGEIFS(DATOS!$K$2:$K$20000,DATOS!$A$2:$A$20000,S765,DATOS!$G$2:$G$20000,CONFIG_METADATA!$B$4,DATOS!$I$2:$I$20000,"Lenguaje Musical"),""))</f>
        <v/>
      </c>
      <c r="U765" t="str">
        <f>IF(S765="","",IFERROR(AVERAGEIFS(DATOS!$K$2:$K$20000,DATOS!$A$2:$A$20000,S765,DATOS!$G$2:$G$20000,CONFIG_METADATA!$B$4,DATOS!$I$2:$I$20000,"Coro"),""))</f>
        <v/>
      </c>
      <c r="V765" t="str">
        <f>IF(S765="","",IFERROR(AVERAGEIFS(DATOS!$K$2:$K$20000,DATOS!$A$2:$A$20000,S765,DATOS!$G$2:$G$20000,CONFIG_METADATA!$B$4,DATOS!$I$2:$I$20000,"Conjunto"),""))</f>
        <v/>
      </c>
      <c r="W765" t="str" cm="1">
        <f t="array" ref="W765">IF(S765="","",IFERROR(AVERAGE(IF((DATOS!$A$2:$A$20000=S765)*(DATOS!$G$2:$G$20000=CONFIG_METADATA!$B$4)*(DATOS!$I$2:$I$20000&lt;&gt;"Lenguaje Musical")*(DATOS!$I$2:$I$20000&lt;&gt;"Coro")*(DATOS!$I$2:$I$20000&lt;&gt;"Conjunto"),DATOS!$K$2:$K$20000)),""))</f>
        <v/>
      </c>
    </row>
    <row r="766" spans="2:23" x14ac:dyDescent="0.2">
      <c r="B766" t="str">
        <f>IF(A766="","",IFERROR(AVERAGEIFS(DATOS!$K$2:$K$20000,DATOS!$A$2:$A$20000,A766,DATOS!$G$2:$G$20000,CONFIG_METADATA!$B$4,DATOS!$I$2:$I$20000,"Lenguaje Musical"),""))</f>
        <v/>
      </c>
      <c r="C766" t="str">
        <f>IF(A766="","",IFERROR(AVERAGEIFS(DATOS!$K$2:$K$20000,DATOS!$A$2:$A$20000,A766,DATOS!$G$2:$G$20000,CONFIG_METADATA!$B$4,DATOS!$I$2:$I$20000,"Coro"),""))</f>
        <v/>
      </c>
      <c r="D766" t="str">
        <f>IF(A766="","",IFERROR(AVERAGEIFS(DATOS!$K$2:$K$20000,DATOS!$A$2:$A$20000,A766,DATOS!$G$2:$G$20000,CONFIG_METADATA!$B$4,DATOS!$I$2:$I$20000,"Conjunto"),""))</f>
        <v/>
      </c>
      <c r="E766" t="str">
        <f>IF(A766="","",IFERROR(AVERAGEIFS(DATOS!$K$2:$K$20000,DATOS!$A$2:$A$20000,A766,DATOS!$G$2:$G$20000,CONFIG_METADATA!$B$4,DATOS!$I$2:$I$20000,"&lt;&gt;Lenguaje Musical",DATOS!$I$2:$I$20000,"&lt;&gt;Coro",DATOS!$I$2:$I$20000,"&lt;&gt;Conjunto"),""))</f>
        <v/>
      </c>
      <c r="N766" t="str">
        <f>IF(M766="","",IFERROR(AVERAGEIFS(DATOS!$K$2:$K$20000,DATOS!$A$2:$A$20000,M766,DATOS!$G$2:$G$20000,CONFIG_METADATA!$B$4,DATOS!$I$2:$I$20000,"Lenguaje Musical"),""))</f>
        <v/>
      </c>
      <c r="O766" t="str">
        <f>IF(M766="","",IFERROR(AVERAGEIFS(DATOS!$K$2:$K$20000,DATOS!$A$2:$A$20000,M766,DATOS!$G$2:$G$20000,CONFIG_METADATA!$B$4,DATOS!$I$2:$I$20000,"Coro"),""))</f>
        <v/>
      </c>
      <c r="P766" t="str">
        <f>IF(M766="","",IFERROR(AVERAGEIFS(DATOS!$K$2:$K$20000,DATOS!$A$2:$A$20000,M766,DATOS!$G$2:$G$20000,CONFIG_METADATA!$B$4,DATOS!$I$2:$I$20000,"Conjunto"),""))</f>
        <v/>
      </c>
      <c r="Q766" t="str">
        <f>IF(M766="","",IFERROR(AVERAGEIFS(DATOS!$K$2:$K$20000,DATOS!$A$2:$A$20000,M766,DATOS!$G$2:$G$20000,CONFIG_METADATA!$B$4,DATOS!$I$2:$I$20000,"&lt;&gt;Lenguaje Musical",DATOS!$I$2:$I$20000,"&lt;&gt;Coro",DATOS!$I$2:$I$20000,"&lt;&gt;Conjunto"),""))</f>
        <v/>
      </c>
      <c r="T766" t="str">
        <f>IF(S766="","",IFERROR(AVERAGEIFS(DATOS!$K$2:$K$20000,DATOS!$A$2:$A$20000,S766,DATOS!$G$2:$G$20000,CONFIG_METADATA!$B$4,DATOS!$I$2:$I$20000,"Lenguaje Musical"),""))</f>
        <v/>
      </c>
      <c r="U766" t="str">
        <f>IF(S766="","",IFERROR(AVERAGEIFS(DATOS!$K$2:$K$20000,DATOS!$A$2:$A$20000,S766,DATOS!$G$2:$G$20000,CONFIG_METADATA!$B$4,DATOS!$I$2:$I$20000,"Coro"),""))</f>
        <v/>
      </c>
      <c r="V766" t="str">
        <f>IF(S766="","",IFERROR(AVERAGEIFS(DATOS!$K$2:$K$20000,DATOS!$A$2:$A$20000,S766,DATOS!$G$2:$G$20000,CONFIG_METADATA!$B$4,DATOS!$I$2:$I$20000,"Conjunto"),""))</f>
        <v/>
      </c>
      <c r="W766" t="str" cm="1">
        <f t="array" ref="W766">IF(S766="","",IFERROR(AVERAGE(IF((DATOS!$A$2:$A$20000=S766)*(DATOS!$G$2:$G$20000=CONFIG_METADATA!$B$4)*(DATOS!$I$2:$I$20000&lt;&gt;"Lenguaje Musical")*(DATOS!$I$2:$I$20000&lt;&gt;"Coro")*(DATOS!$I$2:$I$20000&lt;&gt;"Conjunto"),DATOS!$K$2:$K$20000)),""))</f>
        <v/>
      </c>
    </row>
    <row r="767" spans="2:23" x14ac:dyDescent="0.2">
      <c r="B767" t="str">
        <f>IF(A767="","",IFERROR(AVERAGEIFS(DATOS!$K$2:$K$20000,DATOS!$A$2:$A$20000,A767,DATOS!$G$2:$G$20000,CONFIG_METADATA!$B$4,DATOS!$I$2:$I$20000,"Lenguaje Musical"),""))</f>
        <v/>
      </c>
      <c r="C767" t="str">
        <f>IF(A767="","",IFERROR(AVERAGEIFS(DATOS!$K$2:$K$20000,DATOS!$A$2:$A$20000,A767,DATOS!$G$2:$G$20000,CONFIG_METADATA!$B$4,DATOS!$I$2:$I$20000,"Coro"),""))</f>
        <v/>
      </c>
      <c r="D767" t="str">
        <f>IF(A767="","",IFERROR(AVERAGEIFS(DATOS!$K$2:$K$20000,DATOS!$A$2:$A$20000,A767,DATOS!$G$2:$G$20000,CONFIG_METADATA!$B$4,DATOS!$I$2:$I$20000,"Conjunto"),""))</f>
        <v/>
      </c>
      <c r="E767" t="str">
        <f>IF(A767="","",IFERROR(AVERAGEIFS(DATOS!$K$2:$K$20000,DATOS!$A$2:$A$20000,A767,DATOS!$G$2:$G$20000,CONFIG_METADATA!$B$4,DATOS!$I$2:$I$20000,"&lt;&gt;Lenguaje Musical",DATOS!$I$2:$I$20000,"&lt;&gt;Coro",DATOS!$I$2:$I$20000,"&lt;&gt;Conjunto"),""))</f>
        <v/>
      </c>
      <c r="N767" t="str">
        <f>IF(M767="","",IFERROR(AVERAGEIFS(DATOS!$K$2:$K$20000,DATOS!$A$2:$A$20000,M767,DATOS!$G$2:$G$20000,CONFIG_METADATA!$B$4,DATOS!$I$2:$I$20000,"Lenguaje Musical"),""))</f>
        <v/>
      </c>
      <c r="O767" t="str">
        <f>IF(M767="","",IFERROR(AVERAGEIFS(DATOS!$K$2:$K$20000,DATOS!$A$2:$A$20000,M767,DATOS!$G$2:$G$20000,CONFIG_METADATA!$B$4,DATOS!$I$2:$I$20000,"Coro"),""))</f>
        <v/>
      </c>
      <c r="P767" t="str">
        <f>IF(M767="","",IFERROR(AVERAGEIFS(DATOS!$K$2:$K$20000,DATOS!$A$2:$A$20000,M767,DATOS!$G$2:$G$20000,CONFIG_METADATA!$B$4,DATOS!$I$2:$I$20000,"Conjunto"),""))</f>
        <v/>
      </c>
      <c r="Q767" t="str">
        <f>IF(M767="","",IFERROR(AVERAGEIFS(DATOS!$K$2:$K$20000,DATOS!$A$2:$A$20000,M767,DATOS!$G$2:$G$20000,CONFIG_METADATA!$B$4,DATOS!$I$2:$I$20000,"&lt;&gt;Lenguaje Musical",DATOS!$I$2:$I$20000,"&lt;&gt;Coro",DATOS!$I$2:$I$20000,"&lt;&gt;Conjunto"),""))</f>
        <v/>
      </c>
      <c r="T767" t="str">
        <f>IF(S767="","",IFERROR(AVERAGEIFS(DATOS!$K$2:$K$20000,DATOS!$A$2:$A$20000,S767,DATOS!$G$2:$G$20000,CONFIG_METADATA!$B$4,DATOS!$I$2:$I$20000,"Lenguaje Musical"),""))</f>
        <v/>
      </c>
      <c r="U767" t="str">
        <f>IF(S767="","",IFERROR(AVERAGEIFS(DATOS!$K$2:$K$20000,DATOS!$A$2:$A$20000,S767,DATOS!$G$2:$G$20000,CONFIG_METADATA!$B$4,DATOS!$I$2:$I$20000,"Coro"),""))</f>
        <v/>
      </c>
      <c r="V767" t="str">
        <f>IF(S767="","",IFERROR(AVERAGEIFS(DATOS!$K$2:$K$20000,DATOS!$A$2:$A$20000,S767,DATOS!$G$2:$G$20000,CONFIG_METADATA!$B$4,DATOS!$I$2:$I$20000,"Conjunto"),""))</f>
        <v/>
      </c>
      <c r="W767" t="str" cm="1">
        <f t="array" ref="W767">IF(S767="","",IFERROR(AVERAGE(IF((DATOS!$A$2:$A$20000=S767)*(DATOS!$G$2:$G$20000=CONFIG_METADATA!$B$4)*(DATOS!$I$2:$I$20000&lt;&gt;"Lenguaje Musical")*(DATOS!$I$2:$I$20000&lt;&gt;"Coro")*(DATOS!$I$2:$I$20000&lt;&gt;"Conjunto"),DATOS!$K$2:$K$20000)),""))</f>
        <v/>
      </c>
    </row>
    <row r="768" spans="2:23" x14ac:dyDescent="0.2">
      <c r="B768" t="str">
        <f>IF(A768="","",IFERROR(AVERAGEIFS(DATOS!$K$2:$K$20000,DATOS!$A$2:$A$20000,A768,DATOS!$G$2:$G$20000,CONFIG_METADATA!$B$4,DATOS!$I$2:$I$20000,"Lenguaje Musical"),""))</f>
        <v/>
      </c>
      <c r="C768" t="str">
        <f>IF(A768="","",IFERROR(AVERAGEIFS(DATOS!$K$2:$K$20000,DATOS!$A$2:$A$20000,A768,DATOS!$G$2:$G$20000,CONFIG_METADATA!$B$4,DATOS!$I$2:$I$20000,"Coro"),""))</f>
        <v/>
      </c>
      <c r="D768" t="str">
        <f>IF(A768="","",IFERROR(AVERAGEIFS(DATOS!$K$2:$K$20000,DATOS!$A$2:$A$20000,A768,DATOS!$G$2:$G$20000,CONFIG_METADATA!$B$4,DATOS!$I$2:$I$20000,"Conjunto"),""))</f>
        <v/>
      </c>
      <c r="E768" t="str">
        <f>IF(A768="","",IFERROR(AVERAGEIFS(DATOS!$K$2:$K$20000,DATOS!$A$2:$A$20000,A768,DATOS!$G$2:$G$20000,CONFIG_METADATA!$B$4,DATOS!$I$2:$I$20000,"&lt;&gt;Lenguaje Musical",DATOS!$I$2:$I$20000,"&lt;&gt;Coro",DATOS!$I$2:$I$20000,"&lt;&gt;Conjunto"),""))</f>
        <v/>
      </c>
      <c r="N768" t="str">
        <f>IF(M768="","",IFERROR(AVERAGEIFS(DATOS!$K$2:$K$20000,DATOS!$A$2:$A$20000,M768,DATOS!$G$2:$G$20000,CONFIG_METADATA!$B$4,DATOS!$I$2:$I$20000,"Lenguaje Musical"),""))</f>
        <v/>
      </c>
      <c r="O768" t="str">
        <f>IF(M768="","",IFERROR(AVERAGEIFS(DATOS!$K$2:$K$20000,DATOS!$A$2:$A$20000,M768,DATOS!$G$2:$G$20000,CONFIG_METADATA!$B$4,DATOS!$I$2:$I$20000,"Coro"),""))</f>
        <v/>
      </c>
      <c r="P768" t="str">
        <f>IF(M768="","",IFERROR(AVERAGEIFS(DATOS!$K$2:$K$20000,DATOS!$A$2:$A$20000,M768,DATOS!$G$2:$G$20000,CONFIG_METADATA!$B$4,DATOS!$I$2:$I$20000,"Conjunto"),""))</f>
        <v/>
      </c>
      <c r="Q768" t="str">
        <f>IF(M768="","",IFERROR(AVERAGEIFS(DATOS!$K$2:$K$20000,DATOS!$A$2:$A$20000,M768,DATOS!$G$2:$G$20000,CONFIG_METADATA!$B$4,DATOS!$I$2:$I$20000,"&lt;&gt;Lenguaje Musical",DATOS!$I$2:$I$20000,"&lt;&gt;Coro",DATOS!$I$2:$I$20000,"&lt;&gt;Conjunto"),""))</f>
        <v/>
      </c>
      <c r="T768" t="str">
        <f>IF(S768="","",IFERROR(AVERAGEIFS(DATOS!$K$2:$K$20000,DATOS!$A$2:$A$20000,S768,DATOS!$G$2:$G$20000,CONFIG_METADATA!$B$4,DATOS!$I$2:$I$20000,"Lenguaje Musical"),""))</f>
        <v/>
      </c>
      <c r="U768" t="str">
        <f>IF(S768="","",IFERROR(AVERAGEIFS(DATOS!$K$2:$K$20000,DATOS!$A$2:$A$20000,S768,DATOS!$G$2:$G$20000,CONFIG_METADATA!$B$4,DATOS!$I$2:$I$20000,"Coro"),""))</f>
        <v/>
      </c>
      <c r="V768" t="str">
        <f>IF(S768="","",IFERROR(AVERAGEIFS(DATOS!$K$2:$K$20000,DATOS!$A$2:$A$20000,S768,DATOS!$G$2:$G$20000,CONFIG_METADATA!$B$4,DATOS!$I$2:$I$20000,"Conjunto"),""))</f>
        <v/>
      </c>
      <c r="W768" t="str" cm="1">
        <f t="array" ref="W768">IF(S768="","",IFERROR(AVERAGE(IF((DATOS!$A$2:$A$20000=S768)*(DATOS!$G$2:$G$20000=CONFIG_METADATA!$B$4)*(DATOS!$I$2:$I$20000&lt;&gt;"Lenguaje Musical")*(DATOS!$I$2:$I$20000&lt;&gt;"Coro")*(DATOS!$I$2:$I$20000&lt;&gt;"Conjunto"),DATOS!$K$2:$K$20000)),""))</f>
        <v/>
      </c>
    </row>
    <row r="769" spans="2:23" x14ac:dyDescent="0.2">
      <c r="B769" t="str">
        <f>IF(A769="","",IFERROR(AVERAGEIFS(DATOS!$K$2:$K$20000,DATOS!$A$2:$A$20000,A769,DATOS!$G$2:$G$20000,CONFIG_METADATA!$B$4,DATOS!$I$2:$I$20000,"Lenguaje Musical"),""))</f>
        <v/>
      </c>
      <c r="C769" t="str">
        <f>IF(A769="","",IFERROR(AVERAGEIFS(DATOS!$K$2:$K$20000,DATOS!$A$2:$A$20000,A769,DATOS!$G$2:$G$20000,CONFIG_METADATA!$B$4,DATOS!$I$2:$I$20000,"Coro"),""))</f>
        <v/>
      </c>
      <c r="D769" t="str">
        <f>IF(A769="","",IFERROR(AVERAGEIFS(DATOS!$K$2:$K$20000,DATOS!$A$2:$A$20000,A769,DATOS!$G$2:$G$20000,CONFIG_METADATA!$B$4,DATOS!$I$2:$I$20000,"Conjunto"),""))</f>
        <v/>
      </c>
      <c r="E769" t="str">
        <f>IF(A769="","",IFERROR(AVERAGEIFS(DATOS!$K$2:$K$20000,DATOS!$A$2:$A$20000,A769,DATOS!$G$2:$G$20000,CONFIG_METADATA!$B$4,DATOS!$I$2:$I$20000,"&lt;&gt;Lenguaje Musical",DATOS!$I$2:$I$20000,"&lt;&gt;Coro",DATOS!$I$2:$I$20000,"&lt;&gt;Conjunto"),""))</f>
        <v/>
      </c>
      <c r="N769" t="str">
        <f>IF(M769="","",IFERROR(AVERAGEIFS(DATOS!$K$2:$K$20000,DATOS!$A$2:$A$20000,M769,DATOS!$G$2:$G$20000,CONFIG_METADATA!$B$4,DATOS!$I$2:$I$20000,"Lenguaje Musical"),""))</f>
        <v/>
      </c>
      <c r="O769" t="str">
        <f>IF(M769="","",IFERROR(AVERAGEIFS(DATOS!$K$2:$K$20000,DATOS!$A$2:$A$20000,M769,DATOS!$G$2:$G$20000,CONFIG_METADATA!$B$4,DATOS!$I$2:$I$20000,"Coro"),""))</f>
        <v/>
      </c>
      <c r="P769" t="str">
        <f>IF(M769="","",IFERROR(AVERAGEIFS(DATOS!$K$2:$K$20000,DATOS!$A$2:$A$20000,M769,DATOS!$G$2:$G$20000,CONFIG_METADATA!$B$4,DATOS!$I$2:$I$20000,"Conjunto"),""))</f>
        <v/>
      </c>
      <c r="Q769" t="str">
        <f>IF(M769="","",IFERROR(AVERAGEIFS(DATOS!$K$2:$K$20000,DATOS!$A$2:$A$20000,M769,DATOS!$G$2:$G$20000,CONFIG_METADATA!$B$4,DATOS!$I$2:$I$20000,"&lt;&gt;Lenguaje Musical",DATOS!$I$2:$I$20000,"&lt;&gt;Coro",DATOS!$I$2:$I$20000,"&lt;&gt;Conjunto"),""))</f>
        <v/>
      </c>
      <c r="T769" t="str">
        <f>IF(S769="","",IFERROR(AVERAGEIFS(DATOS!$K$2:$K$20000,DATOS!$A$2:$A$20000,S769,DATOS!$G$2:$G$20000,CONFIG_METADATA!$B$4,DATOS!$I$2:$I$20000,"Lenguaje Musical"),""))</f>
        <v/>
      </c>
      <c r="U769" t="str">
        <f>IF(S769="","",IFERROR(AVERAGEIFS(DATOS!$K$2:$K$20000,DATOS!$A$2:$A$20000,S769,DATOS!$G$2:$G$20000,CONFIG_METADATA!$B$4,DATOS!$I$2:$I$20000,"Coro"),""))</f>
        <v/>
      </c>
      <c r="V769" t="str">
        <f>IF(S769="","",IFERROR(AVERAGEIFS(DATOS!$K$2:$K$20000,DATOS!$A$2:$A$20000,S769,DATOS!$G$2:$G$20000,CONFIG_METADATA!$B$4,DATOS!$I$2:$I$20000,"Conjunto"),""))</f>
        <v/>
      </c>
      <c r="W769" t="str" cm="1">
        <f t="array" ref="W769">IF(S769="","",IFERROR(AVERAGE(IF((DATOS!$A$2:$A$20000=S769)*(DATOS!$G$2:$G$20000=CONFIG_METADATA!$B$4)*(DATOS!$I$2:$I$20000&lt;&gt;"Lenguaje Musical")*(DATOS!$I$2:$I$20000&lt;&gt;"Coro")*(DATOS!$I$2:$I$20000&lt;&gt;"Conjunto"),DATOS!$K$2:$K$20000)),""))</f>
        <v/>
      </c>
    </row>
    <row r="770" spans="2:23" x14ac:dyDescent="0.2">
      <c r="B770" t="str">
        <f>IF(A770="","",IFERROR(AVERAGEIFS(DATOS!$K$2:$K$20000,DATOS!$A$2:$A$20000,A770,DATOS!$G$2:$G$20000,CONFIG_METADATA!$B$4,DATOS!$I$2:$I$20000,"Lenguaje Musical"),""))</f>
        <v/>
      </c>
      <c r="C770" t="str">
        <f>IF(A770="","",IFERROR(AVERAGEIFS(DATOS!$K$2:$K$20000,DATOS!$A$2:$A$20000,A770,DATOS!$G$2:$G$20000,CONFIG_METADATA!$B$4,DATOS!$I$2:$I$20000,"Coro"),""))</f>
        <v/>
      </c>
      <c r="D770" t="str">
        <f>IF(A770="","",IFERROR(AVERAGEIFS(DATOS!$K$2:$K$20000,DATOS!$A$2:$A$20000,A770,DATOS!$G$2:$G$20000,CONFIG_METADATA!$B$4,DATOS!$I$2:$I$20000,"Conjunto"),""))</f>
        <v/>
      </c>
      <c r="E770" t="str">
        <f>IF(A770="","",IFERROR(AVERAGEIFS(DATOS!$K$2:$K$20000,DATOS!$A$2:$A$20000,A770,DATOS!$G$2:$G$20000,CONFIG_METADATA!$B$4,DATOS!$I$2:$I$20000,"&lt;&gt;Lenguaje Musical",DATOS!$I$2:$I$20000,"&lt;&gt;Coro",DATOS!$I$2:$I$20000,"&lt;&gt;Conjunto"),""))</f>
        <v/>
      </c>
      <c r="N770" t="str">
        <f>IF(M770="","",IFERROR(AVERAGEIFS(DATOS!$K$2:$K$20000,DATOS!$A$2:$A$20000,M770,DATOS!$G$2:$G$20000,CONFIG_METADATA!$B$4,DATOS!$I$2:$I$20000,"Lenguaje Musical"),""))</f>
        <v/>
      </c>
      <c r="O770" t="str">
        <f>IF(M770="","",IFERROR(AVERAGEIFS(DATOS!$K$2:$K$20000,DATOS!$A$2:$A$20000,M770,DATOS!$G$2:$G$20000,CONFIG_METADATA!$B$4,DATOS!$I$2:$I$20000,"Coro"),""))</f>
        <v/>
      </c>
      <c r="P770" t="str">
        <f>IF(M770="","",IFERROR(AVERAGEIFS(DATOS!$K$2:$K$20000,DATOS!$A$2:$A$20000,M770,DATOS!$G$2:$G$20000,CONFIG_METADATA!$B$4,DATOS!$I$2:$I$20000,"Conjunto"),""))</f>
        <v/>
      </c>
      <c r="Q770" t="str">
        <f>IF(M770="","",IFERROR(AVERAGEIFS(DATOS!$K$2:$K$20000,DATOS!$A$2:$A$20000,M770,DATOS!$G$2:$G$20000,CONFIG_METADATA!$B$4,DATOS!$I$2:$I$20000,"&lt;&gt;Lenguaje Musical",DATOS!$I$2:$I$20000,"&lt;&gt;Coro",DATOS!$I$2:$I$20000,"&lt;&gt;Conjunto"),""))</f>
        <v/>
      </c>
      <c r="T770" t="str">
        <f>IF(S770="","",IFERROR(AVERAGEIFS(DATOS!$K$2:$K$20000,DATOS!$A$2:$A$20000,S770,DATOS!$G$2:$G$20000,CONFIG_METADATA!$B$4,DATOS!$I$2:$I$20000,"Lenguaje Musical"),""))</f>
        <v/>
      </c>
      <c r="U770" t="str">
        <f>IF(S770="","",IFERROR(AVERAGEIFS(DATOS!$K$2:$K$20000,DATOS!$A$2:$A$20000,S770,DATOS!$G$2:$G$20000,CONFIG_METADATA!$B$4,DATOS!$I$2:$I$20000,"Coro"),""))</f>
        <v/>
      </c>
      <c r="V770" t="str">
        <f>IF(S770="","",IFERROR(AVERAGEIFS(DATOS!$K$2:$K$20000,DATOS!$A$2:$A$20000,S770,DATOS!$G$2:$G$20000,CONFIG_METADATA!$B$4,DATOS!$I$2:$I$20000,"Conjunto"),""))</f>
        <v/>
      </c>
      <c r="W770" t="str" cm="1">
        <f t="array" ref="W770">IF(S770="","",IFERROR(AVERAGE(IF((DATOS!$A$2:$A$20000=S770)*(DATOS!$G$2:$G$20000=CONFIG_METADATA!$B$4)*(DATOS!$I$2:$I$20000&lt;&gt;"Lenguaje Musical")*(DATOS!$I$2:$I$20000&lt;&gt;"Coro")*(DATOS!$I$2:$I$20000&lt;&gt;"Conjunto"),DATOS!$K$2:$K$20000)),""))</f>
        <v/>
      </c>
    </row>
    <row r="771" spans="2:23" x14ac:dyDescent="0.2">
      <c r="B771" t="str">
        <f>IF(A771="","",IFERROR(AVERAGEIFS(DATOS!$K$2:$K$20000,DATOS!$A$2:$A$20000,A771,DATOS!$G$2:$G$20000,CONFIG_METADATA!$B$4,DATOS!$I$2:$I$20000,"Lenguaje Musical"),""))</f>
        <v/>
      </c>
      <c r="C771" t="str">
        <f>IF(A771="","",IFERROR(AVERAGEIFS(DATOS!$K$2:$K$20000,DATOS!$A$2:$A$20000,A771,DATOS!$G$2:$G$20000,CONFIG_METADATA!$B$4,DATOS!$I$2:$I$20000,"Coro"),""))</f>
        <v/>
      </c>
      <c r="D771" t="str">
        <f>IF(A771="","",IFERROR(AVERAGEIFS(DATOS!$K$2:$K$20000,DATOS!$A$2:$A$20000,A771,DATOS!$G$2:$G$20000,CONFIG_METADATA!$B$4,DATOS!$I$2:$I$20000,"Conjunto"),""))</f>
        <v/>
      </c>
      <c r="E771" t="str">
        <f>IF(A771="","",IFERROR(AVERAGEIFS(DATOS!$K$2:$K$20000,DATOS!$A$2:$A$20000,A771,DATOS!$G$2:$G$20000,CONFIG_METADATA!$B$4,DATOS!$I$2:$I$20000,"&lt;&gt;Lenguaje Musical",DATOS!$I$2:$I$20000,"&lt;&gt;Coro",DATOS!$I$2:$I$20000,"&lt;&gt;Conjunto"),""))</f>
        <v/>
      </c>
      <c r="N771" t="str">
        <f>IF(M771="","",IFERROR(AVERAGEIFS(DATOS!$K$2:$K$20000,DATOS!$A$2:$A$20000,M771,DATOS!$G$2:$G$20000,CONFIG_METADATA!$B$4,DATOS!$I$2:$I$20000,"Lenguaje Musical"),""))</f>
        <v/>
      </c>
      <c r="O771" t="str">
        <f>IF(M771="","",IFERROR(AVERAGEIFS(DATOS!$K$2:$K$20000,DATOS!$A$2:$A$20000,M771,DATOS!$G$2:$G$20000,CONFIG_METADATA!$B$4,DATOS!$I$2:$I$20000,"Coro"),""))</f>
        <v/>
      </c>
      <c r="P771" t="str">
        <f>IF(M771="","",IFERROR(AVERAGEIFS(DATOS!$K$2:$K$20000,DATOS!$A$2:$A$20000,M771,DATOS!$G$2:$G$20000,CONFIG_METADATA!$B$4,DATOS!$I$2:$I$20000,"Conjunto"),""))</f>
        <v/>
      </c>
      <c r="Q771" t="str">
        <f>IF(M771="","",IFERROR(AVERAGEIFS(DATOS!$K$2:$K$20000,DATOS!$A$2:$A$20000,M771,DATOS!$G$2:$G$20000,CONFIG_METADATA!$B$4,DATOS!$I$2:$I$20000,"&lt;&gt;Lenguaje Musical",DATOS!$I$2:$I$20000,"&lt;&gt;Coro",DATOS!$I$2:$I$20000,"&lt;&gt;Conjunto"),""))</f>
        <v/>
      </c>
      <c r="T771" t="str">
        <f>IF(S771="","",IFERROR(AVERAGEIFS(DATOS!$K$2:$K$20000,DATOS!$A$2:$A$20000,S771,DATOS!$G$2:$G$20000,CONFIG_METADATA!$B$4,DATOS!$I$2:$I$20000,"Lenguaje Musical"),""))</f>
        <v/>
      </c>
      <c r="U771" t="str">
        <f>IF(S771="","",IFERROR(AVERAGEIFS(DATOS!$K$2:$K$20000,DATOS!$A$2:$A$20000,S771,DATOS!$G$2:$G$20000,CONFIG_METADATA!$B$4,DATOS!$I$2:$I$20000,"Coro"),""))</f>
        <v/>
      </c>
      <c r="V771" t="str">
        <f>IF(S771="","",IFERROR(AVERAGEIFS(DATOS!$K$2:$K$20000,DATOS!$A$2:$A$20000,S771,DATOS!$G$2:$G$20000,CONFIG_METADATA!$B$4,DATOS!$I$2:$I$20000,"Conjunto"),""))</f>
        <v/>
      </c>
      <c r="W771" t="str" cm="1">
        <f t="array" ref="W771">IF(S771="","",IFERROR(AVERAGE(IF((DATOS!$A$2:$A$20000=S771)*(DATOS!$G$2:$G$20000=CONFIG_METADATA!$B$4)*(DATOS!$I$2:$I$20000&lt;&gt;"Lenguaje Musical")*(DATOS!$I$2:$I$20000&lt;&gt;"Coro")*(DATOS!$I$2:$I$20000&lt;&gt;"Conjunto"),DATOS!$K$2:$K$20000)),""))</f>
        <v/>
      </c>
    </row>
    <row r="772" spans="2:23" x14ac:dyDescent="0.2">
      <c r="B772" t="str">
        <f>IF(A772="","",IFERROR(AVERAGEIFS(DATOS!$K$2:$K$20000,DATOS!$A$2:$A$20000,A772,DATOS!$G$2:$G$20000,CONFIG_METADATA!$B$4,DATOS!$I$2:$I$20000,"Lenguaje Musical"),""))</f>
        <v/>
      </c>
      <c r="C772" t="str">
        <f>IF(A772="","",IFERROR(AVERAGEIFS(DATOS!$K$2:$K$20000,DATOS!$A$2:$A$20000,A772,DATOS!$G$2:$G$20000,CONFIG_METADATA!$B$4,DATOS!$I$2:$I$20000,"Coro"),""))</f>
        <v/>
      </c>
      <c r="D772" t="str">
        <f>IF(A772="","",IFERROR(AVERAGEIFS(DATOS!$K$2:$K$20000,DATOS!$A$2:$A$20000,A772,DATOS!$G$2:$G$20000,CONFIG_METADATA!$B$4,DATOS!$I$2:$I$20000,"Conjunto"),""))</f>
        <v/>
      </c>
      <c r="E772" t="str">
        <f>IF(A772="","",IFERROR(AVERAGEIFS(DATOS!$K$2:$K$20000,DATOS!$A$2:$A$20000,A772,DATOS!$G$2:$G$20000,CONFIG_METADATA!$B$4,DATOS!$I$2:$I$20000,"&lt;&gt;Lenguaje Musical",DATOS!$I$2:$I$20000,"&lt;&gt;Coro",DATOS!$I$2:$I$20000,"&lt;&gt;Conjunto"),""))</f>
        <v/>
      </c>
      <c r="N772" t="str">
        <f>IF(M772="","",IFERROR(AVERAGEIFS(DATOS!$K$2:$K$20000,DATOS!$A$2:$A$20000,M772,DATOS!$G$2:$G$20000,CONFIG_METADATA!$B$4,DATOS!$I$2:$I$20000,"Lenguaje Musical"),""))</f>
        <v/>
      </c>
      <c r="O772" t="str">
        <f>IF(M772="","",IFERROR(AVERAGEIFS(DATOS!$K$2:$K$20000,DATOS!$A$2:$A$20000,M772,DATOS!$G$2:$G$20000,CONFIG_METADATA!$B$4,DATOS!$I$2:$I$20000,"Coro"),""))</f>
        <v/>
      </c>
      <c r="P772" t="str">
        <f>IF(M772="","",IFERROR(AVERAGEIFS(DATOS!$K$2:$K$20000,DATOS!$A$2:$A$20000,M772,DATOS!$G$2:$G$20000,CONFIG_METADATA!$B$4,DATOS!$I$2:$I$20000,"Conjunto"),""))</f>
        <v/>
      </c>
      <c r="Q772" t="str">
        <f>IF(M772="","",IFERROR(AVERAGEIFS(DATOS!$K$2:$K$20000,DATOS!$A$2:$A$20000,M772,DATOS!$G$2:$G$20000,CONFIG_METADATA!$B$4,DATOS!$I$2:$I$20000,"&lt;&gt;Lenguaje Musical",DATOS!$I$2:$I$20000,"&lt;&gt;Coro",DATOS!$I$2:$I$20000,"&lt;&gt;Conjunto"),""))</f>
        <v/>
      </c>
      <c r="T772" t="str">
        <f>IF(S772="","",IFERROR(AVERAGEIFS(DATOS!$K$2:$K$20000,DATOS!$A$2:$A$20000,S772,DATOS!$G$2:$G$20000,CONFIG_METADATA!$B$4,DATOS!$I$2:$I$20000,"Lenguaje Musical"),""))</f>
        <v/>
      </c>
      <c r="U772" t="str">
        <f>IF(S772="","",IFERROR(AVERAGEIFS(DATOS!$K$2:$K$20000,DATOS!$A$2:$A$20000,S772,DATOS!$G$2:$G$20000,CONFIG_METADATA!$B$4,DATOS!$I$2:$I$20000,"Coro"),""))</f>
        <v/>
      </c>
      <c r="V772" t="str">
        <f>IF(S772="","",IFERROR(AVERAGEIFS(DATOS!$K$2:$K$20000,DATOS!$A$2:$A$20000,S772,DATOS!$G$2:$G$20000,CONFIG_METADATA!$B$4,DATOS!$I$2:$I$20000,"Conjunto"),""))</f>
        <v/>
      </c>
      <c r="W772" t="str" cm="1">
        <f t="array" ref="W772">IF(S772="","",IFERROR(AVERAGE(IF((DATOS!$A$2:$A$20000=S772)*(DATOS!$G$2:$G$20000=CONFIG_METADATA!$B$4)*(DATOS!$I$2:$I$20000&lt;&gt;"Lenguaje Musical")*(DATOS!$I$2:$I$20000&lt;&gt;"Coro")*(DATOS!$I$2:$I$20000&lt;&gt;"Conjunto"),DATOS!$K$2:$K$20000)),""))</f>
        <v/>
      </c>
    </row>
    <row r="773" spans="2:23" x14ac:dyDescent="0.2">
      <c r="B773" t="str">
        <f>IF(A773="","",IFERROR(AVERAGEIFS(DATOS!$K$2:$K$20000,DATOS!$A$2:$A$20000,A773,DATOS!$G$2:$G$20000,CONFIG_METADATA!$B$4,DATOS!$I$2:$I$20000,"Lenguaje Musical"),""))</f>
        <v/>
      </c>
      <c r="C773" t="str">
        <f>IF(A773="","",IFERROR(AVERAGEIFS(DATOS!$K$2:$K$20000,DATOS!$A$2:$A$20000,A773,DATOS!$G$2:$G$20000,CONFIG_METADATA!$B$4,DATOS!$I$2:$I$20000,"Coro"),""))</f>
        <v/>
      </c>
      <c r="D773" t="str">
        <f>IF(A773="","",IFERROR(AVERAGEIFS(DATOS!$K$2:$K$20000,DATOS!$A$2:$A$20000,A773,DATOS!$G$2:$G$20000,CONFIG_METADATA!$B$4,DATOS!$I$2:$I$20000,"Conjunto"),""))</f>
        <v/>
      </c>
      <c r="E773" t="str">
        <f>IF(A773="","",IFERROR(AVERAGEIFS(DATOS!$K$2:$K$20000,DATOS!$A$2:$A$20000,A773,DATOS!$G$2:$G$20000,CONFIG_METADATA!$B$4,DATOS!$I$2:$I$20000,"&lt;&gt;Lenguaje Musical",DATOS!$I$2:$I$20000,"&lt;&gt;Coro",DATOS!$I$2:$I$20000,"&lt;&gt;Conjunto"),""))</f>
        <v/>
      </c>
      <c r="N773" t="str">
        <f>IF(M773="","",IFERROR(AVERAGEIFS(DATOS!$K$2:$K$20000,DATOS!$A$2:$A$20000,M773,DATOS!$G$2:$G$20000,CONFIG_METADATA!$B$4,DATOS!$I$2:$I$20000,"Lenguaje Musical"),""))</f>
        <v/>
      </c>
      <c r="O773" t="str">
        <f>IF(M773="","",IFERROR(AVERAGEIFS(DATOS!$K$2:$K$20000,DATOS!$A$2:$A$20000,M773,DATOS!$G$2:$G$20000,CONFIG_METADATA!$B$4,DATOS!$I$2:$I$20000,"Coro"),""))</f>
        <v/>
      </c>
      <c r="P773" t="str">
        <f>IF(M773="","",IFERROR(AVERAGEIFS(DATOS!$K$2:$K$20000,DATOS!$A$2:$A$20000,M773,DATOS!$G$2:$G$20000,CONFIG_METADATA!$B$4,DATOS!$I$2:$I$20000,"Conjunto"),""))</f>
        <v/>
      </c>
      <c r="Q773" t="str">
        <f>IF(M773="","",IFERROR(AVERAGEIFS(DATOS!$K$2:$K$20000,DATOS!$A$2:$A$20000,M773,DATOS!$G$2:$G$20000,CONFIG_METADATA!$B$4,DATOS!$I$2:$I$20000,"&lt;&gt;Lenguaje Musical",DATOS!$I$2:$I$20000,"&lt;&gt;Coro",DATOS!$I$2:$I$20000,"&lt;&gt;Conjunto"),""))</f>
        <v/>
      </c>
      <c r="T773" t="str">
        <f>IF(S773="","",IFERROR(AVERAGEIFS(DATOS!$K$2:$K$20000,DATOS!$A$2:$A$20000,S773,DATOS!$G$2:$G$20000,CONFIG_METADATA!$B$4,DATOS!$I$2:$I$20000,"Lenguaje Musical"),""))</f>
        <v/>
      </c>
      <c r="U773" t="str">
        <f>IF(S773="","",IFERROR(AVERAGEIFS(DATOS!$K$2:$K$20000,DATOS!$A$2:$A$20000,S773,DATOS!$G$2:$G$20000,CONFIG_METADATA!$B$4,DATOS!$I$2:$I$20000,"Coro"),""))</f>
        <v/>
      </c>
      <c r="V773" t="str">
        <f>IF(S773="","",IFERROR(AVERAGEIFS(DATOS!$K$2:$K$20000,DATOS!$A$2:$A$20000,S773,DATOS!$G$2:$G$20000,CONFIG_METADATA!$B$4,DATOS!$I$2:$I$20000,"Conjunto"),""))</f>
        <v/>
      </c>
      <c r="W773" t="str" cm="1">
        <f t="array" ref="W773">IF(S773="","",IFERROR(AVERAGE(IF((DATOS!$A$2:$A$20000=S773)*(DATOS!$G$2:$G$20000=CONFIG_METADATA!$B$4)*(DATOS!$I$2:$I$20000&lt;&gt;"Lenguaje Musical")*(DATOS!$I$2:$I$20000&lt;&gt;"Coro")*(DATOS!$I$2:$I$20000&lt;&gt;"Conjunto"),DATOS!$K$2:$K$20000)),""))</f>
        <v/>
      </c>
    </row>
    <row r="774" spans="2:23" x14ac:dyDescent="0.2">
      <c r="B774" t="str">
        <f>IF(A774="","",IFERROR(AVERAGEIFS(DATOS!$K$2:$K$20000,DATOS!$A$2:$A$20000,A774,DATOS!$G$2:$G$20000,CONFIG_METADATA!$B$4,DATOS!$I$2:$I$20000,"Lenguaje Musical"),""))</f>
        <v/>
      </c>
      <c r="C774" t="str">
        <f>IF(A774="","",IFERROR(AVERAGEIFS(DATOS!$K$2:$K$20000,DATOS!$A$2:$A$20000,A774,DATOS!$G$2:$G$20000,CONFIG_METADATA!$B$4,DATOS!$I$2:$I$20000,"Coro"),""))</f>
        <v/>
      </c>
      <c r="D774" t="str">
        <f>IF(A774="","",IFERROR(AVERAGEIFS(DATOS!$K$2:$K$20000,DATOS!$A$2:$A$20000,A774,DATOS!$G$2:$G$20000,CONFIG_METADATA!$B$4,DATOS!$I$2:$I$20000,"Conjunto"),""))</f>
        <v/>
      </c>
      <c r="E774" t="str">
        <f>IF(A774="","",IFERROR(AVERAGEIFS(DATOS!$K$2:$K$20000,DATOS!$A$2:$A$20000,A774,DATOS!$G$2:$G$20000,CONFIG_METADATA!$B$4,DATOS!$I$2:$I$20000,"&lt;&gt;Lenguaje Musical",DATOS!$I$2:$I$20000,"&lt;&gt;Coro",DATOS!$I$2:$I$20000,"&lt;&gt;Conjunto"),""))</f>
        <v/>
      </c>
      <c r="N774" t="str">
        <f>IF(M774="","",IFERROR(AVERAGEIFS(DATOS!$K$2:$K$20000,DATOS!$A$2:$A$20000,M774,DATOS!$G$2:$G$20000,CONFIG_METADATA!$B$4,DATOS!$I$2:$I$20000,"Lenguaje Musical"),""))</f>
        <v/>
      </c>
      <c r="O774" t="str">
        <f>IF(M774="","",IFERROR(AVERAGEIFS(DATOS!$K$2:$K$20000,DATOS!$A$2:$A$20000,M774,DATOS!$G$2:$G$20000,CONFIG_METADATA!$B$4,DATOS!$I$2:$I$20000,"Coro"),""))</f>
        <v/>
      </c>
      <c r="P774" t="str">
        <f>IF(M774="","",IFERROR(AVERAGEIFS(DATOS!$K$2:$K$20000,DATOS!$A$2:$A$20000,M774,DATOS!$G$2:$G$20000,CONFIG_METADATA!$B$4,DATOS!$I$2:$I$20000,"Conjunto"),""))</f>
        <v/>
      </c>
      <c r="Q774" t="str">
        <f>IF(M774="","",IFERROR(AVERAGEIFS(DATOS!$K$2:$K$20000,DATOS!$A$2:$A$20000,M774,DATOS!$G$2:$G$20000,CONFIG_METADATA!$B$4,DATOS!$I$2:$I$20000,"&lt;&gt;Lenguaje Musical",DATOS!$I$2:$I$20000,"&lt;&gt;Coro",DATOS!$I$2:$I$20000,"&lt;&gt;Conjunto"),""))</f>
        <v/>
      </c>
      <c r="T774" t="str">
        <f>IF(S774="","",IFERROR(AVERAGEIFS(DATOS!$K$2:$K$20000,DATOS!$A$2:$A$20000,S774,DATOS!$G$2:$G$20000,CONFIG_METADATA!$B$4,DATOS!$I$2:$I$20000,"Lenguaje Musical"),""))</f>
        <v/>
      </c>
      <c r="U774" t="str">
        <f>IF(S774="","",IFERROR(AVERAGEIFS(DATOS!$K$2:$K$20000,DATOS!$A$2:$A$20000,S774,DATOS!$G$2:$G$20000,CONFIG_METADATA!$B$4,DATOS!$I$2:$I$20000,"Coro"),""))</f>
        <v/>
      </c>
      <c r="V774" t="str">
        <f>IF(S774="","",IFERROR(AVERAGEIFS(DATOS!$K$2:$K$20000,DATOS!$A$2:$A$20000,S774,DATOS!$G$2:$G$20000,CONFIG_METADATA!$B$4,DATOS!$I$2:$I$20000,"Conjunto"),""))</f>
        <v/>
      </c>
      <c r="W774" t="str" cm="1">
        <f t="array" ref="W774">IF(S774="","",IFERROR(AVERAGE(IF((DATOS!$A$2:$A$20000=S774)*(DATOS!$G$2:$G$20000=CONFIG_METADATA!$B$4)*(DATOS!$I$2:$I$20000&lt;&gt;"Lenguaje Musical")*(DATOS!$I$2:$I$20000&lt;&gt;"Coro")*(DATOS!$I$2:$I$20000&lt;&gt;"Conjunto"),DATOS!$K$2:$K$20000)),""))</f>
        <v/>
      </c>
    </row>
    <row r="775" spans="2:23" x14ac:dyDescent="0.2">
      <c r="B775" t="str">
        <f>IF(A775="","",IFERROR(AVERAGEIFS(DATOS!$K$2:$K$20000,DATOS!$A$2:$A$20000,A775,DATOS!$G$2:$G$20000,CONFIG_METADATA!$B$4,DATOS!$I$2:$I$20000,"Lenguaje Musical"),""))</f>
        <v/>
      </c>
      <c r="C775" t="str">
        <f>IF(A775="","",IFERROR(AVERAGEIFS(DATOS!$K$2:$K$20000,DATOS!$A$2:$A$20000,A775,DATOS!$G$2:$G$20000,CONFIG_METADATA!$B$4,DATOS!$I$2:$I$20000,"Coro"),""))</f>
        <v/>
      </c>
      <c r="D775" t="str">
        <f>IF(A775="","",IFERROR(AVERAGEIFS(DATOS!$K$2:$K$20000,DATOS!$A$2:$A$20000,A775,DATOS!$G$2:$G$20000,CONFIG_METADATA!$B$4,DATOS!$I$2:$I$20000,"Conjunto"),""))</f>
        <v/>
      </c>
      <c r="E775" t="str">
        <f>IF(A775="","",IFERROR(AVERAGEIFS(DATOS!$K$2:$K$20000,DATOS!$A$2:$A$20000,A775,DATOS!$G$2:$G$20000,CONFIG_METADATA!$B$4,DATOS!$I$2:$I$20000,"&lt;&gt;Lenguaje Musical",DATOS!$I$2:$I$20000,"&lt;&gt;Coro",DATOS!$I$2:$I$20000,"&lt;&gt;Conjunto"),""))</f>
        <v/>
      </c>
      <c r="N775" t="str">
        <f>IF(M775="","",IFERROR(AVERAGEIFS(DATOS!$K$2:$K$20000,DATOS!$A$2:$A$20000,M775,DATOS!$G$2:$G$20000,CONFIG_METADATA!$B$4,DATOS!$I$2:$I$20000,"Lenguaje Musical"),""))</f>
        <v/>
      </c>
      <c r="O775" t="str">
        <f>IF(M775="","",IFERROR(AVERAGEIFS(DATOS!$K$2:$K$20000,DATOS!$A$2:$A$20000,M775,DATOS!$G$2:$G$20000,CONFIG_METADATA!$B$4,DATOS!$I$2:$I$20000,"Coro"),""))</f>
        <v/>
      </c>
      <c r="P775" t="str">
        <f>IF(M775="","",IFERROR(AVERAGEIFS(DATOS!$K$2:$K$20000,DATOS!$A$2:$A$20000,M775,DATOS!$G$2:$G$20000,CONFIG_METADATA!$B$4,DATOS!$I$2:$I$20000,"Conjunto"),""))</f>
        <v/>
      </c>
      <c r="Q775" t="str">
        <f>IF(M775="","",IFERROR(AVERAGEIFS(DATOS!$K$2:$K$20000,DATOS!$A$2:$A$20000,M775,DATOS!$G$2:$G$20000,CONFIG_METADATA!$B$4,DATOS!$I$2:$I$20000,"&lt;&gt;Lenguaje Musical",DATOS!$I$2:$I$20000,"&lt;&gt;Coro",DATOS!$I$2:$I$20000,"&lt;&gt;Conjunto"),""))</f>
        <v/>
      </c>
      <c r="T775" t="str">
        <f>IF(S775="","",IFERROR(AVERAGEIFS(DATOS!$K$2:$K$20000,DATOS!$A$2:$A$20000,S775,DATOS!$G$2:$G$20000,CONFIG_METADATA!$B$4,DATOS!$I$2:$I$20000,"Lenguaje Musical"),""))</f>
        <v/>
      </c>
      <c r="U775" t="str">
        <f>IF(S775="","",IFERROR(AVERAGEIFS(DATOS!$K$2:$K$20000,DATOS!$A$2:$A$20000,S775,DATOS!$G$2:$G$20000,CONFIG_METADATA!$B$4,DATOS!$I$2:$I$20000,"Coro"),""))</f>
        <v/>
      </c>
      <c r="V775" t="str">
        <f>IF(S775="","",IFERROR(AVERAGEIFS(DATOS!$K$2:$K$20000,DATOS!$A$2:$A$20000,S775,DATOS!$G$2:$G$20000,CONFIG_METADATA!$B$4,DATOS!$I$2:$I$20000,"Conjunto"),""))</f>
        <v/>
      </c>
      <c r="W775" t="str" cm="1">
        <f t="array" ref="W775">IF(S775="","",IFERROR(AVERAGE(IF((DATOS!$A$2:$A$20000=S775)*(DATOS!$G$2:$G$20000=CONFIG_METADATA!$B$4)*(DATOS!$I$2:$I$20000&lt;&gt;"Lenguaje Musical")*(DATOS!$I$2:$I$20000&lt;&gt;"Coro")*(DATOS!$I$2:$I$20000&lt;&gt;"Conjunto"),DATOS!$K$2:$K$20000)),""))</f>
        <v/>
      </c>
    </row>
    <row r="776" spans="2:23" x14ac:dyDescent="0.2">
      <c r="B776" t="str">
        <f>IF(A776="","",IFERROR(AVERAGEIFS(DATOS!$K$2:$K$20000,DATOS!$A$2:$A$20000,A776,DATOS!$G$2:$G$20000,CONFIG_METADATA!$B$4,DATOS!$I$2:$I$20000,"Lenguaje Musical"),""))</f>
        <v/>
      </c>
      <c r="C776" t="str">
        <f>IF(A776="","",IFERROR(AVERAGEIFS(DATOS!$K$2:$K$20000,DATOS!$A$2:$A$20000,A776,DATOS!$G$2:$G$20000,CONFIG_METADATA!$B$4,DATOS!$I$2:$I$20000,"Coro"),""))</f>
        <v/>
      </c>
      <c r="D776" t="str">
        <f>IF(A776="","",IFERROR(AVERAGEIFS(DATOS!$K$2:$K$20000,DATOS!$A$2:$A$20000,A776,DATOS!$G$2:$G$20000,CONFIG_METADATA!$B$4,DATOS!$I$2:$I$20000,"Conjunto"),""))</f>
        <v/>
      </c>
      <c r="E776" t="str">
        <f>IF(A776="","",IFERROR(AVERAGEIFS(DATOS!$K$2:$K$20000,DATOS!$A$2:$A$20000,A776,DATOS!$G$2:$G$20000,CONFIG_METADATA!$B$4,DATOS!$I$2:$I$20000,"&lt;&gt;Lenguaje Musical",DATOS!$I$2:$I$20000,"&lt;&gt;Coro",DATOS!$I$2:$I$20000,"&lt;&gt;Conjunto"),""))</f>
        <v/>
      </c>
      <c r="N776" t="str">
        <f>IF(M776="","",IFERROR(AVERAGEIFS(DATOS!$K$2:$K$20000,DATOS!$A$2:$A$20000,M776,DATOS!$G$2:$G$20000,CONFIG_METADATA!$B$4,DATOS!$I$2:$I$20000,"Lenguaje Musical"),""))</f>
        <v/>
      </c>
      <c r="O776" t="str">
        <f>IF(M776="","",IFERROR(AVERAGEIFS(DATOS!$K$2:$K$20000,DATOS!$A$2:$A$20000,M776,DATOS!$G$2:$G$20000,CONFIG_METADATA!$B$4,DATOS!$I$2:$I$20000,"Coro"),""))</f>
        <v/>
      </c>
      <c r="P776" t="str">
        <f>IF(M776="","",IFERROR(AVERAGEIFS(DATOS!$K$2:$K$20000,DATOS!$A$2:$A$20000,M776,DATOS!$G$2:$G$20000,CONFIG_METADATA!$B$4,DATOS!$I$2:$I$20000,"Conjunto"),""))</f>
        <v/>
      </c>
      <c r="Q776" t="str">
        <f>IF(M776="","",IFERROR(AVERAGEIFS(DATOS!$K$2:$K$20000,DATOS!$A$2:$A$20000,M776,DATOS!$G$2:$G$20000,CONFIG_METADATA!$B$4,DATOS!$I$2:$I$20000,"&lt;&gt;Lenguaje Musical",DATOS!$I$2:$I$20000,"&lt;&gt;Coro",DATOS!$I$2:$I$20000,"&lt;&gt;Conjunto"),""))</f>
        <v/>
      </c>
      <c r="T776" t="str">
        <f>IF(S776="","",IFERROR(AVERAGEIFS(DATOS!$K$2:$K$20000,DATOS!$A$2:$A$20000,S776,DATOS!$G$2:$G$20000,CONFIG_METADATA!$B$4,DATOS!$I$2:$I$20000,"Lenguaje Musical"),""))</f>
        <v/>
      </c>
      <c r="U776" t="str">
        <f>IF(S776="","",IFERROR(AVERAGEIFS(DATOS!$K$2:$K$20000,DATOS!$A$2:$A$20000,S776,DATOS!$G$2:$G$20000,CONFIG_METADATA!$B$4,DATOS!$I$2:$I$20000,"Coro"),""))</f>
        <v/>
      </c>
      <c r="V776" t="str">
        <f>IF(S776="","",IFERROR(AVERAGEIFS(DATOS!$K$2:$K$20000,DATOS!$A$2:$A$20000,S776,DATOS!$G$2:$G$20000,CONFIG_METADATA!$B$4,DATOS!$I$2:$I$20000,"Conjunto"),""))</f>
        <v/>
      </c>
      <c r="W776" t="str" cm="1">
        <f t="array" ref="W776">IF(S776="","",IFERROR(AVERAGE(IF((DATOS!$A$2:$A$20000=S776)*(DATOS!$G$2:$G$20000=CONFIG_METADATA!$B$4)*(DATOS!$I$2:$I$20000&lt;&gt;"Lenguaje Musical")*(DATOS!$I$2:$I$20000&lt;&gt;"Coro")*(DATOS!$I$2:$I$20000&lt;&gt;"Conjunto"),DATOS!$K$2:$K$20000)),""))</f>
        <v/>
      </c>
    </row>
    <row r="777" spans="2:23" x14ac:dyDescent="0.2">
      <c r="B777" t="str">
        <f>IF(A777="","",IFERROR(AVERAGEIFS(DATOS!$K$2:$K$20000,DATOS!$A$2:$A$20000,A777,DATOS!$G$2:$G$20000,CONFIG_METADATA!$B$4,DATOS!$I$2:$I$20000,"Lenguaje Musical"),""))</f>
        <v/>
      </c>
      <c r="C777" t="str">
        <f>IF(A777="","",IFERROR(AVERAGEIFS(DATOS!$K$2:$K$20000,DATOS!$A$2:$A$20000,A777,DATOS!$G$2:$G$20000,CONFIG_METADATA!$B$4,DATOS!$I$2:$I$20000,"Coro"),""))</f>
        <v/>
      </c>
      <c r="D777" t="str">
        <f>IF(A777="","",IFERROR(AVERAGEIFS(DATOS!$K$2:$K$20000,DATOS!$A$2:$A$20000,A777,DATOS!$G$2:$G$20000,CONFIG_METADATA!$B$4,DATOS!$I$2:$I$20000,"Conjunto"),""))</f>
        <v/>
      </c>
      <c r="E777" t="str">
        <f>IF(A777="","",IFERROR(AVERAGEIFS(DATOS!$K$2:$K$20000,DATOS!$A$2:$A$20000,A777,DATOS!$G$2:$G$20000,CONFIG_METADATA!$B$4,DATOS!$I$2:$I$20000,"&lt;&gt;Lenguaje Musical",DATOS!$I$2:$I$20000,"&lt;&gt;Coro",DATOS!$I$2:$I$20000,"&lt;&gt;Conjunto"),""))</f>
        <v/>
      </c>
      <c r="N777" t="str">
        <f>IF(M777="","",IFERROR(AVERAGEIFS(DATOS!$K$2:$K$20000,DATOS!$A$2:$A$20000,M777,DATOS!$G$2:$G$20000,CONFIG_METADATA!$B$4,DATOS!$I$2:$I$20000,"Lenguaje Musical"),""))</f>
        <v/>
      </c>
      <c r="O777" t="str">
        <f>IF(M777="","",IFERROR(AVERAGEIFS(DATOS!$K$2:$K$20000,DATOS!$A$2:$A$20000,M777,DATOS!$G$2:$G$20000,CONFIG_METADATA!$B$4,DATOS!$I$2:$I$20000,"Coro"),""))</f>
        <v/>
      </c>
      <c r="P777" t="str">
        <f>IF(M777="","",IFERROR(AVERAGEIFS(DATOS!$K$2:$K$20000,DATOS!$A$2:$A$20000,M777,DATOS!$G$2:$G$20000,CONFIG_METADATA!$B$4,DATOS!$I$2:$I$20000,"Conjunto"),""))</f>
        <v/>
      </c>
      <c r="Q777" t="str">
        <f>IF(M777="","",IFERROR(AVERAGEIFS(DATOS!$K$2:$K$20000,DATOS!$A$2:$A$20000,M777,DATOS!$G$2:$G$20000,CONFIG_METADATA!$B$4,DATOS!$I$2:$I$20000,"&lt;&gt;Lenguaje Musical",DATOS!$I$2:$I$20000,"&lt;&gt;Coro",DATOS!$I$2:$I$20000,"&lt;&gt;Conjunto"),""))</f>
        <v/>
      </c>
      <c r="T777" t="str">
        <f>IF(S777="","",IFERROR(AVERAGEIFS(DATOS!$K$2:$K$20000,DATOS!$A$2:$A$20000,S777,DATOS!$G$2:$G$20000,CONFIG_METADATA!$B$4,DATOS!$I$2:$I$20000,"Lenguaje Musical"),""))</f>
        <v/>
      </c>
      <c r="U777" t="str">
        <f>IF(S777="","",IFERROR(AVERAGEIFS(DATOS!$K$2:$K$20000,DATOS!$A$2:$A$20000,S777,DATOS!$G$2:$G$20000,CONFIG_METADATA!$B$4,DATOS!$I$2:$I$20000,"Coro"),""))</f>
        <v/>
      </c>
      <c r="V777" t="str">
        <f>IF(S777="","",IFERROR(AVERAGEIFS(DATOS!$K$2:$K$20000,DATOS!$A$2:$A$20000,S777,DATOS!$G$2:$G$20000,CONFIG_METADATA!$B$4,DATOS!$I$2:$I$20000,"Conjunto"),""))</f>
        <v/>
      </c>
      <c r="W777" t="str" cm="1">
        <f t="array" ref="W777">IF(S777="","",IFERROR(AVERAGE(IF((DATOS!$A$2:$A$20000=S777)*(DATOS!$G$2:$G$20000=CONFIG_METADATA!$B$4)*(DATOS!$I$2:$I$20000&lt;&gt;"Lenguaje Musical")*(DATOS!$I$2:$I$20000&lt;&gt;"Coro")*(DATOS!$I$2:$I$20000&lt;&gt;"Conjunto"),DATOS!$K$2:$K$20000)),""))</f>
        <v/>
      </c>
    </row>
    <row r="778" spans="2:23" x14ac:dyDescent="0.2">
      <c r="B778" t="str">
        <f>IF(A778="","",IFERROR(AVERAGEIFS(DATOS!$K$2:$K$20000,DATOS!$A$2:$A$20000,A778,DATOS!$G$2:$G$20000,CONFIG_METADATA!$B$4,DATOS!$I$2:$I$20000,"Lenguaje Musical"),""))</f>
        <v/>
      </c>
      <c r="C778" t="str">
        <f>IF(A778="","",IFERROR(AVERAGEIFS(DATOS!$K$2:$K$20000,DATOS!$A$2:$A$20000,A778,DATOS!$G$2:$G$20000,CONFIG_METADATA!$B$4,DATOS!$I$2:$I$20000,"Coro"),""))</f>
        <v/>
      </c>
      <c r="D778" t="str">
        <f>IF(A778="","",IFERROR(AVERAGEIFS(DATOS!$K$2:$K$20000,DATOS!$A$2:$A$20000,A778,DATOS!$G$2:$G$20000,CONFIG_METADATA!$B$4,DATOS!$I$2:$I$20000,"Conjunto"),""))</f>
        <v/>
      </c>
      <c r="E778" t="str">
        <f>IF(A778="","",IFERROR(AVERAGEIFS(DATOS!$K$2:$K$20000,DATOS!$A$2:$A$20000,A778,DATOS!$G$2:$G$20000,CONFIG_METADATA!$B$4,DATOS!$I$2:$I$20000,"&lt;&gt;Lenguaje Musical",DATOS!$I$2:$I$20000,"&lt;&gt;Coro",DATOS!$I$2:$I$20000,"&lt;&gt;Conjunto"),""))</f>
        <v/>
      </c>
      <c r="N778" t="str">
        <f>IF(M778="","",IFERROR(AVERAGEIFS(DATOS!$K$2:$K$20000,DATOS!$A$2:$A$20000,M778,DATOS!$G$2:$G$20000,CONFIG_METADATA!$B$4,DATOS!$I$2:$I$20000,"Lenguaje Musical"),""))</f>
        <v/>
      </c>
      <c r="O778" t="str">
        <f>IF(M778="","",IFERROR(AVERAGEIFS(DATOS!$K$2:$K$20000,DATOS!$A$2:$A$20000,M778,DATOS!$G$2:$G$20000,CONFIG_METADATA!$B$4,DATOS!$I$2:$I$20000,"Coro"),""))</f>
        <v/>
      </c>
      <c r="P778" t="str">
        <f>IF(M778="","",IFERROR(AVERAGEIFS(DATOS!$K$2:$K$20000,DATOS!$A$2:$A$20000,M778,DATOS!$G$2:$G$20000,CONFIG_METADATA!$B$4,DATOS!$I$2:$I$20000,"Conjunto"),""))</f>
        <v/>
      </c>
      <c r="Q778" t="str">
        <f>IF(M778="","",IFERROR(AVERAGEIFS(DATOS!$K$2:$K$20000,DATOS!$A$2:$A$20000,M778,DATOS!$G$2:$G$20000,CONFIG_METADATA!$B$4,DATOS!$I$2:$I$20000,"&lt;&gt;Lenguaje Musical",DATOS!$I$2:$I$20000,"&lt;&gt;Coro",DATOS!$I$2:$I$20000,"&lt;&gt;Conjunto"),""))</f>
        <v/>
      </c>
      <c r="T778" t="str">
        <f>IF(S778="","",IFERROR(AVERAGEIFS(DATOS!$K$2:$K$20000,DATOS!$A$2:$A$20000,S778,DATOS!$G$2:$G$20000,CONFIG_METADATA!$B$4,DATOS!$I$2:$I$20000,"Lenguaje Musical"),""))</f>
        <v/>
      </c>
      <c r="U778" t="str">
        <f>IF(S778="","",IFERROR(AVERAGEIFS(DATOS!$K$2:$K$20000,DATOS!$A$2:$A$20000,S778,DATOS!$G$2:$G$20000,CONFIG_METADATA!$B$4,DATOS!$I$2:$I$20000,"Coro"),""))</f>
        <v/>
      </c>
      <c r="V778" t="str">
        <f>IF(S778="","",IFERROR(AVERAGEIFS(DATOS!$K$2:$K$20000,DATOS!$A$2:$A$20000,S778,DATOS!$G$2:$G$20000,CONFIG_METADATA!$B$4,DATOS!$I$2:$I$20000,"Conjunto"),""))</f>
        <v/>
      </c>
      <c r="W778" t="str" cm="1">
        <f t="array" ref="W778">IF(S778="","",IFERROR(AVERAGE(IF((DATOS!$A$2:$A$20000=S778)*(DATOS!$G$2:$G$20000=CONFIG_METADATA!$B$4)*(DATOS!$I$2:$I$20000&lt;&gt;"Lenguaje Musical")*(DATOS!$I$2:$I$20000&lt;&gt;"Coro")*(DATOS!$I$2:$I$20000&lt;&gt;"Conjunto"),DATOS!$K$2:$K$20000)),""))</f>
        <v/>
      </c>
    </row>
    <row r="779" spans="2:23" x14ac:dyDescent="0.2">
      <c r="B779" t="str">
        <f>IF(A779="","",IFERROR(AVERAGEIFS(DATOS!$K$2:$K$20000,DATOS!$A$2:$A$20000,A779,DATOS!$G$2:$G$20000,CONFIG_METADATA!$B$4,DATOS!$I$2:$I$20000,"Lenguaje Musical"),""))</f>
        <v/>
      </c>
      <c r="C779" t="str">
        <f>IF(A779="","",IFERROR(AVERAGEIFS(DATOS!$K$2:$K$20000,DATOS!$A$2:$A$20000,A779,DATOS!$G$2:$G$20000,CONFIG_METADATA!$B$4,DATOS!$I$2:$I$20000,"Coro"),""))</f>
        <v/>
      </c>
      <c r="D779" t="str">
        <f>IF(A779="","",IFERROR(AVERAGEIFS(DATOS!$K$2:$K$20000,DATOS!$A$2:$A$20000,A779,DATOS!$G$2:$G$20000,CONFIG_METADATA!$B$4,DATOS!$I$2:$I$20000,"Conjunto"),""))</f>
        <v/>
      </c>
      <c r="E779" t="str">
        <f>IF(A779="","",IFERROR(AVERAGEIFS(DATOS!$K$2:$K$20000,DATOS!$A$2:$A$20000,A779,DATOS!$G$2:$G$20000,CONFIG_METADATA!$B$4,DATOS!$I$2:$I$20000,"&lt;&gt;Lenguaje Musical",DATOS!$I$2:$I$20000,"&lt;&gt;Coro",DATOS!$I$2:$I$20000,"&lt;&gt;Conjunto"),""))</f>
        <v/>
      </c>
      <c r="N779" t="str">
        <f>IF(M779="","",IFERROR(AVERAGEIFS(DATOS!$K$2:$K$20000,DATOS!$A$2:$A$20000,M779,DATOS!$G$2:$G$20000,CONFIG_METADATA!$B$4,DATOS!$I$2:$I$20000,"Lenguaje Musical"),""))</f>
        <v/>
      </c>
      <c r="O779" t="str">
        <f>IF(M779="","",IFERROR(AVERAGEIFS(DATOS!$K$2:$K$20000,DATOS!$A$2:$A$20000,M779,DATOS!$G$2:$G$20000,CONFIG_METADATA!$B$4,DATOS!$I$2:$I$20000,"Coro"),""))</f>
        <v/>
      </c>
      <c r="P779" t="str">
        <f>IF(M779="","",IFERROR(AVERAGEIFS(DATOS!$K$2:$K$20000,DATOS!$A$2:$A$20000,M779,DATOS!$G$2:$G$20000,CONFIG_METADATA!$B$4,DATOS!$I$2:$I$20000,"Conjunto"),""))</f>
        <v/>
      </c>
      <c r="Q779" t="str">
        <f>IF(M779="","",IFERROR(AVERAGEIFS(DATOS!$K$2:$K$20000,DATOS!$A$2:$A$20000,M779,DATOS!$G$2:$G$20000,CONFIG_METADATA!$B$4,DATOS!$I$2:$I$20000,"&lt;&gt;Lenguaje Musical",DATOS!$I$2:$I$20000,"&lt;&gt;Coro",DATOS!$I$2:$I$20000,"&lt;&gt;Conjunto"),""))</f>
        <v/>
      </c>
      <c r="T779" t="str">
        <f>IF(S779="","",IFERROR(AVERAGEIFS(DATOS!$K$2:$K$20000,DATOS!$A$2:$A$20000,S779,DATOS!$G$2:$G$20000,CONFIG_METADATA!$B$4,DATOS!$I$2:$I$20000,"Lenguaje Musical"),""))</f>
        <v/>
      </c>
      <c r="U779" t="str">
        <f>IF(S779="","",IFERROR(AVERAGEIFS(DATOS!$K$2:$K$20000,DATOS!$A$2:$A$20000,S779,DATOS!$G$2:$G$20000,CONFIG_METADATA!$B$4,DATOS!$I$2:$I$20000,"Coro"),""))</f>
        <v/>
      </c>
      <c r="V779" t="str">
        <f>IF(S779="","",IFERROR(AVERAGEIFS(DATOS!$K$2:$K$20000,DATOS!$A$2:$A$20000,S779,DATOS!$G$2:$G$20000,CONFIG_METADATA!$B$4,DATOS!$I$2:$I$20000,"Conjunto"),""))</f>
        <v/>
      </c>
      <c r="W779" t="str" cm="1">
        <f t="array" ref="W779">IF(S779="","",IFERROR(AVERAGE(IF((DATOS!$A$2:$A$20000=S779)*(DATOS!$G$2:$G$20000=CONFIG_METADATA!$B$4)*(DATOS!$I$2:$I$20000&lt;&gt;"Lenguaje Musical")*(DATOS!$I$2:$I$20000&lt;&gt;"Coro")*(DATOS!$I$2:$I$20000&lt;&gt;"Conjunto"),DATOS!$K$2:$K$20000)),""))</f>
        <v/>
      </c>
    </row>
    <row r="780" spans="2:23" x14ac:dyDescent="0.2">
      <c r="B780" t="str">
        <f>IF(A780="","",IFERROR(AVERAGEIFS(DATOS!$K$2:$K$20000,DATOS!$A$2:$A$20000,A780,DATOS!$G$2:$G$20000,CONFIG_METADATA!$B$4,DATOS!$I$2:$I$20000,"Lenguaje Musical"),""))</f>
        <v/>
      </c>
      <c r="C780" t="str">
        <f>IF(A780="","",IFERROR(AVERAGEIFS(DATOS!$K$2:$K$20000,DATOS!$A$2:$A$20000,A780,DATOS!$G$2:$G$20000,CONFIG_METADATA!$B$4,DATOS!$I$2:$I$20000,"Coro"),""))</f>
        <v/>
      </c>
      <c r="D780" t="str">
        <f>IF(A780="","",IFERROR(AVERAGEIFS(DATOS!$K$2:$K$20000,DATOS!$A$2:$A$20000,A780,DATOS!$G$2:$G$20000,CONFIG_METADATA!$B$4,DATOS!$I$2:$I$20000,"Conjunto"),""))</f>
        <v/>
      </c>
      <c r="E780" t="str">
        <f>IF(A780="","",IFERROR(AVERAGEIFS(DATOS!$K$2:$K$20000,DATOS!$A$2:$A$20000,A780,DATOS!$G$2:$G$20000,CONFIG_METADATA!$B$4,DATOS!$I$2:$I$20000,"&lt;&gt;Lenguaje Musical",DATOS!$I$2:$I$20000,"&lt;&gt;Coro",DATOS!$I$2:$I$20000,"&lt;&gt;Conjunto"),""))</f>
        <v/>
      </c>
      <c r="N780" t="str">
        <f>IF(M780="","",IFERROR(AVERAGEIFS(DATOS!$K$2:$K$20000,DATOS!$A$2:$A$20000,M780,DATOS!$G$2:$G$20000,CONFIG_METADATA!$B$4,DATOS!$I$2:$I$20000,"Lenguaje Musical"),""))</f>
        <v/>
      </c>
      <c r="O780" t="str">
        <f>IF(M780="","",IFERROR(AVERAGEIFS(DATOS!$K$2:$K$20000,DATOS!$A$2:$A$20000,M780,DATOS!$G$2:$G$20000,CONFIG_METADATA!$B$4,DATOS!$I$2:$I$20000,"Coro"),""))</f>
        <v/>
      </c>
      <c r="P780" t="str">
        <f>IF(M780="","",IFERROR(AVERAGEIFS(DATOS!$K$2:$K$20000,DATOS!$A$2:$A$20000,M780,DATOS!$G$2:$G$20000,CONFIG_METADATA!$B$4,DATOS!$I$2:$I$20000,"Conjunto"),""))</f>
        <v/>
      </c>
      <c r="Q780" t="str">
        <f>IF(M780="","",IFERROR(AVERAGEIFS(DATOS!$K$2:$K$20000,DATOS!$A$2:$A$20000,M780,DATOS!$G$2:$G$20000,CONFIG_METADATA!$B$4,DATOS!$I$2:$I$20000,"&lt;&gt;Lenguaje Musical",DATOS!$I$2:$I$20000,"&lt;&gt;Coro",DATOS!$I$2:$I$20000,"&lt;&gt;Conjunto"),""))</f>
        <v/>
      </c>
      <c r="T780" t="str">
        <f>IF(S780="","",IFERROR(AVERAGEIFS(DATOS!$K$2:$K$20000,DATOS!$A$2:$A$20000,S780,DATOS!$G$2:$G$20000,CONFIG_METADATA!$B$4,DATOS!$I$2:$I$20000,"Lenguaje Musical"),""))</f>
        <v/>
      </c>
      <c r="U780" t="str">
        <f>IF(S780="","",IFERROR(AVERAGEIFS(DATOS!$K$2:$K$20000,DATOS!$A$2:$A$20000,S780,DATOS!$G$2:$G$20000,CONFIG_METADATA!$B$4,DATOS!$I$2:$I$20000,"Coro"),""))</f>
        <v/>
      </c>
      <c r="V780" t="str">
        <f>IF(S780="","",IFERROR(AVERAGEIFS(DATOS!$K$2:$K$20000,DATOS!$A$2:$A$20000,S780,DATOS!$G$2:$G$20000,CONFIG_METADATA!$B$4,DATOS!$I$2:$I$20000,"Conjunto"),""))</f>
        <v/>
      </c>
      <c r="W780" t="str" cm="1">
        <f t="array" ref="W780">IF(S780="","",IFERROR(AVERAGE(IF((DATOS!$A$2:$A$20000=S780)*(DATOS!$G$2:$G$20000=CONFIG_METADATA!$B$4)*(DATOS!$I$2:$I$20000&lt;&gt;"Lenguaje Musical")*(DATOS!$I$2:$I$20000&lt;&gt;"Coro")*(DATOS!$I$2:$I$20000&lt;&gt;"Conjunto"),DATOS!$K$2:$K$20000)),""))</f>
        <v/>
      </c>
    </row>
    <row r="781" spans="2:23" x14ac:dyDescent="0.2">
      <c r="B781" t="str">
        <f>IF(A781="","",IFERROR(AVERAGEIFS(DATOS!$K$2:$K$20000,DATOS!$A$2:$A$20000,A781,DATOS!$G$2:$G$20000,CONFIG_METADATA!$B$4,DATOS!$I$2:$I$20000,"Lenguaje Musical"),""))</f>
        <v/>
      </c>
      <c r="C781" t="str">
        <f>IF(A781="","",IFERROR(AVERAGEIFS(DATOS!$K$2:$K$20000,DATOS!$A$2:$A$20000,A781,DATOS!$G$2:$G$20000,CONFIG_METADATA!$B$4,DATOS!$I$2:$I$20000,"Coro"),""))</f>
        <v/>
      </c>
      <c r="D781" t="str">
        <f>IF(A781="","",IFERROR(AVERAGEIFS(DATOS!$K$2:$K$20000,DATOS!$A$2:$A$20000,A781,DATOS!$G$2:$G$20000,CONFIG_METADATA!$B$4,DATOS!$I$2:$I$20000,"Conjunto"),""))</f>
        <v/>
      </c>
      <c r="E781" t="str">
        <f>IF(A781="","",IFERROR(AVERAGEIFS(DATOS!$K$2:$K$20000,DATOS!$A$2:$A$20000,A781,DATOS!$G$2:$G$20000,CONFIG_METADATA!$B$4,DATOS!$I$2:$I$20000,"&lt;&gt;Lenguaje Musical",DATOS!$I$2:$I$20000,"&lt;&gt;Coro",DATOS!$I$2:$I$20000,"&lt;&gt;Conjunto"),""))</f>
        <v/>
      </c>
      <c r="N781" t="str">
        <f>IF(M781="","",IFERROR(AVERAGEIFS(DATOS!$K$2:$K$20000,DATOS!$A$2:$A$20000,M781,DATOS!$G$2:$G$20000,CONFIG_METADATA!$B$4,DATOS!$I$2:$I$20000,"Lenguaje Musical"),""))</f>
        <v/>
      </c>
      <c r="O781" t="str">
        <f>IF(M781="","",IFERROR(AVERAGEIFS(DATOS!$K$2:$K$20000,DATOS!$A$2:$A$20000,M781,DATOS!$G$2:$G$20000,CONFIG_METADATA!$B$4,DATOS!$I$2:$I$20000,"Coro"),""))</f>
        <v/>
      </c>
      <c r="P781" t="str">
        <f>IF(M781="","",IFERROR(AVERAGEIFS(DATOS!$K$2:$K$20000,DATOS!$A$2:$A$20000,M781,DATOS!$G$2:$G$20000,CONFIG_METADATA!$B$4,DATOS!$I$2:$I$20000,"Conjunto"),""))</f>
        <v/>
      </c>
      <c r="Q781" t="str">
        <f>IF(M781="","",IFERROR(AVERAGEIFS(DATOS!$K$2:$K$20000,DATOS!$A$2:$A$20000,M781,DATOS!$G$2:$G$20000,CONFIG_METADATA!$B$4,DATOS!$I$2:$I$20000,"&lt;&gt;Lenguaje Musical",DATOS!$I$2:$I$20000,"&lt;&gt;Coro",DATOS!$I$2:$I$20000,"&lt;&gt;Conjunto"),""))</f>
        <v/>
      </c>
      <c r="T781" t="str">
        <f>IF(S781="","",IFERROR(AVERAGEIFS(DATOS!$K$2:$K$20000,DATOS!$A$2:$A$20000,S781,DATOS!$G$2:$G$20000,CONFIG_METADATA!$B$4,DATOS!$I$2:$I$20000,"Lenguaje Musical"),""))</f>
        <v/>
      </c>
      <c r="U781" t="str">
        <f>IF(S781="","",IFERROR(AVERAGEIFS(DATOS!$K$2:$K$20000,DATOS!$A$2:$A$20000,S781,DATOS!$G$2:$G$20000,CONFIG_METADATA!$B$4,DATOS!$I$2:$I$20000,"Coro"),""))</f>
        <v/>
      </c>
      <c r="V781" t="str">
        <f>IF(S781="","",IFERROR(AVERAGEIFS(DATOS!$K$2:$K$20000,DATOS!$A$2:$A$20000,S781,DATOS!$G$2:$G$20000,CONFIG_METADATA!$B$4,DATOS!$I$2:$I$20000,"Conjunto"),""))</f>
        <v/>
      </c>
      <c r="W781" t="str" cm="1">
        <f t="array" ref="W781">IF(S781="","",IFERROR(AVERAGE(IF((DATOS!$A$2:$A$20000=S781)*(DATOS!$G$2:$G$20000=CONFIG_METADATA!$B$4)*(DATOS!$I$2:$I$20000&lt;&gt;"Lenguaje Musical")*(DATOS!$I$2:$I$20000&lt;&gt;"Coro")*(DATOS!$I$2:$I$20000&lt;&gt;"Conjunto"),DATOS!$K$2:$K$20000)),""))</f>
        <v/>
      </c>
    </row>
    <row r="782" spans="2:23" x14ac:dyDescent="0.2">
      <c r="B782" t="str">
        <f>IF(A782="","",IFERROR(AVERAGEIFS(DATOS!$K$2:$K$20000,DATOS!$A$2:$A$20000,A782,DATOS!$G$2:$G$20000,CONFIG_METADATA!$B$4,DATOS!$I$2:$I$20000,"Lenguaje Musical"),""))</f>
        <v/>
      </c>
      <c r="C782" t="str">
        <f>IF(A782="","",IFERROR(AVERAGEIFS(DATOS!$K$2:$K$20000,DATOS!$A$2:$A$20000,A782,DATOS!$G$2:$G$20000,CONFIG_METADATA!$B$4,DATOS!$I$2:$I$20000,"Coro"),""))</f>
        <v/>
      </c>
      <c r="D782" t="str">
        <f>IF(A782="","",IFERROR(AVERAGEIFS(DATOS!$K$2:$K$20000,DATOS!$A$2:$A$20000,A782,DATOS!$G$2:$G$20000,CONFIG_METADATA!$B$4,DATOS!$I$2:$I$20000,"Conjunto"),""))</f>
        <v/>
      </c>
      <c r="E782" t="str">
        <f>IF(A782="","",IFERROR(AVERAGEIFS(DATOS!$K$2:$K$20000,DATOS!$A$2:$A$20000,A782,DATOS!$G$2:$G$20000,CONFIG_METADATA!$B$4,DATOS!$I$2:$I$20000,"&lt;&gt;Lenguaje Musical",DATOS!$I$2:$I$20000,"&lt;&gt;Coro",DATOS!$I$2:$I$20000,"&lt;&gt;Conjunto"),""))</f>
        <v/>
      </c>
      <c r="N782" t="str">
        <f>IF(M782="","",IFERROR(AVERAGEIFS(DATOS!$K$2:$K$20000,DATOS!$A$2:$A$20000,M782,DATOS!$G$2:$G$20000,CONFIG_METADATA!$B$4,DATOS!$I$2:$I$20000,"Lenguaje Musical"),""))</f>
        <v/>
      </c>
      <c r="O782" t="str">
        <f>IF(M782="","",IFERROR(AVERAGEIFS(DATOS!$K$2:$K$20000,DATOS!$A$2:$A$20000,M782,DATOS!$G$2:$G$20000,CONFIG_METADATA!$B$4,DATOS!$I$2:$I$20000,"Coro"),""))</f>
        <v/>
      </c>
      <c r="P782" t="str">
        <f>IF(M782="","",IFERROR(AVERAGEIFS(DATOS!$K$2:$K$20000,DATOS!$A$2:$A$20000,M782,DATOS!$G$2:$G$20000,CONFIG_METADATA!$B$4,DATOS!$I$2:$I$20000,"Conjunto"),""))</f>
        <v/>
      </c>
      <c r="Q782" t="str">
        <f>IF(M782="","",IFERROR(AVERAGEIFS(DATOS!$K$2:$K$20000,DATOS!$A$2:$A$20000,M782,DATOS!$G$2:$G$20000,CONFIG_METADATA!$B$4,DATOS!$I$2:$I$20000,"&lt;&gt;Lenguaje Musical",DATOS!$I$2:$I$20000,"&lt;&gt;Coro",DATOS!$I$2:$I$20000,"&lt;&gt;Conjunto"),""))</f>
        <v/>
      </c>
      <c r="T782" t="str">
        <f>IF(S782="","",IFERROR(AVERAGEIFS(DATOS!$K$2:$K$20000,DATOS!$A$2:$A$20000,S782,DATOS!$G$2:$G$20000,CONFIG_METADATA!$B$4,DATOS!$I$2:$I$20000,"Lenguaje Musical"),""))</f>
        <v/>
      </c>
      <c r="U782" t="str">
        <f>IF(S782="","",IFERROR(AVERAGEIFS(DATOS!$K$2:$K$20000,DATOS!$A$2:$A$20000,S782,DATOS!$G$2:$G$20000,CONFIG_METADATA!$B$4,DATOS!$I$2:$I$20000,"Coro"),""))</f>
        <v/>
      </c>
      <c r="V782" t="str">
        <f>IF(S782="","",IFERROR(AVERAGEIFS(DATOS!$K$2:$K$20000,DATOS!$A$2:$A$20000,S782,DATOS!$G$2:$G$20000,CONFIG_METADATA!$B$4,DATOS!$I$2:$I$20000,"Conjunto"),""))</f>
        <v/>
      </c>
      <c r="W782" t="str" cm="1">
        <f t="array" ref="W782">IF(S782="","",IFERROR(AVERAGE(IF((DATOS!$A$2:$A$20000=S782)*(DATOS!$G$2:$G$20000=CONFIG_METADATA!$B$4)*(DATOS!$I$2:$I$20000&lt;&gt;"Lenguaje Musical")*(DATOS!$I$2:$I$20000&lt;&gt;"Coro")*(DATOS!$I$2:$I$20000&lt;&gt;"Conjunto"),DATOS!$K$2:$K$20000)),""))</f>
        <v/>
      </c>
    </row>
    <row r="783" spans="2:23" x14ac:dyDescent="0.2">
      <c r="B783" t="str">
        <f>IF(A783="","",IFERROR(AVERAGEIFS(DATOS!$K$2:$K$20000,DATOS!$A$2:$A$20000,A783,DATOS!$G$2:$G$20000,CONFIG_METADATA!$B$4,DATOS!$I$2:$I$20000,"Lenguaje Musical"),""))</f>
        <v/>
      </c>
      <c r="C783" t="str">
        <f>IF(A783="","",IFERROR(AVERAGEIFS(DATOS!$K$2:$K$20000,DATOS!$A$2:$A$20000,A783,DATOS!$G$2:$G$20000,CONFIG_METADATA!$B$4,DATOS!$I$2:$I$20000,"Coro"),""))</f>
        <v/>
      </c>
      <c r="D783" t="str">
        <f>IF(A783="","",IFERROR(AVERAGEIFS(DATOS!$K$2:$K$20000,DATOS!$A$2:$A$20000,A783,DATOS!$G$2:$G$20000,CONFIG_METADATA!$B$4,DATOS!$I$2:$I$20000,"Conjunto"),""))</f>
        <v/>
      </c>
      <c r="E783" t="str">
        <f>IF(A783="","",IFERROR(AVERAGEIFS(DATOS!$K$2:$K$20000,DATOS!$A$2:$A$20000,A783,DATOS!$G$2:$G$20000,CONFIG_METADATA!$B$4,DATOS!$I$2:$I$20000,"&lt;&gt;Lenguaje Musical",DATOS!$I$2:$I$20000,"&lt;&gt;Coro",DATOS!$I$2:$I$20000,"&lt;&gt;Conjunto"),""))</f>
        <v/>
      </c>
      <c r="N783" t="str">
        <f>IF(M783="","",IFERROR(AVERAGEIFS(DATOS!$K$2:$K$20000,DATOS!$A$2:$A$20000,M783,DATOS!$G$2:$G$20000,CONFIG_METADATA!$B$4,DATOS!$I$2:$I$20000,"Lenguaje Musical"),""))</f>
        <v/>
      </c>
      <c r="O783" t="str">
        <f>IF(M783="","",IFERROR(AVERAGEIFS(DATOS!$K$2:$K$20000,DATOS!$A$2:$A$20000,M783,DATOS!$G$2:$G$20000,CONFIG_METADATA!$B$4,DATOS!$I$2:$I$20000,"Coro"),""))</f>
        <v/>
      </c>
      <c r="P783" t="str">
        <f>IF(M783="","",IFERROR(AVERAGEIFS(DATOS!$K$2:$K$20000,DATOS!$A$2:$A$20000,M783,DATOS!$G$2:$G$20000,CONFIG_METADATA!$B$4,DATOS!$I$2:$I$20000,"Conjunto"),""))</f>
        <v/>
      </c>
      <c r="Q783" t="str">
        <f>IF(M783="","",IFERROR(AVERAGEIFS(DATOS!$K$2:$K$20000,DATOS!$A$2:$A$20000,M783,DATOS!$G$2:$G$20000,CONFIG_METADATA!$B$4,DATOS!$I$2:$I$20000,"&lt;&gt;Lenguaje Musical",DATOS!$I$2:$I$20000,"&lt;&gt;Coro",DATOS!$I$2:$I$20000,"&lt;&gt;Conjunto"),""))</f>
        <v/>
      </c>
      <c r="T783" t="str">
        <f>IF(S783="","",IFERROR(AVERAGEIFS(DATOS!$K$2:$K$20000,DATOS!$A$2:$A$20000,S783,DATOS!$G$2:$G$20000,CONFIG_METADATA!$B$4,DATOS!$I$2:$I$20000,"Lenguaje Musical"),""))</f>
        <v/>
      </c>
      <c r="U783" t="str">
        <f>IF(S783="","",IFERROR(AVERAGEIFS(DATOS!$K$2:$K$20000,DATOS!$A$2:$A$20000,S783,DATOS!$G$2:$G$20000,CONFIG_METADATA!$B$4,DATOS!$I$2:$I$20000,"Coro"),""))</f>
        <v/>
      </c>
      <c r="V783" t="str">
        <f>IF(S783="","",IFERROR(AVERAGEIFS(DATOS!$K$2:$K$20000,DATOS!$A$2:$A$20000,S783,DATOS!$G$2:$G$20000,CONFIG_METADATA!$B$4,DATOS!$I$2:$I$20000,"Conjunto"),""))</f>
        <v/>
      </c>
      <c r="W783" t="str" cm="1">
        <f t="array" ref="W783">IF(S783="","",IFERROR(AVERAGE(IF((DATOS!$A$2:$A$20000=S783)*(DATOS!$G$2:$G$20000=CONFIG_METADATA!$B$4)*(DATOS!$I$2:$I$20000&lt;&gt;"Lenguaje Musical")*(DATOS!$I$2:$I$20000&lt;&gt;"Coro")*(DATOS!$I$2:$I$20000&lt;&gt;"Conjunto"),DATOS!$K$2:$K$20000)),""))</f>
        <v/>
      </c>
    </row>
    <row r="784" spans="2:23" x14ac:dyDescent="0.2">
      <c r="B784" t="str">
        <f>IF(A784="","",IFERROR(AVERAGEIFS(DATOS!$K$2:$K$20000,DATOS!$A$2:$A$20000,A784,DATOS!$G$2:$G$20000,CONFIG_METADATA!$B$4,DATOS!$I$2:$I$20000,"Lenguaje Musical"),""))</f>
        <v/>
      </c>
      <c r="C784" t="str">
        <f>IF(A784="","",IFERROR(AVERAGEIFS(DATOS!$K$2:$K$20000,DATOS!$A$2:$A$20000,A784,DATOS!$G$2:$G$20000,CONFIG_METADATA!$B$4,DATOS!$I$2:$I$20000,"Coro"),""))</f>
        <v/>
      </c>
      <c r="D784" t="str">
        <f>IF(A784="","",IFERROR(AVERAGEIFS(DATOS!$K$2:$K$20000,DATOS!$A$2:$A$20000,A784,DATOS!$G$2:$G$20000,CONFIG_METADATA!$B$4,DATOS!$I$2:$I$20000,"Conjunto"),""))</f>
        <v/>
      </c>
      <c r="E784" t="str">
        <f>IF(A784="","",IFERROR(AVERAGEIFS(DATOS!$K$2:$K$20000,DATOS!$A$2:$A$20000,A784,DATOS!$G$2:$G$20000,CONFIG_METADATA!$B$4,DATOS!$I$2:$I$20000,"&lt;&gt;Lenguaje Musical",DATOS!$I$2:$I$20000,"&lt;&gt;Coro",DATOS!$I$2:$I$20000,"&lt;&gt;Conjunto"),""))</f>
        <v/>
      </c>
      <c r="N784" t="str">
        <f>IF(M784="","",IFERROR(AVERAGEIFS(DATOS!$K$2:$K$20000,DATOS!$A$2:$A$20000,M784,DATOS!$G$2:$G$20000,CONFIG_METADATA!$B$4,DATOS!$I$2:$I$20000,"Lenguaje Musical"),""))</f>
        <v/>
      </c>
      <c r="O784" t="str">
        <f>IF(M784="","",IFERROR(AVERAGEIFS(DATOS!$K$2:$K$20000,DATOS!$A$2:$A$20000,M784,DATOS!$G$2:$G$20000,CONFIG_METADATA!$B$4,DATOS!$I$2:$I$20000,"Coro"),""))</f>
        <v/>
      </c>
      <c r="P784" t="str">
        <f>IF(M784="","",IFERROR(AVERAGEIFS(DATOS!$K$2:$K$20000,DATOS!$A$2:$A$20000,M784,DATOS!$G$2:$G$20000,CONFIG_METADATA!$B$4,DATOS!$I$2:$I$20000,"Conjunto"),""))</f>
        <v/>
      </c>
      <c r="Q784" t="str">
        <f>IF(M784="","",IFERROR(AVERAGEIFS(DATOS!$K$2:$K$20000,DATOS!$A$2:$A$20000,M784,DATOS!$G$2:$G$20000,CONFIG_METADATA!$B$4,DATOS!$I$2:$I$20000,"&lt;&gt;Lenguaje Musical",DATOS!$I$2:$I$20000,"&lt;&gt;Coro",DATOS!$I$2:$I$20000,"&lt;&gt;Conjunto"),""))</f>
        <v/>
      </c>
      <c r="T784" t="str">
        <f>IF(S784="","",IFERROR(AVERAGEIFS(DATOS!$K$2:$K$20000,DATOS!$A$2:$A$20000,S784,DATOS!$G$2:$G$20000,CONFIG_METADATA!$B$4,DATOS!$I$2:$I$20000,"Lenguaje Musical"),""))</f>
        <v/>
      </c>
      <c r="U784" t="str">
        <f>IF(S784="","",IFERROR(AVERAGEIFS(DATOS!$K$2:$K$20000,DATOS!$A$2:$A$20000,S784,DATOS!$G$2:$G$20000,CONFIG_METADATA!$B$4,DATOS!$I$2:$I$20000,"Coro"),""))</f>
        <v/>
      </c>
      <c r="V784" t="str">
        <f>IF(S784="","",IFERROR(AVERAGEIFS(DATOS!$K$2:$K$20000,DATOS!$A$2:$A$20000,S784,DATOS!$G$2:$G$20000,CONFIG_METADATA!$B$4,DATOS!$I$2:$I$20000,"Conjunto"),""))</f>
        <v/>
      </c>
      <c r="W784" t="str" cm="1">
        <f t="array" ref="W784">IF(S784="","",IFERROR(AVERAGE(IF((DATOS!$A$2:$A$20000=S784)*(DATOS!$G$2:$G$20000=CONFIG_METADATA!$B$4)*(DATOS!$I$2:$I$20000&lt;&gt;"Lenguaje Musical")*(DATOS!$I$2:$I$20000&lt;&gt;"Coro")*(DATOS!$I$2:$I$20000&lt;&gt;"Conjunto"),DATOS!$K$2:$K$20000)),""))</f>
        <v/>
      </c>
    </row>
    <row r="785" spans="2:23" x14ac:dyDescent="0.2">
      <c r="B785" t="str">
        <f>IF(A785="","",IFERROR(AVERAGEIFS(DATOS!$K$2:$K$20000,DATOS!$A$2:$A$20000,A785,DATOS!$G$2:$G$20000,CONFIG_METADATA!$B$4,DATOS!$I$2:$I$20000,"Lenguaje Musical"),""))</f>
        <v/>
      </c>
      <c r="C785" t="str">
        <f>IF(A785="","",IFERROR(AVERAGEIFS(DATOS!$K$2:$K$20000,DATOS!$A$2:$A$20000,A785,DATOS!$G$2:$G$20000,CONFIG_METADATA!$B$4,DATOS!$I$2:$I$20000,"Coro"),""))</f>
        <v/>
      </c>
      <c r="D785" t="str">
        <f>IF(A785="","",IFERROR(AVERAGEIFS(DATOS!$K$2:$K$20000,DATOS!$A$2:$A$20000,A785,DATOS!$G$2:$G$20000,CONFIG_METADATA!$B$4,DATOS!$I$2:$I$20000,"Conjunto"),""))</f>
        <v/>
      </c>
      <c r="E785" t="str">
        <f>IF(A785="","",IFERROR(AVERAGEIFS(DATOS!$K$2:$K$20000,DATOS!$A$2:$A$20000,A785,DATOS!$G$2:$G$20000,CONFIG_METADATA!$B$4,DATOS!$I$2:$I$20000,"&lt;&gt;Lenguaje Musical",DATOS!$I$2:$I$20000,"&lt;&gt;Coro",DATOS!$I$2:$I$20000,"&lt;&gt;Conjunto"),""))</f>
        <v/>
      </c>
      <c r="N785" t="str">
        <f>IF(M785="","",IFERROR(AVERAGEIFS(DATOS!$K$2:$K$20000,DATOS!$A$2:$A$20000,M785,DATOS!$G$2:$G$20000,CONFIG_METADATA!$B$4,DATOS!$I$2:$I$20000,"Lenguaje Musical"),""))</f>
        <v/>
      </c>
      <c r="O785" t="str">
        <f>IF(M785="","",IFERROR(AVERAGEIFS(DATOS!$K$2:$K$20000,DATOS!$A$2:$A$20000,M785,DATOS!$G$2:$G$20000,CONFIG_METADATA!$B$4,DATOS!$I$2:$I$20000,"Coro"),""))</f>
        <v/>
      </c>
      <c r="P785" t="str">
        <f>IF(M785="","",IFERROR(AVERAGEIFS(DATOS!$K$2:$K$20000,DATOS!$A$2:$A$20000,M785,DATOS!$G$2:$G$20000,CONFIG_METADATA!$B$4,DATOS!$I$2:$I$20000,"Conjunto"),""))</f>
        <v/>
      </c>
      <c r="Q785" t="str">
        <f>IF(M785="","",IFERROR(AVERAGEIFS(DATOS!$K$2:$K$20000,DATOS!$A$2:$A$20000,M785,DATOS!$G$2:$G$20000,CONFIG_METADATA!$B$4,DATOS!$I$2:$I$20000,"&lt;&gt;Lenguaje Musical",DATOS!$I$2:$I$20000,"&lt;&gt;Coro",DATOS!$I$2:$I$20000,"&lt;&gt;Conjunto"),""))</f>
        <v/>
      </c>
      <c r="T785" t="str">
        <f>IF(S785="","",IFERROR(AVERAGEIFS(DATOS!$K$2:$K$20000,DATOS!$A$2:$A$20000,S785,DATOS!$G$2:$G$20000,CONFIG_METADATA!$B$4,DATOS!$I$2:$I$20000,"Lenguaje Musical"),""))</f>
        <v/>
      </c>
      <c r="U785" t="str">
        <f>IF(S785="","",IFERROR(AVERAGEIFS(DATOS!$K$2:$K$20000,DATOS!$A$2:$A$20000,S785,DATOS!$G$2:$G$20000,CONFIG_METADATA!$B$4,DATOS!$I$2:$I$20000,"Coro"),""))</f>
        <v/>
      </c>
      <c r="V785" t="str">
        <f>IF(S785="","",IFERROR(AVERAGEIFS(DATOS!$K$2:$K$20000,DATOS!$A$2:$A$20000,S785,DATOS!$G$2:$G$20000,CONFIG_METADATA!$B$4,DATOS!$I$2:$I$20000,"Conjunto"),""))</f>
        <v/>
      </c>
      <c r="W785" t="str" cm="1">
        <f t="array" ref="W785">IF(S785="","",IFERROR(AVERAGE(IF((DATOS!$A$2:$A$20000=S785)*(DATOS!$G$2:$G$20000=CONFIG_METADATA!$B$4)*(DATOS!$I$2:$I$20000&lt;&gt;"Lenguaje Musical")*(DATOS!$I$2:$I$20000&lt;&gt;"Coro")*(DATOS!$I$2:$I$20000&lt;&gt;"Conjunto"),DATOS!$K$2:$K$20000)),""))</f>
        <v/>
      </c>
    </row>
    <row r="786" spans="2:23" x14ac:dyDescent="0.2">
      <c r="B786" t="str">
        <f>IF(A786="","",IFERROR(AVERAGEIFS(DATOS!$K$2:$K$20000,DATOS!$A$2:$A$20000,A786,DATOS!$G$2:$G$20000,CONFIG_METADATA!$B$4,DATOS!$I$2:$I$20000,"Lenguaje Musical"),""))</f>
        <v/>
      </c>
      <c r="C786" t="str">
        <f>IF(A786="","",IFERROR(AVERAGEIFS(DATOS!$K$2:$K$20000,DATOS!$A$2:$A$20000,A786,DATOS!$G$2:$G$20000,CONFIG_METADATA!$B$4,DATOS!$I$2:$I$20000,"Coro"),""))</f>
        <v/>
      </c>
      <c r="D786" t="str">
        <f>IF(A786="","",IFERROR(AVERAGEIFS(DATOS!$K$2:$K$20000,DATOS!$A$2:$A$20000,A786,DATOS!$G$2:$G$20000,CONFIG_METADATA!$B$4,DATOS!$I$2:$I$20000,"Conjunto"),""))</f>
        <v/>
      </c>
      <c r="E786" t="str">
        <f>IF(A786="","",IFERROR(AVERAGEIFS(DATOS!$K$2:$K$20000,DATOS!$A$2:$A$20000,A786,DATOS!$G$2:$G$20000,CONFIG_METADATA!$B$4,DATOS!$I$2:$I$20000,"&lt;&gt;Lenguaje Musical",DATOS!$I$2:$I$20000,"&lt;&gt;Coro",DATOS!$I$2:$I$20000,"&lt;&gt;Conjunto"),""))</f>
        <v/>
      </c>
      <c r="N786" t="str">
        <f>IF(M786="","",IFERROR(AVERAGEIFS(DATOS!$K$2:$K$20000,DATOS!$A$2:$A$20000,M786,DATOS!$G$2:$G$20000,CONFIG_METADATA!$B$4,DATOS!$I$2:$I$20000,"Lenguaje Musical"),""))</f>
        <v/>
      </c>
      <c r="O786" t="str">
        <f>IF(M786="","",IFERROR(AVERAGEIFS(DATOS!$K$2:$K$20000,DATOS!$A$2:$A$20000,M786,DATOS!$G$2:$G$20000,CONFIG_METADATA!$B$4,DATOS!$I$2:$I$20000,"Coro"),""))</f>
        <v/>
      </c>
      <c r="P786" t="str">
        <f>IF(M786="","",IFERROR(AVERAGEIFS(DATOS!$K$2:$K$20000,DATOS!$A$2:$A$20000,M786,DATOS!$G$2:$G$20000,CONFIG_METADATA!$B$4,DATOS!$I$2:$I$20000,"Conjunto"),""))</f>
        <v/>
      </c>
      <c r="Q786" t="str">
        <f>IF(M786="","",IFERROR(AVERAGEIFS(DATOS!$K$2:$K$20000,DATOS!$A$2:$A$20000,M786,DATOS!$G$2:$G$20000,CONFIG_METADATA!$B$4,DATOS!$I$2:$I$20000,"&lt;&gt;Lenguaje Musical",DATOS!$I$2:$I$20000,"&lt;&gt;Coro",DATOS!$I$2:$I$20000,"&lt;&gt;Conjunto"),""))</f>
        <v/>
      </c>
      <c r="T786" t="str">
        <f>IF(S786="","",IFERROR(AVERAGEIFS(DATOS!$K$2:$K$20000,DATOS!$A$2:$A$20000,S786,DATOS!$G$2:$G$20000,CONFIG_METADATA!$B$4,DATOS!$I$2:$I$20000,"Lenguaje Musical"),""))</f>
        <v/>
      </c>
      <c r="U786" t="str">
        <f>IF(S786="","",IFERROR(AVERAGEIFS(DATOS!$K$2:$K$20000,DATOS!$A$2:$A$20000,S786,DATOS!$G$2:$G$20000,CONFIG_METADATA!$B$4,DATOS!$I$2:$I$20000,"Coro"),""))</f>
        <v/>
      </c>
      <c r="V786" t="str">
        <f>IF(S786="","",IFERROR(AVERAGEIFS(DATOS!$K$2:$K$20000,DATOS!$A$2:$A$20000,S786,DATOS!$G$2:$G$20000,CONFIG_METADATA!$B$4,DATOS!$I$2:$I$20000,"Conjunto"),""))</f>
        <v/>
      </c>
      <c r="W786" t="str" cm="1">
        <f t="array" ref="W786">IF(S786="","",IFERROR(AVERAGE(IF((DATOS!$A$2:$A$20000=S786)*(DATOS!$G$2:$G$20000=CONFIG_METADATA!$B$4)*(DATOS!$I$2:$I$20000&lt;&gt;"Lenguaje Musical")*(DATOS!$I$2:$I$20000&lt;&gt;"Coro")*(DATOS!$I$2:$I$20000&lt;&gt;"Conjunto"),DATOS!$K$2:$K$20000)),""))</f>
        <v/>
      </c>
    </row>
    <row r="787" spans="2:23" x14ac:dyDescent="0.2">
      <c r="B787" t="str">
        <f>IF(A787="","",IFERROR(AVERAGEIFS(DATOS!$K$2:$K$20000,DATOS!$A$2:$A$20000,A787,DATOS!$G$2:$G$20000,CONFIG_METADATA!$B$4,DATOS!$I$2:$I$20000,"Lenguaje Musical"),""))</f>
        <v/>
      </c>
      <c r="C787" t="str">
        <f>IF(A787="","",IFERROR(AVERAGEIFS(DATOS!$K$2:$K$20000,DATOS!$A$2:$A$20000,A787,DATOS!$G$2:$G$20000,CONFIG_METADATA!$B$4,DATOS!$I$2:$I$20000,"Coro"),""))</f>
        <v/>
      </c>
      <c r="D787" t="str">
        <f>IF(A787="","",IFERROR(AVERAGEIFS(DATOS!$K$2:$K$20000,DATOS!$A$2:$A$20000,A787,DATOS!$G$2:$G$20000,CONFIG_METADATA!$B$4,DATOS!$I$2:$I$20000,"Conjunto"),""))</f>
        <v/>
      </c>
      <c r="E787" t="str">
        <f>IF(A787="","",IFERROR(AVERAGEIFS(DATOS!$K$2:$K$20000,DATOS!$A$2:$A$20000,A787,DATOS!$G$2:$G$20000,CONFIG_METADATA!$B$4,DATOS!$I$2:$I$20000,"&lt;&gt;Lenguaje Musical",DATOS!$I$2:$I$20000,"&lt;&gt;Coro",DATOS!$I$2:$I$20000,"&lt;&gt;Conjunto"),""))</f>
        <v/>
      </c>
      <c r="N787" t="str">
        <f>IF(M787="","",IFERROR(AVERAGEIFS(DATOS!$K$2:$K$20000,DATOS!$A$2:$A$20000,M787,DATOS!$G$2:$G$20000,CONFIG_METADATA!$B$4,DATOS!$I$2:$I$20000,"Lenguaje Musical"),""))</f>
        <v/>
      </c>
      <c r="O787" t="str">
        <f>IF(M787="","",IFERROR(AVERAGEIFS(DATOS!$K$2:$K$20000,DATOS!$A$2:$A$20000,M787,DATOS!$G$2:$G$20000,CONFIG_METADATA!$B$4,DATOS!$I$2:$I$20000,"Coro"),""))</f>
        <v/>
      </c>
      <c r="P787" t="str">
        <f>IF(M787="","",IFERROR(AVERAGEIFS(DATOS!$K$2:$K$20000,DATOS!$A$2:$A$20000,M787,DATOS!$G$2:$G$20000,CONFIG_METADATA!$B$4,DATOS!$I$2:$I$20000,"Conjunto"),""))</f>
        <v/>
      </c>
      <c r="Q787" t="str">
        <f>IF(M787="","",IFERROR(AVERAGEIFS(DATOS!$K$2:$K$20000,DATOS!$A$2:$A$20000,M787,DATOS!$G$2:$G$20000,CONFIG_METADATA!$B$4,DATOS!$I$2:$I$20000,"&lt;&gt;Lenguaje Musical",DATOS!$I$2:$I$20000,"&lt;&gt;Coro",DATOS!$I$2:$I$20000,"&lt;&gt;Conjunto"),""))</f>
        <v/>
      </c>
      <c r="T787" t="str">
        <f>IF(S787="","",IFERROR(AVERAGEIFS(DATOS!$K$2:$K$20000,DATOS!$A$2:$A$20000,S787,DATOS!$G$2:$G$20000,CONFIG_METADATA!$B$4,DATOS!$I$2:$I$20000,"Lenguaje Musical"),""))</f>
        <v/>
      </c>
      <c r="U787" t="str">
        <f>IF(S787="","",IFERROR(AVERAGEIFS(DATOS!$K$2:$K$20000,DATOS!$A$2:$A$20000,S787,DATOS!$G$2:$G$20000,CONFIG_METADATA!$B$4,DATOS!$I$2:$I$20000,"Coro"),""))</f>
        <v/>
      </c>
      <c r="V787" t="str">
        <f>IF(S787="","",IFERROR(AVERAGEIFS(DATOS!$K$2:$K$20000,DATOS!$A$2:$A$20000,S787,DATOS!$G$2:$G$20000,CONFIG_METADATA!$B$4,DATOS!$I$2:$I$20000,"Conjunto"),""))</f>
        <v/>
      </c>
      <c r="W787" t="str" cm="1">
        <f t="array" ref="W787">IF(S787="","",IFERROR(AVERAGE(IF((DATOS!$A$2:$A$20000=S787)*(DATOS!$G$2:$G$20000=CONFIG_METADATA!$B$4)*(DATOS!$I$2:$I$20000&lt;&gt;"Lenguaje Musical")*(DATOS!$I$2:$I$20000&lt;&gt;"Coro")*(DATOS!$I$2:$I$20000&lt;&gt;"Conjunto"),DATOS!$K$2:$K$20000)),""))</f>
        <v/>
      </c>
    </row>
    <row r="788" spans="2:23" x14ac:dyDescent="0.2">
      <c r="B788" t="str">
        <f>IF(A788="","",IFERROR(AVERAGEIFS(DATOS!$K$2:$K$20000,DATOS!$A$2:$A$20000,A788,DATOS!$G$2:$G$20000,CONFIG_METADATA!$B$4,DATOS!$I$2:$I$20000,"Lenguaje Musical"),""))</f>
        <v/>
      </c>
      <c r="C788" t="str">
        <f>IF(A788="","",IFERROR(AVERAGEIFS(DATOS!$K$2:$K$20000,DATOS!$A$2:$A$20000,A788,DATOS!$G$2:$G$20000,CONFIG_METADATA!$B$4,DATOS!$I$2:$I$20000,"Coro"),""))</f>
        <v/>
      </c>
      <c r="D788" t="str">
        <f>IF(A788="","",IFERROR(AVERAGEIFS(DATOS!$K$2:$K$20000,DATOS!$A$2:$A$20000,A788,DATOS!$G$2:$G$20000,CONFIG_METADATA!$B$4,DATOS!$I$2:$I$20000,"Conjunto"),""))</f>
        <v/>
      </c>
      <c r="E788" t="str">
        <f>IF(A788="","",IFERROR(AVERAGEIFS(DATOS!$K$2:$K$20000,DATOS!$A$2:$A$20000,A788,DATOS!$G$2:$G$20000,CONFIG_METADATA!$B$4,DATOS!$I$2:$I$20000,"&lt;&gt;Lenguaje Musical",DATOS!$I$2:$I$20000,"&lt;&gt;Coro",DATOS!$I$2:$I$20000,"&lt;&gt;Conjunto"),""))</f>
        <v/>
      </c>
      <c r="N788" t="str">
        <f>IF(M788="","",IFERROR(AVERAGEIFS(DATOS!$K$2:$K$20000,DATOS!$A$2:$A$20000,M788,DATOS!$G$2:$G$20000,CONFIG_METADATA!$B$4,DATOS!$I$2:$I$20000,"Lenguaje Musical"),""))</f>
        <v/>
      </c>
      <c r="O788" t="str">
        <f>IF(M788="","",IFERROR(AVERAGEIFS(DATOS!$K$2:$K$20000,DATOS!$A$2:$A$20000,M788,DATOS!$G$2:$G$20000,CONFIG_METADATA!$B$4,DATOS!$I$2:$I$20000,"Coro"),""))</f>
        <v/>
      </c>
      <c r="P788" t="str">
        <f>IF(M788="","",IFERROR(AVERAGEIFS(DATOS!$K$2:$K$20000,DATOS!$A$2:$A$20000,M788,DATOS!$G$2:$G$20000,CONFIG_METADATA!$B$4,DATOS!$I$2:$I$20000,"Conjunto"),""))</f>
        <v/>
      </c>
      <c r="Q788" t="str">
        <f>IF(M788="","",IFERROR(AVERAGEIFS(DATOS!$K$2:$K$20000,DATOS!$A$2:$A$20000,M788,DATOS!$G$2:$G$20000,CONFIG_METADATA!$B$4,DATOS!$I$2:$I$20000,"&lt;&gt;Lenguaje Musical",DATOS!$I$2:$I$20000,"&lt;&gt;Coro",DATOS!$I$2:$I$20000,"&lt;&gt;Conjunto"),""))</f>
        <v/>
      </c>
      <c r="T788" t="str">
        <f>IF(S788="","",IFERROR(AVERAGEIFS(DATOS!$K$2:$K$20000,DATOS!$A$2:$A$20000,S788,DATOS!$G$2:$G$20000,CONFIG_METADATA!$B$4,DATOS!$I$2:$I$20000,"Lenguaje Musical"),""))</f>
        <v/>
      </c>
      <c r="U788" t="str">
        <f>IF(S788="","",IFERROR(AVERAGEIFS(DATOS!$K$2:$K$20000,DATOS!$A$2:$A$20000,S788,DATOS!$G$2:$G$20000,CONFIG_METADATA!$B$4,DATOS!$I$2:$I$20000,"Coro"),""))</f>
        <v/>
      </c>
      <c r="V788" t="str">
        <f>IF(S788="","",IFERROR(AVERAGEIFS(DATOS!$K$2:$K$20000,DATOS!$A$2:$A$20000,S788,DATOS!$G$2:$G$20000,CONFIG_METADATA!$B$4,DATOS!$I$2:$I$20000,"Conjunto"),""))</f>
        <v/>
      </c>
      <c r="W788" t="str">
        <f>IF(S788="","",IFERROR(AVERAGEIFS(DATOS!$K$2:$K$20000,DATOS!$A$2:$A$20000,S788,DATOS!$G$2:$G$20000,CONFIG_METADATA!$B$4,DATOS!$I$2:$I$20000,"&lt;&gt;Lenguaje Musical",DATOS!$I$2:$I$20000,"&lt;&gt;Coro",DATOS!$I$2:$I$20000,"&lt;&gt;Conjunto"),""))</f>
        <v/>
      </c>
    </row>
    <row r="789" spans="2:23" x14ac:dyDescent="0.2">
      <c r="B789" t="str">
        <f>IF(A789="","",IFERROR(AVERAGEIFS(DATOS!$K$2:$K$20000,DATOS!$A$2:$A$20000,A789,DATOS!$G$2:$G$20000,CONFIG_METADATA!$B$4,DATOS!$I$2:$I$20000,"Lenguaje Musical"),""))</f>
        <v/>
      </c>
      <c r="C789" t="str">
        <f>IF(A789="","",IFERROR(AVERAGEIFS(DATOS!$K$2:$K$20000,DATOS!$A$2:$A$20000,A789,DATOS!$G$2:$G$20000,CONFIG_METADATA!$B$4,DATOS!$I$2:$I$20000,"Coro"),""))</f>
        <v/>
      </c>
      <c r="D789" t="str">
        <f>IF(A789="","",IFERROR(AVERAGEIFS(DATOS!$K$2:$K$20000,DATOS!$A$2:$A$20000,A789,DATOS!$G$2:$G$20000,CONFIG_METADATA!$B$4,DATOS!$I$2:$I$20000,"Conjunto"),""))</f>
        <v/>
      </c>
      <c r="E789" t="str">
        <f>IF(A789="","",IFERROR(AVERAGEIFS(DATOS!$K$2:$K$20000,DATOS!$A$2:$A$20000,A789,DATOS!$G$2:$G$20000,CONFIG_METADATA!$B$4,DATOS!$I$2:$I$20000,"&lt;&gt;Lenguaje Musical",DATOS!$I$2:$I$20000,"&lt;&gt;Coro",DATOS!$I$2:$I$20000,"&lt;&gt;Conjunto"),""))</f>
        <v/>
      </c>
      <c r="N789" t="str">
        <f>IF(M789="","",IFERROR(AVERAGEIFS(DATOS!$K$2:$K$20000,DATOS!$A$2:$A$20000,M789,DATOS!$G$2:$G$20000,CONFIG_METADATA!$B$4,DATOS!$I$2:$I$20000,"Lenguaje Musical"),""))</f>
        <v/>
      </c>
      <c r="O789" t="str">
        <f>IF(M789="","",IFERROR(AVERAGEIFS(DATOS!$K$2:$K$20000,DATOS!$A$2:$A$20000,M789,DATOS!$G$2:$G$20000,CONFIG_METADATA!$B$4,DATOS!$I$2:$I$20000,"Coro"),""))</f>
        <v/>
      </c>
      <c r="P789" t="str">
        <f>IF(M789="","",IFERROR(AVERAGEIFS(DATOS!$K$2:$K$20000,DATOS!$A$2:$A$20000,M789,DATOS!$G$2:$G$20000,CONFIG_METADATA!$B$4,DATOS!$I$2:$I$20000,"Conjunto"),""))</f>
        <v/>
      </c>
      <c r="Q789" t="str">
        <f>IF(M789="","",IFERROR(AVERAGEIFS(DATOS!$K$2:$K$20000,DATOS!$A$2:$A$20000,M789,DATOS!$G$2:$G$20000,CONFIG_METADATA!$B$4,DATOS!$I$2:$I$20000,"&lt;&gt;Lenguaje Musical",DATOS!$I$2:$I$20000,"&lt;&gt;Coro",DATOS!$I$2:$I$20000,"&lt;&gt;Conjunto"),""))</f>
        <v/>
      </c>
      <c r="T789" t="str">
        <f>IF(S789="","",IFERROR(AVERAGEIFS(DATOS!$K$2:$K$20000,DATOS!$A$2:$A$20000,S789,DATOS!$G$2:$G$20000,CONFIG_METADATA!$B$4,DATOS!$I$2:$I$20000,"Lenguaje Musical"),""))</f>
        <v/>
      </c>
      <c r="U789" t="str">
        <f>IF(S789="","",IFERROR(AVERAGEIFS(DATOS!$K$2:$K$20000,DATOS!$A$2:$A$20000,S789,DATOS!$G$2:$G$20000,CONFIG_METADATA!$B$4,DATOS!$I$2:$I$20000,"Coro"),""))</f>
        <v/>
      </c>
      <c r="V789" t="str">
        <f>IF(S789="","",IFERROR(AVERAGEIFS(DATOS!$K$2:$K$20000,DATOS!$A$2:$A$20000,S789,DATOS!$G$2:$G$20000,CONFIG_METADATA!$B$4,DATOS!$I$2:$I$20000,"Conjunto"),""))</f>
        <v/>
      </c>
      <c r="W789" t="str">
        <f>IF(S789="","",IFERROR(AVERAGEIFS(DATOS!$K$2:$K$20000,DATOS!$A$2:$A$20000,S789,DATOS!$G$2:$G$20000,CONFIG_METADATA!$B$4,DATOS!$I$2:$I$20000,"&lt;&gt;Lenguaje Musical",DATOS!$I$2:$I$20000,"&lt;&gt;Coro",DATOS!$I$2:$I$20000,"&lt;&gt;Conjunto"),""))</f>
        <v/>
      </c>
    </row>
    <row r="790" spans="2:23" x14ac:dyDescent="0.2">
      <c r="B790" t="str">
        <f>IF(A790="","",IFERROR(AVERAGEIFS(DATOS!$K$2:$K$20000,DATOS!$A$2:$A$20000,A790,DATOS!$G$2:$G$20000,CONFIG_METADATA!$B$4,DATOS!$I$2:$I$20000,"Lenguaje Musical"),""))</f>
        <v/>
      </c>
      <c r="C790" t="str">
        <f>IF(A790="","",IFERROR(AVERAGEIFS(DATOS!$K$2:$K$20000,DATOS!$A$2:$A$20000,A790,DATOS!$G$2:$G$20000,CONFIG_METADATA!$B$4,DATOS!$I$2:$I$20000,"Coro"),""))</f>
        <v/>
      </c>
      <c r="D790" t="str">
        <f>IF(A790="","",IFERROR(AVERAGEIFS(DATOS!$K$2:$K$20000,DATOS!$A$2:$A$20000,A790,DATOS!$G$2:$G$20000,CONFIG_METADATA!$B$4,DATOS!$I$2:$I$20000,"Conjunto"),""))</f>
        <v/>
      </c>
      <c r="E790" t="str">
        <f>IF(A790="","",IFERROR(AVERAGEIFS(DATOS!$K$2:$K$20000,DATOS!$A$2:$A$20000,A790,DATOS!$G$2:$G$20000,CONFIG_METADATA!$B$4,DATOS!$I$2:$I$20000,"&lt;&gt;Lenguaje Musical",DATOS!$I$2:$I$20000,"&lt;&gt;Coro",DATOS!$I$2:$I$20000,"&lt;&gt;Conjunto"),""))</f>
        <v/>
      </c>
      <c r="N790" t="str">
        <f>IF(M790="","",IFERROR(AVERAGEIFS(DATOS!$K$2:$K$20000,DATOS!$A$2:$A$20000,M790,DATOS!$G$2:$G$20000,CONFIG_METADATA!$B$4,DATOS!$I$2:$I$20000,"Lenguaje Musical"),""))</f>
        <v/>
      </c>
      <c r="O790" t="str">
        <f>IF(M790="","",IFERROR(AVERAGEIFS(DATOS!$K$2:$K$20000,DATOS!$A$2:$A$20000,M790,DATOS!$G$2:$G$20000,CONFIG_METADATA!$B$4,DATOS!$I$2:$I$20000,"Coro"),""))</f>
        <v/>
      </c>
      <c r="P790" t="str">
        <f>IF(M790="","",IFERROR(AVERAGEIFS(DATOS!$K$2:$K$20000,DATOS!$A$2:$A$20000,M790,DATOS!$G$2:$G$20000,CONFIG_METADATA!$B$4,DATOS!$I$2:$I$20000,"Conjunto"),""))</f>
        <v/>
      </c>
      <c r="Q790" t="str">
        <f>IF(M790="","",IFERROR(AVERAGEIFS(DATOS!$K$2:$K$20000,DATOS!$A$2:$A$20000,M790,DATOS!$G$2:$G$20000,CONFIG_METADATA!$B$4,DATOS!$I$2:$I$20000,"&lt;&gt;Lenguaje Musical",DATOS!$I$2:$I$20000,"&lt;&gt;Coro",DATOS!$I$2:$I$20000,"&lt;&gt;Conjunto"),""))</f>
        <v/>
      </c>
      <c r="T790" t="str">
        <f>IF(S790="","",IFERROR(AVERAGEIFS(DATOS!$K$2:$K$20000,DATOS!$A$2:$A$20000,S790,DATOS!$G$2:$G$20000,CONFIG_METADATA!$B$4,DATOS!$I$2:$I$20000,"Lenguaje Musical"),""))</f>
        <v/>
      </c>
      <c r="U790" t="str">
        <f>IF(S790="","",IFERROR(AVERAGEIFS(DATOS!$K$2:$K$20000,DATOS!$A$2:$A$20000,S790,DATOS!$G$2:$G$20000,CONFIG_METADATA!$B$4,DATOS!$I$2:$I$20000,"Coro"),""))</f>
        <v/>
      </c>
      <c r="V790" t="str">
        <f>IF(S790="","",IFERROR(AVERAGEIFS(DATOS!$K$2:$K$20000,DATOS!$A$2:$A$20000,S790,DATOS!$G$2:$G$20000,CONFIG_METADATA!$B$4,DATOS!$I$2:$I$20000,"Conjunto"),""))</f>
        <v/>
      </c>
      <c r="W790" t="str">
        <f>IF(S790="","",IFERROR(AVERAGEIFS(DATOS!$K$2:$K$20000,DATOS!$A$2:$A$20000,S790,DATOS!$G$2:$G$20000,CONFIG_METADATA!$B$4,DATOS!$I$2:$I$20000,"&lt;&gt;Lenguaje Musical",DATOS!$I$2:$I$20000,"&lt;&gt;Coro",DATOS!$I$2:$I$20000,"&lt;&gt;Conjunto"),""))</f>
        <v/>
      </c>
    </row>
    <row r="791" spans="2:23" x14ac:dyDescent="0.2">
      <c r="B791" t="str">
        <f>IF(A791="","",IFERROR(AVERAGEIFS(DATOS!$K$2:$K$20000,DATOS!$A$2:$A$20000,A791,DATOS!$G$2:$G$20000,CONFIG_METADATA!$B$4,DATOS!$I$2:$I$20000,"Lenguaje Musical"),""))</f>
        <v/>
      </c>
      <c r="C791" t="str">
        <f>IF(A791="","",IFERROR(AVERAGEIFS(DATOS!$K$2:$K$20000,DATOS!$A$2:$A$20000,A791,DATOS!$G$2:$G$20000,CONFIG_METADATA!$B$4,DATOS!$I$2:$I$20000,"Coro"),""))</f>
        <v/>
      </c>
      <c r="D791" t="str">
        <f>IF(A791="","",IFERROR(AVERAGEIFS(DATOS!$K$2:$K$20000,DATOS!$A$2:$A$20000,A791,DATOS!$G$2:$G$20000,CONFIG_METADATA!$B$4,DATOS!$I$2:$I$20000,"Conjunto"),""))</f>
        <v/>
      </c>
      <c r="E791" t="str">
        <f>IF(A791="","",IFERROR(AVERAGEIFS(DATOS!$K$2:$K$20000,DATOS!$A$2:$A$20000,A791,DATOS!$G$2:$G$20000,CONFIG_METADATA!$B$4,DATOS!$I$2:$I$20000,"&lt;&gt;Lenguaje Musical",DATOS!$I$2:$I$20000,"&lt;&gt;Coro",DATOS!$I$2:$I$20000,"&lt;&gt;Conjunto"),""))</f>
        <v/>
      </c>
      <c r="N791" t="str">
        <f>IF(M791="","",IFERROR(AVERAGEIFS(DATOS!$K$2:$K$20000,DATOS!$A$2:$A$20000,M791,DATOS!$G$2:$G$20000,CONFIG_METADATA!$B$4,DATOS!$I$2:$I$20000,"Lenguaje Musical"),""))</f>
        <v/>
      </c>
      <c r="O791" t="str">
        <f>IF(M791="","",IFERROR(AVERAGEIFS(DATOS!$K$2:$K$20000,DATOS!$A$2:$A$20000,M791,DATOS!$G$2:$G$20000,CONFIG_METADATA!$B$4,DATOS!$I$2:$I$20000,"Coro"),""))</f>
        <v/>
      </c>
      <c r="P791" t="str">
        <f>IF(M791="","",IFERROR(AVERAGEIFS(DATOS!$K$2:$K$20000,DATOS!$A$2:$A$20000,M791,DATOS!$G$2:$G$20000,CONFIG_METADATA!$B$4,DATOS!$I$2:$I$20000,"Conjunto"),""))</f>
        <v/>
      </c>
      <c r="Q791" t="str">
        <f>IF(M791="","",IFERROR(AVERAGEIFS(DATOS!$K$2:$K$20000,DATOS!$A$2:$A$20000,M791,DATOS!$G$2:$G$20000,CONFIG_METADATA!$B$4,DATOS!$I$2:$I$20000,"&lt;&gt;Lenguaje Musical",DATOS!$I$2:$I$20000,"&lt;&gt;Coro",DATOS!$I$2:$I$20000,"&lt;&gt;Conjunto"),""))</f>
        <v/>
      </c>
      <c r="T791" t="str">
        <f>IF(S791="","",IFERROR(AVERAGEIFS(DATOS!$K$2:$K$20000,DATOS!$A$2:$A$20000,S791,DATOS!$G$2:$G$20000,CONFIG_METADATA!$B$4,DATOS!$I$2:$I$20000,"Lenguaje Musical"),""))</f>
        <v/>
      </c>
      <c r="U791" t="str">
        <f>IF(S791="","",IFERROR(AVERAGEIFS(DATOS!$K$2:$K$20000,DATOS!$A$2:$A$20000,S791,DATOS!$G$2:$G$20000,CONFIG_METADATA!$B$4,DATOS!$I$2:$I$20000,"Coro"),""))</f>
        <v/>
      </c>
      <c r="V791" t="str">
        <f>IF(S791="","",IFERROR(AVERAGEIFS(DATOS!$K$2:$K$20000,DATOS!$A$2:$A$20000,S791,DATOS!$G$2:$G$20000,CONFIG_METADATA!$B$4,DATOS!$I$2:$I$20000,"Conjunto"),""))</f>
        <v/>
      </c>
      <c r="W791" t="str">
        <f>IF(S791="","",IFERROR(AVERAGEIFS(DATOS!$K$2:$K$20000,DATOS!$A$2:$A$20000,S791,DATOS!$G$2:$G$20000,CONFIG_METADATA!$B$4,DATOS!$I$2:$I$20000,"&lt;&gt;Lenguaje Musical",DATOS!$I$2:$I$20000,"&lt;&gt;Coro",DATOS!$I$2:$I$20000,"&lt;&gt;Conjunto"),""))</f>
        <v/>
      </c>
    </row>
    <row r="792" spans="2:23" x14ac:dyDescent="0.2">
      <c r="B792" t="str">
        <f>IF(A792="","",IFERROR(AVERAGEIFS(DATOS!$K$2:$K$20000,DATOS!$A$2:$A$20000,A792,DATOS!$G$2:$G$20000,CONFIG_METADATA!$B$4,DATOS!$I$2:$I$20000,"Lenguaje Musical"),""))</f>
        <v/>
      </c>
      <c r="C792" t="str">
        <f>IF(A792="","",IFERROR(AVERAGEIFS(DATOS!$K$2:$K$20000,DATOS!$A$2:$A$20000,A792,DATOS!$G$2:$G$20000,CONFIG_METADATA!$B$4,DATOS!$I$2:$I$20000,"Coro"),""))</f>
        <v/>
      </c>
      <c r="D792" t="str">
        <f>IF(A792="","",IFERROR(AVERAGEIFS(DATOS!$K$2:$K$20000,DATOS!$A$2:$A$20000,A792,DATOS!$G$2:$G$20000,CONFIG_METADATA!$B$4,DATOS!$I$2:$I$20000,"Conjunto"),""))</f>
        <v/>
      </c>
      <c r="E792" t="str">
        <f>IF(A792="","",IFERROR(AVERAGEIFS(DATOS!$K$2:$K$20000,DATOS!$A$2:$A$20000,A792,DATOS!$G$2:$G$20000,CONFIG_METADATA!$B$4,DATOS!$I$2:$I$20000,"&lt;&gt;Lenguaje Musical",DATOS!$I$2:$I$20000,"&lt;&gt;Coro",DATOS!$I$2:$I$20000,"&lt;&gt;Conjunto"),""))</f>
        <v/>
      </c>
      <c r="N792" t="str">
        <f>IF(M792="","",IFERROR(AVERAGEIFS(DATOS!$K$2:$K$20000,DATOS!$A$2:$A$20000,M792,DATOS!$G$2:$G$20000,CONFIG_METADATA!$B$4,DATOS!$I$2:$I$20000,"Lenguaje Musical"),""))</f>
        <v/>
      </c>
      <c r="O792" t="str">
        <f>IF(M792="","",IFERROR(AVERAGEIFS(DATOS!$K$2:$K$20000,DATOS!$A$2:$A$20000,M792,DATOS!$G$2:$G$20000,CONFIG_METADATA!$B$4,DATOS!$I$2:$I$20000,"Coro"),""))</f>
        <v/>
      </c>
      <c r="P792" t="str">
        <f>IF(M792="","",IFERROR(AVERAGEIFS(DATOS!$K$2:$K$20000,DATOS!$A$2:$A$20000,M792,DATOS!$G$2:$G$20000,CONFIG_METADATA!$B$4,DATOS!$I$2:$I$20000,"Conjunto"),""))</f>
        <v/>
      </c>
      <c r="Q792" t="str">
        <f>IF(M792="","",IFERROR(AVERAGEIFS(DATOS!$K$2:$K$20000,DATOS!$A$2:$A$20000,M792,DATOS!$G$2:$G$20000,CONFIG_METADATA!$B$4,DATOS!$I$2:$I$20000,"&lt;&gt;Lenguaje Musical",DATOS!$I$2:$I$20000,"&lt;&gt;Coro",DATOS!$I$2:$I$20000,"&lt;&gt;Conjunto"),""))</f>
        <v/>
      </c>
      <c r="T792" t="str">
        <f>IF(S792="","",IFERROR(AVERAGEIFS(DATOS!$K$2:$K$20000,DATOS!$A$2:$A$20000,S792,DATOS!$G$2:$G$20000,CONFIG_METADATA!$B$4,DATOS!$I$2:$I$20000,"Lenguaje Musical"),""))</f>
        <v/>
      </c>
      <c r="U792" t="str">
        <f>IF(S792="","",IFERROR(AVERAGEIFS(DATOS!$K$2:$K$20000,DATOS!$A$2:$A$20000,S792,DATOS!$G$2:$G$20000,CONFIG_METADATA!$B$4,DATOS!$I$2:$I$20000,"Coro"),""))</f>
        <v/>
      </c>
      <c r="V792" t="str">
        <f>IF(S792="","",IFERROR(AVERAGEIFS(DATOS!$K$2:$K$20000,DATOS!$A$2:$A$20000,S792,DATOS!$G$2:$G$20000,CONFIG_METADATA!$B$4,DATOS!$I$2:$I$20000,"Conjunto"),""))</f>
        <v/>
      </c>
      <c r="W792" t="str">
        <f>IF(S792="","",IFERROR(AVERAGEIFS(DATOS!$K$2:$K$20000,DATOS!$A$2:$A$20000,S792,DATOS!$G$2:$G$20000,CONFIG_METADATA!$B$4,DATOS!$I$2:$I$20000,"&lt;&gt;Lenguaje Musical",DATOS!$I$2:$I$20000,"&lt;&gt;Coro",DATOS!$I$2:$I$20000,"&lt;&gt;Conjunto"),""))</f>
        <v/>
      </c>
    </row>
    <row r="793" spans="2:23" x14ac:dyDescent="0.2">
      <c r="B793" t="str">
        <f>IF(A793="","",IFERROR(AVERAGEIFS(DATOS!$K$2:$K$20000,DATOS!$A$2:$A$20000,A793,DATOS!$G$2:$G$20000,CONFIG_METADATA!$B$4,DATOS!$I$2:$I$20000,"Lenguaje Musical"),""))</f>
        <v/>
      </c>
      <c r="C793" t="str">
        <f>IF(A793="","",IFERROR(AVERAGEIFS(DATOS!$K$2:$K$20000,DATOS!$A$2:$A$20000,A793,DATOS!$G$2:$G$20000,CONFIG_METADATA!$B$4,DATOS!$I$2:$I$20000,"Coro"),""))</f>
        <v/>
      </c>
      <c r="D793" t="str">
        <f>IF(A793="","",IFERROR(AVERAGEIFS(DATOS!$K$2:$K$20000,DATOS!$A$2:$A$20000,A793,DATOS!$G$2:$G$20000,CONFIG_METADATA!$B$4,DATOS!$I$2:$I$20000,"Conjunto"),""))</f>
        <v/>
      </c>
      <c r="E793" t="str">
        <f>IF(A793="","",IFERROR(AVERAGEIFS(DATOS!$K$2:$K$20000,DATOS!$A$2:$A$20000,A793,DATOS!$G$2:$G$20000,CONFIG_METADATA!$B$4,DATOS!$I$2:$I$20000,"&lt;&gt;Lenguaje Musical",DATOS!$I$2:$I$20000,"&lt;&gt;Coro",DATOS!$I$2:$I$20000,"&lt;&gt;Conjunto"),""))</f>
        <v/>
      </c>
      <c r="N793" t="str">
        <f>IF(M793="","",IFERROR(AVERAGEIFS(DATOS!$K$2:$K$20000,DATOS!$A$2:$A$20000,M793,DATOS!$G$2:$G$20000,CONFIG_METADATA!$B$4,DATOS!$I$2:$I$20000,"Lenguaje Musical"),""))</f>
        <v/>
      </c>
      <c r="O793" t="str">
        <f>IF(M793="","",IFERROR(AVERAGEIFS(DATOS!$K$2:$K$20000,DATOS!$A$2:$A$20000,M793,DATOS!$G$2:$G$20000,CONFIG_METADATA!$B$4,DATOS!$I$2:$I$20000,"Coro"),""))</f>
        <v/>
      </c>
      <c r="P793" t="str">
        <f>IF(M793="","",IFERROR(AVERAGEIFS(DATOS!$K$2:$K$20000,DATOS!$A$2:$A$20000,M793,DATOS!$G$2:$G$20000,CONFIG_METADATA!$B$4,DATOS!$I$2:$I$20000,"Conjunto"),""))</f>
        <v/>
      </c>
      <c r="Q793" t="str">
        <f>IF(M793="","",IFERROR(AVERAGEIFS(DATOS!$K$2:$K$20000,DATOS!$A$2:$A$20000,M793,DATOS!$G$2:$G$20000,CONFIG_METADATA!$B$4,DATOS!$I$2:$I$20000,"&lt;&gt;Lenguaje Musical",DATOS!$I$2:$I$20000,"&lt;&gt;Coro",DATOS!$I$2:$I$20000,"&lt;&gt;Conjunto"),""))</f>
        <v/>
      </c>
      <c r="T793" t="str">
        <f>IF(S793="","",IFERROR(AVERAGEIFS(DATOS!$K$2:$K$20000,DATOS!$A$2:$A$20000,S793,DATOS!$G$2:$G$20000,CONFIG_METADATA!$B$4,DATOS!$I$2:$I$20000,"Lenguaje Musical"),""))</f>
        <v/>
      </c>
      <c r="U793" t="str">
        <f>IF(S793="","",IFERROR(AVERAGEIFS(DATOS!$K$2:$K$20000,DATOS!$A$2:$A$20000,S793,DATOS!$G$2:$G$20000,CONFIG_METADATA!$B$4,DATOS!$I$2:$I$20000,"Coro"),""))</f>
        <v/>
      </c>
      <c r="V793" t="str">
        <f>IF(S793="","",IFERROR(AVERAGEIFS(DATOS!$K$2:$K$20000,DATOS!$A$2:$A$20000,S793,DATOS!$G$2:$G$20000,CONFIG_METADATA!$B$4,DATOS!$I$2:$I$20000,"Conjunto"),""))</f>
        <v/>
      </c>
      <c r="W793" t="str">
        <f>IF(S793="","",IFERROR(AVERAGEIFS(DATOS!$K$2:$K$20000,DATOS!$A$2:$A$20000,S793,DATOS!$G$2:$G$20000,CONFIG_METADATA!$B$4,DATOS!$I$2:$I$20000,"&lt;&gt;Lenguaje Musical",DATOS!$I$2:$I$20000,"&lt;&gt;Coro",DATOS!$I$2:$I$20000,"&lt;&gt;Conjunto"),""))</f>
        <v/>
      </c>
    </row>
    <row r="794" spans="2:23" x14ac:dyDescent="0.2">
      <c r="B794" t="str">
        <f>IF(A794="","",IFERROR(AVERAGEIFS(DATOS!$K$2:$K$20000,DATOS!$A$2:$A$20000,A794,DATOS!$G$2:$G$20000,CONFIG_METADATA!$B$4,DATOS!$I$2:$I$20000,"Lenguaje Musical"),""))</f>
        <v/>
      </c>
      <c r="C794" t="str">
        <f>IF(A794="","",IFERROR(AVERAGEIFS(DATOS!$K$2:$K$20000,DATOS!$A$2:$A$20000,A794,DATOS!$G$2:$G$20000,CONFIG_METADATA!$B$4,DATOS!$I$2:$I$20000,"Coro"),""))</f>
        <v/>
      </c>
      <c r="D794" t="str">
        <f>IF(A794="","",IFERROR(AVERAGEIFS(DATOS!$K$2:$K$20000,DATOS!$A$2:$A$20000,A794,DATOS!$G$2:$G$20000,CONFIG_METADATA!$B$4,DATOS!$I$2:$I$20000,"Conjunto"),""))</f>
        <v/>
      </c>
      <c r="E794" t="str">
        <f>IF(A794="","",IFERROR(AVERAGEIFS(DATOS!$K$2:$K$20000,DATOS!$A$2:$A$20000,A794,DATOS!$G$2:$G$20000,CONFIG_METADATA!$B$4,DATOS!$I$2:$I$20000,"&lt;&gt;Lenguaje Musical",DATOS!$I$2:$I$20000,"&lt;&gt;Coro",DATOS!$I$2:$I$20000,"&lt;&gt;Conjunto"),""))</f>
        <v/>
      </c>
      <c r="N794" t="str">
        <f>IF(M794="","",IFERROR(AVERAGEIFS(DATOS!$K$2:$K$20000,DATOS!$A$2:$A$20000,M794,DATOS!$G$2:$G$20000,CONFIG_METADATA!$B$4,DATOS!$I$2:$I$20000,"Lenguaje Musical"),""))</f>
        <v/>
      </c>
      <c r="O794" t="str">
        <f>IF(M794="","",IFERROR(AVERAGEIFS(DATOS!$K$2:$K$20000,DATOS!$A$2:$A$20000,M794,DATOS!$G$2:$G$20000,CONFIG_METADATA!$B$4,DATOS!$I$2:$I$20000,"Coro"),""))</f>
        <v/>
      </c>
      <c r="P794" t="str">
        <f>IF(M794="","",IFERROR(AVERAGEIFS(DATOS!$K$2:$K$20000,DATOS!$A$2:$A$20000,M794,DATOS!$G$2:$G$20000,CONFIG_METADATA!$B$4,DATOS!$I$2:$I$20000,"Conjunto"),""))</f>
        <v/>
      </c>
      <c r="Q794" t="str">
        <f>IF(M794="","",IFERROR(AVERAGEIFS(DATOS!$K$2:$K$20000,DATOS!$A$2:$A$20000,M794,DATOS!$G$2:$G$20000,CONFIG_METADATA!$B$4,DATOS!$I$2:$I$20000,"&lt;&gt;Lenguaje Musical",DATOS!$I$2:$I$20000,"&lt;&gt;Coro",DATOS!$I$2:$I$20000,"&lt;&gt;Conjunto"),""))</f>
        <v/>
      </c>
      <c r="T794" t="str">
        <f>IF(S794="","",IFERROR(AVERAGEIFS(DATOS!$K$2:$K$20000,DATOS!$A$2:$A$20000,S794,DATOS!$G$2:$G$20000,CONFIG_METADATA!$B$4,DATOS!$I$2:$I$20000,"Lenguaje Musical"),""))</f>
        <v/>
      </c>
      <c r="U794" t="str">
        <f>IF(S794="","",IFERROR(AVERAGEIFS(DATOS!$K$2:$K$20000,DATOS!$A$2:$A$20000,S794,DATOS!$G$2:$G$20000,CONFIG_METADATA!$B$4,DATOS!$I$2:$I$20000,"Coro"),""))</f>
        <v/>
      </c>
      <c r="V794" t="str">
        <f>IF(S794="","",IFERROR(AVERAGEIFS(DATOS!$K$2:$K$20000,DATOS!$A$2:$A$20000,S794,DATOS!$G$2:$G$20000,CONFIG_METADATA!$B$4,DATOS!$I$2:$I$20000,"Conjunto"),""))</f>
        <v/>
      </c>
      <c r="W794" t="str">
        <f>IF(S794="","",IFERROR(AVERAGEIFS(DATOS!$K$2:$K$20000,DATOS!$A$2:$A$20000,S794,DATOS!$G$2:$G$20000,CONFIG_METADATA!$B$4,DATOS!$I$2:$I$20000,"&lt;&gt;Lenguaje Musical",DATOS!$I$2:$I$20000,"&lt;&gt;Coro",DATOS!$I$2:$I$20000,"&lt;&gt;Conjunto"),""))</f>
        <v/>
      </c>
    </row>
    <row r="795" spans="2:23" x14ac:dyDescent="0.2">
      <c r="B795" t="str">
        <f>IF(A795="","",IFERROR(AVERAGEIFS(DATOS!$K$2:$K$20000,DATOS!$A$2:$A$20000,A795,DATOS!$G$2:$G$20000,CONFIG_METADATA!$B$4,DATOS!$I$2:$I$20000,"Lenguaje Musical"),""))</f>
        <v/>
      </c>
      <c r="C795" t="str">
        <f>IF(A795="","",IFERROR(AVERAGEIFS(DATOS!$K$2:$K$20000,DATOS!$A$2:$A$20000,A795,DATOS!$G$2:$G$20000,CONFIG_METADATA!$B$4,DATOS!$I$2:$I$20000,"Coro"),""))</f>
        <v/>
      </c>
      <c r="D795" t="str">
        <f>IF(A795="","",IFERROR(AVERAGEIFS(DATOS!$K$2:$K$20000,DATOS!$A$2:$A$20000,A795,DATOS!$G$2:$G$20000,CONFIG_METADATA!$B$4,DATOS!$I$2:$I$20000,"Conjunto"),""))</f>
        <v/>
      </c>
      <c r="E795" t="str">
        <f>IF(A795="","",IFERROR(AVERAGEIFS(DATOS!$K$2:$K$20000,DATOS!$A$2:$A$20000,A795,DATOS!$G$2:$G$20000,CONFIG_METADATA!$B$4,DATOS!$I$2:$I$20000,"&lt;&gt;Lenguaje Musical",DATOS!$I$2:$I$20000,"&lt;&gt;Coro",DATOS!$I$2:$I$20000,"&lt;&gt;Conjunto"),""))</f>
        <v/>
      </c>
      <c r="N795" t="str">
        <f>IF(M795="","",IFERROR(AVERAGEIFS(DATOS!$K$2:$K$20000,DATOS!$A$2:$A$20000,M795,DATOS!$G$2:$G$20000,CONFIG_METADATA!$B$4,DATOS!$I$2:$I$20000,"Lenguaje Musical"),""))</f>
        <v/>
      </c>
      <c r="O795" t="str">
        <f>IF(M795="","",IFERROR(AVERAGEIFS(DATOS!$K$2:$K$20000,DATOS!$A$2:$A$20000,M795,DATOS!$G$2:$G$20000,CONFIG_METADATA!$B$4,DATOS!$I$2:$I$20000,"Coro"),""))</f>
        <v/>
      </c>
      <c r="P795" t="str">
        <f>IF(M795="","",IFERROR(AVERAGEIFS(DATOS!$K$2:$K$20000,DATOS!$A$2:$A$20000,M795,DATOS!$G$2:$G$20000,CONFIG_METADATA!$B$4,DATOS!$I$2:$I$20000,"Conjunto"),""))</f>
        <v/>
      </c>
      <c r="Q795" t="str">
        <f>IF(M795="","",IFERROR(AVERAGEIFS(DATOS!$K$2:$K$20000,DATOS!$A$2:$A$20000,M795,DATOS!$G$2:$G$20000,CONFIG_METADATA!$B$4,DATOS!$I$2:$I$20000,"&lt;&gt;Lenguaje Musical",DATOS!$I$2:$I$20000,"&lt;&gt;Coro",DATOS!$I$2:$I$20000,"&lt;&gt;Conjunto"),""))</f>
        <v/>
      </c>
      <c r="T795" t="str">
        <f>IF(S795="","",IFERROR(AVERAGEIFS(DATOS!$K$2:$K$20000,DATOS!$A$2:$A$20000,S795,DATOS!$G$2:$G$20000,CONFIG_METADATA!$B$4,DATOS!$I$2:$I$20000,"Lenguaje Musical"),""))</f>
        <v/>
      </c>
      <c r="U795" t="str">
        <f>IF(S795="","",IFERROR(AVERAGEIFS(DATOS!$K$2:$K$20000,DATOS!$A$2:$A$20000,S795,DATOS!$G$2:$G$20000,CONFIG_METADATA!$B$4,DATOS!$I$2:$I$20000,"Coro"),""))</f>
        <v/>
      </c>
      <c r="V795" t="str">
        <f>IF(S795="","",IFERROR(AVERAGEIFS(DATOS!$K$2:$K$20000,DATOS!$A$2:$A$20000,S795,DATOS!$G$2:$G$20000,CONFIG_METADATA!$B$4,DATOS!$I$2:$I$20000,"Conjunto"),""))</f>
        <v/>
      </c>
      <c r="W795" t="str">
        <f>IF(S795="","",IFERROR(AVERAGEIFS(DATOS!$K$2:$K$20000,DATOS!$A$2:$A$20000,S795,DATOS!$G$2:$G$20000,CONFIG_METADATA!$B$4,DATOS!$I$2:$I$20000,"&lt;&gt;Lenguaje Musical",DATOS!$I$2:$I$20000,"&lt;&gt;Coro",DATOS!$I$2:$I$20000,"&lt;&gt;Conjunto"),""))</f>
        <v/>
      </c>
    </row>
    <row r="796" spans="2:23" x14ac:dyDescent="0.2">
      <c r="B796" t="str">
        <f>IF(A796="","",IFERROR(AVERAGEIFS(DATOS!$K$2:$K$20000,DATOS!$A$2:$A$20000,A796,DATOS!$G$2:$G$20000,CONFIG_METADATA!$B$4,DATOS!$I$2:$I$20000,"Lenguaje Musical"),""))</f>
        <v/>
      </c>
      <c r="C796" t="str">
        <f>IF(A796="","",IFERROR(AVERAGEIFS(DATOS!$K$2:$K$20000,DATOS!$A$2:$A$20000,A796,DATOS!$G$2:$G$20000,CONFIG_METADATA!$B$4,DATOS!$I$2:$I$20000,"Coro"),""))</f>
        <v/>
      </c>
      <c r="D796" t="str">
        <f>IF(A796="","",IFERROR(AVERAGEIFS(DATOS!$K$2:$K$20000,DATOS!$A$2:$A$20000,A796,DATOS!$G$2:$G$20000,CONFIG_METADATA!$B$4,DATOS!$I$2:$I$20000,"Conjunto"),""))</f>
        <v/>
      </c>
      <c r="E796" t="str">
        <f>IF(A796="","",IFERROR(AVERAGEIFS(DATOS!$K$2:$K$20000,DATOS!$A$2:$A$20000,A796,DATOS!$G$2:$G$20000,CONFIG_METADATA!$B$4,DATOS!$I$2:$I$20000,"&lt;&gt;Lenguaje Musical",DATOS!$I$2:$I$20000,"&lt;&gt;Coro",DATOS!$I$2:$I$20000,"&lt;&gt;Conjunto"),""))</f>
        <v/>
      </c>
      <c r="N796" t="str">
        <f>IF(M796="","",IFERROR(AVERAGEIFS(DATOS!$K$2:$K$20000,DATOS!$A$2:$A$20000,M796,DATOS!$G$2:$G$20000,CONFIG_METADATA!$B$4,DATOS!$I$2:$I$20000,"Lenguaje Musical"),""))</f>
        <v/>
      </c>
      <c r="O796" t="str">
        <f>IF(M796="","",IFERROR(AVERAGEIFS(DATOS!$K$2:$K$20000,DATOS!$A$2:$A$20000,M796,DATOS!$G$2:$G$20000,CONFIG_METADATA!$B$4,DATOS!$I$2:$I$20000,"Coro"),""))</f>
        <v/>
      </c>
      <c r="P796" t="str">
        <f>IF(M796="","",IFERROR(AVERAGEIFS(DATOS!$K$2:$K$20000,DATOS!$A$2:$A$20000,M796,DATOS!$G$2:$G$20000,CONFIG_METADATA!$B$4,DATOS!$I$2:$I$20000,"Conjunto"),""))</f>
        <v/>
      </c>
      <c r="Q796" t="str">
        <f>IF(M796="","",IFERROR(AVERAGEIFS(DATOS!$K$2:$K$20000,DATOS!$A$2:$A$20000,M796,DATOS!$G$2:$G$20000,CONFIG_METADATA!$B$4,DATOS!$I$2:$I$20000,"&lt;&gt;Lenguaje Musical",DATOS!$I$2:$I$20000,"&lt;&gt;Coro",DATOS!$I$2:$I$20000,"&lt;&gt;Conjunto"),""))</f>
        <v/>
      </c>
      <c r="T796" t="str">
        <f>IF(S796="","",IFERROR(AVERAGEIFS(DATOS!$K$2:$K$20000,DATOS!$A$2:$A$20000,S796,DATOS!$G$2:$G$20000,CONFIG_METADATA!$B$4,DATOS!$I$2:$I$20000,"Lenguaje Musical"),""))</f>
        <v/>
      </c>
      <c r="U796" t="str">
        <f>IF(S796="","",IFERROR(AVERAGEIFS(DATOS!$K$2:$K$20000,DATOS!$A$2:$A$20000,S796,DATOS!$G$2:$G$20000,CONFIG_METADATA!$B$4,DATOS!$I$2:$I$20000,"Coro"),""))</f>
        <v/>
      </c>
      <c r="V796" t="str">
        <f>IF(S796="","",IFERROR(AVERAGEIFS(DATOS!$K$2:$K$20000,DATOS!$A$2:$A$20000,S796,DATOS!$G$2:$G$20000,CONFIG_METADATA!$B$4,DATOS!$I$2:$I$20000,"Conjunto"),""))</f>
        <v/>
      </c>
      <c r="W796" t="str">
        <f>IF(S796="","",IFERROR(AVERAGEIFS(DATOS!$K$2:$K$20000,DATOS!$A$2:$A$20000,S796,DATOS!$G$2:$G$20000,CONFIG_METADATA!$B$4,DATOS!$I$2:$I$20000,"&lt;&gt;Lenguaje Musical",DATOS!$I$2:$I$20000,"&lt;&gt;Coro",DATOS!$I$2:$I$20000,"&lt;&gt;Conjunto"),""))</f>
        <v/>
      </c>
    </row>
    <row r="797" spans="2:23" x14ac:dyDescent="0.2">
      <c r="B797" t="str">
        <f>IF(A797="","",IFERROR(AVERAGEIFS(DATOS!$K$2:$K$20000,DATOS!$A$2:$A$20000,A797,DATOS!$G$2:$G$20000,CONFIG_METADATA!$B$4,DATOS!$I$2:$I$20000,"Lenguaje Musical"),""))</f>
        <v/>
      </c>
      <c r="C797" t="str">
        <f>IF(A797="","",IFERROR(AVERAGEIFS(DATOS!$K$2:$K$20000,DATOS!$A$2:$A$20000,A797,DATOS!$G$2:$G$20000,CONFIG_METADATA!$B$4,DATOS!$I$2:$I$20000,"Coro"),""))</f>
        <v/>
      </c>
      <c r="D797" t="str">
        <f>IF(A797="","",IFERROR(AVERAGEIFS(DATOS!$K$2:$K$20000,DATOS!$A$2:$A$20000,A797,DATOS!$G$2:$G$20000,CONFIG_METADATA!$B$4,DATOS!$I$2:$I$20000,"Conjunto"),""))</f>
        <v/>
      </c>
      <c r="E797" t="str">
        <f>IF(A797="","",IFERROR(AVERAGEIFS(DATOS!$K$2:$K$20000,DATOS!$A$2:$A$20000,A797,DATOS!$G$2:$G$20000,CONFIG_METADATA!$B$4,DATOS!$I$2:$I$20000,"&lt;&gt;Lenguaje Musical",DATOS!$I$2:$I$20000,"&lt;&gt;Coro",DATOS!$I$2:$I$20000,"&lt;&gt;Conjunto"),""))</f>
        <v/>
      </c>
      <c r="N797" t="str">
        <f>IF(M797="","",IFERROR(AVERAGEIFS(DATOS!$K$2:$K$20000,DATOS!$A$2:$A$20000,M797,DATOS!$G$2:$G$20000,CONFIG_METADATA!$B$4,DATOS!$I$2:$I$20000,"Lenguaje Musical"),""))</f>
        <v/>
      </c>
      <c r="O797" t="str">
        <f>IF(M797="","",IFERROR(AVERAGEIFS(DATOS!$K$2:$K$20000,DATOS!$A$2:$A$20000,M797,DATOS!$G$2:$G$20000,CONFIG_METADATA!$B$4,DATOS!$I$2:$I$20000,"Coro"),""))</f>
        <v/>
      </c>
      <c r="P797" t="str">
        <f>IF(M797="","",IFERROR(AVERAGEIFS(DATOS!$K$2:$K$20000,DATOS!$A$2:$A$20000,M797,DATOS!$G$2:$G$20000,CONFIG_METADATA!$B$4,DATOS!$I$2:$I$20000,"Conjunto"),""))</f>
        <v/>
      </c>
      <c r="Q797" t="str">
        <f>IF(M797="","",IFERROR(AVERAGEIFS(DATOS!$K$2:$K$20000,DATOS!$A$2:$A$20000,M797,DATOS!$G$2:$G$20000,CONFIG_METADATA!$B$4,DATOS!$I$2:$I$20000,"&lt;&gt;Lenguaje Musical",DATOS!$I$2:$I$20000,"&lt;&gt;Coro",DATOS!$I$2:$I$20000,"&lt;&gt;Conjunto"),""))</f>
        <v/>
      </c>
      <c r="T797" t="str">
        <f>IF(S797="","",IFERROR(AVERAGEIFS(DATOS!$K$2:$K$20000,DATOS!$A$2:$A$20000,S797,DATOS!$G$2:$G$20000,CONFIG_METADATA!$B$4,DATOS!$I$2:$I$20000,"Lenguaje Musical"),""))</f>
        <v/>
      </c>
      <c r="U797" t="str">
        <f>IF(S797="","",IFERROR(AVERAGEIFS(DATOS!$K$2:$K$20000,DATOS!$A$2:$A$20000,S797,DATOS!$G$2:$G$20000,CONFIG_METADATA!$B$4,DATOS!$I$2:$I$20000,"Coro"),""))</f>
        <v/>
      </c>
      <c r="V797" t="str">
        <f>IF(S797="","",IFERROR(AVERAGEIFS(DATOS!$K$2:$K$20000,DATOS!$A$2:$A$20000,S797,DATOS!$G$2:$G$20000,CONFIG_METADATA!$B$4,DATOS!$I$2:$I$20000,"Conjunto"),""))</f>
        <v/>
      </c>
      <c r="W797" t="str">
        <f>IF(S797="","",IFERROR(AVERAGEIFS(DATOS!$K$2:$K$20000,DATOS!$A$2:$A$20000,S797,DATOS!$G$2:$G$20000,CONFIG_METADATA!$B$4,DATOS!$I$2:$I$20000,"&lt;&gt;Lenguaje Musical",DATOS!$I$2:$I$20000,"&lt;&gt;Coro",DATOS!$I$2:$I$20000,"&lt;&gt;Conjunto"),""))</f>
        <v/>
      </c>
    </row>
    <row r="798" spans="2:23" x14ac:dyDescent="0.2">
      <c r="B798" t="str">
        <f>IF(A798="","",IFERROR(AVERAGEIFS(DATOS!$K$2:$K$20000,DATOS!$A$2:$A$20000,A798,DATOS!$G$2:$G$20000,CONFIG_METADATA!$B$4,DATOS!$I$2:$I$20000,"Lenguaje Musical"),""))</f>
        <v/>
      </c>
      <c r="C798" t="str">
        <f>IF(A798="","",IFERROR(AVERAGEIFS(DATOS!$K$2:$K$20000,DATOS!$A$2:$A$20000,A798,DATOS!$G$2:$G$20000,CONFIG_METADATA!$B$4,DATOS!$I$2:$I$20000,"Coro"),""))</f>
        <v/>
      </c>
      <c r="D798" t="str">
        <f>IF(A798="","",IFERROR(AVERAGEIFS(DATOS!$K$2:$K$20000,DATOS!$A$2:$A$20000,A798,DATOS!$G$2:$G$20000,CONFIG_METADATA!$B$4,DATOS!$I$2:$I$20000,"Conjunto"),""))</f>
        <v/>
      </c>
      <c r="E798" t="str">
        <f>IF(A798="","",IFERROR(AVERAGEIFS(DATOS!$K$2:$K$20000,DATOS!$A$2:$A$20000,A798,DATOS!$G$2:$G$20000,CONFIG_METADATA!$B$4,DATOS!$I$2:$I$20000,"&lt;&gt;Lenguaje Musical",DATOS!$I$2:$I$20000,"&lt;&gt;Coro",DATOS!$I$2:$I$20000,"&lt;&gt;Conjunto"),""))</f>
        <v/>
      </c>
      <c r="N798" t="str">
        <f>IF(M798="","",IFERROR(AVERAGEIFS(DATOS!$K$2:$K$20000,DATOS!$A$2:$A$20000,M798,DATOS!$G$2:$G$20000,CONFIG_METADATA!$B$4,DATOS!$I$2:$I$20000,"Lenguaje Musical"),""))</f>
        <v/>
      </c>
      <c r="O798" t="str">
        <f>IF(M798="","",IFERROR(AVERAGEIFS(DATOS!$K$2:$K$20000,DATOS!$A$2:$A$20000,M798,DATOS!$G$2:$G$20000,CONFIG_METADATA!$B$4,DATOS!$I$2:$I$20000,"Coro"),""))</f>
        <v/>
      </c>
      <c r="P798" t="str">
        <f>IF(M798="","",IFERROR(AVERAGEIFS(DATOS!$K$2:$K$20000,DATOS!$A$2:$A$20000,M798,DATOS!$G$2:$G$20000,CONFIG_METADATA!$B$4,DATOS!$I$2:$I$20000,"Conjunto"),""))</f>
        <v/>
      </c>
      <c r="Q798" t="str">
        <f>IF(M798="","",IFERROR(AVERAGEIFS(DATOS!$K$2:$K$20000,DATOS!$A$2:$A$20000,M798,DATOS!$G$2:$G$20000,CONFIG_METADATA!$B$4,DATOS!$I$2:$I$20000,"&lt;&gt;Lenguaje Musical",DATOS!$I$2:$I$20000,"&lt;&gt;Coro",DATOS!$I$2:$I$20000,"&lt;&gt;Conjunto"),""))</f>
        <v/>
      </c>
      <c r="T798" t="str">
        <f>IF(S798="","",IFERROR(AVERAGEIFS(DATOS!$K$2:$K$20000,DATOS!$A$2:$A$20000,S798,DATOS!$G$2:$G$20000,CONFIG_METADATA!$B$4,DATOS!$I$2:$I$20000,"Lenguaje Musical"),""))</f>
        <v/>
      </c>
      <c r="U798" t="str">
        <f>IF(S798="","",IFERROR(AVERAGEIFS(DATOS!$K$2:$K$20000,DATOS!$A$2:$A$20000,S798,DATOS!$G$2:$G$20000,CONFIG_METADATA!$B$4,DATOS!$I$2:$I$20000,"Coro"),""))</f>
        <v/>
      </c>
      <c r="V798" t="str">
        <f>IF(S798="","",IFERROR(AVERAGEIFS(DATOS!$K$2:$K$20000,DATOS!$A$2:$A$20000,S798,DATOS!$G$2:$G$20000,CONFIG_METADATA!$B$4,DATOS!$I$2:$I$20000,"Conjunto"),""))</f>
        <v/>
      </c>
      <c r="W798" t="str">
        <f>IF(S798="","",IFERROR(AVERAGEIFS(DATOS!$K$2:$K$20000,DATOS!$A$2:$A$20000,S798,DATOS!$G$2:$G$20000,CONFIG_METADATA!$B$4,DATOS!$I$2:$I$20000,"&lt;&gt;Lenguaje Musical",DATOS!$I$2:$I$20000,"&lt;&gt;Coro",DATOS!$I$2:$I$20000,"&lt;&gt;Conjunto"),""))</f>
        <v/>
      </c>
    </row>
    <row r="799" spans="2:23" x14ac:dyDescent="0.2">
      <c r="B799" t="str">
        <f>IF(A799="","",IFERROR(AVERAGEIFS(DATOS!$K$2:$K$20000,DATOS!$A$2:$A$20000,A799,DATOS!$G$2:$G$20000,CONFIG_METADATA!$B$4,DATOS!$I$2:$I$20000,"Lenguaje Musical"),""))</f>
        <v/>
      </c>
      <c r="C799" t="str">
        <f>IF(A799="","",IFERROR(AVERAGEIFS(DATOS!$K$2:$K$20000,DATOS!$A$2:$A$20000,A799,DATOS!$G$2:$G$20000,CONFIG_METADATA!$B$4,DATOS!$I$2:$I$20000,"Coro"),""))</f>
        <v/>
      </c>
      <c r="D799" t="str">
        <f>IF(A799="","",IFERROR(AVERAGEIFS(DATOS!$K$2:$K$20000,DATOS!$A$2:$A$20000,A799,DATOS!$G$2:$G$20000,CONFIG_METADATA!$B$4,DATOS!$I$2:$I$20000,"Conjunto"),""))</f>
        <v/>
      </c>
      <c r="E799" t="str">
        <f>IF(A799="","",IFERROR(AVERAGEIFS(DATOS!$K$2:$K$20000,DATOS!$A$2:$A$20000,A799,DATOS!$G$2:$G$20000,CONFIG_METADATA!$B$4,DATOS!$I$2:$I$20000,"&lt;&gt;Lenguaje Musical",DATOS!$I$2:$I$20000,"&lt;&gt;Coro",DATOS!$I$2:$I$20000,"&lt;&gt;Conjunto"),""))</f>
        <v/>
      </c>
      <c r="N799" t="str">
        <f>IF(M799="","",IFERROR(AVERAGEIFS(DATOS!$K$2:$K$20000,DATOS!$A$2:$A$20000,M799,DATOS!$G$2:$G$20000,CONFIG_METADATA!$B$4,DATOS!$I$2:$I$20000,"Lenguaje Musical"),""))</f>
        <v/>
      </c>
      <c r="O799" t="str">
        <f>IF(M799="","",IFERROR(AVERAGEIFS(DATOS!$K$2:$K$20000,DATOS!$A$2:$A$20000,M799,DATOS!$G$2:$G$20000,CONFIG_METADATA!$B$4,DATOS!$I$2:$I$20000,"Coro"),""))</f>
        <v/>
      </c>
      <c r="P799" t="str">
        <f>IF(M799="","",IFERROR(AVERAGEIFS(DATOS!$K$2:$K$20000,DATOS!$A$2:$A$20000,M799,DATOS!$G$2:$G$20000,CONFIG_METADATA!$B$4,DATOS!$I$2:$I$20000,"Conjunto"),""))</f>
        <v/>
      </c>
      <c r="Q799" t="str">
        <f>IF(M799="","",IFERROR(AVERAGEIFS(DATOS!$K$2:$K$20000,DATOS!$A$2:$A$20000,M799,DATOS!$G$2:$G$20000,CONFIG_METADATA!$B$4,DATOS!$I$2:$I$20000,"&lt;&gt;Lenguaje Musical",DATOS!$I$2:$I$20000,"&lt;&gt;Coro",DATOS!$I$2:$I$20000,"&lt;&gt;Conjunto"),""))</f>
        <v/>
      </c>
      <c r="T799" t="str">
        <f>IF(S799="","",IFERROR(AVERAGEIFS(DATOS!$K$2:$K$20000,DATOS!$A$2:$A$20000,S799,DATOS!$G$2:$G$20000,CONFIG_METADATA!$B$4,DATOS!$I$2:$I$20000,"Lenguaje Musical"),""))</f>
        <v/>
      </c>
      <c r="U799" t="str">
        <f>IF(S799="","",IFERROR(AVERAGEIFS(DATOS!$K$2:$K$20000,DATOS!$A$2:$A$20000,S799,DATOS!$G$2:$G$20000,CONFIG_METADATA!$B$4,DATOS!$I$2:$I$20000,"Coro"),""))</f>
        <v/>
      </c>
      <c r="V799" t="str">
        <f>IF(S799="","",IFERROR(AVERAGEIFS(DATOS!$K$2:$K$20000,DATOS!$A$2:$A$20000,S799,DATOS!$G$2:$G$20000,CONFIG_METADATA!$B$4,DATOS!$I$2:$I$20000,"Conjunto"),""))</f>
        <v/>
      </c>
      <c r="W799" t="str">
        <f>IF(S799="","",IFERROR(AVERAGEIFS(DATOS!$K$2:$K$20000,DATOS!$A$2:$A$20000,S799,DATOS!$G$2:$G$20000,CONFIG_METADATA!$B$4,DATOS!$I$2:$I$20000,"&lt;&gt;Lenguaje Musical",DATOS!$I$2:$I$20000,"&lt;&gt;Coro",DATOS!$I$2:$I$20000,"&lt;&gt;Conjunto"),""))</f>
        <v/>
      </c>
    </row>
    <row r="800" spans="2:23" x14ac:dyDescent="0.2">
      <c r="B800" t="str">
        <f>IF(A800="","",IFERROR(AVERAGEIFS(DATOS!$K$2:$K$20000,DATOS!$A$2:$A$20000,A800,DATOS!$G$2:$G$20000,CONFIG_METADATA!$B$4,DATOS!$I$2:$I$20000,"Lenguaje Musical"),""))</f>
        <v/>
      </c>
      <c r="C800" t="str">
        <f>IF(A800="","",IFERROR(AVERAGEIFS(DATOS!$K$2:$K$20000,DATOS!$A$2:$A$20000,A800,DATOS!$G$2:$G$20000,CONFIG_METADATA!$B$4,DATOS!$I$2:$I$20000,"Coro"),""))</f>
        <v/>
      </c>
      <c r="D800" t="str">
        <f>IF(A800="","",IFERROR(AVERAGEIFS(DATOS!$K$2:$K$20000,DATOS!$A$2:$A$20000,A800,DATOS!$G$2:$G$20000,CONFIG_METADATA!$B$4,DATOS!$I$2:$I$20000,"Conjunto"),""))</f>
        <v/>
      </c>
      <c r="E800" t="str">
        <f>IF(A800="","",IFERROR(AVERAGEIFS(DATOS!$K$2:$K$20000,DATOS!$A$2:$A$20000,A800,DATOS!$G$2:$G$20000,CONFIG_METADATA!$B$4,DATOS!$I$2:$I$20000,"&lt;&gt;Lenguaje Musical",DATOS!$I$2:$I$20000,"&lt;&gt;Coro",DATOS!$I$2:$I$20000,"&lt;&gt;Conjunto"),""))</f>
        <v/>
      </c>
      <c r="N800" t="str">
        <f>IF(M800="","",IFERROR(AVERAGEIFS(DATOS!$K$2:$K$20000,DATOS!$A$2:$A$20000,M800,DATOS!$G$2:$G$20000,CONFIG_METADATA!$B$4,DATOS!$I$2:$I$20000,"Lenguaje Musical"),""))</f>
        <v/>
      </c>
      <c r="O800" t="str">
        <f>IF(M800="","",IFERROR(AVERAGEIFS(DATOS!$K$2:$K$20000,DATOS!$A$2:$A$20000,M800,DATOS!$G$2:$G$20000,CONFIG_METADATA!$B$4,DATOS!$I$2:$I$20000,"Coro"),""))</f>
        <v/>
      </c>
      <c r="P800" t="str">
        <f>IF(M800="","",IFERROR(AVERAGEIFS(DATOS!$K$2:$K$20000,DATOS!$A$2:$A$20000,M800,DATOS!$G$2:$G$20000,CONFIG_METADATA!$B$4,DATOS!$I$2:$I$20000,"Conjunto"),""))</f>
        <v/>
      </c>
      <c r="Q800" t="str">
        <f>IF(M800="","",IFERROR(AVERAGEIFS(DATOS!$K$2:$K$20000,DATOS!$A$2:$A$20000,M800,DATOS!$G$2:$G$20000,CONFIG_METADATA!$B$4,DATOS!$I$2:$I$20000,"&lt;&gt;Lenguaje Musical",DATOS!$I$2:$I$20000,"&lt;&gt;Coro",DATOS!$I$2:$I$20000,"&lt;&gt;Conjunto"),""))</f>
        <v/>
      </c>
      <c r="T800" t="str">
        <f>IF(S800="","",IFERROR(AVERAGEIFS(DATOS!$K$2:$K$20000,DATOS!$A$2:$A$20000,S800,DATOS!$G$2:$G$20000,CONFIG_METADATA!$B$4,DATOS!$I$2:$I$20000,"Lenguaje Musical"),""))</f>
        <v/>
      </c>
      <c r="U800" t="str">
        <f>IF(S800="","",IFERROR(AVERAGEIFS(DATOS!$K$2:$K$20000,DATOS!$A$2:$A$20000,S800,DATOS!$G$2:$G$20000,CONFIG_METADATA!$B$4,DATOS!$I$2:$I$20000,"Coro"),""))</f>
        <v/>
      </c>
      <c r="V800" t="str">
        <f>IF(S800="","",IFERROR(AVERAGEIFS(DATOS!$K$2:$K$20000,DATOS!$A$2:$A$20000,S800,DATOS!$G$2:$G$20000,CONFIG_METADATA!$B$4,DATOS!$I$2:$I$20000,"Conjunto"),""))</f>
        <v/>
      </c>
      <c r="W800" t="str">
        <f>IF(S800="","",IFERROR(AVERAGEIFS(DATOS!$K$2:$K$20000,DATOS!$A$2:$A$20000,S800,DATOS!$G$2:$G$20000,CONFIG_METADATA!$B$4,DATOS!$I$2:$I$20000,"&lt;&gt;Lenguaje Musical",DATOS!$I$2:$I$20000,"&lt;&gt;Coro",DATOS!$I$2:$I$20000,"&lt;&gt;Conjunto"),""))</f>
        <v/>
      </c>
    </row>
    <row r="801" spans="2:23" x14ac:dyDescent="0.2">
      <c r="B801" t="str">
        <f>IF(A801="","",IFERROR(AVERAGEIFS(DATOS!$K$2:$K$20000,DATOS!$A$2:$A$20000,A801,DATOS!$G$2:$G$20000,CONFIG_METADATA!$B$4,DATOS!$I$2:$I$20000,"Lenguaje Musical"),""))</f>
        <v/>
      </c>
      <c r="C801" t="str">
        <f>IF(A801="","",IFERROR(AVERAGEIFS(DATOS!$K$2:$K$20000,DATOS!$A$2:$A$20000,A801,DATOS!$G$2:$G$20000,CONFIG_METADATA!$B$4,DATOS!$I$2:$I$20000,"Coro"),""))</f>
        <v/>
      </c>
      <c r="D801" t="str">
        <f>IF(A801="","",IFERROR(AVERAGEIFS(DATOS!$K$2:$K$20000,DATOS!$A$2:$A$20000,A801,DATOS!$G$2:$G$20000,CONFIG_METADATA!$B$4,DATOS!$I$2:$I$20000,"Conjunto"),""))</f>
        <v/>
      </c>
      <c r="E801" t="str">
        <f>IF(A801="","",IFERROR(AVERAGEIFS(DATOS!$K$2:$K$20000,DATOS!$A$2:$A$20000,A801,DATOS!$G$2:$G$20000,CONFIG_METADATA!$B$4,DATOS!$I$2:$I$20000,"&lt;&gt;Lenguaje Musical",DATOS!$I$2:$I$20000,"&lt;&gt;Coro",DATOS!$I$2:$I$20000,"&lt;&gt;Conjunto"),""))</f>
        <v/>
      </c>
      <c r="N801" t="str">
        <f>IF(M801="","",IFERROR(AVERAGEIFS(DATOS!$K$2:$K$20000,DATOS!$A$2:$A$20000,M801,DATOS!$G$2:$G$20000,CONFIG_METADATA!$B$4,DATOS!$I$2:$I$20000,"Lenguaje Musical"),""))</f>
        <v/>
      </c>
      <c r="O801" t="str">
        <f>IF(M801="","",IFERROR(AVERAGEIFS(DATOS!$K$2:$K$20000,DATOS!$A$2:$A$20000,M801,DATOS!$G$2:$G$20000,CONFIG_METADATA!$B$4,DATOS!$I$2:$I$20000,"Coro"),""))</f>
        <v/>
      </c>
      <c r="P801" t="str">
        <f>IF(M801="","",IFERROR(AVERAGEIFS(DATOS!$K$2:$K$20000,DATOS!$A$2:$A$20000,M801,DATOS!$G$2:$G$20000,CONFIG_METADATA!$B$4,DATOS!$I$2:$I$20000,"Conjunto"),""))</f>
        <v/>
      </c>
      <c r="Q801" t="str">
        <f>IF(M801="","",IFERROR(AVERAGEIFS(DATOS!$K$2:$K$20000,DATOS!$A$2:$A$20000,M801,DATOS!$G$2:$G$20000,CONFIG_METADATA!$B$4,DATOS!$I$2:$I$20000,"&lt;&gt;Lenguaje Musical",DATOS!$I$2:$I$20000,"&lt;&gt;Coro",DATOS!$I$2:$I$20000,"&lt;&gt;Conjunto"),""))</f>
        <v/>
      </c>
      <c r="T801" t="str">
        <f>IF(S801="","",IFERROR(AVERAGEIFS(DATOS!$K$2:$K$20000,DATOS!$A$2:$A$20000,S801,DATOS!$G$2:$G$20000,CONFIG_METADATA!$B$4,DATOS!$I$2:$I$20000,"Lenguaje Musical"),""))</f>
        <v/>
      </c>
      <c r="U801" t="str">
        <f>IF(S801="","",IFERROR(AVERAGEIFS(DATOS!$K$2:$K$20000,DATOS!$A$2:$A$20000,S801,DATOS!$G$2:$G$20000,CONFIG_METADATA!$B$4,DATOS!$I$2:$I$20000,"Coro"),""))</f>
        <v/>
      </c>
      <c r="V801" t="str">
        <f>IF(S801="","",IFERROR(AVERAGEIFS(DATOS!$K$2:$K$20000,DATOS!$A$2:$A$20000,S801,DATOS!$G$2:$G$20000,CONFIG_METADATA!$B$4,DATOS!$I$2:$I$20000,"Conjunto"),""))</f>
        <v/>
      </c>
      <c r="W801" t="str">
        <f>IF(S801="","",IFERROR(AVERAGEIFS(DATOS!$K$2:$K$20000,DATOS!$A$2:$A$20000,S801,DATOS!$G$2:$G$20000,CONFIG_METADATA!$B$4,DATOS!$I$2:$I$20000,"&lt;&gt;Lenguaje Musical",DATOS!$I$2:$I$20000,"&lt;&gt;Coro",DATOS!$I$2:$I$20000,"&lt;&gt;Conjunto"),""))</f>
        <v/>
      </c>
    </row>
    <row r="802" spans="2:23" x14ac:dyDescent="0.2">
      <c r="B802" t="str">
        <f>IF(A802="","",IFERROR(AVERAGEIFS(DATOS!$K$2:$K$20000,DATOS!$A$2:$A$20000,A802,DATOS!$G$2:$G$20000,CONFIG_METADATA!$B$4,DATOS!$I$2:$I$20000,"Lenguaje Musical"),""))</f>
        <v/>
      </c>
      <c r="C802" t="str">
        <f>IF(A802="","",IFERROR(AVERAGEIFS(DATOS!$K$2:$K$20000,DATOS!$A$2:$A$20000,A802,DATOS!$G$2:$G$20000,CONFIG_METADATA!$B$4,DATOS!$I$2:$I$20000,"Coro"),""))</f>
        <v/>
      </c>
      <c r="D802" t="str">
        <f>IF(A802="","",IFERROR(AVERAGEIFS(DATOS!$K$2:$K$20000,DATOS!$A$2:$A$20000,A802,DATOS!$G$2:$G$20000,CONFIG_METADATA!$B$4,DATOS!$I$2:$I$20000,"Conjunto"),""))</f>
        <v/>
      </c>
      <c r="E802" t="str">
        <f>IF(A802="","",IFERROR(AVERAGEIFS(DATOS!$K$2:$K$20000,DATOS!$A$2:$A$20000,A802,DATOS!$G$2:$G$20000,CONFIG_METADATA!$B$4,DATOS!$I$2:$I$20000,"&lt;&gt;Lenguaje Musical",DATOS!$I$2:$I$20000,"&lt;&gt;Coro",DATOS!$I$2:$I$20000,"&lt;&gt;Conjunto"),""))</f>
        <v/>
      </c>
      <c r="N802" t="str">
        <f>IF(M802="","",IFERROR(AVERAGEIFS(DATOS!$K$2:$K$20000,DATOS!$A$2:$A$20000,M802,DATOS!$G$2:$G$20000,CONFIG_METADATA!$B$4,DATOS!$I$2:$I$20000,"Lenguaje Musical"),""))</f>
        <v/>
      </c>
      <c r="O802" t="str">
        <f>IF(M802="","",IFERROR(AVERAGEIFS(DATOS!$K$2:$K$20000,DATOS!$A$2:$A$20000,M802,DATOS!$G$2:$G$20000,CONFIG_METADATA!$B$4,DATOS!$I$2:$I$20000,"Coro"),""))</f>
        <v/>
      </c>
      <c r="P802" t="str">
        <f>IF(M802="","",IFERROR(AVERAGEIFS(DATOS!$K$2:$K$20000,DATOS!$A$2:$A$20000,M802,DATOS!$G$2:$G$20000,CONFIG_METADATA!$B$4,DATOS!$I$2:$I$20000,"Conjunto"),""))</f>
        <v/>
      </c>
      <c r="Q802" t="str">
        <f>IF(M802="","",IFERROR(AVERAGEIFS(DATOS!$K$2:$K$20000,DATOS!$A$2:$A$20000,M802,DATOS!$G$2:$G$20000,CONFIG_METADATA!$B$4,DATOS!$I$2:$I$20000,"&lt;&gt;Lenguaje Musical",DATOS!$I$2:$I$20000,"&lt;&gt;Coro",DATOS!$I$2:$I$20000,"&lt;&gt;Conjunto"),""))</f>
        <v/>
      </c>
      <c r="T802" t="str">
        <f>IF(S802="","",IFERROR(AVERAGEIFS(DATOS!$K$2:$K$20000,DATOS!$A$2:$A$20000,S802,DATOS!$G$2:$G$20000,CONFIG_METADATA!$B$4,DATOS!$I$2:$I$20000,"Lenguaje Musical"),""))</f>
        <v/>
      </c>
      <c r="U802" t="str">
        <f>IF(S802="","",IFERROR(AVERAGEIFS(DATOS!$K$2:$K$20000,DATOS!$A$2:$A$20000,S802,DATOS!$G$2:$G$20000,CONFIG_METADATA!$B$4,DATOS!$I$2:$I$20000,"Coro"),""))</f>
        <v/>
      </c>
      <c r="V802" t="str">
        <f>IF(S802="","",IFERROR(AVERAGEIFS(DATOS!$K$2:$K$20000,DATOS!$A$2:$A$20000,S802,DATOS!$G$2:$G$20000,CONFIG_METADATA!$B$4,DATOS!$I$2:$I$20000,"Conjunto"),""))</f>
        <v/>
      </c>
      <c r="W802" t="str">
        <f>IF(S802="","",IFERROR(AVERAGEIFS(DATOS!$K$2:$K$20000,DATOS!$A$2:$A$20000,S802,DATOS!$G$2:$G$20000,CONFIG_METADATA!$B$4,DATOS!$I$2:$I$20000,"&lt;&gt;Lenguaje Musical",DATOS!$I$2:$I$20000,"&lt;&gt;Coro",DATOS!$I$2:$I$20000,"&lt;&gt;Conjunto"),""))</f>
        <v/>
      </c>
    </row>
    <row r="803" spans="2:23" x14ac:dyDescent="0.2">
      <c r="B803" t="str">
        <f>IF(A803="","",IFERROR(AVERAGEIFS(DATOS!$K$2:$K$20000,DATOS!$A$2:$A$20000,A803,DATOS!$G$2:$G$20000,CONFIG_METADATA!$B$4,DATOS!$I$2:$I$20000,"Lenguaje Musical"),""))</f>
        <v/>
      </c>
      <c r="C803" t="str">
        <f>IF(A803="","",IFERROR(AVERAGEIFS(DATOS!$K$2:$K$20000,DATOS!$A$2:$A$20000,A803,DATOS!$G$2:$G$20000,CONFIG_METADATA!$B$4,DATOS!$I$2:$I$20000,"Coro"),""))</f>
        <v/>
      </c>
      <c r="D803" t="str">
        <f>IF(A803="","",IFERROR(AVERAGEIFS(DATOS!$K$2:$K$20000,DATOS!$A$2:$A$20000,A803,DATOS!$G$2:$G$20000,CONFIG_METADATA!$B$4,DATOS!$I$2:$I$20000,"Conjunto"),""))</f>
        <v/>
      </c>
      <c r="E803" t="str">
        <f>IF(A803="","",IFERROR(AVERAGEIFS(DATOS!$K$2:$K$20000,DATOS!$A$2:$A$20000,A803,DATOS!$G$2:$G$20000,CONFIG_METADATA!$B$4,DATOS!$I$2:$I$20000,"&lt;&gt;Lenguaje Musical",DATOS!$I$2:$I$20000,"&lt;&gt;Coro",DATOS!$I$2:$I$20000,"&lt;&gt;Conjunto"),""))</f>
        <v/>
      </c>
      <c r="N803" t="str">
        <f>IF(M803="","",IFERROR(AVERAGEIFS(DATOS!$K$2:$K$20000,DATOS!$A$2:$A$20000,M803,DATOS!$G$2:$G$20000,CONFIG_METADATA!$B$4,DATOS!$I$2:$I$20000,"Lenguaje Musical"),""))</f>
        <v/>
      </c>
      <c r="O803" t="str">
        <f>IF(M803="","",IFERROR(AVERAGEIFS(DATOS!$K$2:$K$20000,DATOS!$A$2:$A$20000,M803,DATOS!$G$2:$G$20000,CONFIG_METADATA!$B$4,DATOS!$I$2:$I$20000,"Coro"),""))</f>
        <v/>
      </c>
      <c r="P803" t="str">
        <f>IF(M803="","",IFERROR(AVERAGEIFS(DATOS!$K$2:$K$20000,DATOS!$A$2:$A$20000,M803,DATOS!$G$2:$G$20000,CONFIG_METADATA!$B$4,DATOS!$I$2:$I$20000,"Conjunto"),""))</f>
        <v/>
      </c>
      <c r="Q803" t="str">
        <f>IF(M803="","",IFERROR(AVERAGEIFS(DATOS!$K$2:$K$20000,DATOS!$A$2:$A$20000,M803,DATOS!$G$2:$G$20000,CONFIG_METADATA!$B$4,DATOS!$I$2:$I$20000,"&lt;&gt;Lenguaje Musical",DATOS!$I$2:$I$20000,"&lt;&gt;Coro",DATOS!$I$2:$I$20000,"&lt;&gt;Conjunto"),""))</f>
        <v/>
      </c>
      <c r="T803" t="str">
        <f>IF(S803="","",IFERROR(AVERAGEIFS(DATOS!$K$2:$K$20000,DATOS!$A$2:$A$20000,S803,DATOS!$G$2:$G$20000,CONFIG_METADATA!$B$4,DATOS!$I$2:$I$20000,"Lenguaje Musical"),""))</f>
        <v/>
      </c>
      <c r="U803" t="str">
        <f>IF(S803="","",IFERROR(AVERAGEIFS(DATOS!$K$2:$K$20000,DATOS!$A$2:$A$20000,S803,DATOS!$G$2:$G$20000,CONFIG_METADATA!$B$4,DATOS!$I$2:$I$20000,"Coro"),""))</f>
        <v/>
      </c>
      <c r="V803" t="str">
        <f>IF(S803="","",IFERROR(AVERAGEIFS(DATOS!$K$2:$K$20000,DATOS!$A$2:$A$20000,S803,DATOS!$G$2:$G$20000,CONFIG_METADATA!$B$4,DATOS!$I$2:$I$20000,"Conjunto"),""))</f>
        <v/>
      </c>
      <c r="W803" t="str">
        <f>IF(S803="","",IFERROR(AVERAGEIFS(DATOS!$K$2:$K$20000,DATOS!$A$2:$A$20000,S803,DATOS!$G$2:$G$20000,CONFIG_METADATA!$B$4,DATOS!$I$2:$I$20000,"&lt;&gt;Lenguaje Musical",DATOS!$I$2:$I$20000,"&lt;&gt;Coro",DATOS!$I$2:$I$20000,"&lt;&gt;Conjunto"),""))</f>
        <v/>
      </c>
    </row>
    <row r="804" spans="2:23" x14ac:dyDescent="0.2">
      <c r="B804" t="str">
        <f>IF(A804="","",IFERROR(AVERAGEIFS(DATOS!$K$2:$K$20000,DATOS!$A$2:$A$20000,A804,DATOS!$G$2:$G$20000,CONFIG_METADATA!$B$4,DATOS!$I$2:$I$20000,"Lenguaje Musical"),""))</f>
        <v/>
      </c>
      <c r="C804" t="str">
        <f>IF(A804="","",IFERROR(AVERAGEIFS(DATOS!$K$2:$K$20000,DATOS!$A$2:$A$20000,A804,DATOS!$G$2:$G$20000,CONFIG_METADATA!$B$4,DATOS!$I$2:$I$20000,"Coro"),""))</f>
        <v/>
      </c>
      <c r="D804" t="str">
        <f>IF(A804="","",IFERROR(AVERAGEIFS(DATOS!$K$2:$K$20000,DATOS!$A$2:$A$20000,A804,DATOS!$G$2:$G$20000,CONFIG_METADATA!$B$4,DATOS!$I$2:$I$20000,"Conjunto"),""))</f>
        <v/>
      </c>
      <c r="E804" t="str">
        <f>IF(A804="","",IFERROR(AVERAGEIFS(DATOS!$K$2:$K$20000,DATOS!$A$2:$A$20000,A804,DATOS!$G$2:$G$20000,CONFIG_METADATA!$B$4,DATOS!$I$2:$I$20000,"&lt;&gt;Lenguaje Musical",DATOS!$I$2:$I$20000,"&lt;&gt;Coro",DATOS!$I$2:$I$20000,"&lt;&gt;Conjunto"),""))</f>
        <v/>
      </c>
      <c r="N804" t="str">
        <f>IF(M804="","",IFERROR(AVERAGEIFS(DATOS!$K$2:$K$20000,DATOS!$A$2:$A$20000,M804,DATOS!$G$2:$G$20000,CONFIG_METADATA!$B$4,DATOS!$I$2:$I$20000,"Lenguaje Musical"),""))</f>
        <v/>
      </c>
      <c r="O804" t="str">
        <f>IF(M804="","",IFERROR(AVERAGEIFS(DATOS!$K$2:$K$20000,DATOS!$A$2:$A$20000,M804,DATOS!$G$2:$G$20000,CONFIG_METADATA!$B$4,DATOS!$I$2:$I$20000,"Coro"),""))</f>
        <v/>
      </c>
      <c r="P804" t="str">
        <f>IF(M804="","",IFERROR(AVERAGEIFS(DATOS!$K$2:$K$20000,DATOS!$A$2:$A$20000,M804,DATOS!$G$2:$G$20000,CONFIG_METADATA!$B$4,DATOS!$I$2:$I$20000,"Conjunto"),""))</f>
        <v/>
      </c>
      <c r="Q804" t="str">
        <f>IF(M804="","",IFERROR(AVERAGEIFS(DATOS!$K$2:$K$20000,DATOS!$A$2:$A$20000,M804,DATOS!$G$2:$G$20000,CONFIG_METADATA!$B$4,DATOS!$I$2:$I$20000,"&lt;&gt;Lenguaje Musical",DATOS!$I$2:$I$20000,"&lt;&gt;Coro",DATOS!$I$2:$I$20000,"&lt;&gt;Conjunto"),""))</f>
        <v/>
      </c>
      <c r="T804" t="str">
        <f>IF(S804="","",IFERROR(AVERAGEIFS(DATOS!$K$2:$K$20000,DATOS!$A$2:$A$20000,S804,DATOS!$G$2:$G$20000,CONFIG_METADATA!$B$4,DATOS!$I$2:$I$20000,"Lenguaje Musical"),""))</f>
        <v/>
      </c>
      <c r="U804" t="str">
        <f>IF(S804="","",IFERROR(AVERAGEIFS(DATOS!$K$2:$K$20000,DATOS!$A$2:$A$20000,S804,DATOS!$G$2:$G$20000,CONFIG_METADATA!$B$4,DATOS!$I$2:$I$20000,"Coro"),""))</f>
        <v/>
      </c>
      <c r="V804" t="str">
        <f>IF(S804="","",IFERROR(AVERAGEIFS(DATOS!$K$2:$K$20000,DATOS!$A$2:$A$20000,S804,DATOS!$G$2:$G$20000,CONFIG_METADATA!$B$4,DATOS!$I$2:$I$20000,"Conjunto"),""))</f>
        <v/>
      </c>
      <c r="W804" t="str">
        <f>IF(S804="","",IFERROR(AVERAGEIFS(DATOS!$K$2:$K$20000,DATOS!$A$2:$A$20000,S804,DATOS!$G$2:$G$20000,CONFIG_METADATA!$B$4,DATOS!$I$2:$I$20000,"&lt;&gt;Lenguaje Musical",DATOS!$I$2:$I$20000,"&lt;&gt;Coro",DATOS!$I$2:$I$20000,"&lt;&gt;Conjunto"),""))</f>
        <v/>
      </c>
    </row>
    <row r="805" spans="2:23" x14ac:dyDescent="0.2">
      <c r="B805" t="str">
        <f>IF(A805="","",IFERROR(AVERAGEIFS(DATOS!$K$2:$K$20000,DATOS!$A$2:$A$20000,A805,DATOS!$G$2:$G$20000,CONFIG_METADATA!$B$4,DATOS!$I$2:$I$20000,"Lenguaje Musical"),""))</f>
        <v/>
      </c>
      <c r="C805" t="str">
        <f>IF(A805="","",IFERROR(AVERAGEIFS(DATOS!$K$2:$K$20000,DATOS!$A$2:$A$20000,A805,DATOS!$G$2:$G$20000,CONFIG_METADATA!$B$4,DATOS!$I$2:$I$20000,"Coro"),""))</f>
        <v/>
      </c>
      <c r="D805" t="str">
        <f>IF(A805="","",IFERROR(AVERAGEIFS(DATOS!$K$2:$K$20000,DATOS!$A$2:$A$20000,A805,DATOS!$G$2:$G$20000,CONFIG_METADATA!$B$4,DATOS!$I$2:$I$20000,"Conjunto"),""))</f>
        <v/>
      </c>
      <c r="E805" t="str">
        <f>IF(A805="","",IFERROR(AVERAGEIFS(DATOS!$K$2:$K$20000,DATOS!$A$2:$A$20000,A805,DATOS!$G$2:$G$20000,CONFIG_METADATA!$B$4,DATOS!$I$2:$I$20000,"&lt;&gt;Lenguaje Musical",DATOS!$I$2:$I$20000,"&lt;&gt;Coro",DATOS!$I$2:$I$20000,"&lt;&gt;Conjunto"),""))</f>
        <v/>
      </c>
      <c r="N805" t="str">
        <f>IF(M805="","",IFERROR(AVERAGEIFS(DATOS!$K$2:$K$20000,DATOS!$A$2:$A$20000,M805,DATOS!$G$2:$G$20000,CONFIG_METADATA!$B$4,DATOS!$I$2:$I$20000,"Lenguaje Musical"),""))</f>
        <v/>
      </c>
      <c r="O805" t="str">
        <f>IF(M805="","",IFERROR(AVERAGEIFS(DATOS!$K$2:$K$20000,DATOS!$A$2:$A$20000,M805,DATOS!$G$2:$G$20000,CONFIG_METADATA!$B$4,DATOS!$I$2:$I$20000,"Coro"),""))</f>
        <v/>
      </c>
      <c r="P805" t="str">
        <f>IF(M805="","",IFERROR(AVERAGEIFS(DATOS!$K$2:$K$20000,DATOS!$A$2:$A$20000,M805,DATOS!$G$2:$G$20000,CONFIG_METADATA!$B$4,DATOS!$I$2:$I$20000,"Conjunto"),""))</f>
        <v/>
      </c>
      <c r="Q805" t="str">
        <f>IF(M805="","",IFERROR(AVERAGEIFS(DATOS!$K$2:$K$20000,DATOS!$A$2:$A$20000,M805,DATOS!$G$2:$G$20000,CONFIG_METADATA!$B$4,DATOS!$I$2:$I$20000,"&lt;&gt;Lenguaje Musical",DATOS!$I$2:$I$20000,"&lt;&gt;Coro",DATOS!$I$2:$I$20000,"&lt;&gt;Conjunto"),""))</f>
        <v/>
      </c>
      <c r="T805" t="str">
        <f>IF(S805="","",IFERROR(AVERAGEIFS(DATOS!$K$2:$K$20000,DATOS!$A$2:$A$20000,S805,DATOS!$G$2:$G$20000,CONFIG_METADATA!$B$4,DATOS!$I$2:$I$20000,"Lenguaje Musical"),""))</f>
        <v/>
      </c>
      <c r="U805" t="str">
        <f>IF(S805="","",IFERROR(AVERAGEIFS(DATOS!$K$2:$K$20000,DATOS!$A$2:$A$20000,S805,DATOS!$G$2:$G$20000,CONFIG_METADATA!$B$4,DATOS!$I$2:$I$20000,"Coro"),""))</f>
        <v/>
      </c>
      <c r="V805" t="str">
        <f>IF(S805="","",IFERROR(AVERAGEIFS(DATOS!$K$2:$K$20000,DATOS!$A$2:$A$20000,S805,DATOS!$G$2:$G$20000,CONFIG_METADATA!$B$4,DATOS!$I$2:$I$20000,"Conjunto"),""))</f>
        <v/>
      </c>
      <c r="W805" t="str">
        <f>IF(S805="","",IFERROR(AVERAGEIFS(DATOS!$K$2:$K$20000,DATOS!$A$2:$A$20000,S805,DATOS!$G$2:$G$20000,CONFIG_METADATA!$B$4,DATOS!$I$2:$I$20000,"&lt;&gt;Lenguaje Musical",DATOS!$I$2:$I$20000,"&lt;&gt;Coro",DATOS!$I$2:$I$20000,"&lt;&gt;Conjunto"),""))</f>
        <v/>
      </c>
    </row>
    <row r="806" spans="2:23" x14ac:dyDescent="0.2">
      <c r="B806" t="str">
        <f>IF(A806="","",IFERROR(AVERAGEIFS(DATOS!$K$2:$K$20000,DATOS!$A$2:$A$20000,A806,DATOS!$G$2:$G$20000,CONFIG_METADATA!$B$4,DATOS!$I$2:$I$20000,"Lenguaje Musical"),""))</f>
        <v/>
      </c>
      <c r="C806" t="str">
        <f>IF(A806="","",IFERROR(AVERAGEIFS(DATOS!$K$2:$K$20000,DATOS!$A$2:$A$20000,A806,DATOS!$G$2:$G$20000,CONFIG_METADATA!$B$4,DATOS!$I$2:$I$20000,"Coro"),""))</f>
        <v/>
      </c>
      <c r="D806" t="str">
        <f>IF(A806="","",IFERROR(AVERAGEIFS(DATOS!$K$2:$K$20000,DATOS!$A$2:$A$20000,A806,DATOS!$G$2:$G$20000,CONFIG_METADATA!$B$4,DATOS!$I$2:$I$20000,"Conjunto"),""))</f>
        <v/>
      </c>
      <c r="E806" t="str">
        <f>IF(A806="","",IFERROR(AVERAGEIFS(DATOS!$K$2:$K$20000,DATOS!$A$2:$A$20000,A806,DATOS!$G$2:$G$20000,CONFIG_METADATA!$B$4,DATOS!$I$2:$I$20000,"&lt;&gt;Lenguaje Musical",DATOS!$I$2:$I$20000,"&lt;&gt;Coro",DATOS!$I$2:$I$20000,"&lt;&gt;Conjunto"),""))</f>
        <v/>
      </c>
      <c r="N806" t="str">
        <f>IF(M806="","",IFERROR(AVERAGEIFS(DATOS!$K$2:$K$20000,DATOS!$A$2:$A$20000,M806,DATOS!$G$2:$G$20000,CONFIG_METADATA!$B$4,DATOS!$I$2:$I$20000,"Lenguaje Musical"),""))</f>
        <v/>
      </c>
      <c r="O806" t="str">
        <f>IF(M806="","",IFERROR(AVERAGEIFS(DATOS!$K$2:$K$20000,DATOS!$A$2:$A$20000,M806,DATOS!$G$2:$G$20000,CONFIG_METADATA!$B$4,DATOS!$I$2:$I$20000,"Coro"),""))</f>
        <v/>
      </c>
      <c r="P806" t="str">
        <f>IF(M806="","",IFERROR(AVERAGEIFS(DATOS!$K$2:$K$20000,DATOS!$A$2:$A$20000,M806,DATOS!$G$2:$G$20000,CONFIG_METADATA!$B$4,DATOS!$I$2:$I$20000,"Conjunto"),""))</f>
        <v/>
      </c>
      <c r="Q806" t="str">
        <f>IF(M806="","",IFERROR(AVERAGEIFS(DATOS!$K$2:$K$20000,DATOS!$A$2:$A$20000,M806,DATOS!$G$2:$G$20000,CONFIG_METADATA!$B$4,DATOS!$I$2:$I$20000,"&lt;&gt;Lenguaje Musical",DATOS!$I$2:$I$20000,"&lt;&gt;Coro",DATOS!$I$2:$I$20000,"&lt;&gt;Conjunto"),""))</f>
        <v/>
      </c>
      <c r="T806" t="str">
        <f>IF(S806="","",IFERROR(AVERAGEIFS(DATOS!$K$2:$K$20000,DATOS!$A$2:$A$20000,S806,DATOS!$G$2:$G$20000,CONFIG_METADATA!$B$4,DATOS!$I$2:$I$20000,"Lenguaje Musical"),""))</f>
        <v/>
      </c>
      <c r="U806" t="str">
        <f>IF(S806="","",IFERROR(AVERAGEIFS(DATOS!$K$2:$K$20000,DATOS!$A$2:$A$20000,S806,DATOS!$G$2:$G$20000,CONFIG_METADATA!$B$4,DATOS!$I$2:$I$20000,"Coro"),""))</f>
        <v/>
      </c>
      <c r="V806" t="str">
        <f>IF(S806="","",IFERROR(AVERAGEIFS(DATOS!$K$2:$K$20000,DATOS!$A$2:$A$20000,S806,DATOS!$G$2:$G$20000,CONFIG_METADATA!$B$4,DATOS!$I$2:$I$20000,"Conjunto"),""))</f>
        <v/>
      </c>
      <c r="W806" t="str">
        <f>IF(S806="","",IFERROR(AVERAGEIFS(DATOS!$K$2:$K$20000,DATOS!$A$2:$A$20000,S806,DATOS!$G$2:$G$20000,CONFIG_METADATA!$B$4,DATOS!$I$2:$I$20000,"&lt;&gt;Lenguaje Musical",DATOS!$I$2:$I$20000,"&lt;&gt;Coro",DATOS!$I$2:$I$20000,"&lt;&gt;Conjunto"),""))</f>
        <v/>
      </c>
    </row>
    <row r="807" spans="2:23" x14ac:dyDescent="0.2">
      <c r="B807" t="str">
        <f>IF(A807="","",IFERROR(AVERAGEIFS(DATOS!$K$2:$K$20000,DATOS!$A$2:$A$20000,A807,DATOS!$G$2:$G$20000,CONFIG_METADATA!$B$4,DATOS!$I$2:$I$20000,"Lenguaje Musical"),""))</f>
        <v/>
      </c>
      <c r="C807" t="str">
        <f>IF(A807="","",IFERROR(AVERAGEIFS(DATOS!$K$2:$K$20000,DATOS!$A$2:$A$20000,A807,DATOS!$G$2:$G$20000,CONFIG_METADATA!$B$4,DATOS!$I$2:$I$20000,"Coro"),""))</f>
        <v/>
      </c>
      <c r="D807" t="str">
        <f>IF(A807="","",IFERROR(AVERAGEIFS(DATOS!$K$2:$K$20000,DATOS!$A$2:$A$20000,A807,DATOS!$G$2:$G$20000,CONFIG_METADATA!$B$4,DATOS!$I$2:$I$20000,"Conjunto"),""))</f>
        <v/>
      </c>
      <c r="E807" t="str">
        <f>IF(A807="","",IFERROR(AVERAGEIFS(DATOS!$K$2:$K$20000,DATOS!$A$2:$A$20000,A807,DATOS!$G$2:$G$20000,CONFIG_METADATA!$B$4,DATOS!$I$2:$I$20000,"&lt;&gt;Lenguaje Musical",DATOS!$I$2:$I$20000,"&lt;&gt;Coro",DATOS!$I$2:$I$20000,"&lt;&gt;Conjunto"),""))</f>
        <v/>
      </c>
      <c r="N807" t="str">
        <f>IF(M807="","",IFERROR(AVERAGEIFS(DATOS!$K$2:$K$20000,DATOS!$A$2:$A$20000,M807,DATOS!$G$2:$G$20000,CONFIG_METADATA!$B$4,DATOS!$I$2:$I$20000,"Lenguaje Musical"),""))</f>
        <v/>
      </c>
      <c r="O807" t="str">
        <f>IF(M807="","",IFERROR(AVERAGEIFS(DATOS!$K$2:$K$20000,DATOS!$A$2:$A$20000,M807,DATOS!$G$2:$G$20000,CONFIG_METADATA!$B$4,DATOS!$I$2:$I$20000,"Coro"),""))</f>
        <v/>
      </c>
      <c r="P807" t="str">
        <f>IF(M807="","",IFERROR(AVERAGEIFS(DATOS!$K$2:$K$20000,DATOS!$A$2:$A$20000,M807,DATOS!$G$2:$G$20000,CONFIG_METADATA!$B$4,DATOS!$I$2:$I$20000,"Conjunto"),""))</f>
        <v/>
      </c>
      <c r="Q807" t="str">
        <f>IF(M807="","",IFERROR(AVERAGEIFS(DATOS!$K$2:$K$20000,DATOS!$A$2:$A$20000,M807,DATOS!$G$2:$G$20000,CONFIG_METADATA!$B$4,DATOS!$I$2:$I$20000,"&lt;&gt;Lenguaje Musical",DATOS!$I$2:$I$20000,"&lt;&gt;Coro",DATOS!$I$2:$I$20000,"&lt;&gt;Conjunto"),""))</f>
        <v/>
      </c>
      <c r="T807" t="str">
        <f>IF(S807="","",IFERROR(AVERAGEIFS(DATOS!$K$2:$K$20000,DATOS!$A$2:$A$20000,S807,DATOS!$G$2:$G$20000,CONFIG_METADATA!$B$4,DATOS!$I$2:$I$20000,"Lenguaje Musical"),""))</f>
        <v/>
      </c>
      <c r="U807" t="str">
        <f>IF(S807="","",IFERROR(AVERAGEIFS(DATOS!$K$2:$K$20000,DATOS!$A$2:$A$20000,S807,DATOS!$G$2:$G$20000,CONFIG_METADATA!$B$4,DATOS!$I$2:$I$20000,"Coro"),""))</f>
        <v/>
      </c>
      <c r="V807" t="str">
        <f>IF(S807="","",IFERROR(AVERAGEIFS(DATOS!$K$2:$K$20000,DATOS!$A$2:$A$20000,S807,DATOS!$G$2:$G$20000,CONFIG_METADATA!$B$4,DATOS!$I$2:$I$20000,"Conjunto"),""))</f>
        <v/>
      </c>
      <c r="W807" t="str">
        <f>IF(S807="","",IFERROR(AVERAGEIFS(DATOS!$K$2:$K$20000,DATOS!$A$2:$A$20000,S807,DATOS!$G$2:$G$20000,CONFIG_METADATA!$B$4,DATOS!$I$2:$I$20000,"&lt;&gt;Lenguaje Musical",DATOS!$I$2:$I$20000,"&lt;&gt;Coro",DATOS!$I$2:$I$20000,"&lt;&gt;Conjunto"),""))</f>
        <v/>
      </c>
    </row>
    <row r="808" spans="2:23" x14ac:dyDescent="0.2">
      <c r="B808" t="str">
        <f>IF(A808="","",IFERROR(AVERAGEIFS(DATOS!$K$2:$K$20000,DATOS!$A$2:$A$20000,A808,DATOS!$G$2:$G$20000,CONFIG_METADATA!$B$4,DATOS!$I$2:$I$20000,"Lenguaje Musical"),""))</f>
        <v/>
      </c>
      <c r="C808" t="str">
        <f>IF(A808="","",IFERROR(AVERAGEIFS(DATOS!$K$2:$K$20000,DATOS!$A$2:$A$20000,A808,DATOS!$G$2:$G$20000,CONFIG_METADATA!$B$4,DATOS!$I$2:$I$20000,"Coro"),""))</f>
        <v/>
      </c>
      <c r="D808" t="str">
        <f>IF(A808="","",IFERROR(AVERAGEIFS(DATOS!$K$2:$K$20000,DATOS!$A$2:$A$20000,A808,DATOS!$G$2:$G$20000,CONFIG_METADATA!$B$4,DATOS!$I$2:$I$20000,"Conjunto"),""))</f>
        <v/>
      </c>
      <c r="E808" t="str">
        <f>IF(A808="","",IFERROR(AVERAGEIFS(DATOS!$K$2:$K$20000,DATOS!$A$2:$A$20000,A808,DATOS!$G$2:$G$20000,CONFIG_METADATA!$B$4,DATOS!$I$2:$I$20000,"&lt;&gt;Lenguaje Musical",DATOS!$I$2:$I$20000,"&lt;&gt;Coro",DATOS!$I$2:$I$20000,"&lt;&gt;Conjunto"),""))</f>
        <v/>
      </c>
      <c r="N808" t="str">
        <f>IF(M808="","",IFERROR(AVERAGEIFS(DATOS!$K$2:$K$20000,DATOS!$A$2:$A$20000,M808,DATOS!$G$2:$G$20000,CONFIG_METADATA!$B$4,DATOS!$I$2:$I$20000,"Lenguaje Musical"),""))</f>
        <v/>
      </c>
      <c r="O808" t="str">
        <f>IF(M808="","",IFERROR(AVERAGEIFS(DATOS!$K$2:$K$20000,DATOS!$A$2:$A$20000,M808,DATOS!$G$2:$G$20000,CONFIG_METADATA!$B$4,DATOS!$I$2:$I$20000,"Coro"),""))</f>
        <v/>
      </c>
      <c r="P808" t="str">
        <f>IF(M808="","",IFERROR(AVERAGEIFS(DATOS!$K$2:$K$20000,DATOS!$A$2:$A$20000,M808,DATOS!$G$2:$G$20000,CONFIG_METADATA!$B$4,DATOS!$I$2:$I$20000,"Conjunto"),""))</f>
        <v/>
      </c>
      <c r="Q808" t="str">
        <f>IF(M808="","",IFERROR(AVERAGEIFS(DATOS!$K$2:$K$20000,DATOS!$A$2:$A$20000,M808,DATOS!$G$2:$G$20000,CONFIG_METADATA!$B$4,DATOS!$I$2:$I$20000,"&lt;&gt;Lenguaje Musical",DATOS!$I$2:$I$20000,"&lt;&gt;Coro",DATOS!$I$2:$I$20000,"&lt;&gt;Conjunto"),""))</f>
        <v/>
      </c>
      <c r="T808" t="str">
        <f>IF(S808="","",IFERROR(AVERAGEIFS(DATOS!$K$2:$K$20000,DATOS!$A$2:$A$20000,S808,DATOS!$G$2:$G$20000,CONFIG_METADATA!$B$4,DATOS!$I$2:$I$20000,"Lenguaje Musical"),""))</f>
        <v/>
      </c>
      <c r="U808" t="str">
        <f>IF(S808="","",IFERROR(AVERAGEIFS(DATOS!$K$2:$K$20000,DATOS!$A$2:$A$20000,S808,DATOS!$G$2:$G$20000,CONFIG_METADATA!$B$4,DATOS!$I$2:$I$20000,"Coro"),""))</f>
        <v/>
      </c>
      <c r="V808" t="str">
        <f>IF(S808="","",IFERROR(AVERAGEIFS(DATOS!$K$2:$K$20000,DATOS!$A$2:$A$20000,S808,DATOS!$G$2:$G$20000,CONFIG_METADATA!$B$4,DATOS!$I$2:$I$20000,"Conjunto"),""))</f>
        <v/>
      </c>
      <c r="W808" t="str">
        <f>IF(S808="","",IFERROR(AVERAGEIFS(DATOS!$K$2:$K$20000,DATOS!$A$2:$A$20000,S808,DATOS!$G$2:$G$20000,CONFIG_METADATA!$B$4,DATOS!$I$2:$I$20000,"&lt;&gt;Lenguaje Musical",DATOS!$I$2:$I$20000,"&lt;&gt;Coro",DATOS!$I$2:$I$20000,"&lt;&gt;Conjunto"),""))</f>
        <v/>
      </c>
    </row>
    <row r="809" spans="2:23" x14ac:dyDescent="0.2">
      <c r="B809" t="str">
        <f>IF(A809="","",IFERROR(AVERAGEIFS(DATOS!$K$2:$K$20000,DATOS!$A$2:$A$20000,A809,DATOS!$G$2:$G$20000,CONFIG_METADATA!$B$4,DATOS!$I$2:$I$20000,"Lenguaje Musical"),""))</f>
        <v/>
      </c>
      <c r="C809" t="str">
        <f>IF(A809="","",IFERROR(AVERAGEIFS(DATOS!$K$2:$K$20000,DATOS!$A$2:$A$20000,A809,DATOS!$G$2:$G$20000,CONFIG_METADATA!$B$4,DATOS!$I$2:$I$20000,"Coro"),""))</f>
        <v/>
      </c>
      <c r="D809" t="str">
        <f>IF(A809="","",IFERROR(AVERAGEIFS(DATOS!$K$2:$K$20000,DATOS!$A$2:$A$20000,A809,DATOS!$G$2:$G$20000,CONFIG_METADATA!$B$4,DATOS!$I$2:$I$20000,"Conjunto"),""))</f>
        <v/>
      </c>
      <c r="E809" t="str">
        <f>IF(A809="","",IFERROR(AVERAGEIFS(DATOS!$K$2:$K$20000,DATOS!$A$2:$A$20000,A809,DATOS!$G$2:$G$20000,CONFIG_METADATA!$B$4,DATOS!$I$2:$I$20000,"&lt;&gt;Lenguaje Musical",DATOS!$I$2:$I$20000,"&lt;&gt;Coro",DATOS!$I$2:$I$20000,"&lt;&gt;Conjunto"),""))</f>
        <v/>
      </c>
      <c r="N809" t="str">
        <f>IF(M809="","",IFERROR(AVERAGEIFS(DATOS!$K$2:$K$20000,DATOS!$A$2:$A$20000,M809,DATOS!$G$2:$G$20000,CONFIG_METADATA!$B$4,DATOS!$I$2:$I$20000,"Lenguaje Musical"),""))</f>
        <v/>
      </c>
      <c r="O809" t="str">
        <f>IF(M809="","",IFERROR(AVERAGEIFS(DATOS!$K$2:$K$20000,DATOS!$A$2:$A$20000,M809,DATOS!$G$2:$G$20000,CONFIG_METADATA!$B$4,DATOS!$I$2:$I$20000,"Coro"),""))</f>
        <v/>
      </c>
      <c r="P809" t="str">
        <f>IF(M809="","",IFERROR(AVERAGEIFS(DATOS!$K$2:$K$20000,DATOS!$A$2:$A$20000,M809,DATOS!$G$2:$G$20000,CONFIG_METADATA!$B$4,DATOS!$I$2:$I$20000,"Conjunto"),""))</f>
        <v/>
      </c>
      <c r="Q809" t="str">
        <f>IF(M809="","",IFERROR(AVERAGEIFS(DATOS!$K$2:$K$20000,DATOS!$A$2:$A$20000,M809,DATOS!$G$2:$G$20000,CONFIG_METADATA!$B$4,DATOS!$I$2:$I$20000,"&lt;&gt;Lenguaje Musical",DATOS!$I$2:$I$20000,"&lt;&gt;Coro",DATOS!$I$2:$I$20000,"&lt;&gt;Conjunto"),""))</f>
        <v/>
      </c>
      <c r="T809" t="str">
        <f>IF(S809="","",IFERROR(AVERAGEIFS(DATOS!$K$2:$K$20000,DATOS!$A$2:$A$20000,S809,DATOS!$G$2:$G$20000,CONFIG_METADATA!$B$4,DATOS!$I$2:$I$20000,"Lenguaje Musical"),""))</f>
        <v/>
      </c>
      <c r="U809" t="str">
        <f>IF(S809="","",IFERROR(AVERAGEIFS(DATOS!$K$2:$K$20000,DATOS!$A$2:$A$20000,S809,DATOS!$G$2:$G$20000,CONFIG_METADATA!$B$4,DATOS!$I$2:$I$20000,"Coro"),""))</f>
        <v/>
      </c>
      <c r="V809" t="str">
        <f>IF(S809="","",IFERROR(AVERAGEIFS(DATOS!$K$2:$K$20000,DATOS!$A$2:$A$20000,S809,DATOS!$G$2:$G$20000,CONFIG_METADATA!$B$4,DATOS!$I$2:$I$20000,"Conjunto"),""))</f>
        <v/>
      </c>
      <c r="W809" t="str">
        <f>IF(S809="","",IFERROR(AVERAGEIFS(DATOS!$K$2:$K$20000,DATOS!$A$2:$A$20000,S809,DATOS!$G$2:$G$20000,CONFIG_METADATA!$B$4,DATOS!$I$2:$I$20000,"&lt;&gt;Lenguaje Musical",DATOS!$I$2:$I$20000,"&lt;&gt;Coro",DATOS!$I$2:$I$20000,"&lt;&gt;Conjunto"),""))</f>
        <v/>
      </c>
    </row>
    <row r="810" spans="2:23" x14ac:dyDescent="0.2">
      <c r="B810" t="str">
        <f>IF(A810="","",IFERROR(AVERAGEIFS(DATOS!$K$2:$K$20000,DATOS!$A$2:$A$20000,A810,DATOS!$G$2:$G$20000,CONFIG_METADATA!$B$4,DATOS!$I$2:$I$20000,"Lenguaje Musical"),""))</f>
        <v/>
      </c>
      <c r="C810" t="str">
        <f>IF(A810="","",IFERROR(AVERAGEIFS(DATOS!$K$2:$K$20000,DATOS!$A$2:$A$20000,A810,DATOS!$G$2:$G$20000,CONFIG_METADATA!$B$4,DATOS!$I$2:$I$20000,"Coro"),""))</f>
        <v/>
      </c>
      <c r="D810" t="str">
        <f>IF(A810="","",IFERROR(AVERAGEIFS(DATOS!$K$2:$K$20000,DATOS!$A$2:$A$20000,A810,DATOS!$G$2:$G$20000,CONFIG_METADATA!$B$4,DATOS!$I$2:$I$20000,"Conjunto"),""))</f>
        <v/>
      </c>
      <c r="E810" t="str">
        <f>IF(A810="","",IFERROR(AVERAGEIFS(DATOS!$K$2:$K$20000,DATOS!$A$2:$A$20000,A810,DATOS!$G$2:$G$20000,CONFIG_METADATA!$B$4,DATOS!$I$2:$I$20000,"&lt;&gt;Lenguaje Musical",DATOS!$I$2:$I$20000,"&lt;&gt;Coro",DATOS!$I$2:$I$20000,"&lt;&gt;Conjunto"),""))</f>
        <v/>
      </c>
      <c r="N810" t="str">
        <f>IF(M810="","",IFERROR(AVERAGEIFS(DATOS!$K$2:$K$20000,DATOS!$A$2:$A$20000,M810,DATOS!$G$2:$G$20000,CONFIG_METADATA!$B$4,DATOS!$I$2:$I$20000,"Lenguaje Musical"),""))</f>
        <v/>
      </c>
      <c r="O810" t="str">
        <f>IF(M810="","",IFERROR(AVERAGEIFS(DATOS!$K$2:$K$20000,DATOS!$A$2:$A$20000,M810,DATOS!$G$2:$G$20000,CONFIG_METADATA!$B$4,DATOS!$I$2:$I$20000,"Coro"),""))</f>
        <v/>
      </c>
      <c r="P810" t="str">
        <f>IF(M810="","",IFERROR(AVERAGEIFS(DATOS!$K$2:$K$20000,DATOS!$A$2:$A$20000,M810,DATOS!$G$2:$G$20000,CONFIG_METADATA!$B$4,DATOS!$I$2:$I$20000,"Conjunto"),""))</f>
        <v/>
      </c>
      <c r="Q810" t="str">
        <f>IF(M810="","",IFERROR(AVERAGEIFS(DATOS!$K$2:$K$20000,DATOS!$A$2:$A$20000,M810,DATOS!$G$2:$G$20000,CONFIG_METADATA!$B$4,DATOS!$I$2:$I$20000,"&lt;&gt;Lenguaje Musical",DATOS!$I$2:$I$20000,"&lt;&gt;Coro",DATOS!$I$2:$I$20000,"&lt;&gt;Conjunto"),""))</f>
        <v/>
      </c>
      <c r="T810" t="str">
        <f>IF(S810="","",IFERROR(AVERAGEIFS(DATOS!$K$2:$K$20000,DATOS!$A$2:$A$20000,S810,DATOS!$G$2:$G$20000,CONFIG_METADATA!$B$4,DATOS!$I$2:$I$20000,"Lenguaje Musical"),""))</f>
        <v/>
      </c>
      <c r="U810" t="str">
        <f>IF(S810="","",IFERROR(AVERAGEIFS(DATOS!$K$2:$K$20000,DATOS!$A$2:$A$20000,S810,DATOS!$G$2:$G$20000,CONFIG_METADATA!$B$4,DATOS!$I$2:$I$20000,"Coro"),""))</f>
        <v/>
      </c>
      <c r="V810" t="str">
        <f>IF(S810="","",IFERROR(AVERAGEIFS(DATOS!$K$2:$K$20000,DATOS!$A$2:$A$20000,S810,DATOS!$G$2:$G$20000,CONFIG_METADATA!$B$4,DATOS!$I$2:$I$20000,"Conjunto"),""))</f>
        <v/>
      </c>
      <c r="W810" t="str">
        <f>IF(S810="","",IFERROR(AVERAGEIFS(DATOS!$K$2:$K$20000,DATOS!$A$2:$A$20000,S810,DATOS!$G$2:$G$20000,CONFIG_METADATA!$B$4,DATOS!$I$2:$I$20000,"&lt;&gt;Lenguaje Musical",DATOS!$I$2:$I$20000,"&lt;&gt;Coro",DATOS!$I$2:$I$20000,"&lt;&gt;Conjunto"),""))</f>
        <v/>
      </c>
    </row>
    <row r="811" spans="2:23" x14ac:dyDescent="0.2">
      <c r="B811" t="str">
        <f>IF(A811="","",IFERROR(AVERAGEIFS(DATOS!$K$2:$K$20000,DATOS!$A$2:$A$20000,A811,DATOS!$G$2:$G$20000,CONFIG_METADATA!$B$4,DATOS!$I$2:$I$20000,"Lenguaje Musical"),""))</f>
        <v/>
      </c>
      <c r="C811" t="str">
        <f>IF(A811="","",IFERROR(AVERAGEIFS(DATOS!$K$2:$K$20000,DATOS!$A$2:$A$20000,A811,DATOS!$G$2:$G$20000,CONFIG_METADATA!$B$4,DATOS!$I$2:$I$20000,"Coro"),""))</f>
        <v/>
      </c>
      <c r="D811" t="str">
        <f>IF(A811="","",IFERROR(AVERAGEIFS(DATOS!$K$2:$K$20000,DATOS!$A$2:$A$20000,A811,DATOS!$G$2:$G$20000,CONFIG_METADATA!$B$4,DATOS!$I$2:$I$20000,"Conjunto"),""))</f>
        <v/>
      </c>
      <c r="E811" t="str">
        <f>IF(A811="","",IFERROR(AVERAGEIFS(DATOS!$K$2:$K$20000,DATOS!$A$2:$A$20000,A811,DATOS!$G$2:$G$20000,CONFIG_METADATA!$B$4,DATOS!$I$2:$I$20000,"&lt;&gt;Lenguaje Musical",DATOS!$I$2:$I$20000,"&lt;&gt;Coro",DATOS!$I$2:$I$20000,"&lt;&gt;Conjunto"),""))</f>
        <v/>
      </c>
      <c r="N811" t="str">
        <f>IF(M811="","",IFERROR(AVERAGEIFS(DATOS!$K$2:$K$20000,DATOS!$A$2:$A$20000,M811,DATOS!$G$2:$G$20000,CONFIG_METADATA!$B$4,DATOS!$I$2:$I$20000,"Lenguaje Musical"),""))</f>
        <v/>
      </c>
      <c r="O811" t="str">
        <f>IF(M811="","",IFERROR(AVERAGEIFS(DATOS!$K$2:$K$20000,DATOS!$A$2:$A$20000,M811,DATOS!$G$2:$G$20000,CONFIG_METADATA!$B$4,DATOS!$I$2:$I$20000,"Coro"),""))</f>
        <v/>
      </c>
      <c r="P811" t="str">
        <f>IF(M811="","",IFERROR(AVERAGEIFS(DATOS!$K$2:$K$20000,DATOS!$A$2:$A$20000,M811,DATOS!$G$2:$G$20000,CONFIG_METADATA!$B$4,DATOS!$I$2:$I$20000,"Conjunto"),""))</f>
        <v/>
      </c>
      <c r="Q811" t="str">
        <f>IF(M811="","",IFERROR(AVERAGEIFS(DATOS!$K$2:$K$20000,DATOS!$A$2:$A$20000,M811,DATOS!$G$2:$G$20000,CONFIG_METADATA!$B$4,DATOS!$I$2:$I$20000,"&lt;&gt;Lenguaje Musical",DATOS!$I$2:$I$20000,"&lt;&gt;Coro",DATOS!$I$2:$I$20000,"&lt;&gt;Conjunto"),""))</f>
        <v/>
      </c>
      <c r="T811" t="str">
        <f>IF(S811="","",IFERROR(AVERAGEIFS(DATOS!$K$2:$K$20000,DATOS!$A$2:$A$20000,S811,DATOS!$G$2:$G$20000,CONFIG_METADATA!$B$4,DATOS!$I$2:$I$20000,"Lenguaje Musical"),""))</f>
        <v/>
      </c>
      <c r="U811" t="str">
        <f>IF(S811="","",IFERROR(AVERAGEIFS(DATOS!$K$2:$K$20000,DATOS!$A$2:$A$20000,S811,DATOS!$G$2:$G$20000,CONFIG_METADATA!$B$4,DATOS!$I$2:$I$20000,"Coro"),""))</f>
        <v/>
      </c>
      <c r="V811" t="str">
        <f>IF(S811="","",IFERROR(AVERAGEIFS(DATOS!$K$2:$K$20000,DATOS!$A$2:$A$20000,S811,DATOS!$G$2:$G$20000,CONFIG_METADATA!$B$4,DATOS!$I$2:$I$20000,"Conjunto"),""))</f>
        <v/>
      </c>
      <c r="W811" t="str">
        <f>IF(S811="","",IFERROR(AVERAGEIFS(DATOS!$K$2:$K$20000,DATOS!$A$2:$A$20000,S811,DATOS!$G$2:$G$20000,CONFIG_METADATA!$B$4,DATOS!$I$2:$I$20000,"&lt;&gt;Lenguaje Musical",DATOS!$I$2:$I$20000,"&lt;&gt;Coro",DATOS!$I$2:$I$20000,"&lt;&gt;Conjunto"),""))</f>
        <v/>
      </c>
    </row>
    <row r="812" spans="2:23" x14ac:dyDescent="0.2">
      <c r="B812" t="str">
        <f>IF(A812="","",IFERROR(AVERAGEIFS(DATOS!$K$2:$K$20000,DATOS!$A$2:$A$20000,A812,DATOS!$G$2:$G$20000,CONFIG_METADATA!$B$4,DATOS!$I$2:$I$20000,"Lenguaje Musical"),""))</f>
        <v/>
      </c>
      <c r="C812" t="str">
        <f>IF(A812="","",IFERROR(AVERAGEIFS(DATOS!$K$2:$K$20000,DATOS!$A$2:$A$20000,A812,DATOS!$G$2:$G$20000,CONFIG_METADATA!$B$4,DATOS!$I$2:$I$20000,"Coro"),""))</f>
        <v/>
      </c>
      <c r="D812" t="str">
        <f>IF(A812="","",IFERROR(AVERAGEIFS(DATOS!$K$2:$K$20000,DATOS!$A$2:$A$20000,A812,DATOS!$G$2:$G$20000,CONFIG_METADATA!$B$4,DATOS!$I$2:$I$20000,"Conjunto"),""))</f>
        <v/>
      </c>
      <c r="E812" t="str">
        <f>IF(A812="","",IFERROR(AVERAGEIFS(DATOS!$K$2:$K$20000,DATOS!$A$2:$A$20000,A812,DATOS!$G$2:$G$20000,CONFIG_METADATA!$B$4,DATOS!$I$2:$I$20000,"&lt;&gt;Lenguaje Musical",DATOS!$I$2:$I$20000,"&lt;&gt;Coro",DATOS!$I$2:$I$20000,"&lt;&gt;Conjunto"),""))</f>
        <v/>
      </c>
      <c r="N812" t="str">
        <f>IF(M812="","",IFERROR(AVERAGEIFS(DATOS!$K$2:$K$20000,DATOS!$A$2:$A$20000,M812,DATOS!$G$2:$G$20000,CONFIG_METADATA!$B$4,DATOS!$I$2:$I$20000,"Lenguaje Musical"),""))</f>
        <v/>
      </c>
      <c r="O812" t="str">
        <f>IF(M812="","",IFERROR(AVERAGEIFS(DATOS!$K$2:$K$20000,DATOS!$A$2:$A$20000,M812,DATOS!$G$2:$G$20000,CONFIG_METADATA!$B$4,DATOS!$I$2:$I$20000,"Coro"),""))</f>
        <v/>
      </c>
      <c r="P812" t="str">
        <f>IF(M812="","",IFERROR(AVERAGEIFS(DATOS!$K$2:$K$20000,DATOS!$A$2:$A$20000,M812,DATOS!$G$2:$G$20000,CONFIG_METADATA!$B$4,DATOS!$I$2:$I$20000,"Conjunto"),""))</f>
        <v/>
      </c>
      <c r="Q812" t="str">
        <f>IF(M812="","",IFERROR(AVERAGEIFS(DATOS!$K$2:$K$20000,DATOS!$A$2:$A$20000,M812,DATOS!$G$2:$G$20000,CONFIG_METADATA!$B$4,DATOS!$I$2:$I$20000,"&lt;&gt;Lenguaje Musical",DATOS!$I$2:$I$20000,"&lt;&gt;Coro",DATOS!$I$2:$I$20000,"&lt;&gt;Conjunto"),""))</f>
        <v/>
      </c>
      <c r="T812" t="str">
        <f>IF(S812="","",IFERROR(AVERAGEIFS(DATOS!$K$2:$K$20000,DATOS!$A$2:$A$20000,S812,DATOS!$G$2:$G$20000,CONFIG_METADATA!$B$4,DATOS!$I$2:$I$20000,"Lenguaje Musical"),""))</f>
        <v/>
      </c>
      <c r="U812" t="str">
        <f>IF(S812="","",IFERROR(AVERAGEIFS(DATOS!$K$2:$K$20000,DATOS!$A$2:$A$20000,S812,DATOS!$G$2:$G$20000,CONFIG_METADATA!$B$4,DATOS!$I$2:$I$20000,"Coro"),""))</f>
        <v/>
      </c>
      <c r="V812" t="str">
        <f>IF(S812="","",IFERROR(AVERAGEIFS(DATOS!$K$2:$K$20000,DATOS!$A$2:$A$20000,S812,DATOS!$G$2:$G$20000,CONFIG_METADATA!$B$4,DATOS!$I$2:$I$20000,"Conjunto"),""))</f>
        <v/>
      </c>
      <c r="W812" t="str">
        <f>IF(S812="","",IFERROR(AVERAGEIFS(DATOS!$K$2:$K$20000,DATOS!$A$2:$A$20000,S812,DATOS!$G$2:$G$20000,CONFIG_METADATA!$B$4,DATOS!$I$2:$I$20000,"&lt;&gt;Lenguaje Musical",DATOS!$I$2:$I$20000,"&lt;&gt;Coro",DATOS!$I$2:$I$20000,"&lt;&gt;Conjunto"),""))</f>
        <v/>
      </c>
    </row>
    <row r="813" spans="2:23" x14ac:dyDescent="0.2">
      <c r="B813" t="str">
        <f>IF(A813="","",IFERROR(AVERAGEIFS(DATOS!$K$2:$K$20000,DATOS!$A$2:$A$20000,A813,DATOS!$G$2:$G$20000,CONFIG_METADATA!$B$4,DATOS!$I$2:$I$20000,"Lenguaje Musical"),""))</f>
        <v/>
      </c>
      <c r="C813" t="str">
        <f>IF(A813="","",IFERROR(AVERAGEIFS(DATOS!$K$2:$K$20000,DATOS!$A$2:$A$20000,A813,DATOS!$G$2:$G$20000,CONFIG_METADATA!$B$4,DATOS!$I$2:$I$20000,"Coro"),""))</f>
        <v/>
      </c>
      <c r="D813" t="str">
        <f>IF(A813="","",IFERROR(AVERAGEIFS(DATOS!$K$2:$K$20000,DATOS!$A$2:$A$20000,A813,DATOS!$G$2:$G$20000,CONFIG_METADATA!$B$4,DATOS!$I$2:$I$20000,"Conjunto"),""))</f>
        <v/>
      </c>
      <c r="E813" t="str">
        <f>IF(A813="","",IFERROR(AVERAGEIFS(DATOS!$K$2:$K$20000,DATOS!$A$2:$A$20000,A813,DATOS!$G$2:$G$20000,CONFIG_METADATA!$B$4,DATOS!$I$2:$I$20000,"&lt;&gt;Lenguaje Musical",DATOS!$I$2:$I$20000,"&lt;&gt;Coro",DATOS!$I$2:$I$20000,"&lt;&gt;Conjunto"),""))</f>
        <v/>
      </c>
      <c r="N813" t="str">
        <f>IF(M813="","",IFERROR(AVERAGEIFS(DATOS!$K$2:$K$20000,DATOS!$A$2:$A$20000,M813,DATOS!$G$2:$G$20000,CONFIG_METADATA!$B$4,DATOS!$I$2:$I$20000,"Lenguaje Musical"),""))</f>
        <v/>
      </c>
      <c r="O813" t="str">
        <f>IF(M813="","",IFERROR(AVERAGEIFS(DATOS!$K$2:$K$20000,DATOS!$A$2:$A$20000,M813,DATOS!$G$2:$G$20000,CONFIG_METADATA!$B$4,DATOS!$I$2:$I$20000,"Coro"),""))</f>
        <v/>
      </c>
      <c r="P813" t="str">
        <f>IF(M813="","",IFERROR(AVERAGEIFS(DATOS!$K$2:$K$20000,DATOS!$A$2:$A$20000,M813,DATOS!$G$2:$G$20000,CONFIG_METADATA!$B$4,DATOS!$I$2:$I$20000,"Conjunto"),""))</f>
        <v/>
      </c>
      <c r="Q813" t="str">
        <f>IF(M813="","",IFERROR(AVERAGEIFS(DATOS!$K$2:$K$20000,DATOS!$A$2:$A$20000,M813,DATOS!$G$2:$G$20000,CONFIG_METADATA!$B$4,DATOS!$I$2:$I$20000,"&lt;&gt;Lenguaje Musical",DATOS!$I$2:$I$20000,"&lt;&gt;Coro",DATOS!$I$2:$I$20000,"&lt;&gt;Conjunto"),""))</f>
        <v/>
      </c>
      <c r="T813" t="str">
        <f>IF(S813="","",IFERROR(AVERAGEIFS(DATOS!$K$2:$K$20000,DATOS!$A$2:$A$20000,S813,DATOS!$G$2:$G$20000,CONFIG_METADATA!$B$4,DATOS!$I$2:$I$20000,"Lenguaje Musical"),""))</f>
        <v/>
      </c>
      <c r="U813" t="str">
        <f>IF(S813="","",IFERROR(AVERAGEIFS(DATOS!$K$2:$K$20000,DATOS!$A$2:$A$20000,S813,DATOS!$G$2:$G$20000,CONFIG_METADATA!$B$4,DATOS!$I$2:$I$20000,"Coro"),""))</f>
        <v/>
      </c>
      <c r="V813" t="str">
        <f>IF(S813="","",IFERROR(AVERAGEIFS(DATOS!$K$2:$K$20000,DATOS!$A$2:$A$20000,S813,DATOS!$G$2:$G$20000,CONFIG_METADATA!$B$4,DATOS!$I$2:$I$20000,"Conjunto"),""))</f>
        <v/>
      </c>
      <c r="W813" t="str">
        <f>IF(S813="","",IFERROR(AVERAGEIFS(DATOS!$K$2:$K$20000,DATOS!$A$2:$A$20000,S813,DATOS!$G$2:$G$20000,CONFIG_METADATA!$B$4,DATOS!$I$2:$I$20000,"&lt;&gt;Lenguaje Musical",DATOS!$I$2:$I$20000,"&lt;&gt;Coro",DATOS!$I$2:$I$20000,"&lt;&gt;Conjunto"),""))</f>
        <v/>
      </c>
    </row>
    <row r="814" spans="2:23" x14ac:dyDescent="0.2">
      <c r="B814" t="str">
        <f>IF(A814="","",IFERROR(AVERAGEIFS(DATOS!$K$2:$K$20000,DATOS!$A$2:$A$20000,A814,DATOS!$G$2:$G$20000,CONFIG_METADATA!$B$4,DATOS!$I$2:$I$20000,"Lenguaje Musical"),""))</f>
        <v/>
      </c>
      <c r="C814" t="str">
        <f>IF(A814="","",IFERROR(AVERAGEIFS(DATOS!$K$2:$K$20000,DATOS!$A$2:$A$20000,A814,DATOS!$G$2:$G$20000,CONFIG_METADATA!$B$4,DATOS!$I$2:$I$20000,"Coro"),""))</f>
        <v/>
      </c>
      <c r="D814" t="str">
        <f>IF(A814="","",IFERROR(AVERAGEIFS(DATOS!$K$2:$K$20000,DATOS!$A$2:$A$20000,A814,DATOS!$G$2:$G$20000,CONFIG_METADATA!$B$4,DATOS!$I$2:$I$20000,"Conjunto"),""))</f>
        <v/>
      </c>
      <c r="E814" t="str">
        <f>IF(A814="","",IFERROR(AVERAGEIFS(DATOS!$K$2:$K$20000,DATOS!$A$2:$A$20000,A814,DATOS!$G$2:$G$20000,CONFIG_METADATA!$B$4,DATOS!$I$2:$I$20000,"&lt;&gt;Lenguaje Musical",DATOS!$I$2:$I$20000,"&lt;&gt;Coro",DATOS!$I$2:$I$20000,"&lt;&gt;Conjunto"),""))</f>
        <v/>
      </c>
      <c r="N814" t="str">
        <f>IF(M814="","",IFERROR(AVERAGEIFS(DATOS!$K$2:$K$20000,DATOS!$A$2:$A$20000,M814,DATOS!$G$2:$G$20000,CONFIG_METADATA!$B$4,DATOS!$I$2:$I$20000,"Lenguaje Musical"),""))</f>
        <v/>
      </c>
      <c r="O814" t="str">
        <f>IF(M814="","",IFERROR(AVERAGEIFS(DATOS!$K$2:$K$20000,DATOS!$A$2:$A$20000,M814,DATOS!$G$2:$G$20000,CONFIG_METADATA!$B$4,DATOS!$I$2:$I$20000,"Coro"),""))</f>
        <v/>
      </c>
      <c r="P814" t="str">
        <f>IF(M814="","",IFERROR(AVERAGEIFS(DATOS!$K$2:$K$20000,DATOS!$A$2:$A$20000,M814,DATOS!$G$2:$G$20000,CONFIG_METADATA!$B$4,DATOS!$I$2:$I$20000,"Conjunto"),""))</f>
        <v/>
      </c>
      <c r="Q814" t="str">
        <f>IF(M814="","",IFERROR(AVERAGEIFS(DATOS!$K$2:$K$20000,DATOS!$A$2:$A$20000,M814,DATOS!$G$2:$G$20000,CONFIG_METADATA!$B$4,DATOS!$I$2:$I$20000,"&lt;&gt;Lenguaje Musical",DATOS!$I$2:$I$20000,"&lt;&gt;Coro",DATOS!$I$2:$I$20000,"&lt;&gt;Conjunto"),""))</f>
        <v/>
      </c>
      <c r="T814" t="str">
        <f>IF(S814="","",IFERROR(AVERAGEIFS(DATOS!$K$2:$K$20000,DATOS!$A$2:$A$20000,S814,DATOS!$G$2:$G$20000,CONFIG_METADATA!$B$4,DATOS!$I$2:$I$20000,"Lenguaje Musical"),""))</f>
        <v/>
      </c>
      <c r="U814" t="str">
        <f>IF(S814="","",IFERROR(AVERAGEIFS(DATOS!$K$2:$K$20000,DATOS!$A$2:$A$20000,S814,DATOS!$G$2:$G$20000,CONFIG_METADATA!$B$4,DATOS!$I$2:$I$20000,"Coro"),""))</f>
        <v/>
      </c>
      <c r="V814" t="str">
        <f>IF(S814="","",IFERROR(AVERAGEIFS(DATOS!$K$2:$K$20000,DATOS!$A$2:$A$20000,S814,DATOS!$G$2:$G$20000,CONFIG_METADATA!$B$4,DATOS!$I$2:$I$20000,"Conjunto"),""))</f>
        <v/>
      </c>
      <c r="W814" t="str">
        <f>IF(S814="","",IFERROR(AVERAGEIFS(DATOS!$K$2:$K$20000,DATOS!$A$2:$A$20000,S814,DATOS!$G$2:$G$20000,CONFIG_METADATA!$B$4,DATOS!$I$2:$I$20000,"&lt;&gt;Lenguaje Musical",DATOS!$I$2:$I$20000,"&lt;&gt;Coro",DATOS!$I$2:$I$20000,"&lt;&gt;Conjunto"),""))</f>
        <v/>
      </c>
    </row>
    <row r="815" spans="2:23" x14ac:dyDescent="0.2">
      <c r="B815" t="str">
        <f>IF(A815="","",IFERROR(AVERAGEIFS(DATOS!$K$2:$K$20000,DATOS!$A$2:$A$20000,A815,DATOS!$G$2:$G$20000,CONFIG_METADATA!$B$4,DATOS!$I$2:$I$20000,"Lenguaje Musical"),""))</f>
        <v/>
      </c>
      <c r="C815" t="str">
        <f>IF(A815="","",IFERROR(AVERAGEIFS(DATOS!$K$2:$K$20000,DATOS!$A$2:$A$20000,A815,DATOS!$G$2:$G$20000,CONFIG_METADATA!$B$4,DATOS!$I$2:$I$20000,"Coro"),""))</f>
        <v/>
      </c>
      <c r="D815" t="str">
        <f>IF(A815="","",IFERROR(AVERAGEIFS(DATOS!$K$2:$K$20000,DATOS!$A$2:$A$20000,A815,DATOS!$G$2:$G$20000,CONFIG_METADATA!$B$4,DATOS!$I$2:$I$20000,"Conjunto"),""))</f>
        <v/>
      </c>
      <c r="E815" t="str">
        <f>IF(A815="","",IFERROR(AVERAGEIFS(DATOS!$K$2:$K$20000,DATOS!$A$2:$A$20000,A815,DATOS!$G$2:$G$20000,CONFIG_METADATA!$B$4,DATOS!$I$2:$I$20000,"&lt;&gt;Lenguaje Musical",DATOS!$I$2:$I$20000,"&lt;&gt;Coro",DATOS!$I$2:$I$20000,"&lt;&gt;Conjunto"),""))</f>
        <v/>
      </c>
      <c r="N815" t="str">
        <f>IF(M815="","",IFERROR(AVERAGEIFS(DATOS!$K$2:$K$20000,DATOS!$A$2:$A$20000,M815,DATOS!$G$2:$G$20000,CONFIG_METADATA!$B$4,DATOS!$I$2:$I$20000,"Lenguaje Musical"),""))</f>
        <v/>
      </c>
      <c r="O815" t="str">
        <f>IF(M815="","",IFERROR(AVERAGEIFS(DATOS!$K$2:$K$20000,DATOS!$A$2:$A$20000,M815,DATOS!$G$2:$G$20000,CONFIG_METADATA!$B$4,DATOS!$I$2:$I$20000,"Coro"),""))</f>
        <v/>
      </c>
      <c r="P815" t="str">
        <f>IF(M815="","",IFERROR(AVERAGEIFS(DATOS!$K$2:$K$20000,DATOS!$A$2:$A$20000,M815,DATOS!$G$2:$G$20000,CONFIG_METADATA!$B$4,DATOS!$I$2:$I$20000,"Conjunto"),""))</f>
        <v/>
      </c>
      <c r="Q815" t="str">
        <f>IF(M815="","",IFERROR(AVERAGEIFS(DATOS!$K$2:$K$20000,DATOS!$A$2:$A$20000,M815,DATOS!$G$2:$G$20000,CONFIG_METADATA!$B$4,DATOS!$I$2:$I$20000,"&lt;&gt;Lenguaje Musical",DATOS!$I$2:$I$20000,"&lt;&gt;Coro",DATOS!$I$2:$I$20000,"&lt;&gt;Conjunto"),""))</f>
        <v/>
      </c>
      <c r="T815" t="str">
        <f>IF(S815="","",IFERROR(AVERAGEIFS(DATOS!$K$2:$K$20000,DATOS!$A$2:$A$20000,S815,DATOS!$G$2:$G$20000,CONFIG_METADATA!$B$4,DATOS!$I$2:$I$20000,"Lenguaje Musical"),""))</f>
        <v/>
      </c>
      <c r="U815" t="str">
        <f>IF(S815="","",IFERROR(AVERAGEIFS(DATOS!$K$2:$K$20000,DATOS!$A$2:$A$20000,S815,DATOS!$G$2:$G$20000,CONFIG_METADATA!$B$4,DATOS!$I$2:$I$20000,"Coro"),""))</f>
        <v/>
      </c>
      <c r="V815" t="str">
        <f>IF(S815="","",IFERROR(AVERAGEIFS(DATOS!$K$2:$K$20000,DATOS!$A$2:$A$20000,S815,DATOS!$G$2:$G$20000,CONFIG_METADATA!$B$4,DATOS!$I$2:$I$20000,"Conjunto"),""))</f>
        <v/>
      </c>
      <c r="W815" t="str">
        <f>IF(S815="","",IFERROR(AVERAGEIFS(DATOS!$K$2:$K$20000,DATOS!$A$2:$A$20000,S815,DATOS!$G$2:$G$20000,CONFIG_METADATA!$B$4,DATOS!$I$2:$I$20000,"&lt;&gt;Lenguaje Musical",DATOS!$I$2:$I$20000,"&lt;&gt;Coro",DATOS!$I$2:$I$20000,"&lt;&gt;Conjunto"),""))</f>
        <v/>
      </c>
    </row>
    <row r="816" spans="2:23" x14ac:dyDescent="0.2">
      <c r="B816" t="str">
        <f>IF(A816="","",IFERROR(AVERAGEIFS(DATOS!$K$2:$K$20000,DATOS!$A$2:$A$20000,A816,DATOS!$G$2:$G$20000,CONFIG_METADATA!$B$4,DATOS!$I$2:$I$20000,"Lenguaje Musical"),""))</f>
        <v/>
      </c>
      <c r="C816" t="str">
        <f>IF(A816="","",IFERROR(AVERAGEIFS(DATOS!$K$2:$K$20000,DATOS!$A$2:$A$20000,A816,DATOS!$G$2:$G$20000,CONFIG_METADATA!$B$4,DATOS!$I$2:$I$20000,"Coro"),""))</f>
        <v/>
      </c>
      <c r="D816" t="str">
        <f>IF(A816="","",IFERROR(AVERAGEIFS(DATOS!$K$2:$K$20000,DATOS!$A$2:$A$20000,A816,DATOS!$G$2:$G$20000,CONFIG_METADATA!$B$4,DATOS!$I$2:$I$20000,"Conjunto"),""))</f>
        <v/>
      </c>
      <c r="E816" t="str">
        <f>IF(A816="","",IFERROR(AVERAGEIFS(DATOS!$K$2:$K$20000,DATOS!$A$2:$A$20000,A816,DATOS!$G$2:$G$20000,CONFIG_METADATA!$B$4,DATOS!$I$2:$I$20000,"&lt;&gt;Lenguaje Musical",DATOS!$I$2:$I$20000,"&lt;&gt;Coro",DATOS!$I$2:$I$20000,"&lt;&gt;Conjunto"),""))</f>
        <v/>
      </c>
      <c r="N816" t="str">
        <f>IF(M816="","",IFERROR(AVERAGEIFS(DATOS!$K$2:$K$20000,DATOS!$A$2:$A$20000,M816,DATOS!$G$2:$G$20000,CONFIG_METADATA!$B$4,DATOS!$I$2:$I$20000,"Lenguaje Musical"),""))</f>
        <v/>
      </c>
      <c r="O816" t="str">
        <f>IF(M816="","",IFERROR(AVERAGEIFS(DATOS!$K$2:$K$20000,DATOS!$A$2:$A$20000,M816,DATOS!$G$2:$G$20000,CONFIG_METADATA!$B$4,DATOS!$I$2:$I$20000,"Coro"),""))</f>
        <v/>
      </c>
      <c r="P816" t="str">
        <f>IF(M816="","",IFERROR(AVERAGEIFS(DATOS!$K$2:$K$20000,DATOS!$A$2:$A$20000,M816,DATOS!$G$2:$G$20000,CONFIG_METADATA!$B$4,DATOS!$I$2:$I$20000,"Conjunto"),""))</f>
        <v/>
      </c>
      <c r="Q816" t="str">
        <f>IF(M816="","",IFERROR(AVERAGEIFS(DATOS!$K$2:$K$20000,DATOS!$A$2:$A$20000,M816,DATOS!$G$2:$G$20000,CONFIG_METADATA!$B$4,DATOS!$I$2:$I$20000,"&lt;&gt;Lenguaje Musical",DATOS!$I$2:$I$20000,"&lt;&gt;Coro",DATOS!$I$2:$I$20000,"&lt;&gt;Conjunto"),""))</f>
        <v/>
      </c>
      <c r="T816" t="str">
        <f>IF(S816="","",IFERROR(AVERAGEIFS(DATOS!$K$2:$K$20000,DATOS!$A$2:$A$20000,S816,DATOS!$G$2:$G$20000,CONFIG_METADATA!$B$4,DATOS!$I$2:$I$20000,"Lenguaje Musical"),""))</f>
        <v/>
      </c>
      <c r="U816" t="str">
        <f>IF(S816="","",IFERROR(AVERAGEIFS(DATOS!$K$2:$K$20000,DATOS!$A$2:$A$20000,S816,DATOS!$G$2:$G$20000,CONFIG_METADATA!$B$4,DATOS!$I$2:$I$20000,"Coro"),""))</f>
        <v/>
      </c>
      <c r="V816" t="str">
        <f>IF(S816="","",IFERROR(AVERAGEIFS(DATOS!$K$2:$K$20000,DATOS!$A$2:$A$20000,S816,DATOS!$G$2:$G$20000,CONFIG_METADATA!$B$4,DATOS!$I$2:$I$20000,"Conjunto"),""))</f>
        <v/>
      </c>
      <c r="W816" t="str">
        <f>IF(S816="","",IFERROR(AVERAGEIFS(DATOS!$K$2:$K$20000,DATOS!$A$2:$A$20000,S816,DATOS!$G$2:$G$20000,CONFIG_METADATA!$B$4,DATOS!$I$2:$I$20000,"&lt;&gt;Lenguaje Musical",DATOS!$I$2:$I$20000,"&lt;&gt;Coro",DATOS!$I$2:$I$20000,"&lt;&gt;Conjunto"),""))</f>
        <v/>
      </c>
    </row>
    <row r="817" spans="2:23" x14ac:dyDescent="0.2">
      <c r="B817" t="str">
        <f>IF(A817="","",IFERROR(AVERAGEIFS(DATOS!$K$2:$K$20000,DATOS!$A$2:$A$20000,A817,DATOS!$G$2:$G$20000,CONFIG_METADATA!$B$4,DATOS!$I$2:$I$20000,"Lenguaje Musical"),""))</f>
        <v/>
      </c>
      <c r="C817" t="str">
        <f>IF(A817="","",IFERROR(AVERAGEIFS(DATOS!$K$2:$K$20000,DATOS!$A$2:$A$20000,A817,DATOS!$G$2:$G$20000,CONFIG_METADATA!$B$4,DATOS!$I$2:$I$20000,"Coro"),""))</f>
        <v/>
      </c>
      <c r="D817" t="str">
        <f>IF(A817="","",IFERROR(AVERAGEIFS(DATOS!$K$2:$K$20000,DATOS!$A$2:$A$20000,A817,DATOS!$G$2:$G$20000,CONFIG_METADATA!$B$4,DATOS!$I$2:$I$20000,"Conjunto"),""))</f>
        <v/>
      </c>
      <c r="E817" t="str">
        <f>IF(A817="","",IFERROR(AVERAGEIFS(DATOS!$K$2:$K$20000,DATOS!$A$2:$A$20000,A817,DATOS!$G$2:$G$20000,CONFIG_METADATA!$B$4,DATOS!$I$2:$I$20000,"&lt;&gt;Lenguaje Musical",DATOS!$I$2:$I$20000,"&lt;&gt;Coro",DATOS!$I$2:$I$20000,"&lt;&gt;Conjunto"),""))</f>
        <v/>
      </c>
      <c r="N817" t="str">
        <f>IF(M817="","",IFERROR(AVERAGEIFS(DATOS!$K$2:$K$20000,DATOS!$A$2:$A$20000,M817,DATOS!$G$2:$G$20000,CONFIG_METADATA!$B$4,DATOS!$I$2:$I$20000,"Lenguaje Musical"),""))</f>
        <v/>
      </c>
      <c r="O817" t="str">
        <f>IF(M817="","",IFERROR(AVERAGEIFS(DATOS!$K$2:$K$20000,DATOS!$A$2:$A$20000,M817,DATOS!$G$2:$G$20000,CONFIG_METADATA!$B$4,DATOS!$I$2:$I$20000,"Coro"),""))</f>
        <v/>
      </c>
      <c r="P817" t="str">
        <f>IF(M817="","",IFERROR(AVERAGEIFS(DATOS!$K$2:$K$20000,DATOS!$A$2:$A$20000,M817,DATOS!$G$2:$G$20000,CONFIG_METADATA!$B$4,DATOS!$I$2:$I$20000,"Conjunto"),""))</f>
        <v/>
      </c>
      <c r="Q817" t="str">
        <f>IF(M817="","",IFERROR(AVERAGEIFS(DATOS!$K$2:$K$20000,DATOS!$A$2:$A$20000,M817,DATOS!$G$2:$G$20000,CONFIG_METADATA!$B$4,DATOS!$I$2:$I$20000,"&lt;&gt;Lenguaje Musical",DATOS!$I$2:$I$20000,"&lt;&gt;Coro",DATOS!$I$2:$I$20000,"&lt;&gt;Conjunto"),""))</f>
        <v/>
      </c>
      <c r="T817" t="str">
        <f>IF(S817="","",IFERROR(AVERAGEIFS(DATOS!$K$2:$K$20000,DATOS!$A$2:$A$20000,S817,DATOS!$G$2:$G$20000,CONFIG_METADATA!$B$4,DATOS!$I$2:$I$20000,"Lenguaje Musical"),""))</f>
        <v/>
      </c>
      <c r="U817" t="str">
        <f>IF(S817="","",IFERROR(AVERAGEIFS(DATOS!$K$2:$K$20000,DATOS!$A$2:$A$20000,S817,DATOS!$G$2:$G$20000,CONFIG_METADATA!$B$4,DATOS!$I$2:$I$20000,"Coro"),""))</f>
        <v/>
      </c>
      <c r="V817" t="str">
        <f>IF(S817="","",IFERROR(AVERAGEIFS(DATOS!$K$2:$K$20000,DATOS!$A$2:$A$20000,S817,DATOS!$G$2:$G$20000,CONFIG_METADATA!$B$4,DATOS!$I$2:$I$20000,"Conjunto"),""))</f>
        <v/>
      </c>
      <c r="W817" t="str">
        <f>IF(S817="","",IFERROR(AVERAGEIFS(DATOS!$K$2:$K$20000,DATOS!$A$2:$A$20000,S817,DATOS!$G$2:$G$20000,CONFIG_METADATA!$B$4,DATOS!$I$2:$I$20000,"&lt;&gt;Lenguaje Musical",DATOS!$I$2:$I$20000,"&lt;&gt;Coro",DATOS!$I$2:$I$20000,"&lt;&gt;Conjunto"),""))</f>
        <v/>
      </c>
    </row>
    <row r="818" spans="2:23" x14ac:dyDescent="0.2">
      <c r="B818" t="str">
        <f>IF(A818="","",IFERROR(AVERAGEIFS(DATOS!$K$2:$K$20000,DATOS!$A$2:$A$20000,A818,DATOS!$G$2:$G$20000,CONFIG_METADATA!$B$4,DATOS!$I$2:$I$20000,"Lenguaje Musical"),""))</f>
        <v/>
      </c>
      <c r="C818" t="str">
        <f>IF(A818="","",IFERROR(AVERAGEIFS(DATOS!$K$2:$K$20000,DATOS!$A$2:$A$20000,A818,DATOS!$G$2:$G$20000,CONFIG_METADATA!$B$4,DATOS!$I$2:$I$20000,"Coro"),""))</f>
        <v/>
      </c>
      <c r="D818" t="str">
        <f>IF(A818="","",IFERROR(AVERAGEIFS(DATOS!$K$2:$K$20000,DATOS!$A$2:$A$20000,A818,DATOS!$G$2:$G$20000,CONFIG_METADATA!$B$4,DATOS!$I$2:$I$20000,"Conjunto"),""))</f>
        <v/>
      </c>
      <c r="E818" t="str">
        <f>IF(A818="","",IFERROR(AVERAGEIFS(DATOS!$K$2:$K$20000,DATOS!$A$2:$A$20000,A818,DATOS!$G$2:$G$20000,CONFIG_METADATA!$B$4,DATOS!$I$2:$I$20000,"&lt;&gt;Lenguaje Musical",DATOS!$I$2:$I$20000,"&lt;&gt;Coro",DATOS!$I$2:$I$20000,"&lt;&gt;Conjunto"),""))</f>
        <v/>
      </c>
      <c r="N818" t="str">
        <f>IF(M818="","",IFERROR(AVERAGEIFS(DATOS!$K$2:$K$20000,DATOS!$A$2:$A$20000,M818,DATOS!$G$2:$G$20000,CONFIG_METADATA!$B$4,DATOS!$I$2:$I$20000,"Lenguaje Musical"),""))</f>
        <v/>
      </c>
      <c r="O818" t="str">
        <f>IF(M818="","",IFERROR(AVERAGEIFS(DATOS!$K$2:$K$20000,DATOS!$A$2:$A$20000,M818,DATOS!$G$2:$G$20000,CONFIG_METADATA!$B$4,DATOS!$I$2:$I$20000,"Coro"),""))</f>
        <v/>
      </c>
      <c r="P818" t="str">
        <f>IF(M818="","",IFERROR(AVERAGEIFS(DATOS!$K$2:$K$20000,DATOS!$A$2:$A$20000,M818,DATOS!$G$2:$G$20000,CONFIG_METADATA!$B$4,DATOS!$I$2:$I$20000,"Conjunto"),""))</f>
        <v/>
      </c>
      <c r="Q818" t="str">
        <f>IF(M818="","",IFERROR(AVERAGEIFS(DATOS!$K$2:$K$20000,DATOS!$A$2:$A$20000,M818,DATOS!$G$2:$G$20000,CONFIG_METADATA!$B$4,DATOS!$I$2:$I$20000,"&lt;&gt;Lenguaje Musical",DATOS!$I$2:$I$20000,"&lt;&gt;Coro",DATOS!$I$2:$I$20000,"&lt;&gt;Conjunto"),""))</f>
        <v/>
      </c>
      <c r="T818" t="str">
        <f>IF(S818="","",IFERROR(AVERAGEIFS(DATOS!$K$2:$K$20000,DATOS!$A$2:$A$20000,S818,DATOS!$G$2:$G$20000,CONFIG_METADATA!$B$4,DATOS!$I$2:$I$20000,"Lenguaje Musical"),""))</f>
        <v/>
      </c>
      <c r="U818" t="str">
        <f>IF(S818="","",IFERROR(AVERAGEIFS(DATOS!$K$2:$K$20000,DATOS!$A$2:$A$20000,S818,DATOS!$G$2:$G$20000,CONFIG_METADATA!$B$4,DATOS!$I$2:$I$20000,"Coro"),""))</f>
        <v/>
      </c>
      <c r="V818" t="str">
        <f>IF(S818="","",IFERROR(AVERAGEIFS(DATOS!$K$2:$K$20000,DATOS!$A$2:$A$20000,S818,DATOS!$G$2:$G$20000,CONFIG_METADATA!$B$4,DATOS!$I$2:$I$20000,"Conjunto"),""))</f>
        <v/>
      </c>
      <c r="W818" t="str">
        <f>IF(S818="","",IFERROR(AVERAGEIFS(DATOS!$K$2:$K$20000,DATOS!$A$2:$A$20000,S818,DATOS!$G$2:$G$20000,CONFIG_METADATA!$B$4,DATOS!$I$2:$I$20000,"&lt;&gt;Lenguaje Musical",DATOS!$I$2:$I$20000,"&lt;&gt;Coro",DATOS!$I$2:$I$20000,"&lt;&gt;Conjunto"),""))</f>
        <v/>
      </c>
    </row>
    <row r="819" spans="2:23" x14ac:dyDescent="0.2">
      <c r="B819" t="str">
        <f>IF(A819="","",IFERROR(AVERAGEIFS(DATOS!$K$2:$K$20000,DATOS!$A$2:$A$20000,A819,DATOS!$G$2:$G$20000,CONFIG_METADATA!$B$4,DATOS!$I$2:$I$20000,"Lenguaje Musical"),""))</f>
        <v/>
      </c>
      <c r="C819" t="str">
        <f>IF(A819="","",IFERROR(AVERAGEIFS(DATOS!$K$2:$K$20000,DATOS!$A$2:$A$20000,A819,DATOS!$G$2:$G$20000,CONFIG_METADATA!$B$4,DATOS!$I$2:$I$20000,"Coro"),""))</f>
        <v/>
      </c>
      <c r="D819" t="str">
        <f>IF(A819="","",IFERROR(AVERAGEIFS(DATOS!$K$2:$K$20000,DATOS!$A$2:$A$20000,A819,DATOS!$G$2:$G$20000,CONFIG_METADATA!$B$4,DATOS!$I$2:$I$20000,"Conjunto"),""))</f>
        <v/>
      </c>
      <c r="E819" t="str">
        <f>IF(A819="","",IFERROR(AVERAGEIFS(DATOS!$K$2:$K$20000,DATOS!$A$2:$A$20000,A819,DATOS!$G$2:$G$20000,CONFIG_METADATA!$B$4,DATOS!$I$2:$I$20000,"&lt;&gt;Lenguaje Musical",DATOS!$I$2:$I$20000,"&lt;&gt;Coro",DATOS!$I$2:$I$20000,"&lt;&gt;Conjunto"),""))</f>
        <v/>
      </c>
      <c r="N819" t="str">
        <f>IF(M819="","",IFERROR(AVERAGEIFS(DATOS!$K$2:$K$20000,DATOS!$A$2:$A$20000,M819,DATOS!$G$2:$G$20000,CONFIG_METADATA!$B$4,DATOS!$I$2:$I$20000,"Lenguaje Musical"),""))</f>
        <v/>
      </c>
      <c r="O819" t="str">
        <f>IF(M819="","",IFERROR(AVERAGEIFS(DATOS!$K$2:$K$20000,DATOS!$A$2:$A$20000,M819,DATOS!$G$2:$G$20000,CONFIG_METADATA!$B$4,DATOS!$I$2:$I$20000,"Coro"),""))</f>
        <v/>
      </c>
      <c r="P819" t="str">
        <f>IF(M819="","",IFERROR(AVERAGEIFS(DATOS!$K$2:$K$20000,DATOS!$A$2:$A$20000,M819,DATOS!$G$2:$G$20000,CONFIG_METADATA!$B$4,DATOS!$I$2:$I$20000,"Conjunto"),""))</f>
        <v/>
      </c>
      <c r="Q819" t="str">
        <f>IF(M819="","",IFERROR(AVERAGEIFS(DATOS!$K$2:$K$20000,DATOS!$A$2:$A$20000,M819,DATOS!$G$2:$G$20000,CONFIG_METADATA!$B$4,DATOS!$I$2:$I$20000,"&lt;&gt;Lenguaje Musical",DATOS!$I$2:$I$20000,"&lt;&gt;Coro",DATOS!$I$2:$I$20000,"&lt;&gt;Conjunto"),""))</f>
        <v/>
      </c>
      <c r="T819" t="str">
        <f>IF(S819="","",IFERROR(AVERAGEIFS(DATOS!$K$2:$K$20000,DATOS!$A$2:$A$20000,S819,DATOS!$G$2:$G$20000,CONFIG_METADATA!$B$4,DATOS!$I$2:$I$20000,"Lenguaje Musical"),""))</f>
        <v/>
      </c>
      <c r="U819" t="str">
        <f>IF(S819="","",IFERROR(AVERAGEIFS(DATOS!$K$2:$K$20000,DATOS!$A$2:$A$20000,S819,DATOS!$G$2:$G$20000,CONFIG_METADATA!$B$4,DATOS!$I$2:$I$20000,"Coro"),""))</f>
        <v/>
      </c>
      <c r="V819" t="str">
        <f>IF(S819="","",IFERROR(AVERAGEIFS(DATOS!$K$2:$K$20000,DATOS!$A$2:$A$20000,S819,DATOS!$G$2:$G$20000,CONFIG_METADATA!$B$4,DATOS!$I$2:$I$20000,"Conjunto"),""))</f>
        <v/>
      </c>
      <c r="W819" t="str">
        <f>IF(S819="","",IFERROR(AVERAGEIFS(DATOS!$K$2:$K$20000,DATOS!$A$2:$A$20000,S819,DATOS!$G$2:$G$20000,CONFIG_METADATA!$B$4,DATOS!$I$2:$I$20000,"&lt;&gt;Lenguaje Musical",DATOS!$I$2:$I$20000,"&lt;&gt;Coro",DATOS!$I$2:$I$20000,"&lt;&gt;Conjunto"),""))</f>
        <v/>
      </c>
    </row>
    <row r="820" spans="2:23" x14ac:dyDescent="0.2">
      <c r="B820" t="str">
        <f>IF(A820="","",IFERROR(AVERAGEIFS(DATOS!$K$2:$K$20000,DATOS!$A$2:$A$20000,A820,DATOS!$G$2:$G$20000,CONFIG_METADATA!$B$4,DATOS!$I$2:$I$20000,"Lenguaje Musical"),""))</f>
        <v/>
      </c>
      <c r="C820" t="str">
        <f>IF(A820="","",IFERROR(AVERAGEIFS(DATOS!$K$2:$K$20000,DATOS!$A$2:$A$20000,A820,DATOS!$G$2:$G$20000,CONFIG_METADATA!$B$4,DATOS!$I$2:$I$20000,"Coro"),""))</f>
        <v/>
      </c>
      <c r="D820" t="str">
        <f>IF(A820="","",IFERROR(AVERAGEIFS(DATOS!$K$2:$K$20000,DATOS!$A$2:$A$20000,A820,DATOS!$G$2:$G$20000,CONFIG_METADATA!$B$4,DATOS!$I$2:$I$20000,"Conjunto"),""))</f>
        <v/>
      </c>
      <c r="E820" t="str">
        <f>IF(A820="","",IFERROR(AVERAGEIFS(DATOS!$K$2:$K$20000,DATOS!$A$2:$A$20000,A820,DATOS!$G$2:$G$20000,CONFIG_METADATA!$B$4,DATOS!$I$2:$I$20000,"&lt;&gt;Lenguaje Musical",DATOS!$I$2:$I$20000,"&lt;&gt;Coro",DATOS!$I$2:$I$20000,"&lt;&gt;Conjunto"),""))</f>
        <v/>
      </c>
      <c r="N820" t="str">
        <f>IF(M820="","",IFERROR(AVERAGEIFS(DATOS!$K$2:$K$20000,DATOS!$A$2:$A$20000,M820,DATOS!$G$2:$G$20000,CONFIG_METADATA!$B$4,DATOS!$I$2:$I$20000,"Lenguaje Musical"),""))</f>
        <v/>
      </c>
      <c r="O820" t="str">
        <f>IF(M820="","",IFERROR(AVERAGEIFS(DATOS!$K$2:$K$20000,DATOS!$A$2:$A$20000,M820,DATOS!$G$2:$G$20000,CONFIG_METADATA!$B$4,DATOS!$I$2:$I$20000,"Coro"),""))</f>
        <v/>
      </c>
      <c r="P820" t="str">
        <f>IF(M820="","",IFERROR(AVERAGEIFS(DATOS!$K$2:$K$20000,DATOS!$A$2:$A$20000,M820,DATOS!$G$2:$G$20000,CONFIG_METADATA!$B$4,DATOS!$I$2:$I$20000,"Conjunto"),""))</f>
        <v/>
      </c>
      <c r="Q820" t="str">
        <f>IF(M820="","",IFERROR(AVERAGEIFS(DATOS!$K$2:$K$20000,DATOS!$A$2:$A$20000,M820,DATOS!$G$2:$G$20000,CONFIG_METADATA!$B$4,DATOS!$I$2:$I$20000,"&lt;&gt;Lenguaje Musical",DATOS!$I$2:$I$20000,"&lt;&gt;Coro",DATOS!$I$2:$I$20000,"&lt;&gt;Conjunto"),""))</f>
        <v/>
      </c>
      <c r="T820" t="str">
        <f>IF(S820="","",IFERROR(AVERAGEIFS(DATOS!$K$2:$K$20000,DATOS!$A$2:$A$20000,S820,DATOS!$G$2:$G$20000,CONFIG_METADATA!$B$4,DATOS!$I$2:$I$20000,"Lenguaje Musical"),""))</f>
        <v/>
      </c>
      <c r="U820" t="str">
        <f>IF(S820="","",IFERROR(AVERAGEIFS(DATOS!$K$2:$K$20000,DATOS!$A$2:$A$20000,S820,DATOS!$G$2:$G$20000,CONFIG_METADATA!$B$4,DATOS!$I$2:$I$20000,"Coro"),""))</f>
        <v/>
      </c>
      <c r="V820" t="str">
        <f>IF(S820="","",IFERROR(AVERAGEIFS(DATOS!$K$2:$K$20000,DATOS!$A$2:$A$20000,S820,DATOS!$G$2:$G$20000,CONFIG_METADATA!$B$4,DATOS!$I$2:$I$20000,"Conjunto"),""))</f>
        <v/>
      </c>
      <c r="W820" t="str">
        <f>IF(S820="","",IFERROR(AVERAGEIFS(DATOS!$K$2:$K$20000,DATOS!$A$2:$A$20000,S820,DATOS!$G$2:$G$20000,CONFIG_METADATA!$B$4,DATOS!$I$2:$I$20000,"&lt;&gt;Lenguaje Musical",DATOS!$I$2:$I$20000,"&lt;&gt;Coro",DATOS!$I$2:$I$20000,"&lt;&gt;Conjunto"),""))</f>
        <v/>
      </c>
    </row>
    <row r="821" spans="2:23" x14ac:dyDescent="0.2">
      <c r="B821" t="str">
        <f>IF(A821="","",IFERROR(AVERAGEIFS(DATOS!$K$2:$K$20000,DATOS!$A$2:$A$20000,A821,DATOS!$G$2:$G$20000,CONFIG_METADATA!$B$4,DATOS!$I$2:$I$20000,"Lenguaje Musical"),""))</f>
        <v/>
      </c>
      <c r="C821" t="str">
        <f>IF(A821="","",IFERROR(AVERAGEIFS(DATOS!$K$2:$K$20000,DATOS!$A$2:$A$20000,A821,DATOS!$G$2:$G$20000,CONFIG_METADATA!$B$4,DATOS!$I$2:$I$20000,"Coro"),""))</f>
        <v/>
      </c>
      <c r="D821" t="str">
        <f>IF(A821="","",IFERROR(AVERAGEIFS(DATOS!$K$2:$K$20000,DATOS!$A$2:$A$20000,A821,DATOS!$G$2:$G$20000,CONFIG_METADATA!$B$4,DATOS!$I$2:$I$20000,"Conjunto"),""))</f>
        <v/>
      </c>
      <c r="E821" t="str">
        <f>IF(A821="","",IFERROR(AVERAGEIFS(DATOS!$K$2:$K$20000,DATOS!$A$2:$A$20000,A821,DATOS!$G$2:$G$20000,CONFIG_METADATA!$B$4,DATOS!$I$2:$I$20000,"&lt;&gt;Lenguaje Musical",DATOS!$I$2:$I$20000,"&lt;&gt;Coro",DATOS!$I$2:$I$20000,"&lt;&gt;Conjunto"),""))</f>
        <v/>
      </c>
      <c r="N821" t="str">
        <f>IF(M821="","",IFERROR(AVERAGEIFS(DATOS!$K$2:$K$20000,DATOS!$A$2:$A$20000,M821,DATOS!$G$2:$G$20000,CONFIG_METADATA!$B$4,DATOS!$I$2:$I$20000,"Lenguaje Musical"),""))</f>
        <v/>
      </c>
      <c r="O821" t="str">
        <f>IF(M821="","",IFERROR(AVERAGEIFS(DATOS!$K$2:$K$20000,DATOS!$A$2:$A$20000,M821,DATOS!$G$2:$G$20000,CONFIG_METADATA!$B$4,DATOS!$I$2:$I$20000,"Coro"),""))</f>
        <v/>
      </c>
      <c r="P821" t="str">
        <f>IF(M821="","",IFERROR(AVERAGEIFS(DATOS!$K$2:$K$20000,DATOS!$A$2:$A$20000,M821,DATOS!$G$2:$G$20000,CONFIG_METADATA!$B$4,DATOS!$I$2:$I$20000,"Conjunto"),""))</f>
        <v/>
      </c>
      <c r="Q821" t="str">
        <f>IF(M821="","",IFERROR(AVERAGEIFS(DATOS!$K$2:$K$20000,DATOS!$A$2:$A$20000,M821,DATOS!$G$2:$G$20000,CONFIG_METADATA!$B$4,DATOS!$I$2:$I$20000,"&lt;&gt;Lenguaje Musical",DATOS!$I$2:$I$20000,"&lt;&gt;Coro",DATOS!$I$2:$I$20000,"&lt;&gt;Conjunto"),""))</f>
        <v/>
      </c>
      <c r="T821" t="str">
        <f>IF(S821="","",IFERROR(AVERAGEIFS(DATOS!$K$2:$K$20000,DATOS!$A$2:$A$20000,S821,DATOS!$G$2:$G$20000,CONFIG_METADATA!$B$4,DATOS!$I$2:$I$20000,"Lenguaje Musical"),""))</f>
        <v/>
      </c>
      <c r="U821" t="str">
        <f>IF(S821="","",IFERROR(AVERAGEIFS(DATOS!$K$2:$K$20000,DATOS!$A$2:$A$20000,S821,DATOS!$G$2:$G$20000,CONFIG_METADATA!$B$4,DATOS!$I$2:$I$20000,"Coro"),""))</f>
        <v/>
      </c>
      <c r="V821" t="str">
        <f>IF(S821="","",IFERROR(AVERAGEIFS(DATOS!$K$2:$K$20000,DATOS!$A$2:$A$20000,S821,DATOS!$G$2:$G$20000,CONFIG_METADATA!$B$4,DATOS!$I$2:$I$20000,"Conjunto"),""))</f>
        <v/>
      </c>
      <c r="W821" t="str">
        <f>IF(S821="","",IFERROR(AVERAGEIFS(DATOS!$K$2:$K$20000,DATOS!$A$2:$A$20000,S821,DATOS!$G$2:$G$20000,CONFIG_METADATA!$B$4,DATOS!$I$2:$I$20000,"&lt;&gt;Lenguaje Musical",DATOS!$I$2:$I$20000,"&lt;&gt;Coro",DATOS!$I$2:$I$20000,"&lt;&gt;Conjunto"),""))</f>
        <v/>
      </c>
    </row>
    <row r="822" spans="2:23" x14ac:dyDescent="0.2">
      <c r="B822" t="str">
        <f>IF(A822="","",IFERROR(AVERAGEIFS(DATOS!$K$2:$K$20000,DATOS!$A$2:$A$20000,A822,DATOS!$G$2:$G$20000,CONFIG_METADATA!$B$4,DATOS!$I$2:$I$20000,"Lenguaje Musical"),""))</f>
        <v/>
      </c>
      <c r="C822" t="str">
        <f>IF(A822="","",IFERROR(AVERAGEIFS(DATOS!$K$2:$K$20000,DATOS!$A$2:$A$20000,A822,DATOS!$G$2:$G$20000,CONFIG_METADATA!$B$4,DATOS!$I$2:$I$20000,"Coro"),""))</f>
        <v/>
      </c>
      <c r="D822" t="str">
        <f>IF(A822="","",IFERROR(AVERAGEIFS(DATOS!$K$2:$K$20000,DATOS!$A$2:$A$20000,A822,DATOS!$G$2:$G$20000,CONFIG_METADATA!$B$4,DATOS!$I$2:$I$20000,"Conjunto"),""))</f>
        <v/>
      </c>
      <c r="E822" t="str">
        <f>IF(A822="","",IFERROR(AVERAGEIFS(DATOS!$K$2:$K$20000,DATOS!$A$2:$A$20000,A822,DATOS!$G$2:$G$20000,CONFIG_METADATA!$B$4,DATOS!$I$2:$I$20000,"&lt;&gt;Lenguaje Musical",DATOS!$I$2:$I$20000,"&lt;&gt;Coro",DATOS!$I$2:$I$20000,"&lt;&gt;Conjunto"),""))</f>
        <v/>
      </c>
      <c r="N822" t="str">
        <f>IF(M822="","",IFERROR(AVERAGEIFS(DATOS!$K$2:$K$20000,DATOS!$A$2:$A$20000,M822,DATOS!$G$2:$G$20000,CONFIG_METADATA!$B$4,DATOS!$I$2:$I$20000,"Lenguaje Musical"),""))</f>
        <v/>
      </c>
      <c r="O822" t="str">
        <f>IF(M822="","",IFERROR(AVERAGEIFS(DATOS!$K$2:$K$20000,DATOS!$A$2:$A$20000,M822,DATOS!$G$2:$G$20000,CONFIG_METADATA!$B$4,DATOS!$I$2:$I$20000,"Coro"),""))</f>
        <v/>
      </c>
      <c r="P822" t="str">
        <f>IF(M822="","",IFERROR(AVERAGEIFS(DATOS!$K$2:$K$20000,DATOS!$A$2:$A$20000,M822,DATOS!$G$2:$G$20000,CONFIG_METADATA!$B$4,DATOS!$I$2:$I$20000,"Conjunto"),""))</f>
        <v/>
      </c>
      <c r="Q822" t="str">
        <f>IF(M822="","",IFERROR(AVERAGEIFS(DATOS!$K$2:$K$20000,DATOS!$A$2:$A$20000,M822,DATOS!$G$2:$G$20000,CONFIG_METADATA!$B$4,DATOS!$I$2:$I$20000,"&lt;&gt;Lenguaje Musical",DATOS!$I$2:$I$20000,"&lt;&gt;Coro",DATOS!$I$2:$I$20000,"&lt;&gt;Conjunto"),""))</f>
        <v/>
      </c>
      <c r="T822" t="str">
        <f>IF(S822="","",IFERROR(AVERAGEIFS(DATOS!$K$2:$K$20000,DATOS!$A$2:$A$20000,S822,DATOS!$G$2:$G$20000,CONFIG_METADATA!$B$4,DATOS!$I$2:$I$20000,"Lenguaje Musical"),""))</f>
        <v/>
      </c>
      <c r="U822" t="str">
        <f>IF(S822="","",IFERROR(AVERAGEIFS(DATOS!$K$2:$K$20000,DATOS!$A$2:$A$20000,S822,DATOS!$G$2:$G$20000,CONFIG_METADATA!$B$4,DATOS!$I$2:$I$20000,"Coro"),""))</f>
        <v/>
      </c>
      <c r="V822" t="str">
        <f>IF(S822="","",IFERROR(AVERAGEIFS(DATOS!$K$2:$K$20000,DATOS!$A$2:$A$20000,S822,DATOS!$G$2:$G$20000,CONFIG_METADATA!$B$4,DATOS!$I$2:$I$20000,"Conjunto"),""))</f>
        <v/>
      </c>
      <c r="W822" t="str">
        <f>IF(S822="","",IFERROR(AVERAGEIFS(DATOS!$K$2:$K$20000,DATOS!$A$2:$A$20000,S822,DATOS!$G$2:$G$20000,CONFIG_METADATA!$B$4,DATOS!$I$2:$I$20000,"&lt;&gt;Lenguaje Musical",DATOS!$I$2:$I$20000,"&lt;&gt;Coro",DATOS!$I$2:$I$20000,"&lt;&gt;Conjunto"),""))</f>
        <v/>
      </c>
    </row>
    <row r="823" spans="2:23" x14ac:dyDescent="0.2">
      <c r="B823" t="str">
        <f>IF(A823="","",IFERROR(AVERAGEIFS(DATOS!$K$2:$K$20000,DATOS!$A$2:$A$20000,A823,DATOS!$G$2:$G$20000,CONFIG_METADATA!$B$4,DATOS!$I$2:$I$20000,"Lenguaje Musical"),""))</f>
        <v/>
      </c>
      <c r="C823" t="str">
        <f>IF(A823="","",IFERROR(AVERAGEIFS(DATOS!$K$2:$K$20000,DATOS!$A$2:$A$20000,A823,DATOS!$G$2:$G$20000,CONFIG_METADATA!$B$4,DATOS!$I$2:$I$20000,"Coro"),""))</f>
        <v/>
      </c>
      <c r="D823" t="str">
        <f>IF(A823="","",IFERROR(AVERAGEIFS(DATOS!$K$2:$K$20000,DATOS!$A$2:$A$20000,A823,DATOS!$G$2:$G$20000,CONFIG_METADATA!$B$4,DATOS!$I$2:$I$20000,"Conjunto"),""))</f>
        <v/>
      </c>
      <c r="E823" t="str">
        <f>IF(A823="","",IFERROR(AVERAGEIFS(DATOS!$K$2:$K$20000,DATOS!$A$2:$A$20000,A823,DATOS!$G$2:$G$20000,CONFIG_METADATA!$B$4,DATOS!$I$2:$I$20000,"&lt;&gt;Lenguaje Musical",DATOS!$I$2:$I$20000,"&lt;&gt;Coro",DATOS!$I$2:$I$20000,"&lt;&gt;Conjunto"),""))</f>
        <v/>
      </c>
      <c r="N823" t="str">
        <f>IF(M823="","",IFERROR(AVERAGEIFS(DATOS!$K$2:$K$20000,DATOS!$A$2:$A$20000,M823,DATOS!$G$2:$G$20000,CONFIG_METADATA!$B$4,DATOS!$I$2:$I$20000,"Lenguaje Musical"),""))</f>
        <v/>
      </c>
      <c r="O823" t="str">
        <f>IF(M823="","",IFERROR(AVERAGEIFS(DATOS!$K$2:$K$20000,DATOS!$A$2:$A$20000,M823,DATOS!$G$2:$G$20000,CONFIG_METADATA!$B$4,DATOS!$I$2:$I$20000,"Coro"),""))</f>
        <v/>
      </c>
      <c r="P823" t="str">
        <f>IF(M823="","",IFERROR(AVERAGEIFS(DATOS!$K$2:$K$20000,DATOS!$A$2:$A$20000,M823,DATOS!$G$2:$G$20000,CONFIG_METADATA!$B$4,DATOS!$I$2:$I$20000,"Conjunto"),""))</f>
        <v/>
      </c>
      <c r="Q823" t="str">
        <f>IF(M823="","",IFERROR(AVERAGEIFS(DATOS!$K$2:$K$20000,DATOS!$A$2:$A$20000,M823,DATOS!$G$2:$G$20000,CONFIG_METADATA!$B$4,DATOS!$I$2:$I$20000,"&lt;&gt;Lenguaje Musical",DATOS!$I$2:$I$20000,"&lt;&gt;Coro",DATOS!$I$2:$I$20000,"&lt;&gt;Conjunto"),""))</f>
        <v/>
      </c>
      <c r="T823" t="str">
        <f>IF(S823="","",IFERROR(AVERAGEIFS(DATOS!$K$2:$K$20000,DATOS!$A$2:$A$20000,S823,DATOS!$G$2:$G$20000,CONFIG_METADATA!$B$4,DATOS!$I$2:$I$20000,"Lenguaje Musical"),""))</f>
        <v/>
      </c>
      <c r="U823" t="str">
        <f>IF(S823="","",IFERROR(AVERAGEIFS(DATOS!$K$2:$K$20000,DATOS!$A$2:$A$20000,S823,DATOS!$G$2:$G$20000,CONFIG_METADATA!$B$4,DATOS!$I$2:$I$20000,"Coro"),""))</f>
        <v/>
      </c>
      <c r="V823" t="str">
        <f>IF(S823="","",IFERROR(AVERAGEIFS(DATOS!$K$2:$K$20000,DATOS!$A$2:$A$20000,S823,DATOS!$G$2:$G$20000,CONFIG_METADATA!$B$4,DATOS!$I$2:$I$20000,"Conjunto"),""))</f>
        <v/>
      </c>
      <c r="W823" t="str">
        <f>IF(S823="","",IFERROR(AVERAGEIFS(DATOS!$K$2:$K$20000,DATOS!$A$2:$A$20000,S823,DATOS!$G$2:$G$20000,CONFIG_METADATA!$B$4,DATOS!$I$2:$I$20000,"&lt;&gt;Lenguaje Musical",DATOS!$I$2:$I$20000,"&lt;&gt;Coro",DATOS!$I$2:$I$20000,"&lt;&gt;Conjunto"),""))</f>
        <v/>
      </c>
    </row>
    <row r="824" spans="2:23" x14ac:dyDescent="0.2">
      <c r="B824" t="str">
        <f>IF(A824="","",IFERROR(AVERAGEIFS(DATOS!$K$2:$K$20000,DATOS!$A$2:$A$20000,A824,DATOS!$G$2:$G$20000,CONFIG_METADATA!$B$4,DATOS!$I$2:$I$20000,"Lenguaje Musical"),""))</f>
        <v/>
      </c>
      <c r="C824" t="str">
        <f>IF(A824="","",IFERROR(AVERAGEIFS(DATOS!$K$2:$K$20000,DATOS!$A$2:$A$20000,A824,DATOS!$G$2:$G$20000,CONFIG_METADATA!$B$4,DATOS!$I$2:$I$20000,"Coro"),""))</f>
        <v/>
      </c>
      <c r="D824" t="str">
        <f>IF(A824="","",IFERROR(AVERAGEIFS(DATOS!$K$2:$K$20000,DATOS!$A$2:$A$20000,A824,DATOS!$G$2:$G$20000,CONFIG_METADATA!$B$4,DATOS!$I$2:$I$20000,"Conjunto"),""))</f>
        <v/>
      </c>
      <c r="E824" t="str">
        <f>IF(A824="","",IFERROR(AVERAGEIFS(DATOS!$K$2:$K$20000,DATOS!$A$2:$A$20000,A824,DATOS!$G$2:$G$20000,CONFIG_METADATA!$B$4,DATOS!$I$2:$I$20000,"&lt;&gt;Lenguaje Musical",DATOS!$I$2:$I$20000,"&lt;&gt;Coro",DATOS!$I$2:$I$20000,"&lt;&gt;Conjunto"),""))</f>
        <v/>
      </c>
      <c r="N824" t="str">
        <f>IF(M824="","",IFERROR(AVERAGEIFS(DATOS!$K$2:$K$20000,DATOS!$A$2:$A$20000,M824,DATOS!$G$2:$G$20000,CONFIG_METADATA!$B$4,DATOS!$I$2:$I$20000,"Lenguaje Musical"),""))</f>
        <v/>
      </c>
      <c r="O824" t="str">
        <f>IF(M824="","",IFERROR(AVERAGEIFS(DATOS!$K$2:$K$20000,DATOS!$A$2:$A$20000,M824,DATOS!$G$2:$G$20000,CONFIG_METADATA!$B$4,DATOS!$I$2:$I$20000,"Coro"),""))</f>
        <v/>
      </c>
      <c r="P824" t="str">
        <f>IF(M824="","",IFERROR(AVERAGEIFS(DATOS!$K$2:$K$20000,DATOS!$A$2:$A$20000,M824,DATOS!$G$2:$G$20000,CONFIG_METADATA!$B$4,DATOS!$I$2:$I$20000,"Conjunto"),""))</f>
        <v/>
      </c>
      <c r="Q824" t="str">
        <f>IF(M824="","",IFERROR(AVERAGEIFS(DATOS!$K$2:$K$20000,DATOS!$A$2:$A$20000,M824,DATOS!$G$2:$G$20000,CONFIG_METADATA!$B$4,DATOS!$I$2:$I$20000,"&lt;&gt;Lenguaje Musical",DATOS!$I$2:$I$20000,"&lt;&gt;Coro",DATOS!$I$2:$I$20000,"&lt;&gt;Conjunto"),""))</f>
        <v/>
      </c>
      <c r="T824" t="str">
        <f>IF(S824="","",IFERROR(AVERAGEIFS(DATOS!$K$2:$K$20000,DATOS!$A$2:$A$20000,S824,DATOS!$G$2:$G$20000,CONFIG_METADATA!$B$4,DATOS!$I$2:$I$20000,"Lenguaje Musical"),""))</f>
        <v/>
      </c>
      <c r="U824" t="str">
        <f>IF(S824="","",IFERROR(AVERAGEIFS(DATOS!$K$2:$K$20000,DATOS!$A$2:$A$20000,S824,DATOS!$G$2:$G$20000,CONFIG_METADATA!$B$4,DATOS!$I$2:$I$20000,"Coro"),""))</f>
        <v/>
      </c>
      <c r="V824" t="str">
        <f>IF(S824="","",IFERROR(AVERAGEIFS(DATOS!$K$2:$K$20000,DATOS!$A$2:$A$20000,S824,DATOS!$G$2:$G$20000,CONFIG_METADATA!$B$4,DATOS!$I$2:$I$20000,"Conjunto"),""))</f>
        <v/>
      </c>
      <c r="W824" t="str">
        <f>IF(S824="","",IFERROR(AVERAGEIFS(DATOS!$K$2:$K$20000,DATOS!$A$2:$A$20000,S824,DATOS!$G$2:$G$20000,CONFIG_METADATA!$B$4,DATOS!$I$2:$I$20000,"&lt;&gt;Lenguaje Musical",DATOS!$I$2:$I$20000,"&lt;&gt;Coro",DATOS!$I$2:$I$20000,"&lt;&gt;Conjunto"),""))</f>
        <v/>
      </c>
    </row>
    <row r="825" spans="2:23" x14ac:dyDescent="0.2">
      <c r="B825" t="str">
        <f>IF(A825="","",IFERROR(AVERAGEIFS(DATOS!$K$2:$K$20000,DATOS!$A$2:$A$20000,A825,DATOS!$G$2:$G$20000,CONFIG_METADATA!$B$4,DATOS!$I$2:$I$20000,"Lenguaje Musical"),""))</f>
        <v/>
      </c>
      <c r="C825" t="str">
        <f>IF(A825="","",IFERROR(AVERAGEIFS(DATOS!$K$2:$K$20000,DATOS!$A$2:$A$20000,A825,DATOS!$G$2:$G$20000,CONFIG_METADATA!$B$4,DATOS!$I$2:$I$20000,"Coro"),""))</f>
        <v/>
      </c>
      <c r="D825" t="str">
        <f>IF(A825="","",IFERROR(AVERAGEIFS(DATOS!$K$2:$K$20000,DATOS!$A$2:$A$20000,A825,DATOS!$G$2:$G$20000,CONFIG_METADATA!$B$4,DATOS!$I$2:$I$20000,"Conjunto"),""))</f>
        <v/>
      </c>
      <c r="E825" t="str">
        <f>IF(A825="","",IFERROR(AVERAGEIFS(DATOS!$K$2:$K$20000,DATOS!$A$2:$A$20000,A825,DATOS!$G$2:$G$20000,CONFIG_METADATA!$B$4,DATOS!$I$2:$I$20000,"&lt;&gt;Lenguaje Musical",DATOS!$I$2:$I$20000,"&lt;&gt;Coro",DATOS!$I$2:$I$20000,"&lt;&gt;Conjunto"),""))</f>
        <v/>
      </c>
      <c r="N825" t="str">
        <f>IF(M825="","",IFERROR(AVERAGEIFS(DATOS!$K$2:$K$20000,DATOS!$A$2:$A$20000,M825,DATOS!$G$2:$G$20000,CONFIG_METADATA!$B$4,DATOS!$I$2:$I$20000,"Lenguaje Musical"),""))</f>
        <v/>
      </c>
      <c r="O825" t="str">
        <f>IF(M825="","",IFERROR(AVERAGEIFS(DATOS!$K$2:$K$20000,DATOS!$A$2:$A$20000,M825,DATOS!$G$2:$G$20000,CONFIG_METADATA!$B$4,DATOS!$I$2:$I$20000,"Coro"),""))</f>
        <v/>
      </c>
      <c r="P825" t="str">
        <f>IF(M825="","",IFERROR(AVERAGEIFS(DATOS!$K$2:$K$20000,DATOS!$A$2:$A$20000,M825,DATOS!$G$2:$G$20000,CONFIG_METADATA!$B$4,DATOS!$I$2:$I$20000,"Conjunto"),""))</f>
        <v/>
      </c>
      <c r="Q825" t="str">
        <f>IF(M825="","",IFERROR(AVERAGEIFS(DATOS!$K$2:$K$20000,DATOS!$A$2:$A$20000,M825,DATOS!$G$2:$G$20000,CONFIG_METADATA!$B$4,DATOS!$I$2:$I$20000,"&lt;&gt;Lenguaje Musical",DATOS!$I$2:$I$20000,"&lt;&gt;Coro",DATOS!$I$2:$I$20000,"&lt;&gt;Conjunto"),""))</f>
        <v/>
      </c>
      <c r="T825" t="str">
        <f>IF(S825="","",IFERROR(AVERAGEIFS(DATOS!$K$2:$K$20000,DATOS!$A$2:$A$20000,S825,DATOS!$G$2:$G$20000,CONFIG_METADATA!$B$4,DATOS!$I$2:$I$20000,"Lenguaje Musical"),""))</f>
        <v/>
      </c>
      <c r="U825" t="str">
        <f>IF(S825="","",IFERROR(AVERAGEIFS(DATOS!$K$2:$K$20000,DATOS!$A$2:$A$20000,S825,DATOS!$G$2:$G$20000,CONFIG_METADATA!$B$4,DATOS!$I$2:$I$20000,"Coro"),""))</f>
        <v/>
      </c>
      <c r="V825" t="str">
        <f>IF(S825="","",IFERROR(AVERAGEIFS(DATOS!$K$2:$K$20000,DATOS!$A$2:$A$20000,S825,DATOS!$G$2:$G$20000,CONFIG_METADATA!$B$4,DATOS!$I$2:$I$20000,"Conjunto"),""))</f>
        <v/>
      </c>
      <c r="W825" t="str">
        <f>IF(S825="","",IFERROR(AVERAGEIFS(DATOS!$K$2:$K$20000,DATOS!$A$2:$A$20000,S825,DATOS!$G$2:$G$20000,CONFIG_METADATA!$B$4,DATOS!$I$2:$I$20000,"&lt;&gt;Lenguaje Musical",DATOS!$I$2:$I$20000,"&lt;&gt;Coro",DATOS!$I$2:$I$20000,"&lt;&gt;Conjunto"),""))</f>
        <v/>
      </c>
    </row>
    <row r="826" spans="2:23" x14ac:dyDescent="0.2">
      <c r="B826" t="str">
        <f>IF(A826="","",IFERROR(AVERAGEIFS(DATOS!$K$2:$K$20000,DATOS!$A$2:$A$20000,A826,DATOS!$G$2:$G$20000,CONFIG_METADATA!$B$4,DATOS!$I$2:$I$20000,"Lenguaje Musical"),""))</f>
        <v/>
      </c>
      <c r="C826" t="str">
        <f>IF(A826="","",IFERROR(AVERAGEIFS(DATOS!$K$2:$K$20000,DATOS!$A$2:$A$20000,A826,DATOS!$G$2:$G$20000,CONFIG_METADATA!$B$4,DATOS!$I$2:$I$20000,"Coro"),""))</f>
        <v/>
      </c>
      <c r="D826" t="str">
        <f>IF(A826="","",IFERROR(AVERAGEIFS(DATOS!$K$2:$K$20000,DATOS!$A$2:$A$20000,A826,DATOS!$G$2:$G$20000,CONFIG_METADATA!$B$4,DATOS!$I$2:$I$20000,"Conjunto"),""))</f>
        <v/>
      </c>
      <c r="E826" t="str">
        <f>IF(A826="","",IFERROR(AVERAGEIFS(DATOS!$K$2:$K$20000,DATOS!$A$2:$A$20000,A826,DATOS!$G$2:$G$20000,CONFIG_METADATA!$B$4,DATOS!$I$2:$I$20000,"&lt;&gt;Lenguaje Musical",DATOS!$I$2:$I$20000,"&lt;&gt;Coro",DATOS!$I$2:$I$20000,"&lt;&gt;Conjunto"),""))</f>
        <v/>
      </c>
      <c r="N826" t="str">
        <f>IF(M826="","",IFERROR(AVERAGEIFS(DATOS!$K$2:$K$20000,DATOS!$A$2:$A$20000,M826,DATOS!$G$2:$G$20000,CONFIG_METADATA!$B$4,DATOS!$I$2:$I$20000,"Lenguaje Musical"),""))</f>
        <v/>
      </c>
      <c r="O826" t="str">
        <f>IF(M826="","",IFERROR(AVERAGEIFS(DATOS!$K$2:$K$20000,DATOS!$A$2:$A$20000,M826,DATOS!$G$2:$G$20000,CONFIG_METADATA!$B$4,DATOS!$I$2:$I$20000,"Coro"),""))</f>
        <v/>
      </c>
      <c r="P826" t="str">
        <f>IF(M826="","",IFERROR(AVERAGEIFS(DATOS!$K$2:$K$20000,DATOS!$A$2:$A$20000,M826,DATOS!$G$2:$G$20000,CONFIG_METADATA!$B$4,DATOS!$I$2:$I$20000,"Conjunto"),""))</f>
        <v/>
      </c>
      <c r="Q826" t="str">
        <f>IF(M826="","",IFERROR(AVERAGEIFS(DATOS!$K$2:$K$20000,DATOS!$A$2:$A$20000,M826,DATOS!$G$2:$G$20000,CONFIG_METADATA!$B$4,DATOS!$I$2:$I$20000,"&lt;&gt;Lenguaje Musical",DATOS!$I$2:$I$20000,"&lt;&gt;Coro",DATOS!$I$2:$I$20000,"&lt;&gt;Conjunto"),""))</f>
        <v/>
      </c>
      <c r="T826" t="str">
        <f>IF(S826="","",IFERROR(AVERAGEIFS(DATOS!$K$2:$K$20000,DATOS!$A$2:$A$20000,S826,DATOS!$G$2:$G$20000,CONFIG_METADATA!$B$4,DATOS!$I$2:$I$20000,"Lenguaje Musical"),""))</f>
        <v/>
      </c>
      <c r="U826" t="str">
        <f>IF(S826="","",IFERROR(AVERAGEIFS(DATOS!$K$2:$K$20000,DATOS!$A$2:$A$20000,S826,DATOS!$G$2:$G$20000,CONFIG_METADATA!$B$4,DATOS!$I$2:$I$20000,"Coro"),""))</f>
        <v/>
      </c>
      <c r="V826" t="str">
        <f>IF(S826="","",IFERROR(AVERAGEIFS(DATOS!$K$2:$K$20000,DATOS!$A$2:$A$20000,S826,DATOS!$G$2:$G$20000,CONFIG_METADATA!$B$4,DATOS!$I$2:$I$20000,"Conjunto"),""))</f>
        <v/>
      </c>
      <c r="W826" t="str">
        <f>IF(S826="","",IFERROR(AVERAGEIFS(DATOS!$K$2:$K$20000,DATOS!$A$2:$A$20000,S826,DATOS!$G$2:$G$20000,CONFIG_METADATA!$B$4,DATOS!$I$2:$I$20000,"&lt;&gt;Lenguaje Musical",DATOS!$I$2:$I$20000,"&lt;&gt;Coro",DATOS!$I$2:$I$20000,"&lt;&gt;Conjunto"),""))</f>
        <v/>
      </c>
    </row>
    <row r="827" spans="2:23" x14ac:dyDescent="0.2">
      <c r="B827" t="str">
        <f>IF(A827="","",IFERROR(AVERAGEIFS(DATOS!$K$2:$K$20000,DATOS!$A$2:$A$20000,A827,DATOS!$G$2:$G$20000,CONFIG_METADATA!$B$4,DATOS!$I$2:$I$20000,"Lenguaje Musical"),""))</f>
        <v/>
      </c>
      <c r="C827" t="str">
        <f>IF(A827="","",IFERROR(AVERAGEIFS(DATOS!$K$2:$K$20000,DATOS!$A$2:$A$20000,A827,DATOS!$G$2:$G$20000,CONFIG_METADATA!$B$4,DATOS!$I$2:$I$20000,"Coro"),""))</f>
        <v/>
      </c>
      <c r="D827" t="str">
        <f>IF(A827="","",IFERROR(AVERAGEIFS(DATOS!$K$2:$K$20000,DATOS!$A$2:$A$20000,A827,DATOS!$G$2:$G$20000,CONFIG_METADATA!$B$4,DATOS!$I$2:$I$20000,"Conjunto"),""))</f>
        <v/>
      </c>
      <c r="E827" t="str">
        <f>IF(A827="","",IFERROR(AVERAGEIFS(DATOS!$K$2:$K$20000,DATOS!$A$2:$A$20000,A827,DATOS!$G$2:$G$20000,CONFIG_METADATA!$B$4,DATOS!$I$2:$I$20000,"&lt;&gt;Lenguaje Musical",DATOS!$I$2:$I$20000,"&lt;&gt;Coro",DATOS!$I$2:$I$20000,"&lt;&gt;Conjunto"),""))</f>
        <v/>
      </c>
      <c r="N827" t="str">
        <f>IF(M827="","",IFERROR(AVERAGEIFS(DATOS!$K$2:$K$20000,DATOS!$A$2:$A$20000,M827,DATOS!$G$2:$G$20000,CONFIG_METADATA!$B$4,DATOS!$I$2:$I$20000,"Lenguaje Musical"),""))</f>
        <v/>
      </c>
      <c r="O827" t="str">
        <f>IF(M827="","",IFERROR(AVERAGEIFS(DATOS!$K$2:$K$20000,DATOS!$A$2:$A$20000,M827,DATOS!$G$2:$G$20000,CONFIG_METADATA!$B$4,DATOS!$I$2:$I$20000,"Coro"),""))</f>
        <v/>
      </c>
      <c r="P827" t="str">
        <f>IF(M827="","",IFERROR(AVERAGEIFS(DATOS!$K$2:$K$20000,DATOS!$A$2:$A$20000,M827,DATOS!$G$2:$G$20000,CONFIG_METADATA!$B$4,DATOS!$I$2:$I$20000,"Conjunto"),""))</f>
        <v/>
      </c>
      <c r="Q827" t="str">
        <f>IF(M827="","",IFERROR(AVERAGEIFS(DATOS!$K$2:$K$20000,DATOS!$A$2:$A$20000,M827,DATOS!$G$2:$G$20000,CONFIG_METADATA!$B$4,DATOS!$I$2:$I$20000,"&lt;&gt;Lenguaje Musical",DATOS!$I$2:$I$20000,"&lt;&gt;Coro",DATOS!$I$2:$I$20000,"&lt;&gt;Conjunto"),""))</f>
        <v/>
      </c>
      <c r="T827" t="str">
        <f>IF(S827="","",IFERROR(AVERAGEIFS(DATOS!$K$2:$K$20000,DATOS!$A$2:$A$20000,S827,DATOS!$G$2:$G$20000,CONFIG_METADATA!$B$4,DATOS!$I$2:$I$20000,"Lenguaje Musical"),""))</f>
        <v/>
      </c>
      <c r="U827" t="str">
        <f>IF(S827="","",IFERROR(AVERAGEIFS(DATOS!$K$2:$K$20000,DATOS!$A$2:$A$20000,S827,DATOS!$G$2:$G$20000,CONFIG_METADATA!$B$4,DATOS!$I$2:$I$20000,"Coro"),""))</f>
        <v/>
      </c>
      <c r="V827" t="str">
        <f>IF(S827="","",IFERROR(AVERAGEIFS(DATOS!$K$2:$K$20000,DATOS!$A$2:$A$20000,S827,DATOS!$G$2:$G$20000,CONFIG_METADATA!$B$4,DATOS!$I$2:$I$20000,"Conjunto"),""))</f>
        <v/>
      </c>
      <c r="W827" t="str">
        <f>IF(S827="","",IFERROR(AVERAGEIFS(DATOS!$K$2:$K$20000,DATOS!$A$2:$A$20000,S827,DATOS!$G$2:$G$20000,CONFIG_METADATA!$B$4,DATOS!$I$2:$I$20000,"&lt;&gt;Lenguaje Musical",DATOS!$I$2:$I$20000,"&lt;&gt;Coro",DATOS!$I$2:$I$20000,"&lt;&gt;Conjunto"),""))</f>
        <v/>
      </c>
    </row>
    <row r="828" spans="2:23" x14ac:dyDescent="0.2">
      <c r="B828" t="str">
        <f>IF(A828="","",IFERROR(AVERAGEIFS(DATOS!$K$2:$K$20000,DATOS!$A$2:$A$20000,A828,DATOS!$G$2:$G$20000,CONFIG_METADATA!$B$4,DATOS!$I$2:$I$20000,"Lenguaje Musical"),""))</f>
        <v/>
      </c>
      <c r="C828" t="str">
        <f>IF(A828="","",IFERROR(AVERAGEIFS(DATOS!$K$2:$K$20000,DATOS!$A$2:$A$20000,A828,DATOS!$G$2:$G$20000,CONFIG_METADATA!$B$4,DATOS!$I$2:$I$20000,"Coro"),""))</f>
        <v/>
      </c>
      <c r="D828" t="str">
        <f>IF(A828="","",IFERROR(AVERAGEIFS(DATOS!$K$2:$K$20000,DATOS!$A$2:$A$20000,A828,DATOS!$G$2:$G$20000,CONFIG_METADATA!$B$4,DATOS!$I$2:$I$20000,"Conjunto"),""))</f>
        <v/>
      </c>
      <c r="E828" t="str">
        <f>IF(A828="","",IFERROR(AVERAGEIFS(DATOS!$K$2:$K$20000,DATOS!$A$2:$A$20000,A828,DATOS!$G$2:$G$20000,CONFIG_METADATA!$B$4,DATOS!$I$2:$I$20000,"&lt;&gt;Lenguaje Musical",DATOS!$I$2:$I$20000,"&lt;&gt;Coro",DATOS!$I$2:$I$20000,"&lt;&gt;Conjunto"),""))</f>
        <v/>
      </c>
      <c r="N828" t="str">
        <f>IF(M828="","",IFERROR(AVERAGEIFS(DATOS!$K$2:$K$20000,DATOS!$A$2:$A$20000,M828,DATOS!$G$2:$G$20000,CONFIG_METADATA!$B$4,DATOS!$I$2:$I$20000,"Lenguaje Musical"),""))</f>
        <v/>
      </c>
      <c r="O828" t="str">
        <f>IF(M828="","",IFERROR(AVERAGEIFS(DATOS!$K$2:$K$20000,DATOS!$A$2:$A$20000,M828,DATOS!$G$2:$G$20000,CONFIG_METADATA!$B$4,DATOS!$I$2:$I$20000,"Coro"),""))</f>
        <v/>
      </c>
      <c r="P828" t="str">
        <f>IF(M828="","",IFERROR(AVERAGEIFS(DATOS!$K$2:$K$20000,DATOS!$A$2:$A$20000,M828,DATOS!$G$2:$G$20000,CONFIG_METADATA!$B$4,DATOS!$I$2:$I$20000,"Conjunto"),""))</f>
        <v/>
      </c>
      <c r="Q828" t="str">
        <f>IF(M828="","",IFERROR(AVERAGEIFS(DATOS!$K$2:$K$20000,DATOS!$A$2:$A$20000,M828,DATOS!$G$2:$G$20000,CONFIG_METADATA!$B$4,DATOS!$I$2:$I$20000,"&lt;&gt;Lenguaje Musical",DATOS!$I$2:$I$20000,"&lt;&gt;Coro",DATOS!$I$2:$I$20000,"&lt;&gt;Conjunto"),""))</f>
        <v/>
      </c>
      <c r="T828" t="str">
        <f>IF(S828="","",IFERROR(AVERAGEIFS(DATOS!$K$2:$K$20000,DATOS!$A$2:$A$20000,S828,DATOS!$G$2:$G$20000,CONFIG_METADATA!$B$4,DATOS!$I$2:$I$20000,"Lenguaje Musical"),""))</f>
        <v/>
      </c>
      <c r="U828" t="str">
        <f>IF(S828="","",IFERROR(AVERAGEIFS(DATOS!$K$2:$K$20000,DATOS!$A$2:$A$20000,S828,DATOS!$G$2:$G$20000,CONFIG_METADATA!$B$4,DATOS!$I$2:$I$20000,"Coro"),""))</f>
        <v/>
      </c>
      <c r="V828" t="str">
        <f>IF(S828="","",IFERROR(AVERAGEIFS(DATOS!$K$2:$K$20000,DATOS!$A$2:$A$20000,S828,DATOS!$G$2:$G$20000,CONFIG_METADATA!$B$4,DATOS!$I$2:$I$20000,"Conjunto"),""))</f>
        <v/>
      </c>
      <c r="W828" t="str">
        <f>IF(S828="","",IFERROR(AVERAGEIFS(DATOS!$K$2:$K$20000,DATOS!$A$2:$A$20000,S828,DATOS!$G$2:$G$20000,CONFIG_METADATA!$B$4,DATOS!$I$2:$I$20000,"&lt;&gt;Lenguaje Musical",DATOS!$I$2:$I$20000,"&lt;&gt;Coro",DATOS!$I$2:$I$20000,"&lt;&gt;Conjunto"),""))</f>
        <v/>
      </c>
    </row>
    <row r="829" spans="2:23" x14ac:dyDescent="0.2">
      <c r="B829" t="str">
        <f>IF(A829="","",IFERROR(AVERAGEIFS(DATOS!$K$2:$K$20000,DATOS!$A$2:$A$20000,A829,DATOS!$G$2:$G$20000,CONFIG_METADATA!$B$4,DATOS!$I$2:$I$20000,"Lenguaje Musical"),""))</f>
        <v/>
      </c>
      <c r="C829" t="str">
        <f>IF(A829="","",IFERROR(AVERAGEIFS(DATOS!$K$2:$K$20000,DATOS!$A$2:$A$20000,A829,DATOS!$G$2:$G$20000,CONFIG_METADATA!$B$4,DATOS!$I$2:$I$20000,"Coro"),""))</f>
        <v/>
      </c>
      <c r="D829" t="str">
        <f>IF(A829="","",IFERROR(AVERAGEIFS(DATOS!$K$2:$K$20000,DATOS!$A$2:$A$20000,A829,DATOS!$G$2:$G$20000,CONFIG_METADATA!$B$4,DATOS!$I$2:$I$20000,"Conjunto"),""))</f>
        <v/>
      </c>
      <c r="E829" t="str">
        <f>IF(A829="","",IFERROR(AVERAGEIFS(DATOS!$K$2:$K$20000,DATOS!$A$2:$A$20000,A829,DATOS!$G$2:$G$20000,CONFIG_METADATA!$B$4,DATOS!$I$2:$I$20000,"&lt;&gt;Lenguaje Musical",DATOS!$I$2:$I$20000,"&lt;&gt;Coro",DATOS!$I$2:$I$20000,"&lt;&gt;Conjunto"),""))</f>
        <v/>
      </c>
      <c r="N829" t="str">
        <f>IF(M829="","",IFERROR(AVERAGEIFS(DATOS!$K$2:$K$20000,DATOS!$A$2:$A$20000,M829,DATOS!$G$2:$G$20000,CONFIG_METADATA!$B$4,DATOS!$I$2:$I$20000,"Lenguaje Musical"),""))</f>
        <v/>
      </c>
      <c r="O829" t="str">
        <f>IF(M829="","",IFERROR(AVERAGEIFS(DATOS!$K$2:$K$20000,DATOS!$A$2:$A$20000,M829,DATOS!$G$2:$G$20000,CONFIG_METADATA!$B$4,DATOS!$I$2:$I$20000,"Coro"),""))</f>
        <v/>
      </c>
      <c r="P829" t="str">
        <f>IF(M829="","",IFERROR(AVERAGEIFS(DATOS!$K$2:$K$20000,DATOS!$A$2:$A$20000,M829,DATOS!$G$2:$G$20000,CONFIG_METADATA!$B$4,DATOS!$I$2:$I$20000,"Conjunto"),""))</f>
        <v/>
      </c>
      <c r="Q829" t="str">
        <f>IF(M829="","",IFERROR(AVERAGEIFS(DATOS!$K$2:$K$20000,DATOS!$A$2:$A$20000,M829,DATOS!$G$2:$G$20000,CONFIG_METADATA!$B$4,DATOS!$I$2:$I$20000,"&lt;&gt;Lenguaje Musical",DATOS!$I$2:$I$20000,"&lt;&gt;Coro",DATOS!$I$2:$I$20000,"&lt;&gt;Conjunto"),""))</f>
        <v/>
      </c>
      <c r="T829" t="str">
        <f>IF(S829="","",IFERROR(AVERAGEIFS(DATOS!$K$2:$K$20000,DATOS!$A$2:$A$20000,S829,DATOS!$G$2:$G$20000,CONFIG_METADATA!$B$4,DATOS!$I$2:$I$20000,"Lenguaje Musical"),""))</f>
        <v/>
      </c>
      <c r="U829" t="str">
        <f>IF(S829="","",IFERROR(AVERAGEIFS(DATOS!$K$2:$K$20000,DATOS!$A$2:$A$20000,S829,DATOS!$G$2:$G$20000,CONFIG_METADATA!$B$4,DATOS!$I$2:$I$20000,"Coro"),""))</f>
        <v/>
      </c>
      <c r="V829" t="str">
        <f>IF(S829="","",IFERROR(AVERAGEIFS(DATOS!$K$2:$K$20000,DATOS!$A$2:$A$20000,S829,DATOS!$G$2:$G$20000,CONFIG_METADATA!$B$4,DATOS!$I$2:$I$20000,"Conjunto"),""))</f>
        <v/>
      </c>
      <c r="W829" t="str">
        <f>IF(S829="","",IFERROR(AVERAGEIFS(DATOS!$K$2:$K$20000,DATOS!$A$2:$A$20000,S829,DATOS!$G$2:$G$20000,CONFIG_METADATA!$B$4,DATOS!$I$2:$I$20000,"&lt;&gt;Lenguaje Musical",DATOS!$I$2:$I$20000,"&lt;&gt;Coro",DATOS!$I$2:$I$20000,"&lt;&gt;Conjunto"),""))</f>
        <v/>
      </c>
    </row>
    <row r="830" spans="2:23" x14ac:dyDescent="0.2">
      <c r="B830" t="str">
        <f>IF(A830="","",IFERROR(AVERAGEIFS(DATOS!$K$2:$K$20000,DATOS!$A$2:$A$20000,A830,DATOS!$G$2:$G$20000,CONFIG_METADATA!$B$4,DATOS!$I$2:$I$20000,"Lenguaje Musical"),""))</f>
        <v/>
      </c>
      <c r="C830" t="str">
        <f>IF(A830="","",IFERROR(AVERAGEIFS(DATOS!$K$2:$K$20000,DATOS!$A$2:$A$20000,A830,DATOS!$G$2:$G$20000,CONFIG_METADATA!$B$4,DATOS!$I$2:$I$20000,"Coro"),""))</f>
        <v/>
      </c>
      <c r="D830" t="str">
        <f>IF(A830="","",IFERROR(AVERAGEIFS(DATOS!$K$2:$K$20000,DATOS!$A$2:$A$20000,A830,DATOS!$G$2:$G$20000,CONFIG_METADATA!$B$4,DATOS!$I$2:$I$20000,"Conjunto"),""))</f>
        <v/>
      </c>
      <c r="E830" t="str">
        <f>IF(A830="","",IFERROR(AVERAGEIFS(DATOS!$K$2:$K$20000,DATOS!$A$2:$A$20000,A830,DATOS!$G$2:$G$20000,CONFIG_METADATA!$B$4,DATOS!$I$2:$I$20000,"&lt;&gt;Lenguaje Musical",DATOS!$I$2:$I$20000,"&lt;&gt;Coro",DATOS!$I$2:$I$20000,"&lt;&gt;Conjunto"),""))</f>
        <v/>
      </c>
      <c r="N830" t="str">
        <f>IF(M830="","",IFERROR(AVERAGEIFS(DATOS!$K$2:$K$20000,DATOS!$A$2:$A$20000,M830,DATOS!$G$2:$G$20000,CONFIG_METADATA!$B$4,DATOS!$I$2:$I$20000,"Lenguaje Musical"),""))</f>
        <v/>
      </c>
      <c r="O830" t="str">
        <f>IF(M830="","",IFERROR(AVERAGEIFS(DATOS!$K$2:$K$20000,DATOS!$A$2:$A$20000,M830,DATOS!$G$2:$G$20000,CONFIG_METADATA!$B$4,DATOS!$I$2:$I$20000,"Coro"),""))</f>
        <v/>
      </c>
      <c r="P830" t="str">
        <f>IF(M830="","",IFERROR(AVERAGEIFS(DATOS!$K$2:$K$20000,DATOS!$A$2:$A$20000,M830,DATOS!$G$2:$G$20000,CONFIG_METADATA!$B$4,DATOS!$I$2:$I$20000,"Conjunto"),""))</f>
        <v/>
      </c>
      <c r="Q830" t="str">
        <f>IF(M830="","",IFERROR(AVERAGEIFS(DATOS!$K$2:$K$20000,DATOS!$A$2:$A$20000,M830,DATOS!$G$2:$G$20000,CONFIG_METADATA!$B$4,DATOS!$I$2:$I$20000,"&lt;&gt;Lenguaje Musical",DATOS!$I$2:$I$20000,"&lt;&gt;Coro",DATOS!$I$2:$I$20000,"&lt;&gt;Conjunto"),""))</f>
        <v/>
      </c>
      <c r="T830" t="str">
        <f>IF(S830="","",IFERROR(AVERAGEIFS(DATOS!$K$2:$K$20000,DATOS!$A$2:$A$20000,S830,DATOS!$G$2:$G$20000,CONFIG_METADATA!$B$4,DATOS!$I$2:$I$20000,"Lenguaje Musical"),""))</f>
        <v/>
      </c>
      <c r="U830" t="str">
        <f>IF(S830="","",IFERROR(AVERAGEIFS(DATOS!$K$2:$K$20000,DATOS!$A$2:$A$20000,S830,DATOS!$G$2:$G$20000,CONFIG_METADATA!$B$4,DATOS!$I$2:$I$20000,"Coro"),""))</f>
        <v/>
      </c>
      <c r="V830" t="str">
        <f>IF(S830="","",IFERROR(AVERAGEIFS(DATOS!$K$2:$K$20000,DATOS!$A$2:$A$20000,S830,DATOS!$G$2:$G$20000,CONFIG_METADATA!$B$4,DATOS!$I$2:$I$20000,"Conjunto"),""))</f>
        <v/>
      </c>
      <c r="W830" t="str">
        <f>IF(S830="","",IFERROR(AVERAGEIFS(DATOS!$K$2:$K$20000,DATOS!$A$2:$A$20000,S830,DATOS!$G$2:$G$20000,CONFIG_METADATA!$B$4,DATOS!$I$2:$I$20000,"&lt;&gt;Lenguaje Musical",DATOS!$I$2:$I$20000,"&lt;&gt;Coro",DATOS!$I$2:$I$20000,"&lt;&gt;Conjunto"),""))</f>
        <v/>
      </c>
    </row>
    <row r="831" spans="2:23" x14ac:dyDescent="0.2">
      <c r="B831" t="str">
        <f>IF(A831="","",IFERROR(AVERAGEIFS(DATOS!$K$2:$K$20000,DATOS!$A$2:$A$20000,A831,DATOS!$G$2:$G$20000,CONFIG_METADATA!$B$4,DATOS!$I$2:$I$20000,"Lenguaje Musical"),""))</f>
        <v/>
      </c>
      <c r="C831" t="str">
        <f>IF(A831="","",IFERROR(AVERAGEIFS(DATOS!$K$2:$K$20000,DATOS!$A$2:$A$20000,A831,DATOS!$G$2:$G$20000,CONFIG_METADATA!$B$4,DATOS!$I$2:$I$20000,"Coro"),""))</f>
        <v/>
      </c>
      <c r="D831" t="str">
        <f>IF(A831="","",IFERROR(AVERAGEIFS(DATOS!$K$2:$K$20000,DATOS!$A$2:$A$20000,A831,DATOS!$G$2:$G$20000,CONFIG_METADATA!$B$4,DATOS!$I$2:$I$20000,"Conjunto"),""))</f>
        <v/>
      </c>
      <c r="E831" t="str">
        <f>IF(A831="","",IFERROR(AVERAGEIFS(DATOS!$K$2:$K$20000,DATOS!$A$2:$A$20000,A831,DATOS!$G$2:$G$20000,CONFIG_METADATA!$B$4,DATOS!$I$2:$I$20000,"&lt;&gt;Lenguaje Musical",DATOS!$I$2:$I$20000,"&lt;&gt;Coro",DATOS!$I$2:$I$20000,"&lt;&gt;Conjunto"),""))</f>
        <v/>
      </c>
      <c r="N831" t="str">
        <f>IF(M831="","",IFERROR(AVERAGEIFS(DATOS!$K$2:$K$20000,DATOS!$A$2:$A$20000,M831,DATOS!$G$2:$G$20000,CONFIG_METADATA!$B$4,DATOS!$I$2:$I$20000,"Lenguaje Musical"),""))</f>
        <v/>
      </c>
      <c r="O831" t="str">
        <f>IF(M831="","",IFERROR(AVERAGEIFS(DATOS!$K$2:$K$20000,DATOS!$A$2:$A$20000,M831,DATOS!$G$2:$G$20000,CONFIG_METADATA!$B$4,DATOS!$I$2:$I$20000,"Coro"),""))</f>
        <v/>
      </c>
      <c r="P831" t="str">
        <f>IF(M831="","",IFERROR(AVERAGEIFS(DATOS!$K$2:$K$20000,DATOS!$A$2:$A$20000,M831,DATOS!$G$2:$G$20000,CONFIG_METADATA!$B$4,DATOS!$I$2:$I$20000,"Conjunto"),""))</f>
        <v/>
      </c>
      <c r="Q831" t="str">
        <f>IF(M831="","",IFERROR(AVERAGEIFS(DATOS!$K$2:$K$20000,DATOS!$A$2:$A$20000,M831,DATOS!$G$2:$G$20000,CONFIG_METADATA!$B$4,DATOS!$I$2:$I$20000,"&lt;&gt;Lenguaje Musical",DATOS!$I$2:$I$20000,"&lt;&gt;Coro",DATOS!$I$2:$I$20000,"&lt;&gt;Conjunto"),""))</f>
        <v/>
      </c>
      <c r="T831" t="str">
        <f>IF(S831="","",IFERROR(AVERAGEIFS(DATOS!$K$2:$K$20000,DATOS!$A$2:$A$20000,S831,DATOS!$G$2:$G$20000,CONFIG_METADATA!$B$4,DATOS!$I$2:$I$20000,"Lenguaje Musical"),""))</f>
        <v/>
      </c>
      <c r="U831" t="str">
        <f>IF(S831="","",IFERROR(AVERAGEIFS(DATOS!$K$2:$K$20000,DATOS!$A$2:$A$20000,S831,DATOS!$G$2:$G$20000,CONFIG_METADATA!$B$4,DATOS!$I$2:$I$20000,"Coro"),""))</f>
        <v/>
      </c>
      <c r="V831" t="str">
        <f>IF(S831="","",IFERROR(AVERAGEIFS(DATOS!$K$2:$K$20000,DATOS!$A$2:$A$20000,S831,DATOS!$G$2:$G$20000,CONFIG_METADATA!$B$4,DATOS!$I$2:$I$20000,"Conjunto"),""))</f>
        <v/>
      </c>
      <c r="W831" t="str">
        <f>IF(S831="","",IFERROR(AVERAGEIFS(DATOS!$K$2:$K$20000,DATOS!$A$2:$A$20000,S831,DATOS!$G$2:$G$20000,CONFIG_METADATA!$B$4,DATOS!$I$2:$I$20000,"&lt;&gt;Lenguaje Musical",DATOS!$I$2:$I$20000,"&lt;&gt;Coro",DATOS!$I$2:$I$20000,"&lt;&gt;Conjunto"),""))</f>
        <v/>
      </c>
    </row>
    <row r="832" spans="2:23" x14ac:dyDescent="0.2">
      <c r="B832" t="str">
        <f>IF(A832="","",IFERROR(AVERAGEIFS(DATOS!$K$2:$K$20000,DATOS!$A$2:$A$20000,A832,DATOS!$G$2:$G$20000,CONFIG_METADATA!$B$4,DATOS!$I$2:$I$20000,"Lenguaje Musical"),""))</f>
        <v/>
      </c>
      <c r="C832" t="str">
        <f>IF(A832="","",IFERROR(AVERAGEIFS(DATOS!$K$2:$K$20000,DATOS!$A$2:$A$20000,A832,DATOS!$G$2:$G$20000,CONFIG_METADATA!$B$4,DATOS!$I$2:$I$20000,"Coro"),""))</f>
        <v/>
      </c>
      <c r="D832" t="str">
        <f>IF(A832="","",IFERROR(AVERAGEIFS(DATOS!$K$2:$K$20000,DATOS!$A$2:$A$20000,A832,DATOS!$G$2:$G$20000,CONFIG_METADATA!$B$4,DATOS!$I$2:$I$20000,"Conjunto"),""))</f>
        <v/>
      </c>
      <c r="E832" t="str">
        <f>IF(A832="","",IFERROR(AVERAGEIFS(DATOS!$K$2:$K$20000,DATOS!$A$2:$A$20000,A832,DATOS!$G$2:$G$20000,CONFIG_METADATA!$B$4,DATOS!$I$2:$I$20000,"&lt;&gt;Lenguaje Musical",DATOS!$I$2:$I$20000,"&lt;&gt;Coro",DATOS!$I$2:$I$20000,"&lt;&gt;Conjunto"),""))</f>
        <v/>
      </c>
      <c r="N832" t="str">
        <f>IF(M832="","",IFERROR(AVERAGEIFS(DATOS!$K$2:$K$20000,DATOS!$A$2:$A$20000,M832,DATOS!$G$2:$G$20000,CONFIG_METADATA!$B$4,DATOS!$I$2:$I$20000,"Lenguaje Musical"),""))</f>
        <v/>
      </c>
      <c r="O832" t="str">
        <f>IF(M832="","",IFERROR(AVERAGEIFS(DATOS!$K$2:$K$20000,DATOS!$A$2:$A$20000,M832,DATOS!$G$2:$G$20000,CONFIG_METADATA!$B$4,DATOS!$I$2:$I$20000,"Coro"),""))</f>
        <v/>
      </c>
      <c r="P832" t="str">
        <f>IF(M832="","",IFERROR(AVERAGEIFS(DATOS!$K$2:$K$20000,DATOS!$A$2:$A$20000,M832,DATOS!$G$2:$G$20000,CONFIG_METADATA!$B$4,DATOS!$I$2:$I$20000,"Conjunto"),""))</f>
        <v/>
      </c>
      <c r="Q832" t="str">
        <f>IF(M832="","",IFERROR(AVERAGEIFS(DATOS!$K$2:$K$20000,DATOS!$A$2:$A$20000,M832,DATOS!$G$2:$G$20000,CONFIG_METADATA!$B$4,DATOS!$I$2:$I$20000,"&lt;&gt;Lenguaje Musical",DATOS!$I$2:$I$20000,"&lt;&gt;Coro",DATOS!$I$2:$I$20000,"&lt;&gt;Conjunto"),""))</f>
        <v/>
      </c>
      <c r="T832" t="str">
        <f>IF(S832="","",IFERROR(AVERAGEIFS(DATOS!$K$2:$K$20000,DATOS!$A$2:$A$20000,S832,DATOS!$G$2:$G$20000,CONFIG_METADATA!$B$4,DATOS!$I$2:$I$20000,"Lenguaje Musical"),""))</f>
        <v/>
      </c>
      <c r="U832" t="str">
        <f>IF(S832="","",IFERROR(AVERAGEIFS(DATOS!$K$2:$K$20000,DATOS!$A$2:$A$20000,S832,DATOS!$G$2:$G$20000,CONFIG_METADATA!$B$4,DATOS!$I$2:$I$20000,"Coro"),""))</f>
        <v/>
      </c>
      <c r="V832" t="str">
        <f>IF(S832="","",IFERROR(AVERAGEIFS(DATOS!$K$2:$K$20000,DATOS!$A$2:$A$20000,S832,DATOS!$G$2:$G$20000,CONFIG_METADATA!$B$4,DATOS!$I$2:$I$20000,"Conjunto"),""))</f>
        <v/>
      </c>
      <c r="W832" t="str">
        <f>IF(S832="","",IFERROR(AVERAGEIFS(DATOS!$K$2:$K$20000,DATOS!$A$2:$A$20000,S832,DATOS!$G$2:$G$20000,CONFIG_METADATA!$B$4,DATOS!$I$2:$I$20000,"&lt;&gt;Lenguaje Musical",DATOS!$I$2:$I$20000,"&lt;&gt;Coro",DATOS!$I$2:$I$20000,"&lt;&gt;Conjunto"),""))</f>
        <v/>
      </c>
    </row>
    <row r="833" spans="2:23" x14ac:dyDescent="0.2">
      <c r="B833" t="str">
        <f>IF(A833="","",IFERROR(AVERAGEIFS(DATOS!$K$2:$K$20000,DATOS!$A$2:$A$20000,A833,DATOS!$G$2:$G$20000,CONFIG_METADATA!$B$4,DATOS!$I$2:$I$20000,"Lenguaje Musical"),""))</f>
        <v/>
      </c>
      <c r="C833" t="str">
        <f>IF(A833="","",IFERROR(AVERAGEIFS(DATOS!$K$2:$K$20000,DATOS!$A$2:$A$20000,A833,DATOS!$G$2:$G$20000,CONFIG_METADATA!$B$4,DATOS!$I$2:$I$20000,"Coro"),""))</f>
        <v/>
      </c>
      <c r="D833" t="str">
        <f>IF(A833="","",IFERROR(AVERAGEIFS(DATOS!$K$2:$K$20000,DATOS!$A$2:$A$20000,A833,DATOS!$G$2:$G$20000,CONFIG_METADATA!$B$4,DATOS!$I$2:$I$20000,"Conjunto"),""))</f>
        <v/>
      </c>
      <c r="E833" t="str">
        <f>IF(A833="","",IFERROR(AVERAGEIFS(DATOS!$K$2:$K$20000,DATOS!$A$2:$A$20000,A833,DATOS!$G$2:$G$20000,CONFIG_METADATA!$B$4,DATOS!$I$2:$I$20000,"&lt;&gt;Lenguaje Musical",DATOS!$I$2:$I$20000,"&lt;&gt;Coro",DATOS!$I$2:$I$20000,"&lt;&gt;Conjunto"),""))</f>
        <v/>
      </c>
      <c r="N833" t="str">
        <f>IF(M833="","",IFERROR(AVERAGEIFS(DATOS!$K$2:$K$20000,DATOS!$A$2:$A$20000,M833,DATOS!$G$2:$G$20000,CONFIG_METADATA!$B$4,DATOS!$I$2:$I$20000,"Lenguaje Musical"),""))</f>
        <v/>
      </c>
      <c r="O833" t="str">
        <f>IF(M833="","",IFERROR(AVERAGEIFS(DATOS!$K$2:$K$20000,DATOS!$A$2:$A$20000,M833,DATOS!$G$2:$G$20000,CONFIG_METADATA!$B$4,DATOS!$I$2:$I$20000,"Coro"),""))</f>
        <v/>
      </c>
      <c r="P833" t="str">
        <f>IF(M833="","",IFERROR(AVERAGEIFS(DATOS!$K$2:$K$20000,DATOS!$A$2:$A$20000,M833,DATOS!$G$2:$G$20000,CONFIG_METADATA!$B$4,DATOS!$I$2:$I$20000,"Conjunto"),""))</f>
        <v/>
      </c>
      <c r="Q833" t="str">
        <f>IF(M833="","",IFERROR(AVERAGEIFS(DATOS!$K$2:$K$20000,DATOS!$A$2:$A$20000,M833,DATOS!$G$2:$G$20000,CONFIG_METADATA!$B$4,DATOS!$I$2:$I$20000,"&lt;&gt;Lenguaje Musical",DATOS!$I$2:$I$20000,"&lt;&gt;Coro",DATOS!$I$2:$I$20000,"&lt;&gt;Conjunto"),""))</f>
        <v/>
      </c>
      <c r="T833" t="str">
        <f>IF(S833="","",IFERROR(AVERAGEIFS(DATOS!$K$2:$K$20000,DATOS!$A$2:$A$20000,S833,DATOS!$G$2:$G$20000,CONFIG_METADATA!$B$4,DATOS!$I$2:$I$20000,"Lenguaje Musical"),""))</f>
        <v/>
      </c>
      <c r="U833" t="str">
        <f>IF(S833="","",IFERROR(AVERAGEIFS(DATOS!$K$2:$K$20000,DATOS!$A$2:$A$20000,S833,DATOS!$G$2:$G$20000,CONFIG_METADATA!$B$4,DATOS!$I$2:$I$20000,"Coro"),""))</f>
        <v/>
      </c>
      <c r="V833" t="str">
        <f>IF(S833="","",IFERROR(AVERAGEIFS(DATOS!$K$2:$K$20000,DATOS!$A$2:$A$20000,S833,DATOS!$G$2:$G$20000,CONFIG_METADATA!$B$4,DATOS!$I$2:$I$20000,"Conjunto"),""))</f>
        <v/>
      </c>
      <c r="W833" t="str">
        <f>IF(S833="","",IFERROR(AVERAGEIFS(DATOS!$K$2:$K$20000,DATOS!$A$2:$A$20000,S833,DATOS!$G$2:$G$20000,CONFIG_METADATA!$B$4,DATOS!$I$2:$I$20000,"&lt;&gt;Lenguaje Musical",DATOS!$I$2:$I$20000,"&lt;&gt;Coro",DATOS!$I$2:$I$20000,"&lt;&gt;Conjunto"),""))</f>
        <v/>
      </c>
    </row>
    <row r="834" spans="2:23" x14ac:dyDescent="0.2">
      <c r="B834" t="str">
        <f>IF(A834="","",IFERROR(AVERAGEIFS(DATOS!$K$2:$K$20000,DATOS!$A$2:$A$20000,A834,DATOS!$G$2:$G$20000,CONFIG_METADATA!$B$4,DATOS!$I$2:$I$20000,"Lenguaje Musical"),""))</f>
        <v/>
      </c>
      <c r="C834" t="str">
        <f>IF(A834="","",IFERROR(AVERAGEIFS(DATOS!$K$2:$K$20000,DATOS!$A$2:$A$20000,A834,DATOS!$G$2:$G$20000,CONFIG_METADATA!$B$4,DATOS!$I$2:$I$20000,"Coro"),""))</f>
        <v/>
      </c>
      <c r="D834" t="str">
        <f>IF(A834="","",IFERROR(AVERAGEIFS(DATOS!$K$2:$K$20000,DATOS!$A$2:$A$20000,A834,DATOS!$G$2:$G$20000,CONFIG_METADATA!$B$4,DATOS!$I$2:$I$20000,"Conjunto"),""))</f>
        <v/>
      </c>
      <c r="E834" t="str">
        <f>IF(A834="","",IFERROR(AVERAGEIFS(DATOS!$K$2:$K$20000,DATOS!$A$2:$A$20000,A834,DATOS!$G$2:$G$20000,CONFIG_METADATA!$B$4,DATOS!$I$2:$I$20000,"&lt;&gt;Lenguaje Musical",DATOS!$I$2:$I$20000,"&lt;&gt;Coro",DATOS!$I$2:$I$20000,"&lt;&gt;Conjunto"),""))</f>
        <v/>
      </c>
      <c r="N834" t="str">
        <f>IF(M834="","",IFERROR(AVERAGEIFS(DATOS!$K$2:$K$20000,DATOS!$A$2:$A$20000,M834,DATOS!$G$2:$G$20000,CONFIG_METADATA!$B$4,DATOS!$I$2:$I$20000,"Lenguaje Musical"),""))</f>
        <v/>
      </c>
      <c r="O834" t="str">
        <f>IF(M834="","",IFERROR(AVERAGEIFS(DATOS!$K$2:$K$20000,DATOS!$A$2:$A$20000,M834,DATOS!$G$2:$G$20000,CONFIG_METADATA!$B$4,DATOS!$I$2:$I$20000,"Coro"),""))</f>
        <v/>
      </c>
      <c r="P834" t="str">
        <f>IF(M834="","",IFERROR(AVERAGEIFS(DATOS!$K$2:$K$20000,DATOS!$A$2:$A$20000,M834,DATOS!$G$2:$G$20000,CONFIG_METADATA!$B$4,DATOS!$I$2:$I$20000,"Conjunto"),""))</f>
        <v/>
      </c>
      <c r="Q834" t="str">
        <f>IF(M834="","",IFERROR(AVERAGEIFS(DATOS!$K$2:$K$20000,DATOS!$A$2:$A$20000,M834,DATOS!$G$2:$G$20000,CONFIG_METADATA!$B$4,DATOS!$I$2:$I$20000,"&lt;&gt;Lenguaje Musical",DATOS!$I$2:$I$20000,"&lt;&gt;Coro",DATOS!$I$2:$I$20000,"&lt;&gt;Conjunto"),""))</f>
        <v/>
      </c>
      <c r="T834" t="str">
        <f>IF(S834="","",IFERROR(AVERAGEIFS(DATOS!$K$2:$K$20000,DATOS!$A$2:$A$20000,S834,DATOS!$G$2:$G$20000,CONFIG_METADATA!$B$4,DATOS!$I$2:$I$20000,"Lenguaje Musical"),""))</f>
        <v/>
      </c>
      <c r="U834" t="str">
        <f>IF(S834="","",IFERROR(AVERAGEIFS(DATOS!$K$2:$K$20000,DATOS!$A$2:$A$20000,S834,DATOS!$G$2:$G$20000,CONFIG_METADATA!$B$4,DATOS!$I$2:$I$20000,"Coro"),""))</f>
        <v/>
      </c>
      <c r="V834" t="str">
        <f>IF(S834="","",IFERROR(AVERAGEIFS(DATOS!$K$2:$K$20000,DATOS!$A$2:$A$20000,S834,DATOS!$G$2:$G$20000,CONFIG_METADATA!$B$4,DATOS!$I$2:$I$20000,"Conjunto"),""))</f>
        <v/>
      </c>
      <c r="W834" t="str">
        <f>IF(S834="","",IFERROR(AVERAGEIFS(DATOS!$K$2:$K$20000,DATOS!$A$2:$A$20000,S834,DATOS!$G$2:$G$20000,CONFIG_METADATA!$B$4,DATOS!$I$2:$I$20000,"&lt;&gt;Lenguaje Musical",DATOS!$I$2:$I$20000,"&lt;&gt;Coro",DATOS!$I$2:$I$20000,"&lt;&gt;Conjunto"),""))</f>
        <v/>
      </c>
    </row>
    <row r="835" spans="2:23" x14ac:dyDescent="0.2">
      <c r="B835" t="str">
        <f>IF(A835="","",IFERROR(AVERAGEIFS(DATOS!$K$2:$K$20000,DATOS!$A$2:$A$20000,A835,DATOS!$G$2:$G$20000,CONFIG_METADATA!$B$4,DATOS!$I$2:$I$20000,"Lenguaje Musical"),""))</f>
        <v/>
      </c>
      <c r="C835" t="str">
        <f>IF(A835="","",IFERROR(AVERAGEIFS(DATOS!$K$2:$K$20000,DATOS!$A$2:$A$20000,A835,DATOS!$G$2:$G$20000,CONFIG_METADATA!$B$4,DATOS!$I$2:$I$20000,"Coro"),""))</f>
        <v/>
      </c>
      <c r="D835" t="str">
        <f>IF(A835="","",IFERROR(AVERAGEIFS(DATOS!$K$2:$K$20000,DATOS!$A$2:$A$20000,A835,DATOS!$G$2:$G$20000,CONFIG_METADATA!$B$4,DATOS!$I$2:$I$20000,"Conjunto"),""))</f>
        <v/>
      </c>
      <c r="E835" t="str">
        <f>IF(A835="","",IFERROR(AVERAGEIFS(DATOS!$K$2:$K$20000,DATOS!$A$2:$A$20000,A835,DATOS!$G$2:$G$20000,CONFIG_METADATA!$B$4,DATOS!$I$2:$I$20000,"&lt;&gt;Lenguaje Musical",DATOS!$I$2:$I$20000,"&lt;&gt;Coro",DATOS!$I$2:$I$20000,"&lt;&gt;Conjunto"),""))</f>
        <v/>
      </c>
      <c r="N835" t="str">
        <f>IF(M835="","",IFERROR(AVERAGEIFS(DATOS!$K$2:$K$20000,DATOS!$A$2:$A$20000,M835,DATOS!$G$2:$G$20000,CONFIG_METADATA!$B$4,DATOS!$I$2:$I$20000,"Lenguaje Musical"),""))</f>
        <v/>
      </c>
      <c r="O835" t="str">
        <f>IF(M835="","",IFERROR(AVERAGEIFS(DATOS!$K$2:$K$20000,DATOS!$A$2:$A$20000,M835,DATOS!$G$2:$G$20000,CONFIG_METADATA!$B$4,DATOS!$I$2:$I$20000,"Coro"),""))</f>
        <v/>
      </c>
      <c r="P835" t="str">
        <f>IF(M835="","",IFERROR(AVERAGEIFS(DATOS!$K$2:$K$20000,DATOS!$A$2:$A$20000,M835,DATOS!$G$2:$G$20000,CONFIG_METADATA!$B$4,DATOS!$I$2:$I$20000,"Conjunto"),""))</f>
        <v/>
      </c>
      <c r="Q835" t="str">
        <f>IF(M835="","",IFERROR(AVERAGEIFS(DATOS!$K$2:$K$20000,DATOS!$A$2:$A$20000,M835,DATOS!$G$2:$G$20000,CONFIG_METADATA!$B$4,DATOS!$I$2:$I$20000,"&lt;&gt;Lenguaje Musical",DATOS!$I$2:$I$20000,"&lt;&gt;Coro",DATOS!$I$2:$I$20000,"&lt;&gt;Conjunto"),""))</f>
        <v/>
      </c>
      <c r="T835" t="str">
        <f>IF(S835="","",IFERROR(AVERAGEIFS(DATOS!$K$2:$K$20000,DATOS!$A$2:$A$20000,S835,DATOS!$G$2:$G$20000,CONFIG_METADATA!$B$4,DATOS!$I$2:$I$20000,"Lenguaje Musical"),""))</f>
        <v/>
      </c>
      <c r="U835" t="str">
        <f>IF(S835="","",IFERROR(AVERAGEIFS(DATOS!$K$2:$K$20000,DATOS!$A$2:$A$20000,S835,DATOS!$G$2:$G$20000,CONFIG_METADATA!$B$4,DATOS!$I$2:$I$20000,"Coro"),""))</f>
        <v/>
      </c>
      <c r="V835" t="str">
        <f>IF(S835="","",IFERROR(AVERAGEIFS(DATOS!$K$2:$K$20000,DATOS!$A$2:$A$20000,S835,DATOS!$G$2:$G$20000,CONFIG_METADATA!$B$4,DATOS!$I$2:$I$20000,"Conjunto"),""))</f>
        <v/>
      </c>
      <c r="W835" t="str">
        <f>IF(S835="","",IFERROR(AVERAGEIFS(DATOS!$K$2:$K$20000,DATOS!$A$2:$A$20000,S835,DATOS!$G$2:$G$20000,CONFIG_METADATA!$B$4,DATOS!$I$2:$I$20000,"&lt;&gt;Lenguaje Musical",DATOS!$I$2:$I$20000,"&lt;&gt;Coro",DATOS!$I$2:$I$20000,"&lt;&gt;Conjunto"),""))</f>
        <v/>
      </c>
    </row>
    <row r="836" spans="2:23" x14ac:dyDescent="0.2">
      <c r="B836" t="str">
        <f>IF(A836="","",IFERROR(AVERAGEIFS(DATOS!$K$2:$K$20000,DATOS!$A$2:$A$20000,A836,DATOS!$G$2:$G$20000,CONFIG_METADATA!$B$4,DATOS!$I$2:$I$20000,"Lenguaje Musical"),""))</f>
        <v/>
      </c>
      <c r="C836" t="str">
        <f>IF(A836="","",IFERROR(AVERAGEIFS(DATOS!$K$2:$K$20000,DATOS!$A$2:$A$20000,A836,DATOS!$G$2:$G$20000,CONFIG_METADATA!$B$4,DATOS!$I$2:$I$20000,"Coro"),""))</f>
        <v/>
      </c>
      <c r="D836" t="str">
        <f>IF(A836="","",IFERROR(AVERAGEIFS(DATOS!$K$2:$K$20000,DATOS!$A$2:$A$20000,A836,DATOS!$G$2:$G$20000,CONFIG_METADATA!$B$4,DATOS!$I$2:$I$20000,"Conjunto"),""))</f>
        <v/>
      </c>
      <c r="E836" t="str">
        <f>IF(A836="","",IFERROR(AVERAGEIFS(DATOS!$K$2:$K$20000,DATOS!$A$2:$A$20000,A836,DATOS!$G$2:$G$20000,CONFIG_METADATA!$B$4,DATOS!$I$2:$I$20000,"&lt;&gt;Lenguaje Musical",DATOS!$I$2:$I$20000,"&lt;&gt;Coro",DATOS!$I$2:$I$20000,"&lt;&gt;Conjunto"),""))</f>
        <v/>
      </c>
      <c r="N836" t="str">
        <f>IF(M836="","",IFERROR(AVERAGEIFS(DATOS!$K$2:$K$20000,DATOS!$A$2:$A$20000,M836,DATOS!$G$2:$G$20000,CONFIG_METADATA!$B$4,DATOS!$I$2:$I$20000,"Lenguaje Musical"),""))</f>
        <v/>
      </c>
      <c r="O836" t="str">
        <f>IF(M836="","",IFERROR(AVERAGEIFS(DATOS!$K$2:$K$20000,DATOS!$A$2:$A$20000,M836,DATOS!$G$2:$G$20000,CONFIG_METADATA!$B$4,DATOS!$I$2:$I$20000,"Coro"),""))</f>
        <v/>
      </c>
      <c r="P836" t="str">
        <f>IF(M836="","",IFERROR(AVERAGEIFS(DATOS!$K$2:$K$20000,DATOS!$A$2:$A$20000,M836,DATOS!$G$2:$G$20000,CONFIG_METADATA!$B$4,DATOS!$I$2:$I$20000,"Conjunto"),""))</f>
        <v/>
      </c>
      <c r="Q836" t="str">
        <f>IF(M836="","",IFERROR(AVERAGEIFS(DATOS!$K$2:$K$20000,DATOS!$A$2:$A$20000,M836,DATOS!$G$2:$G$20000,CONFIG_METADATA!$B$4,DATOS!$I$2:$I$20000,"&lt;&gt;Lenguaje Musical",DATOS!$I$2:$I$20000,"&lt;&gt;Coro",DATOS!$I$2:$I$20000,"&lt;&gt;Conjunto"),""))</f>
        <v/>
      </c>
      <c r="T836" t="str">
        <f>IF(S836="","",IFERROR(AVERAGEIFS(DATOS!$K$2:$K$20000,DATOS!$A$2:$A$20000,S836,DATOS!$G$2:$G$20000,CONFIG_METADATA!$B$4,DATOS!$I$2:$I$20000,"Lenguaje Musical"),""))</f>
        <v/>
      </c>
      <c r="U836" t="str">
        <f>IF(S836="","",IFERROR(AVERAGEIFS(DATOS!$K$2:$K$20000,DATOS!$A$2:$A$20000,S836,DATOS!$G$2:$G$20000,CONFIG_METADATA!$B$4,DATOS!$I$2:$I$20000,"Coro"),""))</f>
        <v/>
      </c>
      <c r="V836" t="str">
        <f>IF(S836="","",IFERROR(AVERAGEIFS(DATOS!$K$2:$K$20000,DATOS!$A$2:$A$20000,S836,DATOS!$G$2:$G$20000,CONFIG_METADATA!$B$4,DATOS!$I$2:$I$20000,"Conjunto"),""))</f>
        <v/>
      </c>
      <c r="W836" t="str">
        <f>IF(S836="","",IFERROR(AVERAGEIFS(DATOS!$K$2:$K$20000,DATOS!$A$2:$A$20000,S836,DATOS!$G$2:$G$20000,CONFIG_METADATA!$B$4,DATOS!$I$2:$I$20000,"&lt;&gt;Lenguaje Musical",DATOS!$I$2:$I$20000,"&lt;&gt;Coro",DATOS!$I$2:$I$20000,"&lt;&gt;Conjunto"),""))</f>
        <v/>
      </c>
    </row>
    <row r="837" spans="2:23" x14ac:dyDescent="0.2">
      <c r="B837" t="str">
        <f>IF(A837="","",IFERROR(AVERAGEIFS(DATOS!$K$2:$K$20000,DATOS!$A$2:$A$20000,A837,DATOS!$G$2:$G$20000,CONFIG_METADATA!$B$4,DATOS!$I$2:$I$20000,"Lenguaje Musical"),""))</f>
        <v/>
      </c>
      <c r="C837" t="str">
        <f>IF(A837="","",IFERROR(AVERAGEIFS(DATOS!$K$2:$K$20000,DATOS!$A$2:$A$20000,A837,DATOS!$G$2:$G$20000,CONFIG_METADATA!$B$4,DATOS!$I$2:$I$20000,"Coro"),""))</f>
        <v/>
      </c>
      <c r="D837" t="str">
        <f>IF(A837="","",IFERROR(AVERAGEIFS(DATOS!$K$2:$K$20000,DATOS!$A$2:$A$20000,A837,DATOS!$G$2:$G$20000,CONFIG_METADATA!$B$4,DATOS!$I$2:$I$20000,"Conjunto"),""))</f>
        <v/>
      </c>
      <c r="E837" t="str">
        <f>IF(A837="","",IFERROR(AVERAGEIFS(DATOS!$K$2:$K$20000,DATOS!$A$2:$A$20000,A837,DATOS!$G$2:$G$20000,CONFIG_METADATA!$B$4,DATOS!$I$2:$I$20000,"&lt;&gt;Lenguaje Musical",DATOS!$I$2:$I$20000,"&lt;&gt;Coro",DATOS!$I$2:$I$20000,"&lt;&gt;Conjunto"),""))</f>
        <v/>
      </c>
      <c r="N837" t="str">
        <f>IF(M837="","",IFERROR(AVERAGEIFS(DATOS!$K$2:$K$20000,DATOS!$A$2:$A$20000,M837,DATOS!$G$2:$G$20000,CONFIG_METADATA!$B$4,DATOS!$I$2:$I$20000,"Lenguaje Musical"),""))</f>
        <v/>
      </c>
      <c r="O837" t="str">
        <f>IF(M837="","",IFERROR(AVERAGEIFS(DATOS!$K$2:$K$20000,DATOS!$A$2:$A$20000,M837,DATOS!$G$2:$G$20000,CONFIG_METADATA!$B$4,DATOS!$I$2:$I$20000,"Coro"),""))</f>
        <v/>
      </c>
      <c r="P837" t="str">
        <f>IF(M837="","",IFERROR(AVERAGEIFS(DATOS!$K$2:$K$20000,DATOS!$A$2:$A$20000,M837,DATOS!$G$2:$G$20000,CONFIG_METADATA!$B$4,DATOS!$I$2:$I$20000,"Conjunto"),""))</f>
        <v/>
      </c>
      <c r="Q837" t="str">
        <f>IF(M837="","",IFERROR(AVERAGEIFS(DATOS!$K$2:$K$20000,DATOS!$A$2:$A$20000,M837,DATOS!$G$2:$G$20000,CONFIG_METADATA!$B$4,DATOS!$I$2:$I$20000,"&lt;&gt;Lenguaje Musical",DATOS!$I$2:$I$20000,"&lt;&gt;Coro",DATOS!$I$2:$I$20000,"&lt;&gt;Conjunto"),""))</f>
        <v/>
      </c>
      <c r="T837" t="str">
        <f>IF(S837="","",IFERROR(AVERAGEIFS(DATOS!$K$2:$K$20000,DATOS!$A$2:$A$20000,S837,DATOS!$G$2:$G$20000,CONFIG_METADATA!$B$4,DATOS!$I$2:$I$20000,"Lenguaje Musical"),""))</f>
        <v/>
      </c>
      <c r="U837" t="str">
        <f>IF(S837="","",IFERROR(AVERAGEIFS(DATOS!$K$2:$K$20000,DATOS!$A$2:$A$20000,S837,DATOS!$G$2:$G$20000,CONFIG_METADATA!$B$4,DATOS!$I$2:$I$20000,"Coro"),""))</f>
        <v/>
      </c>
      <c r="V837" t="str">
        <f>IF(S837="","",IFERROR(AVERAGEIFS(DATOS!$K$2:$K$20000,DATOS!$A$2:$A$20000,S837,DATOS!$G$2:$G$20000,CONFIG_METADATA!$B$4,DATOS!$I$2:$I$20000,"Conjunto"),""))</f>
        <v/>
      </c>
      <c r="W837" t="str">
        <f>IF(S837="","",IFERROR(AVERAGEIFS(DATOS!$K$2:$K$20000,DATOS!$A$2:$A$20000,S837,DATOS!$G$2:$G$20000,CONFIG_METADATA!$B$4,DATOS!$I$2:$I$20000,"&lt;&gt;Lenguaje Musical",DATOS!$I$2:$I$20000,"&lt;&gt;Coro",DATOS!$I$2:$I$20000,"&lt;&gt;Conjunto"),""))</f>
        <v/>
      </c>
    </row>
    <row r="838" spans="2:23" x14ac:dyDescent="0.2">
      <c r="B838" t="str">
        <f>IF(A838="","",IFERROR(AVERAGEIFS(DATOS!$K$2:$K$20000,DATOS!$A$2:$A$20000,A838,DATOS!$G$2:$G$20000,CONFIG_METADATA!$B$4,DATOS!$I$2:$I$20000,"Lenguaje Musical"),""))</f>
        <v/>
      </c>
      <c r="C838" t="str">
        <f>IF(A838="","",IFERROR(AVERAGEIFS(DATOS!$K$2:$K$20000,DATOS!$A$2:$A$20000,A838,DATOS!$G$2:$G$20000,CONFIG_METADATA!$B$4,DATOS!$I$2:$I$20000,"Coro"),""))</f>
        <v/>
      </c>
      <c r="D838" t="str">
        <f>IF(A838="","",IFERROR(AVERAGEIFS(DATOS!$K$2:$K$20000,DATOS!$A$2:$A$20000,A838,DATOS!$G$2:$G$20000,CONFIG_METADATA!$B$4,DATOS!$I$2:$I$20000,"Conjunto"),""))</f>
        <v/>
      </c>
      <c r="E838" t="str">
        <f>IF(A838="","",IFERROR(AVERAGEIFS(DATOS!$K$2:$K$20000,DATOS!$A$2:$A$20000,A838,DATOS!$G$2:$G$20000,CONFIG_METADATA!$B$4,DATOS!$I$2:$I$20000,"&lt;&gt;Lenguaje Musical",DATOS!$I$2:$I$20000,"&lt;&gt;Coro",DATOS!$I$2:$I$20000,"&lt;&gt;Conjunto"),""))</f>
        <v/>
      </c>
      <c r="N838" t="str">
        <f>IF(M838="","",IFERROR(AVERAGEIFS(DATOS!$K$2:$K$20000,DATOS!$A$2:$A$20000,M838,DATOS!$G$2:$G$20000,CONFIG_METADATA!$B$4,DATOS!$I$2:$I$20000,"Lenguaje Musical"),""))</f>
        <v/>
      </c>
      <c r="O838" t="str">
        <f>IF(M838="","",IFERROR(AVERAGEIFS(DATOS!$K$2:$K$20000,DATOS!$A$2:$A$20000,M838,DATOS!$G$2:$G$20000,CONFIG_METADATA!$B$4,DATOS!$I$2:$I$20000,"Coro"),""))</f>
        <v/>
      </c>
      <c r="P838" t="str">
        <f>IF(M838="","",IFERROR(AVERAGEIFS(DATOS!$K$2:$K$20000,DATOS!$A$2:$A$20000,M838,DATOS!$G$2:$G$20000,CONFIG_METADATA!$B$4,DATOS!$I$2:$I$20000,"Conjunto"),""))</f>
        <v/>
      </c>
      <c r="Q838" t="str">
        <f>IF(M838="","",IFERROR(AVERAGEIFS(DATOS!$K$2:$K$20000,DATOS!$A$2:$A$20000,M838,DATOS!$G$2:$G$20000,CONFIG_METADATA!$B$4,DATOS!$I$2:$I$20000,"&lt;&gt;Lenguaje Musical",DATOS!$I$2:$I$20000,"&lt;&gt;Coro",DATOS!$I$2:$I$20000,"&lt;&gt;Conjunto"),""))</f>
        <v/>
      </c>
      <c r="T838" t="str">
        <f>IF(S838="","",IFERROR(AVERAGEIFS(DATOS!$K$2:$K$20000,DATOS!$A$2:$A$20000,S838,DATOS!$G$2:$G$20000,CONFIG_METADATA!$B$4,DATOS!$I$2:$I$20000,"Lenguaje Musical"),""))</f>
        <v/>
      </c>
      <c r="U838" t="str">
        <f>IF(S838="","",IFERROR(AVERAGEIFS(DATOS!$K$2:$K$20000,DATOS!$A$2:$A$20000,S838,DATOS!$G$2:$G$20000,CONFIG_METADATA!$B$4,DATOS!$I$2:$I$20000,"Coro"),""))</f>
        <v/>
      </c>
      <c r="V838" t="str">
        <f>IF(S838="","",IFERROR(AVERAGEIFS(DATOS!$K$2:$K$20000,DATOS!$A$2:$A$20000,S838,DATOS!$G$2:$G$20000,CONFIG_METADATA!$B$4,DATOS!$I$2:$I$20000,"Conjunto"),""))</f>
        <v/>
      </c>
      <c r="W838" t="str">
        <f>IF(S838="","",IFERROR(AVERAGEIFS(DATOS!$K$2:$K$20000,DATOS!$A$2:$A$20000,S838,DATOS!$G$2:$G$20000,CONFIG_METADATA!$B$4,DATOS!$I$2:$I$20000,"&lt;&gt;Lenguaje Musical",DATOS!$I$2:$I$20000,"&lt;&gt;Coro",DATOS!$I$2:$I$20000,"&lt;&gt;Conjunto"),""))</f>
        <v/>
      </c>
    </row>
    <row r="839" spans="2:23" x14ac:dyDescent="0.2">
      <c r="B839" t="str">
        <f>IF(A839="","",IFERROR(AVERAGEIFS(DATOS!$K$2:$K$20000,DATOS!$A$2:$A$20000,A839,DATOS!$G$2:$G$20000,CONFIG_METADATA!$B$4,DATOS!$I$2:$I$20000,"Lenguaje Musical"),""))</f>
        <v/>
      </c>
      <c r="C839" t="str">
        <f>IF(A839="","",IFERROR(AVERAGEIFS(DATOS!$K$2:$K$20000,DATOS!$A$2:$A$20000,A839,DATOS!$G$2:$G$20000,CONFIG_METADATA!$B$4,DATOS!$I$2:$I$20000,"Coro"),""))</f>
        <v/>
      </c>
      <c r="D839" t="str">
        <f>IF(A839="","",IFERROR(AVERAGEIFS(DATOS!$K$2:$K$20000,DATOS!$A$2:$A$20000,A839,DATOS!$G$2:$G$20000,CONFIG_METADATA!$B$4,DATOS!$I$2:$I$20000,"Conjunto"),""))</f>
        <v/>
      </c>
      <c r="E839" t="str">
        <f>IF(A839="","",IFERROR(AVERAGEIFS(DATOS!$K$2:$K$20000,DATOS!$A$2:$A$20000,A839,DATOS!$G$2:$G$20000,CONFIG_METADATA!$B$4,DATOS!$I$2:$I$20000,"&lt;&gt;Lenguaje Musical",DATOS!$I$2:$I$20000,"&lt;&gt;Coro",DATOS!$I$2:$I$20000,"&lt;&gt;Conjunto"),""))</f>
        <v/>
      </c>
      <c r="N839" t="str">
        <f>IF(M839="","",IFERROR(AVERAGEIFS(DATOS!$K$2:$K$20000,DATOS!$A$2:$A$20000,M839,DATOS!$G$2:$G$20000,CONFIG_METADATA!$B$4,DATOS!$I$2:$I$20000,"Lenguaje Musical"),""))</f>
        <v/>
      </c>
      <c r="O839" t="str">
        <f>IF(M839="","",IFERROR(AVERAGEIFS(DATOS!$K$2:$K$20000,DATOS!$A$2:$A$20000,M839,DATOS!$G$2:$G$20000,CONFIG_METADATA!$B$4,DATOS!$I$2:$I$20000,"Coro"),""))</f>
        <v/>
      </c>
      <c r="P839" t="str">
        <f>IF(M839="","",IFERROR(AVERAGEIFS(DATOS!$K$2:$K$20000,DATOS!$A$2:$A$20000,M839,DATOS!$G$2:$G$20000,CONFIG_METADATA!$B$4,DATOS!$I$2:$I$20000,"Conjunto"),""))</f>
        <v/>
      </c>
      <c r="Q839" t="str">
        <f>IF(M839="","",IFERROR(AVERAGEIFS(DATOS!$K$2:$K$20000,DATOS!$A$2:$A$20000,M839,DATOS!$G$2:$G$20000,CONFIG_METADATA!$B$4,DATOS!$I$2:$I$20000,"&lt;&gt;Lenguaje Musical",DATOS!$I$2:$I$20000,"&lt;&gt;Coro",DATOS!$I$2:$I$20000,"&lt;&gt;Conjunto"),""))</f>
        <v/>
      </c>
      <c r="T839" t="str">
        <f>IF(S839="","",IFERROR(AVERAGEIFS(DATOS!$K$2:$K$20000,DATOS!$A$2:$A$20000,S839,DATOS!$G$2:$G$20000,CONFIG_METADATA!$B$4,DATOS!$I$2:$I$20000,"Lenguaje Musical"),""))</f>
        <v/>
      </c>
      <c r="U839" t="str">
        <f>IF(S839="","",IFERROR(AVERAGEIFS(DATOS!$K$2:$K$20000,DATOS!$A$2:$A$20000,S839,DATOS!$G$2:$G$20000,CONFIG_METADATA!$B$4,DATOS!$I$2:$I$20000,"Coro"),""))</f>
        <v/>
      </c>
      <c r="V839" t="str">
        <f>IF(S839="","",IFERROR(AVERAGEIFS(DATOS!$K$2:$K$20000,DATOS!$A$2:$A$20000,S839,DATOS!$G$2:$G$20000,CONFIG_METADATA!$B$4,DATOS!$I$2:$I$20000,"Conjunto"),""))</f>
        <v/>
      </c>
      <c r="W839" t="str">
        <f>IF(S839="","",IFERROR(AVERAGEIFS(DATOS!$K$2:$K$20000,DATOS!$A$2:$A$20000,S839,DATOS!$G$2:$G$20000,CONFIG_METADATA!$B$4,DATOS!$I$2:$I$20000,"&lt;&gt;Lenguaje Musical",DATOS!$I$2:$I$20000,"&lt;&gt;Coro",DATOS!$I$2:$I$20000,"&lt;&gt;Conjunto"),""))</f>
        <v/>
      </c>
    </row>
    <row r="840" spans="2:23" x14ac:dyDescent="0.2">
      <c r="B840" t="str">
        <f>IF(A840="","",IFERROR(AVERAGEIFS(DATOS!$K$2:$K$20000,DATOS!$A$2:$A$20000,A840,DATOS!$G$2:$G$20000,CONFIG_METADATA!$B$4,DATOS!$I$2:$I$20000,"Lenguaje Musical"),""))</f>
        <v/>
      </c>
      <c r="C840" t="str">
        <f>IF(A840="","",IFERROR(AVERAGEIFS(DATOS!$K$2:$K$20000,DATOS!$A$2:$A$20000,A840,DATOS!$G$2:$G$20000,CONFIG_METADATA!$B$4,DATOS!$I$2:$I$20000,"Coro"),""))</f>
        <v/>
      </c>
      <c r="D840" t="str">
        <f>IF(A840="","",IFERROR(AVERAGEIFS(DATOS!$K$2:$K$20000,DATOS!$A$2:$A$20000,A840,DATOS!$G$2:$G$20000,CONFIG_METADATA!$B$4,DATOS!$I$2:$I$20000,"Conjunto"),""))</f>
        <v/>
      </c>
      <c r="E840" t="str">
        <f>IF(A840="","",IFERROR(AVERAGEIFS(DATOS!$K$2:$K$20000,DATOS!$A$2:$A$20000,A840,DATOS!$G$2:$G$20000,CONFIG_METADATA!$B$4,DATOS!$I$2:$I$20000,"&lt;&gt;Lenguaje Musical",DATOS!$I$2:$I$20000,"&lt;&gt;Coro",DATOS!$I$2:$I$20000,"&lt;&gt;Conjunto"),""))</f>
        <v/>
      </c>
      <c r="N840" t="str">
        <f>IF(M840="","",IFERROR(AVERAGEIFS(DATOS!$K$2:$K$20000,DATOS!$A$2:$A$20000,M840,DATOS!$G$2:$G$20000,CONFIG_METADATA!$B$4,DATOS!$I$2:$I$20000,"Lenguaje Musical"),""))</f>
        <v/>
      </c>
      <c r="O840" t="str">
        <f>IF(M840="","",IFERROR(AVERAGEIFS(DATOS!$K$2:$K$20000,DATOS!$A$2:$A$20000,M840,DATOS!$G$2:$G$20000,CONFIG_METADATA!$B$4,DATOS!$I$2:$I$20000,"Coro"),""))</f>
        <v/>
      </c>
      <c r="P840" t="str">
        <f>IF(M840="","",IFERROR(AVERAGEIFS(DATOS!$K$2:$K$20000,DATOS!$A$2:$A$20000,M840,DATOS!$G$2:$G$20000,CONFIG_METADATA!$B$4,DATOS!$I$2:$I$20000,"Conjunto"),""))</f>
        <v/>
      </c>
      <c r="Q840" t="str">
        <f>IF(M840="","",IFERROR(AVERAGEIFS(DATOS!$K$2:$K$20000,DATOS!$A$2:$A$20000,M840,DATOS!$G$2:$G$20000,CONFIG_METADATA!$B$4,DATOS!$I$2:$I$20000,"&lt;&gt;Lenguaje Musical",DATOS!$I$2:$I$20000,"&lt;&gt;Coro",DATOS!$I$2:$I$20000,"&lt;&gt;Conjunto"),""))</f>
        <v/>
      </c>
      <c r="T840" t="str">
        <f>IF(S840="","",IFERROR(AVERAGEIFS(DATOS!$K$2:$K$20000,DATOS!$A$2:$A$20000,S840,DATOS!$G$2:$G$20000,CONFIG_METADATA!$B$4,DATOS!$I$2:$I$20000,"Lenguaje Musical"),""))</f>
        <v/>
      </c>
      <c r="U840" t="str">
        <f>IF(S840="","",IFERROR(AVERAGEIFS(DATOS!$K$2:$K$20000,DATOS!$A$2:$A$20000,S840,DATOS!$G$2:$G$20000,CONFIG_METADATA!$B$4,DATOS!$I$2:$I$20000,"Coro"),""))</f>
        <v/>
      </c>
      <c r="V840" t="str">
        <f>IF(S840="","",IFERROR(AVERAGEIFS(DATOS!$K$2:$K$20000,DATOS!$A$2:$A$20000,S840,DATOS!$G$2:$G$20000,CONFIG_METADATA!$B$4,DATOS!$I$2:$I$20000,"Conjunto"),""))</f>
        <v/>
      </c>
      <c r="W840" t="str">
        <f>IF(S840="","",IFERROR(AVERAGEIFS(DATOS!$K$2:$K$20000,DATOS!$A$2:$A$20000,S840,DATOS!$G$2:$G$20000,CONFIG_METADATA!$B$4,DATOS!$I$2:$I$20000,"&lt;&gt;Lenguaje Musical",DATOS!$I$2:$I$20000,"&lt;&gt;Coro",DATOS!$I$2:$I$20000,"&lt;&gt;Conjunto"),""))</f>
        <v/>
      </c>
    </row>
    <row r="841" spans="2:23" x14ac:dyDescent="0.2">
      <c r="B841" t="str">
        <f>IF(A841="","",IFERROR(AVERAGEIFS(DATOS!$K$2:$K$20000,DATOS!$A$2:$A$20000,A841,DATOS!$G$2:$G$20000,CONFIG_METADATA!$B$4,DATOS!$I$2:$I$20000,"Lenguaje Musical"),""))</f>
        <v/>
      </c>
      <c r="C841" t="str">
        <f>IF(A841="","",IFERROR(AVERAGEIFS(DATOS!$K$2:$K$20000,DATOS!$A$2:$A$20000,A841,DATOS!$G$2:$G$20000,CONFIG_METADATA!$B$4,DATOS!$I$2:$I$20000,"Coro"),""))</f>
        <v/>
      </c>
      <c r="D841" t="str">
        <f>IF(A841="","",IFERROR(AVERAGEIFS(DATOS!$K$2:$K$20000,DATOS!$A$2:$A$20000,A841,DATOS!$G$2:$G$20000,CONFIG_METADATA!$B$4,DATOS!$I$2:$I$20000,"Conjunto"),""))</f>
        <v/>
      </c>
      <c r="E841" t="str">
        <f>IF(A841="","",IFERROR(AVERAGEIFS(DATOS!$K$2:$K$20000,DATOS!$A$2:$A$20000,A841,DATOS!$G$2:$G$20000,CONFIG_METADATA!$B$4,DATOS!$I$2:$I$20000,"&lt;&gt;Lenguaje Musical",DATOS!$I$2:$I$20000,"&lt;&gt;Coro",DATOS!$I$2:$I$20000,"&lt;&gt;Conjunto"),""))</f>
        <v/>
      </c>
      <c r="N841" t="str">
        <f>IF(M841="","",IFERROR(AVERAGEIFS(DATOS!$K$2:$K$20000,DATOS!$A$2:$A$20000,M841,DATOS!$G$2:$G$20000,CONFIG_METADATA!$B$4,DATOS!$I$2:$I$20000,"Lenguaje Musical"),""))</f>
        <v/>
      </c>
      <c r="O841" t="str">
        <f>IF(M841="","",IFERROR(AVERAGEIFS(DATOS!$K$2:$K$20000,DATOS!$A$2:$A$20000,M841,DATOS!$G$2:$G$20000,CONFIG_METADATA!$B$4,DATOS!$I$2:$I$20000,"Coro"),""))</f>
        <v/>
      </c>
      <c r="P841" t="str">
        <f>IF(M841="","",IFERROR(AVERAGEIFS(DATOS!$K$2:$K$20000,DATOS!$A$2:$A$20000,M841,DATOS!$G$2:$G$20000,CONFIG_METADATA!$B$4,DATOS!$I$2:$I$20000,"Conjunto"),""))</f>
        <v/>
      </c>
      <c r="Q841" t="str">
        <f>IF(M841="","",IFERROR(AVERAGEIFS(DATOS!$K$2:$K$20000,DATOS!$A$2:$A$20000,M841,DATOS!$G$2:$G$20000,CONFIG_METADATA!$B$4,DATOS!$I$2:$I$20000,"&lt;&gt;Lenguaje Musical",DATOS!$I$2:$I$20000,"&lt;&gt;Coro",DATOS!$I$2:$I$20000,"&lt;&gt;Conjunto"),""))</f>
        <v/>
      </c>
      <c r="T841" t="str">
        <f>IF(S841="","",IFERROR(AVERAGEIFS(DATOS!$K$2:$K$20000,DATOS!$A$2:$A$20000,S841,DATOS!$G$2:$G$20000,CONFIG_METADATA!$B$4,DATOS!$I$2:$I$20000,"Lenguaje Musical"),""))</f>
        <v/>
      </c>
      <c r="U841" t="str">
        <f>IF(S841="","",IFERROR(AVERAGEIFS(DATOS!$K$2:$K$20000,DATOS!$A$2:$A$20000,S841,DATOS!$G$2:$G$20000,CONFIG_METADATA!$B$4,DATOS!$I$2:$I$20000,"Coro"),""))</f>
        <v/>
      </c>
      <c r="V841" t="str">
        <f>IF(S841="","",IFERROR(AVERAGEIFS(DATOS!$K$2:$K$20000,DATOS!$A$2:$A$20000,S841,DATOS!$G$2:$G$20000,CONFIG_METADATA!$B$4,DATOS!$I$2:$I$20000,"Conjunto"),""))</f>
        <v/>
      </c>
      <c r="W841" t="str">
        <f>IF(S841="","",IFERROR(AVERAGEIFS(DATOS!$K$2:$K$20000,DATOS!$A$2:$A$20000,S841,DATOS!$G$2:$G$20000,CONFIG_METADATA!$B$4,DATOS!$I$2:$I$20000,"&lt;&gt;Lenguaje Musical",DATOS!$I$2:$I$20000,"&lt;&gt;Coro",DATOS!$I$2:$I$20000,"&lt;&gt;Conjunto"),""))</f>
        <v/>
      </c>
    </row>
    <row r="842" spans="2:23" x14ac:dyDescent="0.2">
      <c r="B842" t="str">
        <f>IF(A842="","",IFERROR(AVERAGEIFS(DATOS!$K$2:$K$20000,DATOS!$A$2:$A$20000,A842,DATOS!$G$2:$G$20000,CONFIG_METADATA!$B$4,DATOS!$I$2:$I$20000,"Lenguaje Musical"),""))</f>
        <v/>
      </c>
      <c r="C842" t="str">
        <f>IF(A842="","",IFERROR(AVERAGEIFS(DATOS!$K$2:$K$20000,DATOS!$A$2:$A$20000,A842,DATOS!$G$2:$G$20000,CONFIG_METADATA!$B$4,DATOS!$I$2:$I$20000,"Coro"),""))</f>
        <v/>
      </c>
      <c r="D842" t="str">
        <f>IF(A842="","",IFERROR(AVERAGEIFS(DATOS!$K$2:$K$20000,DATOS!$A$2:$A$20000,A842,DATOS!$G$2:$G$20000,CONFIG_METADATA!$B$4,DATOS!$I$2:$I$20000,"Conjunto"),""))</f>
        <v/>
      </c>
      <c r="E842" t="str">
        <f>IF(A842="","",IFERROR(AVERAGEIFS(DATOS!$K$2:$K$20000,DATOS!$A$2:$A$20000,A842,DATOS!$G$2:$G$20000,CONFIG_METADATA!$B$4,DATOS!$I$2:$I$20000,"&lt;&gt;Lenguaje Musical",DATOS!$I$2:$I$20000,"&lt;&gt;Coro",DATOS!$I$2:$I$20000,"&lt;&gt;Conjunto"),""))</f>
        <v/>
      </c>
      <c r="N842" t="str">
        <f>IF(M842="","",IFERROR(AVERAGEIFS(DATOS!$K$2:$K$20000,DATOS!$A$2:$A$20000,M842,DATOS!$G$2:$G$20000,CONFIG_METADATA!$B$4,DATOS!$I$2:$I$20000,"Lenguaje Musical"),""))</f>
        <v/>
      </c>
      <c r="O842" t="str">
        <f>IF(M842="","",IFERROR(AVERAGEIFS(DATOS!$K$2:$K$20000,DATOS!$A$2:$A$20000,M842,DATOS!$G$2:$G$20000,CONFIG_METADATA!$B$4,DATOS!$I$2:$I$20000,"Coro"),""))</f>
        <v/>
      </c>
      <c r="P842" t="str">
        <f>IF(M842="","",IFERROR(AVERAGEIFS(DATOS!$K$2:$K$20000,DATOS!$A$2:$A$20000,M842,DATOS!$G$2:$G$20000,CONFIG_METADATA!$B$4,DATOS!$I$2:$I$20000,"Conjunto"),""))</f>
        <v/>
      </c>
      <c r="Q842" t="str">
        <f>IF(M842="","",IFERROR(AVERAGEIFS(DATOS!$K$2:$K$20000,DATOS!$A$2:$A$20000,M842,DATOS!$G$2:$G$20000,CONFIG_METADATA!$B$4,DATOS!$I$2:$I$20000,"&lt;&gt;Lenguaje Musical",DATOS!$I$2:$I$20000,"&lt;&gt;Coro",DATOS!$I$2:$I$20000,"&lt;&gt;Conjunto"),""))</f>
        <v/>
      </c>
      <c r="T842" t="str">
        <f>IF(S842="","",IFERROR(AVERAGEIFS(DATOS!$K$2:$K$20000,DATOS!$A$2:$A$20000,S842,DATOS!$G$2:$G$20000,CONFIG_METADATA!$B$4,DATOS!$I$2:$I$20000,"Lenguaje Musical"),""))</f>
        <v/>
      </c>
      <c r="U842" t="str">
        <f>IF(S842="","",IFERROR(AVERAGEIFS(DATOS!$K$2:$K$20000,DATOS!$A$2:$A$20000,S842,DATOS!$G$2:$G$20000,CONFIG_METADATA!$B$4,DATOS!$I$2:$I$20000,"Coro"),""))</f>
        <v/>
      </c>
      <c r="V842" t="str">
        <f>IF(S842="","",IFERROR(AVERAGEIFS(DATOS!$K$2:$K$20000,DATOS!$A$2:$A$20000,S842,DATOS!$G$2:$G$20000,CONFIG_METADATA!$B$4,DATOS!$I$2:$I$20000,"Conjunto"),""))</f>
        <v/>
      </c>
      <c r="W842" t="str">
        <f>IF(S842="","",IFERROR(AVERAGEIFS(DATOS!$K$2:$K$20000,DATOS!$A$2:$A$20000,S842,DATOS!$G$2:$G$20000,CONFIG_METADATA!$B$4,DATOS!$I$2:$I$20000,"&lt;&gt;Lenguaje Musical",DATOS!$I$2:$I$20000,"&lt;&gt;Coro",DATOS!$I$2:$I$20000,"&lt;&gt;Conjunto"),""))</f>
        <v/>
      </c>
    </row>
    <row r="843" spans="2:23" x14ac:dyDescent="0.2">
      <c r="B843" t="str">
        <f>IF(A843="","",IFERROR(AVERAGEIFS(DATOS!$K$2:$K$20000,DATOS!$A$2:$A$20000,A843,DATOS!$G$2:$G$20000,CONFIG_METADATA!$B$4,DATOS!$I$2:$I$20000,"Lenguaje Musical"),""))</f>
        <v/>
      </c>
      <c r="C843" t="str">
        <f>IF(A843="","",IFERROR(AVERAGEIFS(DATOS!$K$2:$K$20000,DATOS!$A$2:$A$20000,A843,DATOS!$G$2:$G$20000,CONFIG_METADATA!$B$4,DATOS!$I$2:$I$20000,"Coro"),""))</f>
        <v/>
      </c>
      <c r="D843" t="str">
        <f>IF(A843="","",IFERROR(AVERAGEIFS(DATOS!$K$2:$K$20000,DATOS!$A$2:$A$20000,A843,DATOS!$G$2:$G$20000,CONFIG_METADATA!$B$4,DATOS!$I$2:$I$20000,"Conjunto"),""))</f>
        <v/>
      </c>
      <c r="E843" t="str">
        <f>IF(A843="","",IFERROR(AVERAGEIFS(DATOS!$K$2:$K$20000,DATOS!$A$2:$A$20000,A843,DATOS!$G$2:$G$20000,CONFIG_METADATA!$B$4,DATOS!$I$2:$I$20000,"&lt;&gt;Lenguaje Musical",DATOS!$I$2:$I$20000,"&lt;&gt;Coro",DATOS!$I$2:$I$20000,"&lt;&gt;Conjunto"),""))</f>
        <v/>
      </c>
      <c r="N843" t="str">
        <f>IF(M843="","",IFERROR(AVERAGEIFS(DATOS!$K$2:$K$20000,DATOS!$A$2:$A$20000,M843,DATOS!$G$2:$G$20000,CONFIG_METADATA!$B$4,DATOS!$I$2:$I$20000,"Lenguaje Musical"),""))</f>
        <v/>
      </c>
      <c r="O843" t="str">
        <f>IF(M843="","",IFERROR(AVERAGEIFS(DATOS!$K$2:$K$20000,DATOS!$A$2:$A$20000,M843,DATOS!$G$2:$G$20000,CONFIG_METADATA!$B$4,DATOS!$I$2:$I$20000,"Coro"),""))</f>
        <v/>
      </c>
      <c r="P843" t="str">
        <f>IF(M843="","",IFERROR(AVERAGEIFS(DATOS!$K$2:$K$20000,DATOS!$A$2:$A$20000,M843,DATOS!$G$2:$G$20000,CONFIG_METADATA!$B$4,DATOS!$I$2:$I$20000,"Conjunto"),""))</f>
        <v/>
      </c>
      <c r="Q843" t="str">
        <f>IF(M843="","",IFERROR(AVERAGEIFS(DATOS!$K$2:$K$20000,DATOS!$A$2:$A$20000,M843,DATOS!$G$2:$G$20000,CONFIG_METADATA!$B$4,DATOS!$I$2:$I$20000,"&lt;&gt;Lenguaje Musical",DATOS!$I$2:$I$20000,"&lt;&gt;Coro",DATOS!$I$2:$I$20000,"&lt;&gt;Conjunto"),""))</f>
        <v/>
      </c>
      <c r="T843" t="str">
        <f>IF(S843="","",IFERROR(AVERAGEIFS(DATOS!$K$2:$K$20000,DATOS!$A$2:$A$20000,S843,DATOS!$G$2:$G$20000,CONFIG_METADATA!$B$4,DATOS!$I$2:$I$20000,"Lenguaje Musical"),""))</f>
        <v/>
      </c>
      <c r="U843" t="str">
        <f>IF(S843="","",IFERROR(AVERAGEIFS(DATOS!$K$2:$K$20000,DATOS!$A$2:$A$20000,S843,DATOS!$G$2:$G$20000,CONFIG_METADATA!$B$4,DATOS!$I$2:$I$20000,"Coro"),""))</f>
        <v/>
      </c>
      <c r="V843" t="str">
        <f>IF(S843="","",IFERROR(AVERAGEIFS(DATOS!$K$2:$K$20000,DATOS!$A$2:$A$20000,S843,DATOS!$G$2:$G$20000,CONFIG_METADATA!$B$4,DATOS!$I$2:$I$20000,"Conjunto"),""))</f>
        <v/>
      </c>
      <c r="W843" t="str">
        <f>IF(S843="","",IFERROR(AVERAGEIFS(DATOS!$K$2:$K$20000,DATOS!$A$2:$A$20000,S843,DATOS!$G$2:$G$20000,CONFIG_METADATA!$B$4,DATOS!$I$2:$I$20000,"&lt;&gt;Lenguaje Musical",DATOS!$I$2:$I$20000,"&lt;&gt;Coro",DATOS!$I$2:$I$20000,"&lt;&gt;Conjunto"),""))</f>
        <v/>
      </c>
    </row>
    <row r="844" spans="2:23" x14ac:dyDescent="0.2">
      <c r="B844" t="str">
        <f>IF(A844="","",IFERROR(AVERAGEIFS(DATOS!$K$2:$K$20000,DATOS!$A$2:$A$20000,A844,DATOS!$G$2:$G$20000,CONFIG_METADATA!$B$4,DATOS!$I$2:$I$20000,"Lenguaje Musical"),""))</f>
        <v/>
      </c>
      <c r="C844" t="str">
        <f>IF(A844="","",IFERROR(AVERAGEIFS(DATOS!$K$2:$K$20000,DATOS!$A$2:$A$20000,A844,DATOS!$G$2:$G$20000,CONFIG_METADATA!$B$4,DATOS!$I$2:$I$20000,"Coro"),""))</f>
        <v/>
      </c>
      <c r="D844" t="str">
        <f>IF(A844="","",IFERROR(AVERAGEIFS(DATOS!$K$2:$K$20000,DATOS!$A$2:$A$20000,A844,DATOS!$G$2:$G$20000,CONFIG_METADATA!$B$4,DATOS!$I$2:$I$20000,"Conjunto"),""))</f>
        <v/>
      </c>
      <c r="E844" t="str">
        <f>IF(A844="","",IFERROR(AVERAGEIFS(DATOS!$K$2:$K$20000,DATOS!$A$2:$A$20000,A844,DATOS!$G$2:$G$20000,CONFIG_METADATA!$B$4,DATOS!$I$2:$I$20000,"&lt;&gt;Lenguaje Musical",DATOS!$I$2:$I$20000,"&lt;&gt;Coro",DATOS!$I$2:$I$20000,"&lt;&gt;Conjunto"),""))</f>
        <v/>
      </c>
      <c r="N844" t="str">
        <f>IF(M844="","",IFERROR(AVERAGEIFS(DATOS!$K$2:$K$20000,DATOS!$A$2:$A$20000,M844,DATOS!$G$2:$G$20000,CONFIG_METADATA!$B$4,DATOS!$I$2:$I$20000,"Lenguaje Musical"),""))</f>
        <v/>
      </c>
      <c r="O844" t="str">
        <f>IF(M844="","",IFERROR(AVERAGEIFS(DATOS!$K$2:$K$20000,DATOS!$A$2:$A$20000,M844,DATOS!$G$2:$G$20000,CONFIG_METADATA!$B$4,DATOS!$I$2:$I$20000,"Coro"),""))</f>
        <v/>
      </c>
      <c r="P844" t="str">
        <f>IF(M844="","",IFERROR(AVERAGEIFS(DATOS!$K$2:$K$20000,DATOS!$A$2:$A$20000,M844,DATOS!$G$2:$G$20000,CONFIG_METADATA!$B$4,DATOS!$I$2:$I$20000,"Conjunto"),""))</f>
        <v/>
      </c>
      <c r="Q844" t="str">
        <f>IF(M844="","",IFERROR(AVERAGEIFS(DATOS!$K$2:$K$20000,DATOS!$A$2:$A$20000,M844,DATOS!$G$2:$G$20000,CONFIG_METADATA!$B$4,DATOS!$I$2:$I$20000,"&lt;&gt;Lenguaje Musical",DATOS!$I$2:$I$20000,"&lt;&gt;Coro",DATOS!$I$2:$I$20000,"&lt;&gt;Conjunto"),""))</f>
        <v/>
      </c>
      <c r="T844" t="str">
        <f>IF(S844="","",IFERROR(AVERAGEIFS(DATOS!$K$2:$K$20000,DATOS!$A$2:$A$20000,S844,DATOS!$G$2:$G$20000,CONFIG_METADATA!$B$4,DATOS!$I$2:$I$20000,"Lenguaje Musical"),""))</f>
        <v/>
      </c>
      <c r="U844" t="str">
        <f>IF(S844="","",IFERROR(AVERAGEIFS(DATOS!$K$2:$K$20000,DATOS!$A$2:$A$20000,S844,DATOS!$G$2:$G$20000,CONFIG_METADATA!$B$4,DATOS!$I$2:$I$20000,"Coro"),""))</f>
        <v/>
      </c>
      <c r="V844" t="str">
        <f>IF(S844="","",IFERROR(AVERAGEIFS(DATOS!$K$2:$K$20000,DATOS!$A$2:$A$20000,S844,DATOS!$G$2:$G$20000,CONFIG_METADATA!$B$4,DATOS!$I$2:$I$20000,"Conjunto"),""))</f>
        <v/>
      </c>
      <c r="W844" t="str">
        <f>IF(S844="","",IFERROR(AVERAGEIFS(DATOS!$K$2:$K$20000,DATOS!$A$2:$A$20000,S844,DATOS!$G$2:$G$20000,CONFIG_METADATA!$B$4,DATOS!$I$2:$I$20000,"&lt;&gt;Lenguaje Musical",DATOS!$I$2:$I$20000,"&lt;&gt;Coro",DATOS!$I$2:$I$20000,"&lt;&gt;Conjunto"),""))</f>
        <v/>
      </c>
    </row>
    <row r="845" spans="2:23" x14ac:dyDescent="0.2">
      <c r="B845" t="str">
        <f>IF(A845="","",IFERROR(AVERAGEIFS(DATOS!$K$2:$K$20000,DATOS!$A$2:$A$20000,A845,DATOS!$G$2:$G$20000,CONFIG_METADATA!$B$4,DATOS!$I$2:$I$20000,"Lenguaje Musical"),""))</f>
        <v/>
      </c>
      <c r="C845" t="str">
        <f>IF(A845="","",IFERROR(AVERAGEIFS(DATOS!$K$2:$K$20000,DATOS!$A$2:$A$20000,A845,DATOS!$G$2:$G$20000,CONFIG_METADATA!$B$4,DATOS!$I$2:$I$20000,"Coro"),""))</f>
        <v/>
      </c>
      <c r="D845" t="str">
        <f>IF(A845="","",IFERROR(AVERAGEIFS(DATOS!$K$2:$K$20000,DATOS!$A$2:$A$20000,A845,DATOS!$G$2:$G$20000,CONFIG_METADATA!$B$4,DATOS!$I$2:$I$20000,"Conjunto"),""))</f>
        <v/>
      </c>
      <c r="E845" t="str">
        <f>IF(A845="","",IFERROR(AVERAGEIFS(DATOS!$K$2:$K$20000,DATOS!$A$2:$A$20000,A845,DATOS!$G$2:$G$20000,CONFIG_METADATA!$B$4,DATOS!$I$2:$I$20000,"&lt;&gt;Lenguaje Musical",DATOS!$I$2:$I$20000,"&lt;&gt;Coro",DATOS!$I$2:$I$20000,"&lt;&gt;Conjunto"),""))</f>
        <v/>
      </c>
      <c r="N845" t="str">
        <f>IF(M845="","",IFERROR(AVERAGEIFS(DATOS!$K$2:$K$20000,DATOS!$A$2:$A$20000,M845,DATOS!$G$2:$G$20000,CONFIG_METADATA!$B$4,DATOS!$I$2:$I$20000,"Lenguaje Musical"),""))</f>
        <v/>
      </c>
      <c r="O845" t="str">
        <f>IF(M845="","",IFERROR(AVERAGEIFS(DATOS!$K$2:$K$20000,DATOS!$A$2:$A$20000,M845,DATOS!$G$2:$G$20000,CONFIG_METADATA!$B$4,DATOS!$I$2:$I$20000,"Coro"),""))</f>
        <v/>
      </c>
      <c r="P845" t="str">
        <f>IF(M845="","",IFERROR(AVERAGEIFS(DATOS!$K$2:$K$20000,DATOS!$A$2:$A$20000,M845,DATOS!$G$2:$G$20000,CONFIG_METADATA!$B$4,DATOS!$I$2:$I$20000,"Conjunto"),""))</f>
        <v/>
      </c>
      <c r="Q845" t="str">
        <f>IF(M845="","",IFERROR(AVERAGEIFS(DATOS!$K$2:$K$20000,DATOS!$A$2:$A$20000,M845,DATOS!$G$2:$G$20000,CONFIG_METADATA!$B$4,DATOS!$I$2:$I$20000,"&lt;&gt;Lenguaje Musical",DATOS!$I$2:$I$20000,"&lt;&gt;Coro",DATOS!$I$2:$I$20000,"&lt;&gt;Conjunto"),""))</f>
        <v/>
      </c>
    </row>
    <row r="846" spans="2:23" x14ac:dyDescent="0.2">
      <c r="B846" t="str">
        <f>IF(A846="","",IFERROR(AVERAGEIFS(DATOS!$K$2:$K$20000,DATOS!$A$2:$A$20000,A846,DATOS!$G$2:$G$20000,CONFIG_METADATA!$B$4,DATOS!$I$2:$I$20000,"Lenguaje Musical"),""))</f>
        <v/>
      </c>
      <c r="C846" t="str">
        <f>IF(A846="","",IFERROR(AVERAGEIFS(DATOS!$K$2:$K$20000,DATOS!$A$2:$A$20000,A846,DATOS!$G$2:$G$20000,CONFIG_METADATA!$B$4,DATOS!$I$2:$I$20000,"Coro"),""))</f>
        <v/>
      </c>
      <c r="D846" t="str">
        <f>IF(A846="","",IFERROR(AVERAGEIFS(DATOS!$K$2:$K$20000,DATOS!$A$2:$A$20000,A846,DATOS!$G$2:$G$20000,CONFIG_METADATA!$B$4,DATOS!$I$2:$I$20000,"Conjunto"),""))</f>
        <v/>
      </c>
      <c r="E846" t="str">
        <f>IF(A846="","",IFERROR(AVERAGEIFS(DATOS!$K$2:$K$20000,DATOS!$A$2:$A$20000,A846,DATOS!$G$2:$G$20000,CONFIG_METADATA!$B$4,DATOS!$I$2:$I$20000,"&lt;&gt;Lenguaje Musical",DATOS!$I$2:$I$20000,"&lt;&gt;Coro",DATOS!$I$2:$I$20000,"&lt;&gt;Conjunto"),""))</f>
        <v/>
      </c>
      <c r="N846" t="str">
        <f>IF(M846="","",IFERROR(AVERAGEIFS(DATOS!$K$2:$K$20000,DATOS!$A$2:$A$20000,M846,DATOS!$G$2:$G$20000,CONFIG_METADATA!$B$4,DATOS!$I$2:$I$20000,"Lenguaje Musical"),""))</f>
        <v/>
      </c>
      <c r="O846" t="str">
        <f>IF(M846="","",IFERROR(AVERAGEIFS(DATOS!$K$2:$K$20000,DATOS!$A$2:$A$20000,M846,DATOS!$G$2:$G$20000,CONFIG_METADATA!$B$4,DATOS!$I$2:$I$20000,"Coro"),""))</f>
        <v/>
      </c>
      <c r="P846" t="str">
        <f>IF(M846="","",IFERROR(AVERAGEIFS(DATOS!$K$2:$K$20000,DATOS!$A$2:$A$20000,M846,DATOS!$G$2:$G$20000,CONFIG_METADATA!$B$4,DATOS!$I$2:$I$20000,"Conjunto"),""))</f>
        <v/>
      </c>
      <c r="Q846" t="str">
        <f>IF(M846="","",IFERROR(AVERAGEIFS(DATOS!$K$2:$K$20000,DATOS!$A$2:$A$20000,M846,DATOS!$G$2:$G$20000,CONFIG_METADATA!$B$4,DATOS!$I$2:$I$20000,"&lt;&gt;Lenguaje Musical",DATOS!$I$2:$I$20000,"&lt;&gt;Coro",DATOS!$I$2:$I$20000,"&lt;&gt;Conjunto"),""))</f>
        <v/>
      </c>
    </row>
    <row r="847" spans="2:23" x14ac:dyDescent="0.2">
      <c r="B847" t="str">
        <f>IF(A847="","",IFERROR(AVERAGEIFS(DATOS!$K$2:$K$20000,DATOS!$A$2:$A$20000,A847,DATOS!$G$2:$G$20000,CONFIG_METADATA!$B$4,DATOS!$I$2:$I$20000,"Lenguaje Musical"),""))</f>
        <v/>
      </c>
      <c r="C847" t="str">
        <f>IF(A847="","",IFERROR(AVERAGEIFS(DATOS!$K$2:$K$20000,DATOS!$A$2:$A$20000,A847,DATOS!$G$2:$G$20000,CONFIG_METADATA!$B$4,DATOS!$I$2:$I$20000,"Coro"),""))</f>
        <v/>
      </c>
      <c r="D847" t="str">
        <f>IF(A847="","",IFERROR(AVERAGEIFS(DATOS!$K$2:$K$20000,DATOS!$A$2:$A$20000,A847,DATOS!$G$2:$G$20000,CONFIG_METADATA!$B$4,DATOS!$I$2:$I$20000,"Conjunto"),""))</f>
        <v/>
      </c>
      <c r="E847" t="str">
        <f>IF(A847="","",IFERROR(AVERAGEIFS(DATOS!$K$2:$K$20000,DATOS!$A$2:$A$20000,A847,DATOS!$G$2:$G$20000,CONFIG_METADATA!$B$4,DATOS!$I$2:$I$20000,"&lt;&gt;Lenguaje Musical",DATOS!$I$2:$I$20000,"&lt;&gt;Coro",DATOS!$I$2:$I$20000,"&lt;&gt;Conjunto"),""))</f>
        <v/>
      </c>
      <c r="N847" t="str">
        <f>IF(M847="","",IFERROR(AVERAGEIFS(DATOS!$K$2:$K$20000,DATOS!$A$2:$A$20000,M847,DATOS!$G$2:$G$20000,CONFIG_METADATA!$B$4,DATOS!$I$2:$I$20000,"Lenguaje Musical"),""))</f>
        <v/>
      </c>
      <c r="O847" t="str">
        <f>IF(M847="","",IFERROR(AVERAGEIFS(DATOS!$K$2:$K$20000,DATOS!$A$2:$A$20000,M847,DATOS!$G$2:$G$20000,CONFIG_METADATA!$B$4,DATOS!$I$2:$I$20000,"Coro"),""))</f>
        <v/>
      </c>
      <c r="P847" t="str">
        <f>IF(M847="","",IFERROR(AVERAGEIFS(DATOS!$K$2:$K$20000,DATOS!$A$2:$A$20000,M847,DATOS!$G$2:$G$20000,CONFIG_METADATA!$B$4,DATOS!$I$2:$I$20000,"Conjunto"),""))</f>
        <v/>
      </c>
      <c r="Q847" t="str">
        <f>IF(M847="","",IFERROR(AVERAGEIFS(DATOS!$K$2:$K$20000,DATOS!$A$2:$A$20000,M847,DATOS!$G$2:$G$20000,CONFIG_METADATA!$B$4,DATOS!$I$2:$I$20000,"&lt;&gt;Lenguaje Musical",DATOS!$I$2:$I$20000,"&lt;&gt;Coro",DATOS!$I$2:$I$20000,"&lt;&gt;Conjunto"),""))</f>
        <v/>
      </c>
    </row>
    <row r="848" spans="2:23" x14ac:dyDescent="0.2">
      <c r="B848" t="str">
        <f>IF(A848="","",IFERROR(AVERAGEIFS(DATOS!$K$2:$K$20000,DATOS!$A$2:$A$20000,A848,DATOS!$G$2:$G$20000,CONFIG_METADATA!$B$4,DATOS!$I$2:$I$20000,"Lenguaje Musical"),""))</f>
        <v/>
      </c>
      <c r="C848" t="str">
        <f>IF(A848="","",IFERROR(AVERAGEIFS(DATOS!$K$2:$K$20000,DATOS!$A$2:$A$20000,A848,DATOS!$G$2:$G$20000,CONFIG_METADATA!$B$4,DATOS!$I$2:$I$20000,"Coro"),""))</f>
        <v/>
      </c>
      <c r="D848" t="str">
        <f>IF(A848="","",IFERROR(AVERAGEIFS(DATOS!$K$2:$K$20000,DATOS!$A$2:$A$20000,A848,DATOS!$G$2:$G$20000,CONFIG_METADATA!$B$4,DATOS!$I$2:$I$20000,"Conjunto"),""))</f>
        <v/>
      </c>
      <c r="E848" t="str">
        <f>IF(A848="","",IFERROR(AVERAGEIFS(DATOS!$K$2:$K$20000,DATOS!$A$2:$A$20000,A848,DATOS!$G$2:$G$20000,CONFIG_METADATA!$B$4,DATOS!$I$2:$I$20000,"&lt;&gt;Lenguaje Musical",DATOS!$I$2:$I$20000,"&lt;&gt;Coro",DATOS!$I$2:$I$20000,"&lt;&gt;Conjunto"),""))</f>
        <v/>
      </c>
      <c r="N848" t="str">
        <f>IF(M848="","",IFERROR(AVERAGEIFS(DATOS!$K$2:$K$20000,DATOS!$A$2:$A$20000,M848,DATOS!$G$2:$G$20000,CONFIG_METADATA!$B$4,DATOS!$I$2:$I$20000,"Lenguaje Musical"),""))</f>
        <v/>
      </c>
      <c r="O848" t="str">
        <f>IF(M848="","",IFERROR(AVERAGEIFS(DATOS!$K$2:$K$20000,DATOS!$A$2:$A$20000,M848,DATOS!$G$2:$G$20000,CONFIG_METADATA!$B$4,DATOS!$I$2:$I$20000,"Coro"),""))</f>
        <v/>
      </c>
      <c r="P848" t="str">
        <f>IF(M848="","",IFERROR(AVERAGEIFS(DATOS!$K$2:$K$20000,DATOS!$A$2:$A$20000,M848,DATOS!$G$2:$G$20000,CONFIG_METADATA!$B$4,DATOS!$I$2:$I$20000,"Conjunto"),""))</f>
        <v/>
      </c>
      <c r="Q848" t="str">
        <f>IF(M848="","",IFERROR(AVERAGEIFS(DATOS!$K$2:$K$20000,DATOS!$A$2:$A$20000,M848,DATOS!$G$2:$G$20000,CONFIG_METADATA!$B$4,DATOS!$I$2:$I$20000,"&lt;&gt;Lenguaje Musical",DATOS!$I$2:$I$20000,"&lt;&gt;Coro",DATOS!$I$2:$I$20000,"&lt;&gt;Conjunto"),""))</f>
        <v/>
      </c>
    </row>
    <row r="849" spans="2:17" x14ac:dyDescent="0.2">
      <c r="B849" t="str">
        <f>IF(A849="","",IFERROR(AVERAGEIFS(DATOS!$K$2:$K$20000,DATOS!$A$2:$A$20000,A849,DATOS!$G$2:$G$20000,CONFIG_METADATA!$B$4,DATOS!$I$2:$I$20000,"Lenguaje Musical"),""))</f>
        <v/>
      </c>
      <c r="C849" t="str">
        <f>IF(A849="","",IFERROR(AVERAGEIFS(DATOS!$K$2:$K$20000,DATOS!$A$2:$A$20000,A849,DATOS!$G$2:$G$20000,CONFIG_METADATA!$B$4,DATOS!$I$2:$I$20000,"Coro"),""))</f>
        <v/>
      </c>
      <c r="D849" t="str">
        <f>IF(A849="","",IFERROR(AVERAGEIFS(DATOS!$K$2:$K$20000,DATOS!$A$2:$A$20000,A849,DATOS!$G$2:$G$20000,CONFIG_METADATA!$B$4,DATOS!$I$2:$I$20000,"Conjunto"),""))</f>
        <v/>
      </c>
      <c r="E849" t="str">
        <f>IF(A849="","",IFERROR(AVERAGEIFS(DATOS!$K$2:$K$20000,DATOS!$A$2:$A$20000,A849,DATOS!$G$2:$G$20000,CONFIG_METADATA!$B$4,DATOS!$I$2:$I$20000,"&lt;&gt;Lenguaje Musical",DATOS!$I$2:$I$20000,"&lt;&gt;Coro",DATOS!$I$2:$I$20000,"&lt;&gt;Conjunto"),""))</f>
        <v/>
      </c>
      <c r="N849" t="str">
        <f>IF(M849="","",IFERROR(AVERAGEIFS(DATOS!$K$2:$K$20000,DATOS!$A$2:$A$20000,M849,DATOS!$G$2:$G$20000,CONFIG_METADATA!$B$4,DATOS!$I$2:$I$20000,"Lenguaje Musical"),""))</f>
        <v/>
      </c>
      <c r="O849" t="str">
        <f>IF(M849="","",IFERROR(AVERAGEIFS(DATOS!$K$2:$K$20000,DATOS!$A$2:$A$20000,M849,DATOS!$G$2:$G$20000,CONFIG_METADATA!$B$4,DATOS!$I$2:$I$20000,"Coro"),""))</f>
        <v/>
      </c>
      <c r="P849" t="str">
        <f>IF(M849="","",IFERROR(AVERAGEIFS(DATOS!$K$2:$K$20000,DATOS!$A$2:$A$20000,M849,DATOS!$G$2:$G$20000,CONFIG_METADATA!$B$4,DATOS!$I$2:$I$20000,"Conjunto"),""))</f>
        <v/>
      </c>
      <c r="Q849" t="str">
        <f>IF(M849="","",IFERROR(AVERAGEIFS(DATOS!$K$2:$K$20000,DATOS!$A$2:$A$20000,M849,DATOS!$G$2:$G$20000,CONFIG_METADATA!$B$4,DATOS!$I$2:$I$20000,"&lt;&gt;Lenguaje Musical",DATOS!$I$2:$I$20000,"&lt;&gt;Coro",DATOS!$I$2:$I$20000,"&lt;&gt;Conjunto"),""))</f>
        <v/>
      </c>
    </row>
    <row r="850" spans="2:17" x14ac:dyDescent="0.2">
      <c r="B850" t="str">
        <f>IF(A850="","",IFERROR(AVERAGEIFS(DATOS!$K$2:$K$20000,DATOS!$A$2:$A$20000,A850,DATOS!$G$2:$G$20000,CONFIG_METADATA!$B$4,DATOS!$I$2:$I$20000,"Lenguaje Musical"),""))</f>
        <v/>
      </c>
      <c r="C850" t="str">
        <f>IF(A850="","",IFERROR(AVERAGEIFS(DATOS!$K$2:$K$20000,DATOS!$A$2:$A$20000,A850,DATOS!$G$2:$G$20000,CONFIG_METADATA!$B$4,DATOS!$I$2:$I$20000,"Coro"),""))</f>
        <v/>
      </c>
      <c r="D850" t="str">
        <f>IF(A850="","",IFERROR(AVERAGEIFS(DATOS!$K$2:$K$20000,DATOS!$A$2:$A$20000,A850,DATOS!$G$2:$G$20000,CONFIG_METADATA!$B$4,DATOS!$I$2:$I$20000,"Conjunto"),""))</f>
        <v/>
      </c>
      <c r="E850" t="str">
        <f>IF(A850="","",IFERROR(AVERAGEIFS(DATOS!$K$2:$K$20000,DATOS!$A$2:$A$20000,A850,DATOS!$G$2:$G$20000,CONFIG_METADATA!$B$4,DATOS!$I$2:$I$20000,"&lt;&gt;Lenguaje Musical",DATOS!$I$2:$I$20000,"&lt;&gt;Coro",DATOS!$I$2:$I$20000,"&lt;&gt;Conjunto"),""))</f>
        <v/>
      </c>
      <c r="N850" t="str">
        <f>IF(M850="","",IFERROR(AVERAGEIFS(DATOS!$K$2:$K$20000,DATOS!$A$2:$A$20000,M850,DATOS!$G$2:$G$20000,CONFIG_METADATA!$B$4,DATOS!$I$2:$I$20000,"Lenguaje Musical"),""))</f>
        <v/>
      </c>
      <c r="O850" t="str">
        <f>IF(M850="","",IFERROR(AVERAGEIFS(DATOS!$K$2:$K$20000,DATOS!$A$2:$A$20000,M850,DATOS!$G$2:$G$20000,CONFIG_METADATA!$B$4,DATOS!$I$2:$I$20000,"Coro"),""))</f>
        <v/>
      </c>
      <c r="P850" t="str">
        <f>IF(M850="","",IFERROR(AVERAGEIFS(DATOS!$K$2:$K$20000,DATOS!$A$2:$A$20000,M850,DATOS!$G$2:$G$20000,CONFIG_METADATA!$B$4,DATOS!$I$2:$I$20000,"Conjunto"),""))</f>
        <v/>
      </c>
      <c r="Q850" t="str">
        <f>IF(M850="","",IFERROR(AVERAGEIFS(DATOS!$K$2:$K$20000,DATOS!$A$2:$A$20000,M850,DATOS!$G$2:$G$20000,CONFIG_METADATA!$B$4,DATOS!$I$2:$I$20000,"&lt;&gt;Lenguaje Musical",DATOS!$I$2:$I$20000,"&lt;&gt;Coro",DATOS!$I$2:$I$20000,"&lt;&gt;Conjunto"),""))</f>
        <v/>
      </c>
    </row>
    <row r="851" spans="2:17" x14ac:dyDescent="0.2">
      <c r="B851" t="str">
        <f>IF(A851="","",IFERROR(AVERAGEIFS(DATOS!$K$2:$K$20000,DATOS!$A$2:$A$20000,A851,DATOS!$G$2:$G$20000,CONFIG_METADATA!$B$4,DATOS!$I$2:$I$20000,"Lenguaje Musical"),""))</f>
        <v/>
      </c>
      <c r="C851" t="str">
        <f>IF(A851="","",IFERROR(AVERAGEIFS(DATOS!$K$2:$K$20000,DATOS!$A$2:$A$20000,A851,DATOS!$G$2:$G$20000,CONFIG_METADATA!$B$4,DATOS!$I$2:$I$20000,"Coro"),""))</f>
        <v/>
      </c>
      <c r="D851" t="str">
        <f>IF(A851="","",IFERROR(AVERAGEIFS(DATOS!$K$2:$K$20000,DATOS!$A$2:$A$20000,A851,DATOS!$G$2:$G$20000,CONFIG_METADATA!$B$4,DATOS!$I$2:$I$20000,"Conjunto"),""))</f>
        <v/>
      </c>
      <c r="E851" t="str">
        <f>IF(A851="","",IFERROR(AVERAGEIFS(DATOS!$K$2:$K$20000,DATOS!$A$2:$A$20000,A851,DATOS!$G$2:$G$20000,CONFIG_METADATA!$B$4,DATOS!$I$2:$I$20000,"&lt;&gt;Lenguaje Musical",DATOS!$I$2:$I$20000,"&lt;&gt;Coro",DATOS!$I$2:$I$20000,"&lt;&gt;Conjunto"),""))</f>
        <v/>
      </c>
      <c r="N851" t="str">
        <f>IF(M851="","",IFERROR(AVERAGEIFS(DATOS!$K$2:$K$20000,DATOS!$A$2:$A$20000,M851,DATOS!$G$2:$G$20000,CONFIG_METADATA!$B$4,DATOS!$I$2:$I$20000,"Lenguaje Musical"),""))</f>
        <v/>
      </c>
      <c r="O851" t="str">
        <f>IF(M851="","",IFERROR(AVERAGEIFS(DATOS!$K$2:$K$20000,DATOS!$A$2:$A$20000,M851,DATOS!$G$2:$G$20000,CONFIG_METADATA!$B$4,DATOS!$I$2:$I$20000,"Coro"),""))</f>
        <v/>
      </c>
      <c r="P851" t="str">
        <f>IF(M851="","",IFERROR(AVERAGEIFS(DATOS!$K$2:$K$20000,DATOS!$A$2:$A$20000,M851,DATOS!$G$2:$G$20000,CONFIG_METADATA!$B$4,DATOS!$I$2:$I$20000,"Conjunto"),""))</f>
        <v/>
      </c>
      <c r="Q851" t="str">
        <f>IF(M851="","",IFERROR(AVERAGEIFS(DATOS!$K$2:$K$20000,DATOS!$A$2:$A$20000,M851,DATOS!$G$2:$G$20000,CONFIG_METADATA!$B$4,DATOS!$I$2:$I$20000,"&lt;&gt;Lenguaje Musical",DATOS!$I$2:$I$20000,"&lt;&gt;Coro",DATOS!$I$2:$I$20000,"&lt;&gt;Conjunto"),""))</f>
        <v/>
      </c>
    </row>
    <row r="852" spans="2:17" x14ac:dyDescent="0.2">
      <c r="B852" t="str">
        <f>IF(A852="","",IFERROR(AVERAGEIFS(DATOS!$K$2:$K$20000,DATOS!$A$2:$A$20000,A852,DATOS!$G$2:$G$20000,CONFIG_METADATA!$B$4,DATOS!$I$2:$I$20000,"Lenguaje Musical"),""))</f>
        <v/>
      </c>
      <c r="C852" t="str">
        <f>IF(A852="","",IFERROR(AVERAGEIFS(DATOS!$K$2:$K$20000,DATOS!$A$2:$A$20000,A852,DATOS!$G$2:$G$20000,CONFIG_METADATA!$B$4,DATOS!$I$2:$I$20000,"Coro"),""))</f>
        <v/>
      </c>
      <c r="D852" t="str">
        <f>IF(A852="","",IFERROR(AVERAGEIFS(DATOS!$K$2:$K$20000,DATOS!$A$2:$A$20000,A852,DATOS!$G$2:$G$20000,CONFIG_METADATA!$B$4,DATOS!$I$2:$I$20000,"Conjunto"),""))</f>
        <v/>
      </c>
      <c r="E852" t="str">
        <f>IF(A852="","",IFERROR(AVERAGEIFS(DATOS!$K$2:$K$20000,DATOS!$A$2:$A$20000,A852,DATOS!$G$2:$G$20000,CONFIG_METADATA!$B$4,DATOS!$I$2:$I$20000,"&lt;&gt;Lenguaje Musical",DATOS!$I$2:$I$20000,"&lt;&gt;Coro",DATOS!$I$2:$I$20000,"&lt;&gt;Conjunto"),""))</f>
        <v/>
      </c>
      <c r="N852" t="str">
        <f>IF(M852="","",IFERROR(AVERAGEIFS(DATOS!$K$2:$K$20000,DATOS!$A$2:$A$20000,M852,DATOS!$G$2:$G$20000,CONFIG_METADATA!$B$4,DATOS!$I$2:$I$20000,"Lenguaje Musical"),""))</f>
        <v/>
      </c>
      <c r="O852" t="str">
        <f>IF(M852="","",IFERROR(AVERAGEIFS(DATOS!$K$2:$K$20000,DATOS!$A$2:$A$20000,M852,DATOS!$G$2:$G$20000,CONFIG_METADATA!$B$4,DATOS!$I$2:$I$20000,"Coro"),""))</f>
        <v/>
      </c>
      <c r="P852" t="str">
        <f>IF(M852="","",IFERROR(AVERAGEIFS(DATOS!$K$2:$K$20000,DATOS!$A$2:$A$20000,M852,DATOS!$G$2:$G$20000,CONFIG_METADATA!$B$4,DATOS!$I$2:$I$20000,"Conjunto"),""))</f>
        <v/>
      </c>
      <c r="Q852" t="str">
        <f>IF(M852="","",IFERROR(AVERAGEIFS(DATOS!$K$2:$K$20000,DATOS!$A$2:$A$20000,M852,DATOS!$G$2:$G$20000,CONFIG_METADATA!$B$4,DATOS!$I$2:$I$20000,"&lt;&gt;Lenguaje Musical",DATOS!$I$2:$I$20000,"&lt;&gt;Coro",DATOS!$I$2:$I$20000,"&lt;&gt;Conjunto"),""))</f>
        <v/>
      </c>
    </row>
    <row r="853" spans="2:17" x14ac:dyDescent="0.2">
      <c r="B853" t="str">
        <f>IF(A853="","",IFERROR(AVERAGEIFS(DATOS!$K$2:$K$20000,DATOS!$A$2:$A$20000,A853,DATOS!$G$2:$G$20000,CONFIG_METADATA!$B$4,DATOS!$I$2:$I$20000,"Lenguaje Musical"),""))</f>
        <v/>
      </c>
      <c r="C853" t="str">
        <f>IF(A853="","",IFERROR(AVERAGEIFS(DATOS!$K$2:$K$20000,DATOS!$A$2:$A$20000,A853,DATOS!$G$2:$G$20000,CONFIG_METADATA!$B$4,DATOS!$I$2:$I$20000,"Coro"),""))</f>
        <v/>
      </c>
      <c r="D853" t="str">
        <f>IF(A853="","",IFERROR(AVERAGEIFS(DATOS!$K$2:$K$20000,DATOS!$A$2:$A$20000,A853,DATOS!$G$2:$G$20000,CONFIG_METADATA!$B$4,DATOS!$I$2:$I$20000,"Conjunto"),""))</f>
        <v/>
      </c>
      <c r="E853" t="str">
        <f>IF(A853="","",IFERROR(AVERAGEIFS(DATOS!$K$2:$K$20000,DATOS!$A$2:$A$20000,A853,DATOS!$G$2:$G$20000,CONFIG_METADATA!$B$4,DATOS!$I$2:$I$20000,"&lt;&gt;Lenguaje Musical",DATOS!$I$2:$I$20000,"&lt;&gt;Coro",DATOS!$I$2:$I$20000,"&lt;&gt;Conjunto"),""))</f>
        <v/>
      </c>
      <c r="N853" t="str">
        <f>IF(M853="","",IFERROR(AVERAGEIFS(DATOS!$K$2:$K$20000,DATOS!$A$2:$A$20000,M853,DATOS!$G$2:$G$20000,CONFIG_METADATA!$B$4,DATOS!$I$2:$I$20000,"Lenguaje Musical"),""))</f>
        <v/>
      </c>
      <c r="O853" t="str">
        <f>IF(M853="","",IFERROR(AVERAGEIFS(DATOS!$K$2:$K$20000,DATOS!$A$2:$A$20000,M853,DATOS!$G$2:$G$20000,CONFIG_METADATA!$B$4,DATOS!$I$2:$I$20000,"Coro"),""))</f>
        <v/>
      </c>
      <c r="P853" t="str">
        <f>IF(M853="","",IFERROR(AVERAGEIFS(DATOS!$K$2:$K$20000,DATOS!$A$2:$A$20000,M853,DATOS!$G$2:$G$20000,CONFIG_METADATA!$B$4,DATOS!$I$2:$I$20000,"Conjunto"),""))</f>
        <v/>
      </c>
      <c r="Q853" t="str">
        <f>IF(M853="","",IFERROR(AVERAGEIFS(DATOS!$K$2:$K$20000,DATOS!$A$2:$A$20000,M853,DATOS!$G$2:$G$20000,CONFIG_METADATA!$B$4,DATOS!$I$2:$I$20000,"&lt;&gt;Lenguaje Musical",DATOS!$I$2:$I$20000,"&lt;&gt;Coro",DATOS!$I$2:$I$20000,"&lt;&gt;Conjunto"),""))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9"/>
  <sheetViews>
    <sheetView zoomScaleNormal="100" workbookViewId="0">
      <selection activeCell="D2" sqref="D2"/>
    </sheetView>
  </sheetViews>
  <sheetFormatPr baseColWidth="10" defaultColWidth="8.6640625" defaultRowHeight="15" x14ac:dyDescent="0.2"/>
  <cols>
    <col min="1" max="1" width="8" customWidth="1"/>
    <col min="2" max="3" width="18" customWidth="1"/>
    <col min="4" max="5" width="12" customWidth="1"/>
    <col min="6" max="6" width="14" customWidth="1"/>
    <col min="8" max="9" width="12" customWidth="1"/>
    <col min="10" max="10" width="45" customWidth="1"/>
  </cols>
  <sheetData>
    <row r="1" spans="1:10" ht="15" customHeight="1" x14ac:dyDescent="0.2">
      <c r="A1" s="2" t="s">
        <v>57</v>
      </c>
      <c r="B1" s="2" t="s">
        <v>58</v>
      </c>
      <c r="C1" s="2" t="s">
        <v>59</v>
      </c>
      <c r="D1" s="2" t="s">
        <v>108</v>
      </c>
      <c r="E1" s="2" t="s">
        <v>109</v>
      </c>
      <c r="F1" s="2" t="s">
        <v>110</v>
      </c>
      <c r="H1" s="6" t="s">
        <v>111</v>
      </c>
    </row>
    <row r="2" spans="1:10" ht="15" customHeight="1" x14ac:dyDescent="0.2">
      <c r="A2" t="s">
        <v>15</v>
      </c>
      <c r="B2" t="s">
        <v>10</v>
      </c>
      <c r="C2" t="s">
        <v>16</v>
      </c>
      <c r="D2" s="14" t="str">
        <f>IFERROR(CORREL(DAT_CORRELACION!B$6:B$1000,DAT_CORRELACION!C$6:C$1000),"")</f>
        <v/>
      </c>
      <c r="E2" cm="1">
        <f t="array" ref="E2">SUMPRODUCT((DAT_CORRELACION!A$6:A$1000&lt;&gt;"")*1)</f>
        <v>0</v>
      </c>
      <c r="F2" t="str">
        <f t="shared" ref="F2:F19" si="0">IF(D2="","",IF(D2&gt;=0.8,"Muy fuerte",IF(D2&gt;=0.6,"Fuerte",IF(D2&gt;=0.4,"Moderada",IF(D2&gt;=0.2,"Débil",IF(D2&gt;=0,"Muy débil","Inversa"))))))</f>
        <v/>
      </c>
      <c r="H2" t="s">
        <v>112</v>
      </c>
      <c r="I2" t="s">
        <v>113</v>
      </c>
      <c r="J2" t="s">
        <v>114</v>
      </c>
    </row>
    <row r="3" spans="1:10" ht="15" customHeight="1" x14ac:dyDescent="0.2">
      <c r="A3" t="s">
        <v>15</v>
      </c>
      <c r="B3" t="s">
        <v>10</v>
      </c>
      <c r="C3" t="s">
        <v>20</v>
      </c>
      <c r="D3" s="14" t="str">
        <f>IFERROR(CORREL(DAT_CORRELACION!B$6:B$1000,DAT_CORRELACION!E$6:E$1000),"")</f>
        <v/>
      </c>
      <c r="E3" cm="1">
        <f t="array" ref="E3">SUMPRODUCT((DAT_CORRELACION!A$6:A$1000&lt;&gt;"")*1)</f>
        <v>0</v>
      </c>
      <c r="F3" t="str">
        <f t="shared" si="0"/>
        <v/>
      </c>
      <c r="H3" t="s">
        <v>115</v>
      </c>
      <c r="I3" t="s">
        <v>116</v>
      </c>
      <c r="J3" t="s">
        <v>117</v>
      </c>
    </row>
    <row r="4" spans="1:10" ht="15" customHeight="1" x14ac:dyDescent="0.2">
      <c r="A4" t="s">
        <v>15</v>
      </c>
      <c r="B4" t="s">
        <v>16</v>
      </c>
      <c r="C4" t="s">
        <v>20</v>
      </c>
      <c r="D4" s="14" t="str">
        <f>IFERROR(CORREL(DAT_CORRELACION!C$6:C$1000,DAT_CORRELACION!E$6:E$1000),"")</f>
        <v/>
      </c>
      <c r="E4" cm="1">
        <f t="array" ref="E4">SUMPRODUCT((DAT_CORRELACION!A$6:A$1000&lt;&gt;"")*1)</f>
        <v>0</v>
      </c>
      <c r="F4" t="str">
        <f t="shared" si="0"/>
        <v/>
      </c>
      <c r="H4" t="s">
        <v>118</v>
      </c>
      <c r="I4" t="s">
        <v>119</v>
      </c>
      <c r="J4" t="s">
        <v>120</v>
      </c>
    </row>
    <row r="5" spans="1:10" ht="15" customHeight="1" x14ac:dyDescent="0.2">
      <c r="A5" t="s">
        <v>19</v>
      </c>
      <c r="B5" t="s">
        <v>10</v>
      </c>
      <c r="C5" t="s">
        <v>16</v>
      </c>
      <c r="D5" s="14" t="str">
        <f>IFERROR(CORREL(DAT_CORRELACION!H$6:H$1000,DAT_CORRELACION!I$6:I$1000),"")</f>
        <v/>
      </c>
      <c r="E5" cm="1">
        <f t="array" ref="E5">SUMPRODUCT((DAT_CORRELACION!G$6:G$1000&lt;&gt;"")*1)</f>
        <v>0</v>
      </c>
      <c r="F5" t="str">
        <f t="shared" si="0"/>
        <v/>
      </c>
      <c r="H5" t="s">
        <v>121</v>
      </c>
      <c r="I5" t="s">
        <v>122</v>
      </c>
      <c r="J5" t="s">
        <v>123</v>
      </c>
    </row>
    <row r="6" spans="1:10" ht="15" customHeight="1" x14ac:dyDescent="0.2">
      <c r="A6" t="s">
        <v>19</v>
      </c>
      <c r="B6" t="s">
        <v>10</v>
      </c>
      <c r="C6" t="s">
        <v>20</v>
      </c>
      <c r="D6" s="14" t="str">
        <f>IFERROR(CORREL(DAT_CORRELACION!H$6:H$1000,DAT_CORRELACION!K$6:K$1000),"")</f>
        <v/>
      </c>
      <c r="E6" cm="1">
        <f t="array" ref="E6">SUMPRODUCT((DAT_CORRELACION!G$6:G$1000&lt;&gt;"")*1)</f>
        <v>0</v>
      </c>
      <c r="F6" t="str">
        <f t="shared" si="0"/>
        <v/>
      </c>
      <c r="H6" t="s">
        <v>124</v>
      </c>
      <c r="I6" t="s">
        <v>125</v>
      </c>
      <c r="J6" t="s">
        <v>126</v>
      </c>
    </row>
    <row r="7" spans="1:10" ht="15" customHeight="1" x14ac:dyDescent="0.2">
      <c r="A7" t="s">
        <v>19</v>
      </c>
      <c r="B7" t="s">
        <v>16</v>
      </c>
      <c r="C7" t="s">
        <v>20</v>
      </c>
      <c r="D7" s="14" t="str">
        <f>IFERROR(CORREL(DAT_CORRELACION!I$6:I$1000,DAT_CORRELACION!K$6:K$1000),"")</f>
        <v/>
      </c>
      <c r="E7" cm="1">
        <f t="array" ref="E7">SUMPRODUCT((DAT_CORRELACION!G$6:G$1000&lt;&gt;"")*1)</f>
        <v>0</v>
      </c>
      <c r="F7" t="str">
        <f t="shared" si="0"/>
        <v/>
      </c>
      <c r="H7" t="s">
        <v>127</v>
      </c>
      <c r="I7" t="s">
        <v>128</v>
      </c>
      <c r="J7" t="s">
        <v>129</v>
      </c>
    </row>
    <row r="8" spans="1:10" ht="15" customHeight="1" x14ac:dyDescent="0.2">
      <c r="A8" t="s">
        <v>23</v>
      </c>
      <c r="B8" t="s">
        <v>10</v>
      </c>
      <c r="C8" t="s">
        <v>16</v>
      </c>
      <c r="D8" s="14" t="str">
        <f>IFERROR(CORREL(DAT_CORRELACION!N$6:N$1000,DAT_CORRELACION!O$6:O$1000),"")</f>
        <v/>
      </c>
      <c r="E8" cm="1">
        <f t="array" ref="E8">SUMPRODUCT((DAT_CORRELACION!M$6:M$1000&lt;&gt;"")*1)</f>
        <v>0</v>
      </c>
      <c r="F8" t="str">
        <f t="shared" si="0"/>
        <v/>
      </c>
    </row>
    <row r="9" spans="1:10" ht="15" customHeight="1" x14ac:dyDescent="0.2">
      <c r="A9" t="s">
        <v>23</v>
      </c>
      <c r="B9" t="s">
        <v>10</v>
      </c>
      <c r="C9" t="s">
        <v>21</v>
      </c>
      <c r="D9" s="14" t="str">
        <f>IFERROR(CORREL(DAT_CORRELACION!N$6:N$1000,DAT_CORRELACION!P$6:P$1000),"")</f>
        <v/>
      </c>
      <c r="E9" cm="1">
        <f t="array" ref="E9">SUMPRODUCT((DAT_CORRELACION!M$6:M$1000&lt;&gt;"")*1)</f>
        <v>0</v>
      </c>
      <c r="F9" t="str">
        <f t="shared" si="0"/>
        <v/>
      </c>
    </row>
    <row r="10" spans="1:10" ht="15" customHeight="1" x14ac:dyDescent="0.2">
      <c r="A10" t="s">
        <v>23</v>
      </c>
      <c r="B10" t="s">
        <v>10</v>
      </c>
      <c r="C10" t="s">
        <v>20</v>
      </c>
      <c r="D10" s="14" t="str">
        <f>IFERROR(CORREL(DAT_CORRELACION!N$6:N$1000,DAT_CORRELACION!Q$6:Q$1000),"")</f>
        <v/>
      </c>
      <c r="E10" cm="1">
        <f t="array" ref="E10">SUMPRODUCT((DAT_CORRELACION!M$6:M$1000&lt;&gt;"")*1)</f>
        <v>0</v>
      </c>
      <c r="F10" t="str">
        <f t="shared" si="0"/>
        <v/>
      </c>
    </row>
    <row r="11" spans="1:10" ht="15" customHeight="1" x14ac:dyDescent="0.2">
      <c r="A11" t="s">
        <v>23</v>
      </c>
      <c r="B11" t="s">
        <v>16</v>
      </c>
      <c r="C11" t="s">
        <v>21</v>
      </c>
      <c r="D11" s="14" t="str">
        <f>IFERROR(CORREL(DAT_CORRELACION!O$6:O$1000,DAT_CORRELACION!P$6:P$1000),"")</f>
        <v/>
      </c>
      <c r="E11" cm="1">
        <f t="array" ref="E11">SUMPRODUCT((DAT_CORRELACION!M$6:M$1000&lt;&gt;"")*1)</f>
        <v>0</v>
      </c>
      <c r="F11" t="str">
        <f t="shared" si="0"/>
        <v/>
      </c>
    </row>
    <row r="12" spans="1:10" ht="15" customHeight="1" x14ac:dyDescent="0.2">
      <c r="A12" t="s">
        <v>23</v>
      </c>
      <c r="B12" t="s">
        <v>16</v>
      </c>
      <c r="C12" t="s">
        <v>20</v>
      </c>
      <c r="D12" s="14" t="str">
        <f>IFERROR(CORREL(DAT_CORRELACION!O$6:O$1000,DAT_CORRELACION!Q$6:Q$1000),"")</f>
        <v/>
      </c>
      <c r="E12" cm="1">
        <f t="array" ref="E12">SUMPRODUCT((DAT_CORRELACION!M$6:M$1000&lt;&gt;"")*1)</f>
        <v>0</v>
      </c>
      <c r="F12" t="str">
        <f t="shared" si="0"/>
        <v/>
      </c>
    </row>
    <row r="13" spans="1:10" ht="15" customHeight="1" x14ac:dyDescent="0.2">
      <c r="A13" t="s">
        <v>23</v>
      </c>
      <c r="B13" t="s">
        <v>21</v>
      </c>
      <c r="C13" t="s">
        <v>20</v>
      </c>
      <c r="D13" s="14" t="str">
        <f>IFERROR(CORREL(DAT_CORRELACION!P$6:P$1000,DAT_CORRELACION!Q$6:Q$1000),"")</f>
        <v/>
      </c>
      <c r="E13" cm="1">
        <f t="array" ref="E13">SUMPRODUCT((DAT_CORRELACION!M$6:M$1000&lt;&gt;"")*1)</f>
        <v>0</v>
      </c>
      <c r="F13" t="str">
        <f t="shared" si="0"/>
        <v/>
      </c>
    </row>
    <row r="14" spans="1:10" ht="15" customHeight="1" x14ac:dyDescent="0.2">
      <c r="A14" t="s">
        <v>26</v>
      </c>
      <c r="B14" t="s">
        <v>10</v>
      </c>
      <c r="C14" t="s">
        <v>16</v>
      </c>
      <c r="D14" s="14" t="str">
        <f>IFERROR(CORREL(DAT_CORRELACION!T$6:T$1000,DAT_CORRELACION!U$6:U$1000),"")</f>
        <v/>
      </c>
      <c r="E14" cm="1">
        <f t="array" ref="E14">SUMPRODUCT((DAT_CORRELACION!S$6:S$1000&lt;&gt;"")*1)</f>
        <v>0</v>
      </c>
      <c r="F14" t="str">
        <f t="shared" si="0"/>
        <v/>
      </c>
    </row>
    <row r="15" spans="1:10" ht="15" customHeight="1" x14ac:dyDescent="0.2">
      <c r="A15" t="s">
        <v>26</v>
      </c>
      <c r="B15" t="s">
        <v>10</v>
      </c>
      <c r="C15" t="s">
        <v>21</v>
      </c>
      <c r="D15" s="14" t="str">
        <f>IFERROR(CORREL(DAT_CORRELACION!T$6:T$1000,DAT_CORRELACION!V$6:V$1000),"")</f>
        <v/>
      </c>
      <c r="E15" cm="1">
        <f t="array" ref="E15">SUMPRODUCT((DAT_CORRELACION!S$6:S$1000&lt;&gt;"")*1)</f>
        <v>0</v>
      </c>
      <c r="F15" t="str">
        <f t="shared" si="0"/>
        <v/>
      </c>
    </row>
    <row r="16" spans="1:10" ht="15" customHeight="1" x14ac:dyDescent="0.2">
      <c r="A16" t="s">
        <v>26</v>
      </c>
      <c r="B16" t="s">
        <v>10</v>
      </c>
      <c r="C16" t="s">
        <v>20</v>
      </c>
      <c r="D16" s="14" t="str">
        <f>IFERROR(CORREL(DAT_CORRELACION!T$6:T$1000,DAT_CORRELACION!W$6:W$1000),"")</f>
        <v/>
      </c>
      <c r="E16" cm="1">
        <f t="array" ref="E16">SUMPRODUCT((DAT_CORRELACION!S$6:S$1000&lt;&gt;"")*1)</f>
        <v>0</v>
      </c>
      <c r="F16" t="str">
        <f t="shared" si="0"/>
        <v/>
      </c>
    </row>
    <row r="17" spans="1:6" ht="15" customHeight="1" x14ac:dyDescent="0.2">
      <c r="A17" t="s">
        <v>26</v>
      </c>
      <c r="B17" t="s">
        <v>16</v>
      </c>
      <c r="C17" t="s">
        <v>21</v>
      </c>
      <c r="D17" s="14" t="str">
        <f>IFERROR(CORREL(DAT_CORRELACION!U$6:U$1000,DAT_CORRELACION!V$6:V$1000),"")</f>
        <v/>
      </c>
      <c r="E17" cm="1">
        <f t="array" ref="E17">SUMPRODUCT((DAT_CORRELACION!S$6:S$1000&lt;&gt;"")*1)</f>
        <v>0</v>
      </c>
      <c r="F17" t="str">
        <f t="shared" si="0"/>
        <v/>
      </c>
    </row>
    <row r="18" spans="1:6" ht="15" customHeight="1" x14ac:dyDescent="0.2">
      <c r="A18" t="s">
        <v>26</v>
      </c>
      <c r="B18" t="s">
        <v>16</v>
      </c>
      <c r="C18" t="s">
        <v>20</v>
      </c>
      <c r="D18" s="14" t="str">
        <f>IFERROR(CORREL(DAT_CORRELACION!U$6:U$1000,DAT_CORRELACION!W$6:W$1000),"")</f>
        <v/>
      </c>
      <c r="E18" cm="1">
        <f t="array" ref="E18">SUMPRODUCT((DAT_CORRELACION!S$6:S$1000&lt;&gt;"")*1)</f>
        <v>0</v>
      </c>
      <c r="F18" t="str">
        <f t="shared" si="0"/>
        <v/>
      </c>
    </row>
    <row r="19" spans="1:6" ht="15" customHeight="1" x14ac:dyDescent="0.2">
      <c r="A19" t="s">
        <v>26</v>
      </c>
      <c r="B19" t="s">
        <v>21</v>
      </c>
      <c r="C19" t="s">
        <v>20</v>
      </c>
      <c r="D19" s="14" t="str">
        <f>IFERROR(CORREL(DAT_CORRELACION!V$6:V$1000,DAT_CORRELACION!W$6:W$1000),"")</f>
        <v/>
      </c>
      <c r="E19" cm="1">
        <f t="array" ref="E19">SUMPRODUCT((DAT_CORRELACION!S$6:S$1000&lt;&gt;"")*1)</f>
        <v>0</v>
      </c>
      <c r="F19" t="str">
        <f t="shared" si="0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322"/>
  <sheetViews>
    <sheetView topLeftCell="A118" zoomScaleNormal="100" workbookViewId="0">
      <selection activeCell="D141" sqref="D141"/>
    </sheetView>
  </sheetViews>
  <sheetFormatPr baseColWidth="10" defaultColWidth="8.6640625" defaultRowHeight="15" x14ac:dyDescent="0.2"/>
  <cols>
    <col min="1" max="1" width="15" customWidth="1"/>
    <col min="2" max="2" width="12" customWidth="1"/>
    <col min="3" max="3" width="20" customWidth="1"/>
    <col min="4" max="21" width="12" customWidth="1"/>
  </cols>
  <sheetData>
    <row r="1" spans="1:21" ht="15" customHeight="1" x14ac:dyDescent="0.2">
      <c r="A1" s="12" t="s">
        <v>130</v>
      </c>
    </row>
    <row r="2" spans="1:21" ht="15" customHeight="1" x14ac:dyDescent="0.2">
      <c r="A2" t="s">
        <v>45</v>
      </c>
      <c r="B2" t="s">
        <v>46</v>
      </c>
    </row>
    <row r="3" spans="1:21" ht="15" customHeight="1" x14ac:dyDescent="0.2">
      <c r="A3" t="s">
        <v>48</v>
      </c>
      <c r="B3" t="str">
        <f>CONFIG_METADATA!B2</f>
        <v>CPM Mestre Tárrega</v>
      </c>
    </row>
    <row r="4" spans="1:21" ht="15" customHeight="1" x14ac:dyDescent="0.2">
      <c r="A4" t="s">
        <v>51</v>
      </c>
      <c r="B4" t="str">
        <f>CONFIG_METADATA!B3</f>
        <v>25/26</v>
      </c>
    </row>
    <row r="5" spans="1:21" ht="15" customHeight="1" x14ac:dyDescent="0.2">
      <c r="A5" t="s">
        <v>131</v>
      </c>
      <c r="B5" t="str">
        <f>CONFIG_METADATA!B4</f>
        <v>1EV</v>
      </c>
    </row>
    <row r="7" spans="1:21" ht="15" customHeight="1" x14ac:dyDescent="0.2">
      <c r="A7" s="12" t="s">
        <v>132</v>
      </c>
    </row>
    <row r="8" spans="1:21" ht="15" customHeight="1" x14ac:dyDescent="0.2">
      <c r="A8" s="2" t="s">
        <v>133</v>
      </c>
      <c r="B8" s="2" t="s">
        <v>75</v>
      </c>
      <c r="C8" s="2" t="s">
        <v>2</v>
      </c>
      <c r="D8" s="2" t="s">
        <v>77</v>
      </c>
      <c r="E8" s="2" t="s">
        <v>78</v>
      </c>
      <c r="F8" s="2" t="s">
        <v>79</v>
      </c>
      <c r="G8" s="2" t="s">
        <v>80</v>
      </c>
      <c r="H8" s="2" t="s">
        <v>81</v>
      </c>
      <c r="I8" s="2" t="s">
        <v>82</v>
      </c>
      <c r="J8" s="2" t="s">
        <v>83</v>
      </c>
      <c r="K8" s="2" t="s">
        <v>84</v>
      </c>
      <c r="L8" s="2" t="s">
        <v>85</v>
      </c>
      <c r="M8" s="2" t="s">
        <v>86</v>
      </c>
      <c r="N8" s="2" t="s">
        <v>87</v>
      </c>
      <c r="O8" s="2" t="s">
        <v>88</v>
      </c>
      <c r="P8" s="2" t="s">
        <v>89</v>
      </c>
      <c r="Q8" s="2" t="s">
        <v>90</v>
      </c>
      <c r="R8" s="2" t="s">
        <v>91</v>
      </c>
      <c r="S8" s="2" t="s">
        <v>92</v>
      </c>
      <c r="T8" s="2" t="s">
        <v>93</v>
      </c>
      <c r="U8" s="2" t="s">
        <v>94</v>
      </c>
    </row>
    <row r="9" spans="1:24">
      <c r="A9" t="str">
        <f>IF(CALC_EEM!A2="","",IF(CALC_EEM!A2="GLOBAL","GLOBAL",IF(CALC_EEM!C2="Total","CURSO_TOTAL",IF(CALC_EEM!C2="TotalEsp","CURSO_ESP",IF(CALC_EEM!C2="TotalNoEsp","CURSO_NOESP","CURSO_ASIG")))))</f>
        <v>GLOBAL</v>
      </c>
      <c r="B9" t="str">
        <f>IF(CALC_EEM!A2="","",CALC_EEM!A2)</f>
        <v>GLOBAL</v>
      </c>
      <c r="C9" t="str">
        <f>IF(CALC_EEM!B2="","",CALC_EEM!B2)</f>
        <v>Total</v>
      </c>
      <c r="D9">
        <f>IF(CALC_EEM!D2="","",CALC_EEM!D2)</f>
        <v>0</v>
      </c>
      <c r="E9" s="14" t="str">
        <f>IF(CALC_EEM!E2="","",CALC_EEM!E2)</f>
        <v>—</v>
      </c>
      <c r="F9" s="14" t="str">
        <f>IF(CALC_EEM!F2="","",CALC_EEM!F2)</f>
        <v>—</v>
      </c>
      <c r="G9" t="str">
        <f>IF(CALC_EEM!G2="","",CALC_EEM!G2)</f>
        <v>—</v>
      </c>
      <c r="H9" s="16" t="str">
        <f>IF(CALC_EEM!H2="","",CALC_EEM!H2)</f>
        <v>—</v>
      </c>
      <c r="I9" s="16" t="str">
        <f>IF(CALC_EEM!I2="","",CALC_EEM!I2)</f>
        <v>—</v>
      </c>
      <c r="J9" t="str">
        <f>IF(CALC_EEM!J2="","",CALC_EEM!J2)</f>
        <v>—</v>
      </c>
      <c r="K9" t="str">
        <f>IF(CALC_EEM!K2="","",CALC_EEM!K2)</f>
        <v>—</v>
      </c>
      <c r="L9">
        <f>IF(CALC_EEM!L2="","",CALC_EEM!L2)</f>
        <v>0</v>
      </c>
      <c r="M9">
        <f>IF(CALC_EEM!M2="","",CALC_EEM!M2)</f>
        <v>0</v>
      </c>
      <c r="N9">
        <f>IF(CALC_EEM!N2="","",CALC_EEM!N2)</f>
        <v>0</v>
      </c>
      <c r="O9">
        <f>IF(CALC_EEM!O2="","",CALC_EEM!O2)</f>
        <v>0</v>
      </c>
      <c r="P9">
        <f>IF(CALC_EEM!P2="","",CALC_EEM!P2)</f>
        <v>0</v>
      </c>
      <c r="Q9">
        <f>IF(CALC_EEM!Q2="","",CALC_EEM!Q2)</f>
        <v>0</v>
      </c>
      <c r="R9">
        <f>IF(CALC_EEM!R2="","",CALC_EEM!R2)</f>
        <v>0</v>
      </c>
      <c r="S9">
        <f>IF(CALC_EEM!S2="","",CALC_EEM!S2)</f>
        <v>0</v>
      </c>
      <c r="T9">
        <f>IF(CALC_EEM!T2="","",CALC_EEM!T2)</f>
        <v>0</v>
      </c>
      <c r="U9">
        <f>IF(CALC_EEM!U2="","",CALC_EEM!U2)</f>
        <v>0</v>
      </c>
    </row>
    <row r="10" spans="1:24">
      <c r="A10" t="str">
        <f>IF(CALC_EEM!A3="","",IF(CALC_EEM!A3="GLOBAL","GLOBAL",IF(CALC_EEM!C3="Total","CURSO_TOTAL",IF(CALC_EEM!C3="TotalEsp","CURSO_ESP",IF(CALC_EEM!C3="TotalNoEsp","CURSO_NOESP","CURSO_ASIG")))))</f>
        <v>GLOBAL</v>
      </c>
      <c r="B10" t="str">
        <f>IF(CALC_EEM!A3="","",CALC_EEM!A3)</f>
        <v>GLOBAL</v>
      </c>
      <c r="C10" t="str">
        <f>IF(CALC_EEM!B3="","",CALC_EEM!B3)</f>
        <v>Total</v>
      </c>
      <c r="D10">
        <f>IF(CALC_EEM!D3="","",CALC_EEM!D3)</f>
        <v>0</v>
      </c>
      <c r="E10" s="14" t="str">
        <f>IF(CALC_EEM!E3="","",CALC_EEM!E3)</f>
        <v>—</v>
      </c>
      <c r="F10" s="14" t="str">
        <f>IF(CALC_EEM!F3="","",CALC_EEM!F3)</f>
        <v>—</v>
      </c>
      <c r="G10" t="str">
        <f>IF(CALC_EEM!G3="","",CALC_EEM!G3)</f>
        <v>—</v>
      </c>
      <c r="H10" s="16" t="str">
        <f>IF(CALC_EEM!H3="","",CALC_EEM!H3)</f>
        <v>—</v>
      </c>
      <c r="I10" s="16" t="str">
        <f>IF(CALC_EEM!I3="","",CALC_EEM!I3)</f>
        <v>—</v>
      </c>
      <c r="J10" t="str">
        <f>IF(CALC_EEM!J3="","",CALC_EEM!J3)</f>
        <v>—</v>
      </c>
      <c r="K10" t="str">
        <f>IF(CALC_EEM!K3="","",CALC_EEM!K3)</f>
        <v>—</v>
      </c>
      <c r="L10">
        <f>IF(CALC_EEM!L3="","",CALC_EEM!L3)</f>
        <v>0</v>
      </c>
      <c r="M10">
        <f>IF(CALC_EEM!M3="","",CALC_EEM!M3)</f>
        <v>0</v>
      </c>
      <c r="N10">
        <f>IF(CALC_EEM!N3="","",CALC_EEM!N3)</f>
        <v>0</v>
      </c>
      <c r="O10">
        <f>IF(CALC_EEM!O3="","",CALC_EEM!O3)</f>
        <v>0</v>
      </c>
      <c r="P10">
        <f>IF(CALC_EEM!P3="","",CALC_EEM!P3)</f>
        <v>0</v>
      </c>
      <c r="Q10">
        <f>IF(CALC_EEM!Q3="","",CALC_EEM!Q3)</f>
        <v>0</v>
      </c>
      <c r="R10">
        <f>IF(CALC_EEM!R3="","",CALC_EEM!R3)</f>
        <v>0</v>
      </c>
      <c r="S10">
        <f>IF(CALC_EEM!S3="","",CALC_EEM!S3)</f>
        <v>0</v>
      </c>
      <c r="T10">
        <f>IF(CALC_EEM!T3="","",CALC_EEM!T3)</f>
        <v>0</v>
      </c>
      <c r="U10">
        <f>IF(CALC_EEM!U3="","",CALC_EEM!U3)</f>
        <v>0</v>
      </c>
    </row>
    <row r="11" spans="1:24">
      <c r="A11" t="str">
        <f>IF(CALC_EEM!A4="","",IF(CALC_EEM!A4="GLOBAL","GLOBAL",IF(CALC_EEM!C4="Total","CURSO_TOTAL",IF(CALC_EEM!C4="TotalEsp","CURSO_ESP",IF(CALC_EEM!C4="TotalNoEsp","CURSO_NOESP","CURSO_ASIG")))))</f>
        <v>GLOBAL</v>
      </c>
      <c r="B11" t="str">
        <f>IF(CALC_EEM!A4="","",CALC_EEM!A4)</f>
        <v>GLOBAL</v>
      </c>
      <c r="C11" t="str">
        <f>IF(CALC_EEM!B4="","",CALC_EEM!B4)</f>
        <v>Total</v>
      </c>
      <c r="D11">
        <f>IF(CALC_EEM!D4="","",CALC_EEM!D4)</f>
        <v>0</v>
      </c>
      <c r="E11" s="14" t="str">
        <f>IF(CALC_EEM!E4="","",CALC_EEM!E4)</f>
        <v>—</v>
      </c>
      <c r="F11" s="14" t="str">
        <f>IF(CALC_EEM!F4="","",CALC_EEM!F4)</f>
        <v>—</v>
      </c>
      <c r="G11" t="str">
        <f>IF(CALC_EEM!G4="","",CALC_EEM!G4)</f>
        <v>—</v>
      </c>
      <c r="H11" s="16" t="str">
        <f>IF(CALC_EEM!H4="","",CALC_EEM!H4)</f>
        <v>—</v>
      </c>
      <c r="I11" s="16" t="str">
        <f>IF(CALC_EEM!I4="","",CALC_EEM!I4)</f>
        <v>—</v>
      </c>
      <c r="J11" t="str">
        <f>IF(CALC_EEM!J4="","",CALC_EEM!J4)</f>
        <v>—</v>
      </c>
      <c r="K11" t="str">
        <f>IF(CALC_EEM!K4="","",CALC_EEM!K4)</f>
        <v>—</v>
      </c>
      <c r="L11">
        <f>IF(CALC_EEM!L4="","",CALC_EEM!L4)</f>
        <v>0</v>
      </c>
      <c r="M11">
        <f>IF(CALC_EEM!M4="","",CALC_EEM!M4)</f>
        <v>0</v>
      </c>
      <c r="N11">
        <f>IF(CALC_EEM!N4="","",CALC_EEM!N4)</f>
        <v>0</v>
      </c>
      <c r="O11">
        <f>IF(CALC_EEM!O4="","",CALC_EEM!O4)</f>
        <v>0</v>
      </c>
      <c r="P11">
        <f>IF(CALC_EEM!P4="","",CALC_EEM!P4)</f>
        <v>0</v>
      </c>
      <c r="Q11">
        <f>IF(CALC_EEM!Q4="","",CALC_EEM!Q4)</f>
        <v>0</v>
      </c>
      <c r="R11">
        <f>IF(CALC_EEM!R4="","",CALC_EEM!R4)</f>
        <v>0</v>
      </c>
      <c r="S11">
        <f>IF(CALC_EEM!S4="","",CALC_EEM!S4)</f>
        <v>0</v>
      </c>
      <c r="T11">
        <f>IF(CALC_EEM!T4="","",CALC_EEM!T4)</f>
        <v>0</v>
      </c>
      <c r="U11">
        <f>IF(CALC_EEM!U4="","",CALC_EEM!U4)</f>
        <v>0</v>
      </c>
    </row>
    <row r="12" spans="1:24">
      <c r="A12" t="str">
        <f>IF(CALC_EEM!A5="","",IF(CALC_EEM!A5="GLOBAL","GLOBAL",IF(CALC_EEM!C5="Total","CURSO_TOTAL",IF(CALC_EEM!C5="TotalEsp","CURSO_ESP",IF(CALC_EEM!C5="TotalNoEsp","CURSO_NOESP","CURSO_ASIG")))))</f>
        <v>GLOBAL</v>
      </c>
      <c r="B12" t="str">
        <f>IF(CALC_EEM!A5="","",CALC_EEM!A5)</f>
        <v>GLOBAL</v>
      </c>
      <c r="C12" t="str">
        <f>IF(CALC_EEM!B5="","",CALC_EEM!B5)</f>
        <v>Total</v>
      </c>
      <c r="D12">
        <f>IF(CALC_EEM!D5="","",CALC_EEM!D5)</f>
        <v>0</v>
      </c>
      <c r="E12" s="14" t="str">
        <f>IF(CALC_EEM!E5="","",CALC_EEM!E5)</f>
        <v>—</v>
      </c>
      <c r="F12" s="14" t="str">
        <f>IF(CALC_EEM!F5="","",CALC_EEM!F5)</f>
        <v>—</v>
      </c>
      <c r="G12" t="str">
        <f>IF(CALC_EEM!G5="","",CALC_EEM!G5)</f>
        <v>—</v>
      </c>
      <c r="H12" s="16" t="str">
        <f>IF(CALC_EEM!H5="","",CALC_EEM!H5)</f>
        <v>—</v>
      </c>
      <c r="I12" s="16" t="str">
        <f>IF(CALC_EEM!I5="","",CALC_EEM!I5)</f>
        <v>—</v>
      </c>
      <c r="J12" t="str">
        <f>IF(CALC_EEM!J5="","",CALC_EEM!J5)</f>
        <v>—</v>
      </c>
      <c r="K12" t="str">
        <f>IF(CALC_EEM!K5="","",CALC_EEM!K5)</f>
        <v>—</v>
      </c>
      <c r="L12">
        <f>IF(CALC_EEM!L5="","",CALC_EEM!L5)</f>
        <v>0</v>
      </c>
      <c r="M12">
        <f>IF(CALC_EEM!M5="","",CALC_EEM!M5)</f>
        <v>0</v>
      </c>
      <c r="N12">
        <f>IF(CALC_EEM!N5="","",CALC_EEM!N5)</f>
        <v>0</v>
      </c>
      <c r="O12">
        <f>IF(CALC_EEM!O5="","",CALC_EEM!O5)</f>
        <v>0</v>
      </c>
      <c r="P12">
        <f>IF(CALC_EEM!P5="","",CALC_EEM!P5)</f>
        <v>0</v>
      </c>
      <c r="Q12">
        <f>IF(CALC_EEM!Q5="","",CALC_EEM!Q5)</f>
        <v>0</v>
      </c>
      <c r="R12">
        <f>IF(CALC_EEM!R5="","",CALC_EEM!R5)</f>
        <v>0</v>
      </c>
      <c r="S12">
        <f>IF(CALC_EEM!S5="","",CALC_EEM!S5)</f>
        <v>0</v>
      </c>
      <c r="T12">
        <f>IF(CALC_EEM!T5="","",CALC_EEM!T5)</f>
        <v>0</v>
      </c>
      <c r="U12">
        <f>IF(CALC_EEM!U5="","",CALC_EEM!U5)</f>
        <v>0</v>
      </c>
    </row>
    <row r="13" spans="1:24">
      <c r="A13" t="str">
        <f>IF(CALC_EEM!A6="","",IF(CALC_EEM!A6="GLOBAL","GLOBAL",IF(CALC_EEM!C6="Total","CURSO_TOTAL",IF(CALC_EEM!C6="TotalEsp","CURSO_ESP",IF(CALC_EEM!C6="TotalNoEsp","CURSO_NOESP","CURSO_ASIG")))))</f>
        <v>GLOBAL</v>
      </c>
      <c r="B13" t="str">
        <f>IF(CALC_EEM!A6="","",CALC_EEM!A6)</f>
        <v>GLOBAL</v>
      </c>
      <c r="C13" t="str">
        <f>IF(CALC_EEM!B6="","",CALC_EEM!B6)</f>
        <v>Total</v>
      </c>
      <c r="D13">
        <f>IF(CALC_EEM!D6="","",CALC_EEM!D6)</f>
        <v>0</v>
      </c>
      <c r="E13" s="14" t="str">
        <f>IF(CALC_EEM!E6="","",CALC_EEM!E6)</f>
        <v>—</v>
      </c>
      <c r="F13" s="14" t="str">
        <f>IF(CALC_EEM!F6="","",CALC_EEM!F6)</f>
        <v>—</v>
      </c>
      <c r="G13" t="str">
        <f>IF(CALC_EEM!G6="","",CALC_EEM!G6)</f>
        <v>—</v>
      </c>
      <c r="H13" s="16" t="str">
        <f>IF(CALC_EEM!H6="","",CALC_EEM!H6)</f>
        <v>—</v>
      </c>
      <c r="I13" s="16" t="str">
        <f>IF(CALC_EEM!I6="","",CALC_EEM!I6)</f>
        <v>—</v>
      </c>
      <c r="J13" t="str">
        <f>IF(CALC_EEM!J6="","",CALC_EEM!J6)</f>
        <v>—</v>
      </c>
      <c r="K13" t="str">
        <f>IF(CALC_EEM!K6="","",CALC_EEM!K6)</f>
        <v>—</v>
      </c>
      <c r="L13">
        <f>IF(CALC_EEM!L6="","",CALC_EEM!L6)</f>
        <v>0</v>
      </c>
      <c r="M13">
        <f>IF(CALC_EEM!M6="","",CALC_EEM!M6)</f>
        <v>0</v>
      </c>
      <c r="N13">
        <f>IF(CALC_EEM!N6="","",CALC_EEM!N6)</f>
        <v>0</v>
      </c>
      <c r="O13">
        <f>IF(CALC_EEM!O6="","",CALC_EEM!O6)</f>
        <v>0</v>
      </c>
      <c r="P13">
        <f>IF(CALC_EEM!P6="","",CALC_EEM!P6)</f>
        <v>0</v>
      </c>
      <c r="Q13">
        <f>IF(CALC_EEM!Q6="","",CALC_EEM!Q6)</f>
        <v>0</v>
      </c>
      <c r="R13">
        <f>IF(CALC_EEM!R6="","",CALC_EEM!R6)</f>
        <v>0</v>
      </c>
      <c r="S13">
        <f>IF(CALC_EEM!S6="","",CALC_EEM!S6)</f>
        <v>0</v>
      </c>
      <c r="T13">
        <f>IF(CALC_EEM!T6="","",CALC_EEM!T6)</f>
        <v>0</v>
      </c>
      <c r="U13">
        <f>IF(CALC_EEM!U6="","",CALC_EEM!U6)</f>
        <v>0</v>
      </c>
    </row>
    <row r="14" spans="1:24">
      <c r="A14" t="str">
        <f>IF(CALC_EEM!A7="","",IF(CALC_EEM!A7="GLOBAL","GLOBAL",IF(CALC_EEM!C7="Total","CURSO_TOTAL",IF(CALC_EEM!C7="TotalEsp","CURSO_ESP",IF(CALC_EEM!C7="TotalNoEsp","CURSO_NOESP","CURSO_ASIG")))))</f>
        <v>GLOBAL</v>
      </c>
      <c r="B14" t="str">
        <f>IF(CALC_EEM!A7="","",CALC_EEM!A7)</f>
        <v>GLOBAL</v>
      </c>
      <c r="C14" t="str">
        <f>IF(CALC_EEM!B7="","",CALC_EEM!B7)</f>
        <v>Total</v>
      </c>
      <c r="D14">
        <f>IF(CALC_EEM!D7="","",CALC_EEM!D7)</f>
        <v>0</v>
      </c>
      <c r="E14" s="14" t="str">
        <f>IF(CALC_EEM!E7="","",CALC_EEM!E7)</f>
        <v>—</v>
      </c>
      <c r="F14" s="14" t="str">
        <f>IF(CALC_EEM!F7="","",CALC_EEM!F7)</f>
        <v>—</v>
      </c>
      <c r="G14" t="str">
        <f>IF(CALC_EEM!G7="","",CALC_EEM!G7)</f>
        <v>—</v>
      </c>
      <c r="H14" s="16" t="str">
        <f>IF(CALC_EEM!H7="","",CALC_EEM!H7)</f>
        <v>—</v>
      </c>
      <c r="I14" s="16" t="str">
        <f>IF(CALC_EEM!I7="","",CALC_EEM!I7)</f>
        <v>—</v>
      </c>
      <c r="J14" t="str">
        <f>IF(CALC_EEM!J7="","",CALC_EEM!J7)</f>
        <v>—</v>
      </c>
      <c r="K14" t="str">
        <f>IF(CALC_EEM!K7="","",CALC_EEM!K7)</f>
        <v>—</v>
      </c>
      <c r="L14">
        <f>IF(CALC_EEM!L7="","",CALC_EEM!L7)</f>
        <v>0</v>
      </c>
      <c r="M14">
        <f>IF(CALC_EEM!M7="","",CALC_EEM!M7)</f>
        <v>0</v>
      </c>
      <c r="N14">
        <f>IF(CALC_EEM!N7="","",CALC_EEM!N7)</f>
        <v>0</v>
      </c>
      <c r="O14">
        <f>IF(CALC_EEM!O7="","",CALC_EEM!O7)</f>
        <v>0</v>
      </c>
      <c r="P14">
        <f>IF(CALC_EEM!P7="","",CALC_EEM!P7)</f>
        <v>0</v>
      </c>
      <c r="Q14">
        <f>IF(CALC_EEM!Q7="","",CALC_EEM!Q7)</f>
        <v>0</v>
      </c>
      <c r="R14">
        <f>IF(CALC_EEM!R7="","",CALC_EEM!R7)</f>
        <v>0</v>
      </c>
      <c r="S14">
        <f>IF(CALC_EEM!S7="","",CALC_EEM!S7)</f>
        <v>0</v>
      </c>
      <c r="T14">
        <f>IF(CALC_EEM!T7="","",CALC_EEM!T7)</f>
        <v>0</v>
      </c>
      <c r="U14">
        <f>IF(CALC_EEM!U7="","",CALC_EEM!U7)</f>
        <v>0</v>
      </c>
    </row>
    <row r="15" spans="1:24">
      <c r="A15" t="str">
        <f>IF(CALC_EEM!A8="","",IF(CALC_EEM!A8="GLOBAL","GLOBAL",IF(CALC_EEM!C8="Total","CURSO_TOTAL",IF(CALC_EEM!C8="TotalEsp","CURSO_ESP",IF(CALC_EEM!C8="TotalNoEsp","CURSO_NOESP","CURSO_ASIG")))))</f>
        <v>GLOBAL</v>
      </c>
      <c r="B15" t="str">
        <f>IF(CALC_EEM!A8="","",CALC_EEM!A8)</f>
        <v>GLOBAL</v>
      </c>
      <c r="C15" t="str">
        <f>IF(CALC_EEM!B8="","",CALC_EEM!B8)</f>
        <v>Total</v>
      </c>
      <c r="D15">
        <f>IF(CALC_EEM!D8="","",CALC_EEM!D8)</f>
        <v>0</v>
      </c>
      <c r="E15" s="14" t="str">
        <f>IF(CALC_EEM!E8="","",CALC_EEM!E8)</f>
        <v>—</v>
      </c>
      <c r="F15" s="14" t="str">
        <f>IF(CALC_EEM!F8="","",CALC_EEM!F8)</f>
        <v>—</v>
      </c>
      <c r="G15" t="str">
        <f>IF(CALC_EEM!G8="","",CALC_EEM!G8)</f>
        <v>—</v>
      </c>
      <c r="H15" s="16" t="str">
        <f>IF(CALC_EEM!H8="","",CALC_EEM!H8)</f>
        <v>—</v>
      </c>
      <c r="I15" s="16" t="str">
        <f>IF(CALC_EEM!I8="","",CALC_EEM!I8)</f>
        <v>—</v>
      </c>
      <c r="J15" t="str">
        <f>IF(CALC_EEM!J8="","",CALC_EEM!J8)</f>
        <v>—</v>
      </c>
      <c r="K15" t="str">
        <f>IF(CALC_EEM!K8="","",CALC_EEM!K8)</f>
        <v>—</v>
      </c>
      <c r="L15">
        <f>IF(CALC_EEM!L8="","",CALC_EEM!L8)</f>
        <v>0</v>
      </c>
      <c r="M15">
        <f>IF(CALC_EEM!M8="","",CALC_EEM!M8)</f>
        <v>0</v>
      </c>
      <c r="N15">
        <f>IF(CALC_EEM!N8="","",CALC_EEM!N8)</f>
        <v>0</v>
      </c>
      <c r="O15">
        <f>IF(CALC_EEM!O8="","",CALC_EEM!O8)</f>
        <v>0</v>
      </c>
      <c r="P15">
        <f>IF(CALC_EEM!P8="","",CALC_EEM!P8)</f>
        <v>0</v>
      </c>
      <c r="Q15">
        <f>IF(CALC_EEM!Q8="","",CALC_EEM!Q8)</f>
        <v>0</v>
      </c>
      <c r="R15">
        <f>IF(CALC_EEM!R8="","",CALC_EEM!R8)</f>
        <v>0</v>
      </c>
      <c r="S15">
        <f>IF(CALC_EEM!S8="","",CALC_EEM!S8)</f>
        <v>0</v>
      </c>
      <c r="T15">
        <f>IF(CALC_EEM!T8="","",CALC_EEM!T8)</f>
        <v>0</v>
      </c>
      <c r="U15">
        <f>IF(CALC_EEM!U8="","",CALC_EEM!U8)</f>
        <v>0</v>
      </c>
    </row>
    <row r="16" spans="1:24">
      <c r="A16" t="str">
        <f>IF(CALC_EEM!A9="","",IF(CALC_EEM!A9="GLOBAL","GLOBAL",IF(CALC_EEM!C9="Total","CURSO_TOTAL",IF(CALC_EEM!C9="TotalEsp","CURSO_ESP",IF(CALC_EEM!C9="TotalNoEsp","CURSO_NOESP","CURSO_ASIG")))))</f>
        <v>GLOBAL</v>
      </c>
      <c r="B16" t="str">
        <f>IF(CALC_EEM!A9="","",CALC_EEM!A9)</f>
        <v>GLOBAL</v>
      </c>
      <c r="C16" t="str">
        <f>IF(CALC_EEM!B9="","",CALC_EEM!B9)</f>
        <v>Total</v>
      </c>
      <c r="D16">
        <f>IF(CALC_EEM!D9="","",CALC_EEM!D9)</f>
        <v>0</v>
      </c>
      <c r="E16" s="14" t="str">
        <f>IF(CALC_EEM!E9="","",CALC_EEM!E9)</f>
        <v>—</v>
      </c>
      <c r="F16" s="14" t="str">
        <f>IF(CALC_EEM!F9="","",CALC_EEM!F9)</f>
        <v>—</v>
      </c>
      <c r="G16" t="str">
        <f>IF(CALC_EEM!G9="","",CALC_EEM!G9)</f>
        <v>—</v>
      </c>
      <c r="H16" s="16" t="str">
        <f>IF(CALC_EEM!H9="","",CALC_EEM!H9)</f>
        <v>—</v>
      </c>
      <c r="I16" s="16" t="str">
        <f>IF(CALC_EEM!I9="","",CALC_EEM!I9)</f>
        <v>—</v>
      </c>
      <c r="J16" t="str">
        <f>IF(CALC_EEM!J9="","",CALC_EEM!J9)</f>
        <v>—</v>
      </c>
      <c r="K16" t="str">
        <f>IF(CALC_EEM!K9="","",CALC_EEM!K9)</f>
        <v>—</v>
      </c>
      <c r="L16">
        <f>IF(CALC_EEM!L9="","",CALC_EEM!L9)</f>
        <v>0</v>
      </c>
      <c r="M16">
        <f>IF(CALC_EEM!M9="","",CALC_EEM!M9)</f>
        <v>0</v>
      </c>
      <c r="N16">
        <f>IF(CALC_EEM!N9="","",CALC_EEM!N9)</f>
        <v>0</v>
      </c>
      <c r="O16">
        <f>IF(CALC_EEM!O9="","",CALC_EEM!O9)</f>
        <v>0</v>
      </c>
      <c r="P16">
        <f>IF(CALC_EEM!P9="","",CALC_EEM!P9)</f>
        <v>0</v>
      </c>
      <c r="Q16">
        <f>IF(CALC_EEM!Q9="","",CALC_EEM!Q9)</f>
        <v>0</v>
      </c>
      <c r="R16">
        <f>IF(CALC_EEM!R9="","",CALC_EEM!R9)</f>
        <v>0</v>
      </c>
      <c r="S16">
        <f>IF(CALC_EEM!S9="","",CALC_EEM!S9)</f>
        <v>0</v>
      </c>
      <c r="T16">
        <f>IF(CALC_EEM!T9="","",CALC_EEM!T9)</f>
        <v>0</v>
      </c>
      <c r="U16">
        <f>IF(CALC_EEM!U9="","",CALC_EEM!U9)</f>
        <v>0</v>
      </c>
    </row>
    <row r="17" spans="1:24">
      <c r="A17" t="str">
        <f>IF(CALC_EEM!A10="","",IF(CALC_EEM!A10="GLOBAL","GLOBAL",IF(CALC_EEM!C10="Total","CURSO_TOTAL",IF(CALC_EEM!C10="TotalEsp","CURSO_ESP",IF(CALC_EEM!C10="TotalNoEsp","CURSO_NOESP","CURSO_ASIG")))))</f>
        <v>GLOBAL</v>
      </c>
      <c r="B17" t="str">
        <f>IF(CALC_EEM!A10="","",CALC_EEM!A10)</f>
        <v>GLOBAL</v>
      </c>
      <c r="C17" t="str">
        <f>IF(CALC_EEM!B10="","",CALC_EEM!B10)</f>
        <v>Total</v>
      </c>
      <c r="D17">
        <f>IF(CALC_EEM!D10="","",CALC_EEM!D10)</f>
        <v>0</v>
      </c>
      <c r="E17" s="14" t="str">
        <f>IF(CALC_EEM!E10="","",CALC_EEM!E10)</f>
        <v>—</v>
      </c>
      <c r="F17" s="14" t="str">
        <f>IF(CALC_EEM!F10="","",CALC_EEM!F10)</f>
        <v>—</v>
      </c>
      <c r="G17" t="str">
        <f>IF(CALC_EEM!G10="","",CALC_EEM!G10)</f>
        <v>—</v>
      </c>
      <c r="H17" s="16" t="str">
        <f>IF(CALC_EEM!H10="","",CALC_EEM!H10)</f>
        <v>—</v>
      </c>
      <c r="I17" s="16" t="str">
        <f>IF(CALC_EEM!I10="","",CALC_EEM!I10)</f>
        <v>—</v>
      </c>
      <c r="J17" t="str">
        <f>IF(CALC_EEM!J10="","",CALC_EEM!J10)</f>
        <v>—</v>
      </c>
      <c r="K17" t="str">
        <f>IF(CALC_EEM!K10="","",CALC_EEM!K10)</f>
        <v>—</v>
      </c>
      <c r="L17">
        <f>IF(CALC_EEM!L10="","",CALC_EEM!L10)</f>
        <v>0</v>
      </c>
      <c r="M17">
        <f>IF(CALC_EEM!M10="","",CALC_EEM!M10)</f>
        <v>0</v>
      </c>
      <c r="N17">
        <f>IF(CALC_EEM!N10="","",CALC_EEM!N10)</f>
        <v>0</v>
      </c>
      <c r="O17">
        <f>IF(CALC_EEM!O10="","",CALC_EEM!O10)</f>
        <v>0</v>
      </c>
      <c r="P17">
        <f>IF(CALC_EEM!P10="","",CALC_EEM!P10)</f>
        <v>0</v>
      </c>
      <c r="Q17">
        <f>IF(CALC_EEM!Q10="","",CALC_EEM!Q10)</f>
        <v>0</v>
      </c>
      <c r="R17">
        <f>IF(CALC_EEM!R10="","",CALC_EEM!R10)</f>
        <v>0</v>
      </c>
      <c r="S17">
        <f>IF(CALC_EEM!S10="","",CALC_EEM!S10)</f>
        <v>0</v>
      </c>
      <c r="T17">
        <f>IF(CALC_EEM!T10="","",CALC_EEM!T10)</f>
        <v>0</v>
      </c>
      <c r="U17">
        <f>IF(CALC_EEM!U10="","",CALC_EEM!U10)</f>
        <v>0</v>
      </c>
    </row>
    <row r="18" spans="1:24">
      <c r="A18" t="str">
        <f>IF(CALC_EEM!A11="","",IF(CALC_EEM!A11="GLOBAL","GLOBAL",IF(CALC_EEM!C11="Total","CURSO_TOTAL",IF(CALC_EEM!C11="TotalEsp","CURSO_ESP",IF(CALC_EEM!C11="TotalNoEsp","CURSO_NOESP","CURSO_ASIG")))))</f>
        <v>GLOBAL</v>
      </c>
      <c r="B18" t="str">
        <f>IF(CALC_EEM!A11="","",CALC_EEM!A11)</f>
        <v>GLOBAL</v>
      </c>
      <c r="C18" t="str">
        <f>IF(CALC_EEM!B11="","",CALC_EEM!B11)</f>
        <v>Total</v>
      </c>
      <c r="D18">
        <f>IF(CALC_EEM!D11="","",CALC_EEM!D11)</f>
        <v>0</v>
      </c>
      <c r="E18" s="14" t="str">
        <f>IF(CALC_EEM!E11="","",CALC_EEM!E11)</f>
        <v>—</v>
      </c>
      <c r="F18" s="14" t="str">
        <f>IF(CALC_EEM!F11="","",CALC_EEM!F11)</f>
        <v>—</v>
      </c>
      <c r="G18" t="str">
        <f>IF(CALC_EEM!G11="","",CALC_EEM!G11)</f>
        <v>—</v>
      </c>
      <c r="H18" s="16" t="str">
        <f>IF(CALC_EEM!H11="","",CALC_EEM!H11)</f>
        <v>—</v>
      </c>
      <c r="I18" s="16" t="str">
        <f>IF(CALC_EEM!I11="","",CALC_EEM!I11)</f>
        <v>—</v>
      </c>
      <c r="J18" t="str">
        <f>IF(CALC_EEM!J11="","",CALC_EEM!J11)</f>
        <v>—</v>
      </c>
      <c r="K18" t="str">
        <f>IF(CALC_EEM!K11="","",CALC_EEM!K11)</f>
        <v>—</v>
      </c>
      <c r="L18">
        <f>IF(CALC_EEM!L11="","",CALC_EEM!L11)</f>
        <v>0</v>
      </c>
      <c r="M18">
        <f>IF(CALC_EEM!M11="","",CALC_EEM!M11)</f>
        <v>0</v>
      </c>
      <c r="N18">
        <f>IF(CALC_EEM!N11="","",CALC_EEM!N11)</f>
        <v>0</v>
      </c>
      <c r="O18">
        <f>IF(CALC_EEM!O11="","",CALC_EEM!O11)</f>
        <v>0</v>
      </c>
      <c r="P18">
        <f>IF(CALC_EEM!P11="","",CALC_EEM!P11)</f>
        <v>0</v>
      </c>
      <c r="Q18">
        <f>IF(CALC_EEM!Q11="","",CALC_EEM!Q11)</f>
        <v>0</v>
      </c>
      <c r="R18">
        <f>IF(CALC_EEM!R11="","",CALC_EEM!R11)</f>
        <v>0</v>
      </c>
      <c r="S18">
        <f>IF(CALC_EEM!S11="","",CALC_EEM!S11)</f>
        <v>0</v>
      </c>
      <c r="T18">
        <f>IF(CALC_EEM!T11="","",CALC_EEM!T11)</f>
        <v>0</v>
      </c>
      <c r="U18">
        <f>IF(CALC_EEM!U11="","",CALC_EEM!U11)</f>
        <v>0</v>
      </c>
    </row>
    <row r="19" spans="1:24">
      <c r="A19" t="str">
        <f>IF(CALC_EEM!A12="","",IF(CALC_EEM!A12="GLOBAL","GLOBAL",IF(CALC_EEM!C12="Total","CURSO_TOTAL",IF(CALC_EEM!C12="TotalEsp","CURSO_ESP",IF(CALC_EEM!C12="TotalNoEsp","CURSO_NOESP","CURSO_ASIG")))))</f>
        <v>GLOBAL</v>
      </c>
      <c r="B19" t="str">
        <f>IF(CALC_EEM!A12="","",CALC_EEM!A12)</f>
        <v>GLOBAL</v>
      </c>
      <c r="C19" t="str">
        <f>IF(CALC_EEM!B12="","",CALC_EEM!B12)</f>
        <v>Total</v>
      </c>
      <c r="D19">
        <f>IF(CALC_EEM!D12="","",CALC_EEM!D12)</f>
        <v>0</v>
      </c>
      <c r="E19" s="14" t="str">
        <f>IF(CALC_EEM!E12="","",CALC_EEM!E12)</f>
        <v>—</v>
      </c>
      <c r="F19" s="14" t="str">
        <f>IF(CALC_EEM!F12="","",CALC_EEM!F12)</f>
        <v>—</v>
      </c>
      <c r="G19" t="str">
        <f>IF(CALC_EEM!G12="","",CALC_EEM!G12)</f>
        <v>—</v>
      </c>
      <c r="H19" s="16" t="str">
        <f>IF(CALC_EEM!H12="","",CALC_EEM!H12)</f>
        <v>—</v>
      </c>
      <c r="I19" s="16" t="str">
        <f>IF(CALC_EEM!I12="","",CALC_EEM!I12)</f>
        <v>—</v>
      </c>
      <c r="J19" t="str">
        <f>IF(CALC_EEM!J12="","",CALC_EEM!J12)</f>
        <v>—</v>
      </c>
      <c r="K19" t="str">
        <f>IF(CALC_EEM!K12="","",CALC_EEM!K12)</f>
        <v>—</v>
      </c>
      <c r="L19">
        <f>IF(CALC_EEM!L12="","",CALC_EEM!L12)</f>
        <v>0</v>
      </c>
      <c r="M19">
        <f>IF(CALC_EEM!M12="","",CALC_EEM!M12)</f>
        <v>0</v>
      </c>
      <c r="N19">
        <f>IF(CALC_EEM!N12="","",CALC_EEM!N12)</f>
        <v>0</v>
      </c>
      <c r="O19">
        <f>IF(CALC_EEM!O12="","",CALC_EEM!O12)</f>
        <v>0</v>
      </c>
      <c r="P19">
        <f>IF(CALC_EEM!P12="","",CALC_EEM!P12)</f>
        <v>0</v>
      </c>
      <c r="Q19">
        <f>IF(CALC_EEM!Q12="","",CALC_EEM!Q12)</f>
        <v>0</v>
      </c>
      <c r="R19">
        <f>IF(CALC_EEM!R12="","",CALC_EEM!R12)</f>
        <v>0</v>
      </c>
      <c r="S19">
        <f>IF(CALC_EEM!S12="","",CALC_EEM!S12)</f>
        <v>0</v>
      </c>
      <c r="T19">
        <f>IF(CALC_EEM!T12="","",CALC_EEM!T12)</f>
        <v>0</v>
      </c>
      <c r="U19">
        <f>IF(CALC_EEM!U12="","",CALC_EEM!U12)</f>
        <v>0</v>
      </c>
    </row>
    <row r="20" spans="1:24">
      <c r="A20" t="str">
        <f>IF(CALC_EEM!A13="","",IF(CALC_EEM!A13="GLOBAL","GLOBAL",IF(CALC_EEM!C13="Total","CURSO_TOTAL",IF(CALC_EEM!C13="TotalEsp","CURSO_ESP",IF(CALC_EEM!C13="TotalNoEsp","CURSO_NOESP","CURSO_ASIG")))))</f>
        <v>GLOBAL</v>
      </c>
      <c r="B20" t="str">
        <f>IF(CALC_EEM!A13="","",CALC_EEM!A13)</f>
        <v>GLOBAL</v>
      </c>
      <c r="C20" t="str">
        <f>IF(CALC_EEM!B13="","",CALC_EEM!B13)</f>
        <v>Total</v>
      </c>
      <c r="D20">
        <f>IF(CALC_EEM!D13="","",CALC_EEM!D13)</f>
        <v>0</v>
      </c>
      <c r="E20" s="14" t="str">
        <f>IF(CALC_EEM!E13="","",CALC_EEM!E13)</f>
        <v>—</v>
      </c>
      <c r="F20" s="14" t="str">
        <f>IF(CALC_EEM!F13="","",CALC_EEM!F13)</f>
        <v>—</v>
      </c>
      <c r="G20" t="str">
        <f>IF(CALC_EEM!G13="","",CALC_EEM!G13)</f>
        <v>—</v>
      </c>
      <c r="H20" s="16" t="str">
        <f>IF(CALC_EEM!H13="","",CALC_EEM!H13)</f>
        <v>—</v>
      </c>
      <c r="I20" s="16" t="str">
        <f>IF(CALC_EEM!I13="","",CALC_EEM!I13)</f>
        <v>—</v>
      </c>
      <c r="J20" t="str">
        <f>IF(CALC_EEM!J13="","",CALC_EEM!J13)</f>
        <v>—</v>
      </c>
      <c r="K20" t="str">
        <f>IF(CALC_EEM!K13="","",CALC_EEM!K13)</f>
        <v>—</v>
      </c>
      <c r="L20">
        <f>IF(CALC_EEM!L13="","",CALC_EEM!L13)</f>
        <v>0</v>
      </c>
      <c r="M20">
        <f>IF(CALC_EEM!M13="","",CALC_EEM!M13)</f>
        <v>0</v>
      </c>
      <c r="N20">
        <f>IF(CALC_EEM!N13="","",CALC_EEM!N13)</f>
        <v>0</v>
      </c>
      <c r="O20">
        <f>IF(CALC_EEM!O13="","",CALC_EEM!O13)</f>
        <v>0</v>
      </c>
      <c r="P20">
        <f>IF(CALC_EEM!P13="","",CALC_EEM!P13)</f>
        <v>0</v>
      </c>
      <c r="Q20">
        <f>IF(CALC_EEM!Q13="","",CALC_EEM!Q13)</f>
        <v>0</v>
      </c>
      <c r="R20">
        <f>IF(CALC_EEM!R13="","",CALC_EEM!R13)</f>
        <v>0</v>
      </c>
      <c r="S20">
        <f>IF(CALC_EEM!S13="","",CALC_EEM!S13)</f>
        <v>0</v>
      </c>
      <c r="T20">
        <f>IF(CALC_EEM!T13="","",CALC_EEM!T13)</f>
        <v>0</v>
      </c>
      <c r="U20">
        <f>IF(CALC_EEM!U13="","",CALC_EEM!U13)</f>
        <v>0</v>
      </c>
    </row>
    <row r="21" spans="1:24">
      <c r="A21" t="str">
        <f>IF(CALC_EEM!A14="","",IF(CALC_EEM!A14="GLOBAL","GLOBAL",IF(CALC_EEM!C14="Total","CURSO_TOTAL",IF(CALC_EEM!C14="TotalEsp","CURSO_ESP",IF(CALC_EEM!C14="TotalNoEsp","CURSO_NOESP","CURSO_ASIG")))))</f>
        <v>GLOBAL</v>
      </c>
      <c r="B21" t="str">
        <f>IF(CALC_EEM!A14="","",CALC_EEM!A14)</f>
        <v>GLOBAL</v>
      </c>
      <c r="C21" t="str">
        <f>IF(CALC_EEM!B14="","",CALC_EEM!B14)</f>
        <v>Total</v>
      </c>
      <c r="D21">
        <f>IF(CALC_EEM!D14="","",CALC_EEM!D14)</f>
        <v>0</v>
      </c>
      <c r="E21" s="14" t="str">
        <f>IF(CALC_EEM!E14="","",CALC_EEM!E14)</f>
        <v>—</v>
      </c>
      <c r="F21" s="14" t="str">
        <f>IF(CALC_EEM!F14="","",CALC_EEM!F14)</f>
        <v>—</v>
      </c>
      <c r="G21" t="str">
        <f>IF(CALC_EEM!G14="","",CALC_EEM!G14)</f>
        <v>—</v>
      </c>
      <c r="H21" s="16" t="str">
        <f>IF(CALC_EEM!H14="","",CALC_EEM!H14)</f>
        <v>—</v>
      </c>
      <c r="I21" s="16" t="str">
        <f>IF(CALC_EEM!I14="","",CALC_EEM!I14)</f>
        <v>—</v>
      </c>
      <c r="J21" t="str">
        <f>IF(CALC_EEM!J14="","",CALC_EEM!J14)</f>
        <v>—</v>
      </c>
      <c r="K21" t="str">
        <f>IF(CALC_EEM!K14="","",CALC_EEM!K14)</f>
        <v>—</v>
      </c>
      <c r="L21">
        <f>IF(CALC_EEM!L14="","",CALC_EEM!L14)</f>
        <v>0</v>
      </c>
      <c r="M21">
        <f>IF(CALC_EEM!M14="","",CALC_EEM!M14)</f>
        <v>0</v>
      </c>
      <c r="N21">
        <f>IF(CALC_EEM!N14="","",CALC_EEM!N14)</f>
        <v>0</v>
      </c>
      <c r="O21">
        <f>IF(CALC_EEM!O14="","",CALC_EEM!O14)</f>
        <v>0</v>
      </c>
      <c r="P21">
        <f>IF(CALC_EEM!P14="","",CALC_EEM!P14)</f>
        <v>0</v>
      </c>
      <c r="Q21">
        <f>IF(CALC_EEM!Q14="","",CALC_EEM!Q14)</f>
        <v>0</v>
      </c>
      <c r="R21">
        <f>IF(CALC_EEM!R14="","",CALC_EEM!R14)</f>
        <v>0</v>
      </c>
      <c r="S21">
        <f>IF(CALC_EEM!S14="","",CALC_EEM!S14)</f>
        <v>0</v>
      </c>
      <c r="T21">
        <f>IF(CALC_EEM!T14="","",CALC_EEM!T14)</f>
        <v>0</v>
      </c>
      <c r="U21">
        <f>IF(CALC_EEM!U14="","",CALC_EEM!U14)</f>
        <v>0</v>
      </c>
    </row>
    <row r="22" spans="1:24">
      <c r="A22" t="str">
        <f>IF(CALC_EEM!A15="","",IF(CALC_EEM!A15="GLOBAL","GLOBAL",IF(CALC_EEM!C15="Total","CURSO_TOTAL",IF(CALC_EEM!C15="TotalEsp","CURSO_ESP",IF(CALC_EEM!C15="TotalNoEsp","CURSO_NOESP","CURSO_ASIG")))))</f>
        <v>GLOBAL</v>
      </c>
      <c r="B22" t="str">
        <f>IF(CALC_EEM!A15="","",CALC_EEM!A15)</f>
        <v>GLOBAL</v>
      </c>
      <c r="C22" t="str">
        <f>IF(CALC_EEM!B15="","",CALC_EEM!B15)</f>
        <v>Total</v>
      </c>
      <c r="D22">
        <f>IF(CALC_EEM!D15="","",CALC_EEM!D15)</f>
        <v>0</v>
      </c>
      <c r="E22" s="14" t="str">
        <f>IF(CALC_EEM!E15="","",CALC_EEM!E15)</f>
        <v>—</v>
      </c>
      <c r="F22" s="14" t="str">
        <f>IF(CALC_EEM!F15="","",CALC_EEM!F15)</f>
        <v>—</v>
      </c>
      <c r="G22" t="str">
        <f>IF(CALC_EEM!G15="","",CALC_EEM!G15)</f>
        <v>—</v>
      </c>
      <c r="H22" s="16" t="str">
        <f>IF(CALC_EEM!H15="","",CALC_EEM!H15)</f>
        <v>—</v>
      </c>
      <c r="I22" s="16" t="str">
        <f>IF(CALC_EEM!I15="","",CALC_EEM!I15)</f>
        <v>—</v>
      </c>
      <c r="J22" t="str">
        <f>IF(CALC_EEM!J15="","",CALC_EEM!J15)</f>
        <v>—</v>
      </c>
      <c r="K22" t="str">
        <f>IF(CALC_EEM!K15="","",CALC_EEM!K15)</f>
        <v>—</v>
      </c>
      <c r="L22">
        <f>IF(CALC_EEM!L15="","",CALC_EEM!L15)</f>
        <v>0</v>
      </c>
      <c r="M22">
        <f>IF(CALC_EEM!M15="","",CALC_EEM!M15)</f>
        <v>0</v>
      </c>
      <c r="N22">
        <f>IF(CALC_EEM!N15="","",CALC_EEM!N15)</f>
        <v>0</v>
      </c>
      <c r="O22">
        <f>IF(CALC_EEM!O15="","",CALC_EEM!O15)</f>
        <v>0</v>
      </c>
      <c r="P22">
        <f>IF(CALC_EEM!P15="","",CALC_EEM!P15)</f>
        <v>0</v>
      </c>
      <c r="Q22">
        <f>IF(CALC_EEM!Q15="","",CALC_EEM!Q15)</f>
        <v>0</v>
      </c>
      <c r="R22">
        <f>IF(CALC_EEM!R15="","",CALC_EEM!R15)</f>
        <v>0</v>
      </c>
      <c r="S22">
        <f>IF(CALC_EEM!S15="","",CALC_EEM!S15)</f>
        <v>0</v>
      </c>
      <c r="T22">
        <f>IF(CALC_EEM!T15="","",CALC_EEM!T15)</f>
        <v>0</v>
      </c>
      <c r="U22">
        <f>IF(CALC_EEM!U15="","",CALC_EEM!U15)</f>
        <v>0</v>
      </c>
    </row>
    <row r="23" spans="1:24">
      <c r="A23" t="str">
        <f>IF(CALC_EEM!A16="","",IF(CALC_EEM!A16="GLOBAL","GLOBAL",IF(CALC_EEM!C16="Total","CURSO_TOTAL",IF(CALC_EEM!C16="TotalEsp","CURSO_ESP",IF(CALC_EEM!C16="TotalNoEsp","CURSO_NOESP","CURSO_ASIG")))))</f>
        <v>GLOBAL</v>
      </c>
      <c r="B23" t="str">
        <f>IF(CALC_EEM!A16="","",CALC_EEM!A16)</f>
        <v>GLOBAL</v>
      </c>
      <c r="C23" t="str">
        <f>IF(CALC_EEM!B16="","",CALC_EEM!B16)</f>
        <v>Total</v>
      </c>
      <c r="D23">
        <f>IF(CALC_EEM!D16="","",CALC_EEM!D16)</f>
        <v>0</v>
      </c>
      <c r="E23" s="14" t="str">
        <f>IF(CALC_EEM!E16="","",CALC_EEM!E16)</f>
        <v>—</v>
      </c>
      <c r="F23" s="14" t="str">
        <f>IF(CALC_EEM!F16="","",CALC_EEM!F16)</f>
        <v>—</v>
      </c>
      <c r="G23" t="str">
        <f>IF(CALC_EEM!G16="","",CALC_EEM!G16)</f>
        <v>—</v>
      </c>
      <c r="H23" s="16" t="str">
        <f>IF(CALC_EEM!H16="","",CALC_EEM!H16)</f>
        <v>—</v>
      </c>
      <c r="I23" s="16" t="str">
        <f>IF(CALC_EEM!I16="","",CALC_EEM!I16)</f>
        <v>—</v>
      </c>
      <c r="J23" t="str">
        <f>IF(CALC_EEM!J16="","",CALC_EEM!J16)</f>
        <v>—</v>
      </c>
      <c r="K23" t="str">
        <f>IF(CALC_EEM!K16="","",CALC_EEM!K16)</f>
        <v>—</v>
      </c>
      <c r="L23">
        <f>IF(CALC_EEM!L16="","",CALC_EEM!L16)</f>
        <v>0</v>
      </c>
      <c r="M23">
        <f>IF(CALC_EEM!M16="","",CALC_EEM!M16)</f>
        <v>0</v>
      </c>
      <c r="N23">
        <f>IF(CALC_EEM!N16="","",CALC_EEM!N16)</f>
        <v>0</v>
      </c>
      <c r="O23">
        <f>IF(CALC_EEM!O16="","",CALC_EEM!O16)</f>
        <v>0</v>
      </c>
      <c r="P23">
        <f>IF(CALC_EEM!P16="","",CALC_EEM!P16)</f>
        <v>0</v>
      </c>
      <c r="Q23">
        <f>IF(CALC_EEM!Q16="","",CALC_EEM!Q16)</f>
        <v>0</v>
      </c>
      <c r="R23">
        <f>IF(CALC_EEM!R16="","",CALC_EEM!R16)</f>
        <v>0</v>
      </c>
      <c r="S23">
        <f>IF(CALC_EEM!S16="","",CALC_EEM!S16)</f>
        <v>0</v>
      </c>
      <c r="T23">
        <f>IF(CALC_EEM!T16="","",CALC_EEM!T16)</f>
        <v>0</v>
      </c>
      <c r="U23">
        <f>IF(CALC_EEM!U16="","",CALC_EEM!U16)</f>
        <v>0</v>
      </c>
    </row>
    <row r="24" spans="1:24">
      <c r="A24" t="str">
        <f>IF(CALC_EEM!A17="","",IF(CALC_EEM!A17="GLOBAL","GLOBAL",IF(CALC_EEM!C17="Total","CURSO_TOTAL",IF(CALC_EEM!C17="TotalEsp","CURSO_ESP",IF(CALC_EEM!C17="TotalNoEsp","CURSO_NOESP","CURSO_ASIG")))))</f>
        <v>GLOBAL</v>
      </c>
      <c r="B24" t="str">
        <f>IF(CALC_EEM!A17="","",CALC_EEM!A17)</f>
        <v>GLOBAL</v>
      </c>
      <c r="C24" t="str">
        <f>IF(CALC_EEM!B17="","",CALC_EEM!B17)</f>
        <v>Total</v>
      </c>
      <c r="D24">
        <f>IF(CALC_EEM!D17="","",CALC_EEM!D17)</f>
        <v>0</v>
      </c>
      <c r="E24" s="14" t="str">
        <f>IF(CALC_EEM!E17="","",CALC_EEM!E17)</f>
        <v>—</v>
      </c>
      <c r="F24" s="14" t="str">
        <f>IF(CALC_EEM!F17="","",CALC_EEM!F17)</f>
        <v>—</v>
      </c>
      <c r="G24" t="str">
        <f>IF(CALC_EEM!G17="","",CALC_EEM!G17)</f>
        <v>—</v>
      </c>
      <c r="H24" s="16" t="str">
        <f>IF(CALC_EEM!H17="","",CALC_EEM!H17)</f>
        <v>—</v>
      </c>
      <c r="I24" s="16" t="str">
        <f>IF(CALC_EEM!I17="","",CALC_EEM!I17)</f>
        <v>—</v>
      </c>
      <c r="J24" t="str">
        <f>IF(CALC_EEM!J17="","",CALC_EEM!J17)</f>
        <v>—</v>
      </c>
      <c r="K24" t="str">
        <f>IF(CALC_EEM!K17="","",CALC_EEM!K17)</f>
        <v>—</v>
      </c>
      <c r="L24">
        <f>IF(CALC_EEM!L17="","",CALC_EEM!L17)</f>
        <v>0</v>
      </c>
      <c r="M24">
        <f>IF(CALC_EEM!M17="","",CALC_EEM!M17)</f>
        <v>0</v>
      </c>
      <c r="N24">
        <f>IF(CALC_EEM!N17="","",CALC_EEM!N17)</f>
        <v>0</v>
      </c>
      <c r="O24">
        <f>IF(CALC_EEM!O17="","",CALC_EEM!O17)</f>
        <v>0</v>
      </c>
      <c r="P24">
        <f>IF(CALC_EEM!P17="","",CALC_EEM!P17)</f>
        <v>0</v>
      </c>
      <c r="Q24">
        <f>IF(CALC_EEM!Q17="","",CALC_EEM!Q17)</f>
        <v>0</v>
      </c>
      <c r="R24">
        <f>IF(CALC_EEM!R17="","",CALC_EEM!R17)</f>
        <v>0</v>
      </c>
      <c r="S24">
        <f>IF(CALC_EEM!S17="","",CALC_EEM!S17)</f>
        <v>0</v>
      </c>
      <c r="T24">
        <f>IF(CALC_EEM!T17="","",CALC_EEM!T17)</f>
        <v>0</v>
      </c>
      <c r="U24">
        <f>IF(CALC_EEM!U17="","",CALC_EEM!U17)</f>
        <v>0</v>
      </c>
    </row>
    <row r="25" spans="1:24">
      <c r="A25" t="str">
        <f>IF(CALC_EEM!A18="","",IF(CALC_EEM!A18="GLOBAL","GLOBAL",IF(CALC_EEM!C18="Total","CURSO_TOTAL",IF(CALC_EEM!C18="TotalEsp","CURSO_ESP",IF(CALC_EEM!C18="TotalNoEsp","CURSO_NOESP","CURSO_ASIG")))))</f>
        <v>GLOBAL</v>
      </c>
      <c r="B25" t="str">
        <f>IF(CALC_EEM!A18="","",CALC_EEM!A18)</f>
        <v>GLOBAL</v>
      </c>
      <c r="C25" t="str">
        <f>IF(CALC_EEM!B18="","",CALC_EEM!B18)</f>
        <v>Total</v>
      </c>
      <c r="D25">
        <f>IF(CALC_EEM!D18="","",CALC_EEM!D18)</f>
        <v>0</v>
      </c>
      <c r="E25" s="14" t="str">
        <f>IF(CALC_EEM!E18="","",CALC_EEM!E18)</f>
        <v>—</v>
      </c>
      <c r="F25" s="14" t="str">
        <f>IF(CALC_EEM!F18="","",CALC_EEM!F18)</f>
        <v>—</v>
      </c>
      <c r="G25" t="str">
        <f>IF(CALC_EEM!G18="","",CALC_EEM!G18)</f>
        <v>—</v>
      </c>
      <c r="H25" s="16" t="str">
        <f>IF(CALC_EEM!H18="","",CALC_EEM!H18)</f>
        <v>—</v>
      </c>
      <c r="I25" s="16" t="str">
        <f>IF(CALC_EEM!I18="","",CALC_EEM!I18)</f>
        <v>—</v>
      </c>
      <c r="J25" t="str">
        <f>IF(CALC_EEM!J18="","",CALC_EEM!J18)</f>
        <v>—</v>
      </c>
      <c r="K25" t="str">
        <f>IF(CALC_EEM!K18="","",CALC_EEM!K18)</f>
        <v>—</v>
      </c>
      <c r="L25">
        <f>IF(CALC_EEM!L18="","",CALC_EEM!L18)</f>
        <v>0</v>
      </c>
      <c r="M25">
        <f>IF(CALC_EEM!M18="","",CALC_EEM!M18)</f>
        <v>0</v>
      </c>
      <c r="N25">
        <f>IF(CALC_EEM!N18="","",CALC_EEM!N18)</f>
        <v>0</v>
      </c>
      <c r="O25">
        <f>IF(CALC_EEM!O18="","",CALC_EEM!O18)</f>
        <v>0</v>
      </c>
      <c r="P25">
        <f>IF(CALC_EEM!P18="","",CALC_EEM!P18)</f>
        <v>0</v>
      </c>
      <c r="Q25">
        <f>IF(CALC_EEM!Q18="","",CALC_EEM!Q18)</f>
        <v>0</v>
      </c>
      <c r="R25">
        <f>IF(CALC_EEM!R18="","",CALC_EEM!R18)</f>
        <v>0</v>
      </c>
      <c r="S25">
        <f>IF(CALC_EEM!S18="","",CALC_EEM!S18)</f>
        <v>0</v>
      </c>
      <c r="T25">
        <f>IF(CALC_EEM!T18="","",CALC_EEM!T18)</f>
        <v>0</v>
      </c>
      <c r="U25">
        <f>IF(CALC_EEM!U18="","",CALC_EEM!U18)</f>
        <v>0</v>
      </c>
    </row>
    <row r="26" spans="1:24">
      <c r="A26" t="str">
        <f>IF(CALC_EEM!A19="","",IF(CALC_EEM!A19="GLOBAL","GLOBAL",IF(CALC_EEM!C19="Total","CURSO_TOTAL",IF(CALC_EEM!C19="TotalEsp","CURSO_ESP",IF(CALC_EEM!C19="TotalNoEsp","CURSO_NOESP","CURSO_ASIG")))))</f>
        <v>GLOBAL</v>
      </c>
      <c r="B26" t="str">
        <f>IF(CALC_EEM!A19="","",CALC_EEM!A19)</f>
        <v>GLOBAL</v>
      </c>
      <c r="C26" t="str">
        <f>IF(CALC_EEM!B19="","",CALC_EEM!B19)</f>
        <v>Total</v>
      </c>
      <c r="D26">
        <f>IF(CALC_EEM!D19="","",CALC_EEM!D19)</f>
        <v>0</v>
      </c>
      <c r="E26" s="14" t="str">
        <f>IF(CALC_EEM!E19="","",CALC_EEM!E19)</f>
        <v>—</v>
      </c>
      <c r="F26" s="14" t="str">
        <f>IF(CALC_EEM!F19="","",CALC_EEM!F19)</f>
        <v>—</v>
      </c>
      <c r="G26" t="str">
        <f>IF(CALC_EEM!G19="","",CALC_EEM!G19)</f>
        <v>—</v>
      </c>
      <c r="H26" s="16" t="str">
        <f>IF(CALC_EEM!H19="","",CALC_EEM!H19)</f>
        <v>—</v>
      </c>
      <c r="I26" s="16" t="str">
        <f>IF(CALC_EEM!I19="","",CALC_EEM!I19)</f>
        <v>—</v>
      </c>
      <c r="J26" t="str">
        <f>IF(CALC_EEM!J19="","",CALC_EEM!J19)</f>
        <v>—</v>
      </c>
      <c r="K26" t="str">
        <f>IF(CALC_EEM!K19="","",CALC_EEM!K19)</f>
        <v>—</v>
      </c>
      <c r="L26">
        <f>IF(CALC_EEM!L19="","",CALC_EEM!L19)</f>
        <v>0</v>
      </c>
      <c r="M26">
        <f>IF(CALC_EEM!M19="","",CALC_EEM!M19)</f>
        <v>0</v>
      </c>
      <c r="N26">
        <f>IF(CALC_EEM!N19="","",CALC_EEM!N19)</f>
        <v>0</v>
      </c>
      <c r="O26">
        <f>IF(CALC_EEM!O19="","",CALC_EEM!O19)</f>
        <v>0</v>
      </c>
      <c r="P26">
        <f>IF(CALC_EEM!P19="","",CALC_EEM!P19)</f>
        <v>0</v>
      </c>
      <c r="Q26">
        <f>IF(CALC_EEM!Q19="","",CALC_EEM!Q19)</f>
        <v>0</v>
      </c>
      <c r="R26">
        <f>IF(CALC_EEM!R19="","",CALC_EEM!R19)</f>
        <v>0</v>
      </c>
      <c r="S26">
        <f>IF(CALC_EEM!S19="","",CALC_EEM!S19)</f>
        <v>0</v>
      </c>
      <c r="T26">
        <f>IF(CALC_EEM!T19="","",CALC_EEM!T19)</f>
        <v>0</v>
      </c>
      <c r="U26">
        <f>IF(CALC_EEM!U19="","",CALC_EEM!U19)</f>
        <v>0</v>
      </c>
    </row>
    <row r="27" spans="1:24">
      <c r="A27" t="str">
        <f>IF(CALC_EEM!A20="","",IF(CALC_EEM!A20="GLOBAL","GLOBAL",IF(CALC_EEM!C20="Total","CURSO_TOTAL",IF(CALC_EEM!C20="TotalEsp","CURSO_ESP",IF(CALC_EEM!C20="TotalNoEsp","CURSO_NOESP","CURSO_ASIG")))))</f>
        <v>GLOBAL</v>
      </c>
      <c r="B27" t="str">
        <f>IF(CALC_EEM!A20="","",CALC_EEM!A20)</f>
        <v>GLOBAL</v>
      </c>
      <c r="C27" t="str">
        <f>IF(CALC_EEM!B20="","",CALC_EEM!B20)</f>
        <v>Total</v>
      </c>
      <c r="D27">
        <f>IF(CALC_EEM!D20="","",CALC_EEM!D20)</f>
        <v>0</v>
      </c>
      <c r="E27" s="14" t="str">
        <f>IF(CALC_EEM!E20="","",CALC_EEM!E20)</f>
        <v>—</v>
      </c>
      <c r="F27" s="14" t="str">
        <f>IF(CALC_EEM!F20="","",CALC_EEM!F20)</f>
        <v>—</v>
      </c>
      <c r="G27" t="str">
        <f>IF(CALC_EEM!G20="","",CALC_EEM!G20)</f>
        <v>—</v>
      </c>
      <c r="H27" s="16" t="str">
        <f>IF(CALC_EEM!H20="","",CALC_EEM!H20)</f>
        <v>—</v>
      </c>
      <c r="I27" s="16" t="str">
        <f>IF(CALC_EEM!I20="","",CALC_EEM!I20)</f>
        <v>—</v>
      </c>
      <c r="J27" t="str">
        <f>IF(CALC_EEM!J20="","",CALC_EEM!J20)</f>
        <v>—</v>
      </c>
      <c r="K27" t="str">
        <f>IF(CALC_EEM!K20="","",CALC_EEM!K20)</f>
        <v>—</v>
      </c>
      <c r="L27">
        <f>IF(CALC_EEM!L20="","",CALC_EEM!L20)</f>
        <v>0</v>
      </c>
      <c r="M27">
        <f>IF(CALC_EEM!M20="","",CALC_EEM!M20)</f>
        <v>0</v>
      </c>
      <c r="N27">
        <f>IF(CALC_EEM!N20="","",CALC_EEM!N20)</f>
        <v>0</v>
      </c>
      <c r="O27">
        <f>IF(CALC_EEM!O20="","",CALC_EEM!O20)</f>
        <v>0</v>
      </c>
      <c r="P27">
        <f>IF(CALC_EEM!P20="","",CALC_EEM!P20)</f>
        <v>0</v>
      </c>
      <c r="Q27">
        <f>IF(CALC_EEM!Q20="","",CALC_EEM!Q20)</f>
        <v>0</v>
      </c>
      <c r="R27">
        <f>IF(CALC_EEM!R20="","",CALC_EEM!R20)</f>
        <v>0</v>
      </c>
      <c r="S27">
        <f>IF(CALC_EEM!S20="","",CALC_EEM!S20)</f>
        <v>0</v>
      </c>
      <c r="T27">
        <f>IF(CALC_EEM!T20="","",CALC_EEM!T20)</f>
        <v>0</v>
      </c>
      <c r="U27">
        <f>IF(CALC_EEM!U20="","",CALC_EEM!U20)</f>
        <v>0</v>
      </c>
    </row>
    <row r="28" spans="1:24">
      <c r="A28" t="str">
        <f>IF(CALC_EEM!A21="","",IF(CALC_EEM!A21="GLOBAL","GLOBAL",IF(CALC_EEM!C21="Total","CURSO_TOTAL",IF(CALC_EEM!C21="TotalEsp","CURSO_ESP",IF(CALC_EEM!C21="TotalNoEsp","CURSO_NOESP","CURSO_ASIG")))))</f>
        <v>GLOBAL</v>
      </c>
      <c r="B28" t="str">
        <f>IF(CALC_EEM!A21="","",CALC_EEM!A21)</f>
        <v>GLOBAL</v>
      </c>
      <c r="C28" t="str">
        <f>IF(CALC_EEM!B21="","",CALC_EEM!B21)</f>
        <v>Total</v>
      </c>
      <c r="D28">
        <f>IF(CALC_EEM!D21="","",CALC_EEM!D21)</f>
        <v>0</v>
      </c>
      <c r="E28" s="14" t="str">
        <f>IF(CALC_EEM!E21="","",CALC_EEM!E21)</f>
        <v>—</v>
      </c>
      <c r="F28" s="14" t="str">
        <f>IF(CALC_EEM!F21="","",CALC_EEM!F21)</f>
        <v>—</v>
      </c>
      <c r="G28" t="str">
        <f>IF(CALC_EEM!G21="","",CALC_EEM!G21)</f>
        <v>—</v>
      </c>
      <c r="H28" s="16" t="str">
        <f>IF(CALC_EEM!H21="","",CALC_EEM!H21)</f>
        <v>—</v>
      </c>
      <c r="I28" s="16" t="str">
        <f>IF(CALC_EEM!I21="","",CALC_EEM!I21)</f>
        <v>—</v>
      </c>
      <c r="J28" t="str">
        <f>IF(CALC_EEM!J21="","",CALC_EEM!J21)</f>
        <v>—</v>
      </c>
      <c r="K28" t="str">
        <f>IF(CALC_EEM!K21="","",CALC_EEM!K21)</f>
        <v>—</v>
      </c>
      <c r="L28">
        <f>IF(CALC_EEM!L21="","",CALC_EEM!L21)</f>
        <v>0</v>
      </c>
      <c r="M28">
        <f>IF(CALC_EEM!M21="","",CALC_EEM!M21)</f>
        <v>0</v>
      </c>
      <c r="N28">
        <f>IF(CALC_EEM!N21="","",CALC_EEM!N21)</f>
        <v>0</v>
      </c>
      <c r="O28">
        <f>IF(CALC_EEM!O21="","",CALC_EEM!O21)</f>
        <v>0</v>
      </c>
      <c r="P28">
        <f>IF(CALC_EEM!P21="","",CALC_EEM!P21)</f>
        <v>0</v>
      </c>
      <c r="Q28">
        <f>IF(CALC_EEM!Q21="","",CALC_EEM!Q21)</f>
        <v>0</v>
      </c>
      <c r="R28">
        <f>IF(CALC_EEM!R21="","",CALC_EEM!R21)</f>
        <v>0</v>
      </c>
      <c r="S28">
        <f>IF(CALC_EEM!S21="","",CALC_EEM!S21)</f>
        <v>0</v>
      </c>
      <c r="T28">
        <f>IF(CALC_EEM!T21="","",CALC_EEM!T21)</f>
        <v>0</v>
      </c>
      <c r="U28">
        <f>IF(CALC_EEM!U21="","",CALC_EEM!U21)</f>
        <v>0</v>
      </c>
    </row>
    <row r="29" spans="1:24">
      <c r="A29" t="str">
        <f>IF(CALC_EEM!A22="","",IF(CALC_EEM!A22="GLOBAL","GLOBAL",IF(CALC_EEM!C22="Total","CURSO_TOTAL",IF(CALC_EEM!C22="TotalEsp","CURSO_ESP",IF(CALC_EEM!C22="TotalNoEsp","CURSO_NOESP","CURSO_ASIG")))))</f>
        <v>GLOBAL</v>
      </c>
      <c r="B29" t="str">
        <f>IF(CALC_EEM!A22="","",CALC_EEM!A22)</f>
        <v>GLOBAL</v>
      </c>
      <c r="C29" t="str">
        <f>IF(CALC_EEM!B22="","",CALC_EEM!B22)</f>
        <v>Total</v>
      </c>
      <c r="D29">
        <f>IF(CALC_EEM!D22="","",CALC_EEM!D22)</f>
        <v>0</v>
      </c>
      <c r="E29" s="14" t="str">
        <f>IF(CALC_EEM!E22="","",CALC_EEM!E22)</f>
        <v>—</v>
      </c>
      <c r="F29" s="14" t="str">
        <f>IF(CALC_EEM!F22="","",CALC_EEM!F22)</f>
        <v>—</v>
      </c>
      <c r="G29" t="str">
        <f>IF(CALC_EEM!G22="","",CALC_EEM!G22)</f>
        <v>—</v>
      </c>
      <c r="H29" s="16" t="str">
        <f>IF(CALC_EEM!H22="","",CALC_EEM!H22)</f>
        <v>—</v>
      </c>
      <c r="I29" s="16" t="str">
        <f>IF(CALC_EEM!I22="","",CALC_EEM!I22)</f>
        <v>—</v>
      </c>
      <c r="J29" t="str">
        <f>IF(CALC_EEM!J22="","",CALC_EEM!J22)</f>
        <v>—</v>
      </c>
      <c r="K29" t="str">
        <f>IF(CALC_EEM!K22="","",CALC_EEM!K22)</f>
        <v>—</v>
      </c>
      <c r="L29">
        <f>IF(CALC_EEM!L22="","",CALC_EEM!L22)</f>
        <v>0</v>
      </c>
      <c r="M29">
        <f>IF(CALC_EEM!M22="","",CALC_EEM!M22)</f>
        <v>0</v>
      </c>
      <c r="N29">
        <f>IF(CALC_EEM!N22="","",CALC_EEM!N22)</f>
        <v>0</v>
      </c>
      <c r="O29">
        <f>IF(CALC_EEM!O22="","",CALC_EEM!O22)</f>
        <v>0</v>
      </c>
      <c r="P29">
        <f>IF(CALC_EEM!P22="","",CALC_EEM!P22)</f>
        <v>0</v>
      </c>
      <c r="Q29">
        <f>IF(CALC_EEM!Q22="","",CALC_EEM!Q22)</f>
        <v>0</v>
      </c>
      <c r="R29">
        <f>IF(CALC_EEM!R22="","",CALC_EEM!R22)</f>
        <v>0</v>
      </c>
      <c r="S29">
        <f>IF(CALC_EEM!S22="","",CALC_EEM!S22)</f>
        <v>0</v>
      </c>
      <c r="T29">
        <f>IF(CALC_EEM!T22="","",CALC_EEM!T22)</f>
        <v>0</v>
      </c>
      <c r="U29">
        <f>IF(CALC_EEM!U22="","",CALC_EEM!U22)</f>
        <v>0</v>
      </c>
    </row>
    <row r="30" spans="1:24">
      <c r="A30" t="str">
        <f>IF(CALC_EEM!A23="","",IF(CALC_EEM!A23="GLOBAL","GLOBAL",IF(CALC_EEM!C23="Total","CURSO_TOTAL",IF(CALC_EEM!C23="TotalEsp","CURSO_ESP",IF(CALC_EEM!C23="TotalNoEsp","CURSO_NOESP","CURSO_ASIG")))))</f>
        <v>GLOBAL</v>
      </c>
      <c r="B30" t="str">
        <f>IF(CALC_EEM!A23="","",CALC_EEM!A23)</f>
        <v>GLOBAL</v>
      </c>
      <c r="C30" t="str">
        <f>IF(CALC_EEM!B23="","",CALC_EEM!B23)</f>
        <v>Total</v>
      </c>
      <c r="D30">
        <f>IF(CALC_EEM!D23="","",CALC_EEM!D23)</f>
        <v>0</v>
      </c>
      <c r="E30" s="14" t="str">
        <f>IF(CALC_EEM!E23="","",CALC_EEM!E23)</f>
        <v>—</v>
      </c>
      <c r="F30" s="14" t="str">
        <f>IF(CALC_EEM!F23="","",CALC_EEM!F23)</f>
        <v>—</v>
      </c>
      <c r="G30" t="str">
        <f>IF(CALC_EEM!G23="","",CALC_EEM!G23)</f>
        <v>—</v>
      </c>
      <c r="H30" s="16" t="str">
        <f>IF(CALC_EEM!H23="","",CALC_EEM!H23)</f>
        <v>—</v>
      </c>
      <c r="I30" s="16" t="str">
        <f>IF(CALC_EEM!I23="","",CALC_EEM!I23)</f>
        <v>—</v>
      </c>
      <c r="J30" t="str">
        <f>IF(CALC_EEM!J23="","",CALC_EEM!J23)</f>
        <v>—</v>
      </c>
      <c r="K30" t="str">
        <f>IF(CALC_EEM!K23="","",CALC_EEM!K23)</f>
        <v>—</v>
      </c>
      <c r="L30">
        <f>IF(CALC_EEM!L23="","",CALC_EEM!L23)</f>
        <v>0</v>
      </c>
      <c r="M30">
        <f>IF(CALC_EEM!M23="","",CALC_EEM!M23)</f>
        <v>0</v>
      </c>
      <c r="N30">
        <f>IF(CALC_EEM!N23="","",CALC_EEM!N23)</f>
        <v>0</v>
      </c>
      <c r="O30">
        <f>IF(CALC_EEM!O23="","",CALC_EEM!O23)</f>
        <v>0</v>
      </c>
      <c r="P30">
        <f>IF(CALC_EEM!P23="","",CALC_EEM!P23)</f>
        <v>0</v>
      </c>
      <c r="Q30">
        <f>IF(CALC_EEM!Q23="","",CALC_EEM!Q23)</f>
        <v>0</v>
      </c>
      <c r="R30">
        <f>IF(CALC_EEM!R23="","",CALC_EEM!R23)</f>
        <v>0</v>
      </c>
      <c r="S30">
        <f>IF(CALC_EEM!S23="","",CALC_EEM!S23)</f>
        <v>0</v>
      </c>
      <c r="T30">
        <f>IF(CALC_EEM!T23="","",CALC_EEM!T23)</f>
        <v>0</v>
      </c>
      <c r="U30">
        <f>IF(CALC_EEM!U23="","",CALC_EEM!U23)</f>
        <v>0</v>
      </c>
    </row>
    <row r="31" spans="1:24">
      <c r="A31" t="str">
        <f>IF(CALC_EEM!A24="","",IF(CALC_EEM!A24="GLOBAL","GLOBAL",IF(CALC_EEM!C24="Total","CURSO_TOTAL",IF(CALC_EEM!C24="TotalEsp","CURSO_ESP",IF(CALC_EEM!C24="TotalNoEsp","CURSO_NOESP","CURSO_ASIG")))))</f>
        <v>GLOBAL</v>
      </c>
      <c r="B31" t="str">
        <f>IF(CALC_EEM!A24="","",CALC_EEM!A24)</f>
        <v>GLOBAL</v>
      </c>
      <c r="C31" t="str">
        <f>IF(CALC_EEM!B24="","",CALC_EEM!B24)</f>
        <v>Total</v>
      </c>
      <c r="D31">
        <f>IF(CALC_EEM!D24="","",CALC_EEM!D24)</f>
        <v>0</v>
      </c>
      <c r="E31" s="14" t="str">
        <f>IF(CALC_EEM!E24="","",CALC_EEM!E24)</f>
        <v>—</v>
      </c>
      <c r="F31" s="14" t="str">
        <f>IF(CALC_EEM!F24="","",CALC_EEM!F24)</f>
        <v>—</v>
      </c>
      <c r="G31" t="str">
        <f>IF(CALC_EEM!G24="","",CALC_EEM!G24)</f>
        <v>—</v>
      </c>
      <c r="H31" s="16" t="str">
        <f>IF(CALC_EEM!H24="","",CALC_EEM!H24)</f>
        <v>—</v>
      </c>
      <c r="I31" s="16" t="str">
        <f>IF(CALC_EEM!I24="","",CALC_EEM!I24)</f>
        <v>—</v>
      </c>
      <c r="J31" t="str">
        <f>IF(CALC_EEM!J24="","",CALC_EEM!J24)</f>
        <v>—</v>
      </c>
      <c r="K31" t="str">
        <f>IF(CALC_EEM!K24="","",CALC_EEM!K24)</f>
        <v>—</v>
      </c>
      <c r="L31">
        <f>IF(CALC_EEM!L24="","",CALC_EEM!L24)</f>
        <v>0</v>
      </c>
      <c r="M31">
        <f>IF(CALC_EEM!M24="","",CALC_EEM!M24)</f>
        <v>0</v>
      </c>
      <c r="N31">
        <f>IF(CALC_EEM!N24="","",CALC_EEM!N24)</f>
        <v>0</v>
      </c>
      <c r="O31">
        <f>IF(CALC_EEM!O24="","",CALC_EEM!O24)</f>
        <v>0</v>
      </c>
      <c r="P31">
        <f>IF(CALC_EEM!P24="","",CALC_EEM!P24)</f>
        <v>0</v>
      </c>
      <c r="Q31">
        <f>IF(CALC_EEM!Q24="","",CALC_EEM!Q24)</f>
        <v>0</v>
      </c>
      <c r="R31">
        <f>IF(CALC_EEM!R24="","",CALC_EEM!R24)</f>
        <v>0</v>
      </c>
      <c r="S31">
        <f>IF(CALC_EEM!S24="","",CALC_EEM!S24)</f>
        <v>0</v>
      </c>
      <c r="T31">
        <f>IF(CALC_EEM!T24="","",CALC_EEM!T24)</f>
        <v>0</v>
      </c>
      <c r="U31">
        <f>IF(CALC_EEM!U24="","",CALC_EEM!U24)</f>
        <v>0</v>
      </c>
    </row>
    <row r="32" spans="1:24">
      <c r="A32" t="str">
        <f>IF(CALC_EEM!A25="","",IF(CALC_EEM!A25="GLOBAL","GLOBAL",IF(CALC_EEM!C25="Total","CURSO_TOTAL",IF(CALC_EEM!C25="TotalEsp","CURSO_ESP",IF(CALC_EEM!C25="TotalNoEsp","CURSO_NOESP","CURSO_ASIG")))))</f>
        <v>GLOBAL</v>
      </c>
      <c r="B32" t="str">
        <f>IF(CALC_EEM!A25="","",CALC_EEM!A25)</f>
        <v>GLOBAL</v>
      </c>
      <c r="C32" t="str">
        <f>IF(CALC_EEM!B25="","",CALC_EEM!B25)</f>
        <v>Total</v>
      </c>
      <c r="D32">
        <f>IF(CALC_EEM!D25="","",CALC_EEM!D25)</f>
        <v>0</v>
      </c>
      <c r="E32" s="14" t="str">
        <f>IF(CALC_EEM!E25="","",CALC_EEM!E25)</f>
        <v>—</v>
      </c>
      <c r="F32" s="14" t="str">
        <f>IF(CALC_EEM!F25="","",CALC_EEM!F25)</f>
        <v>—</v>
      </c>
      <c r="G32" t="str">
        <f>IF(CALC_EEM!G25="","",CALC_EEM!G25)</f>
        <v>—</v>
      </c>
      <c r="H32" s="16" t="str">
        <f>IF(CALC_EEM!H25="","",CALC_EEM!H25)</f>
        <v>—</v>
      </c>
      <c r="I32" s="16" t="str">
        <f>IF(CALC_EEM!I25="","",CALC_EEM!I25)</f>
        <v>—</v>
      </c>
      <c r="J32" t="str">
        <f>IF(CALC_EEM!J25="","",CALC_EEM!J25)</f>
        <v>—</v>
      </c>
      <c r="K32" t="str">
        <f>IF(CALC_EEM!K25="","",CALC_EEM!K25)</f>
        <v>—</v>
      </c>
      <c r="L32">
        <f>IF(CALC_EEM!L25="","",CALC_EEM!L25)</f>
        <v>0</v>
      </c>
      <c r="M32">
        <f>IF(CALC_EEM!M25="","",CALC_EEM!M25)</f>
        <v>0</v>
      </c>
      <c r="N32">
        <f>IF(CALC_EEM!N25="","",CALC_EEM!N25)</f>
        <v>0</v>
      </c>
      <c r="O32">
        <f>IF(CALC_EEM!O25="","",CALC_EEM!O25)</f>
        <v>0</v>
      </c>
      <c r="P32">
        <f>IF(CALC_EEM!P25="","",CALC_EEM!P25)</f>
        <v>0</v>
      </c>
      <c r="Q32">
        <f>IF(CALC_EEM!Q25="","",CALC_EEM!Q25)</f>
        <v>0</v>
      </c>
      <c r="R32">
        <f>IF(CALC_EEM!R25="","",CALC_EEM!R25)</f>
        <v>0</v>
      </c>
      <c r="S32">
        <f>IF(CALC_EEM!S25="","",CALC_EEM!S25)</f>
        <v>0</v>
      </c>
      <c r="T32">
        <f>IF(CALC_EEM!T25="","",CALC_EEM!T25)</f>
        <v>0</v>
      </c>
      <c r="U32">
        <f>IF(CALC_EEM!U25="","",CALC_EEM!U25)</f>
        <v>0</v>
      </c>
    </row>
    <row r="33" spans="1:24">
      <c r="A33" t="str">
        <f>IF(CALC_EEM!A26="","",IF(CALC_EEM!A26="GLOBAL","GLOBAL",IF(CALC_EEM!C26="Total","CURSO_TOTAL",IF(CALC_EEM!C26="TotalEsp","CURSO_ESP",IF(CALC_EEM!C26="TotalNoEsp","CURSO_NOESP","CURSO_ASIG")))))</f>
        <v>GLOBAL</v>
      </c>
      <c r="B33" t="str">
        <f>IF(CALC_EEM!A26="","",CALC_EEM!A26)</f>
        <v>GLOBAL</v>
      </c>
      <c r="C33" t="str">
        <f>IF(CALC_EEM!B26="","",CALC_EEM!B26)</f>
        <v>Total</v>
      </c>
      <c r="D33">
        <f>IF(CALC_EEM!D26="","",CALC_EEM!D26)</f>
        <v>0</v>
      </c>
      <c r="E33" s="14" t="str">
        <f>IF(CALC_EEM!E26="","",CALC_EEM!E26)</f>
        <v>—</v>
      </c>
      <c r="F33" s="14" t="str">
        <f>IF(CALC_EEM!F26="","",CALC_EEM!F26)</f>
        <v>—</v>
      </c>
      <c r="G33" t="str">
        <f>IF(CALC_EEM!G26="","",CALC_EEM!G26)</f>
        <v>—</v>
      </c>
      <c r="H33" s="16" t="str">
        <f>IF(CALC_EEM!H26="","",CALC_EEM!H26)</f>
        <v>—</v>
      </c>
      <c r="I33" s="16" t="str">
        <f>IF(CALC_EEM!I26="","",CALC_EEM!I26)</f>
        <v>—</v>
      </c>
      <c r="J33" t="str">
        <f>IF(CALC_EEM!J26="","",CALC_EEM!J26)</f>
        <v>—</v>
      </c>
      <c r="K33" t="str">
        <f>IF(CALC_EEM!K26="","",CALC_EEM!K26)</f>
        <v>—</v>
      </c>
      <c r="L33">
        <f>IF(CALC_EEM!L26="","",CALC_EEM!L26)</f>
        <v>0</v>
      </c>
      <c r="M33">
        <f>IF(CALC_EEM!M26="","",CALC_EEM!M26)</f>
        <v>0</v>
      </c>
      <c r="N33">
        <f>IF(CALC_EEM!N26="","",CALC_EEM!N26)</f>
        <v>0</v>
      </c>
      <c r="O33">
        <f>IF(CALC_EEM!O26="","",CALC_EEM!O26)</f>
        <v>0</v>
      </c>
      <c r="P33">
        <f>IF(CALC_EEM!P26="","",CALC_EEM!P26)</f>
        <v>0</v>
      </c>
      <c r="Q33">
        <f>IF(CALC_EEM!Q26="","",CALC_EEM!Q26)</f>
        <v>0</v>
      </c>
      <c r="R33">
        <f>IF(CALC_EEM!R26="","",CALC_EEM!R26)</f>
        <v>0</v>
      </c>
      <c r="S33">
        <f>IF(CALC_EEM!S26="","",CALC_EEM!S26)</f>
        <v>0</v>
      </c>
      <c r="T33">
        <f>IF(CALC_EEM!T26="","",CALC_EEM!T26)</f>
        <v>0</v>
      </c>
      <c r="U33">
        <f>IF(CALC_EEM!U26="","",CALC_EEM!U26)</f>
        <v>0</v>
      </c>
    </row>
    <row r="34" spans="1:24">
      <c r="A34" t="str">
        <f>IF(CALC_EEM!A27="","",IF(CALC_EEM!A27="GLOBAL","GLOBAL",IF(CALC_EEM!C27="Total","CURSO_TOTAL",IF(CALC_EEM!C27="TotalEsp","CURSO_ESP",IF(CALC_EEM!C27="TotalNoEsp","CURSO_NOESP","CURSO_ASIG")))))</f>
        <v>GLOBAL</v>
      </c>
      <c r="B34" t="str">
        <f>IF(CALC_EEM!A27="","",CALC_EEM!A27)</f>
        <v>GLOBAL</v>
      </c>
      <c r="C34" t="str">
        <f>IF(CALC_EEM!B27="","",CALC_EEM!B27)</f>
        <v>Total</v>
      </c>
      <c r="D34">
        <f>IF(CALC_EEM!D27="","",CALC_EEM!D27)</f>
        <v>0</v>
      </c>
      <c r="E34" s="14" t="str">
        <f>IF(CALC_EEM!E27="","",CALC_EEM!E27)</f>
        <v>—</v>
      </c>
      <c r="F34" s="14" t="str">
        <f>IF(CALC_EEM!F27="","",CALC_EEM!F27)</f>
        <v>—</v>
      </c>
      <c r="G34" t="str">
        <f>IF(CALC_EEM!G27="","",CALC_EEM!G27)</f>
        <v>—</v>
      </c>
      <c r="H34" s="16" t="str">
        <f>IF(CALC_EEM!H27="","",CALC_EEM!H27)</f>
        <v>—</v>
      </c>
      <c r="I34" s="16" t="str">
        <f>IF(CALC_EEM!I27="","",CALC_EEM!I27)</f>
        <v>—</v>
      </c>
      <c r="J34" t="str">
        <f>IF(CALC_EEM!J27="","",CALC_EEM!J27)</f>
        <v>—</v>
      </c>
      <c r="K34" t="str">
        <f>IF(CALC_EEM!K27="","",CALC_EEM!K27)</f>
        <v>—</v>
      </c>
      <c r="L34">
        <f>IF(CALC_EEM!L27="","",CALC_EEM!L27)</f>
        <v>0</v>
      </c>
      <c r="M34">
        <f>IF(CALC_EEM!M27="","",CALC_EEM!M27)</f>
        <v>0</v>
      </c>
      <c r="N34">
        <f>IF(CALC_EEM!N27="","",CALC_EEM!N27)</f>
        <v>0</v>
      </c>
      <c r="O34">
        <f>IF(CALC_EEM!O27="","",CALC_EEM!O27)</f>
        <v>0</v>
      </c>
      <c r="P34">
        <f>IF(CALC_EEM!P27="","",CALC_EEM!P27)</f>
        <v>0</v>
      </c>
      <c r="Q34">
        <f>IF(CALC_EEM!Q27="","",CALC_EEM!Q27)</f>
        <v>0</v>
      </c>
      <c r="R34">
        <f>IF(CALC_EEM!R27="","",CALC_EEM!R27)</f>
        <v>0</v>
      </c>
      <c r="S34">
        <f>IF(CALC_EEM!S27="","",CALC_EEM!S27)</f>
        <v>0</v>
      </c>
      <c r="T34">
        <f>IF(CALC_EEM!T27="","",CALC_EEM!T27)</f>
        <v>0</v>
      </c>
      <c r="U34">
        <f>IF(CALC_EEM!U27="","",CALC_EEM!U27)</f>
        <v>0</v>
      </c>
    </row>
    <row r="35" spans="1:24">
      <c r="A35" t="str">
        <f>IF(CALC_EEM!A28="","",IF(CALC_EEM!A28="GLOBAL","GLOBAL",IF(CALC_EEM!C28="Total","CURSO_TOTAL",IF(CALC_EEM!C28="TotalEsp","CURSO_ESP",IF(CALC_EEM!C28="TotalNoEsp","CURSO_NOESP","CURSO_ASIG")))))</f>
        <v>GLOBAL</v>
      </c>
      <c r="B35" t="str">
        <f>IF(CALC_EEM!A28="","",CALC_EEM!A28)</f>
        <v>GLOBAL</v>
      </c>
      <c r="C35" t="str">
        <f>IF(CALC_EEM!B28="","",CALC_EEM!B28)</f>
        <v>Total</v>
      </c>
      <c r="D35">
        <f>IF(CALC_EEM!D28="","",CALC_EEM!D28)</f>
        <v>0</v>
      </c>
      <c r="E35" s="14" t="str">
        <f>IF(CALC_EEM!E28="","",CALC_EEM!E28)</f>
        <v>—</v>
      </c>
      <c r="F35" s="14" t="str">
        <f>IF(CALC_EEM!F28="","",CALC_EEM!F28)</f>
        <v>—</v>
      </c>
      <c r="G35" t="str">
        <f>IF(CALC_EEM!G28="","",CALC_EEM!G28)</f>
        <v>—</v>
      </c>
      <c r="H35" s="16" t="str">
        <f>IF(CALC_EEM!H28="","",CALC_EEM!H28)</f>
        <v>—</v>
      </c>
      <c r="I35" s="16" t="str">
        <f>IF(CALC_EEM!I28="","",CALC_EEM!I28)</f>
        <v>—</v>
      </c>
      <c r="J35" t="str">
        <f>IF(CALC_EEM!J28="","",CALC_EEM!J28)</f>
        <v>—</v>
      </c>
      <c r="K35" t="str">
        <f>IF(CALC_EEM!K28="","",CALC_EEM!K28)</f>
        <v>—</v>
      </c>
      <c r="L35">
        <f>IF(CALC_EEM!L28="","",CALC_EEM!L28)</f>
        <v>0</v>
      </c>
      <c r="M35">
        <f>IF(CALC_EEM!M28="","",CALC_EEM!M28)</f>
        <v>0</v>
      </c>
      <c r="N35">
        <f>IF(CALC_EEM!N28="","",CALC_EEM!N28)</f>
        <v>0</v>
      </c>
      <c r="O35">
        <f>IF(CALC_EEM!O28="","",CALC_EEM!O28)</f>
        <v>0</v>
      </c>
      <c r="P35">
        <f>IF(CALC_EEM!P28="","",CALC_EEM!P28)</f>
        <v>0</v>
      </c>
      <c r="Q35">
        <f>IF(CALC_EEM!Q28="","",CALC_EEM!Q28)</f>
        <v>0</v>
      </c>
      <c r="R35">
        <f>IF(CALC_EEM!R28="","",CALC_EEM!R28)</f>
        <v>0</v>
      </c>
      <c r="S35">
        <f>IF(CALC_EEM!S28="","",CALC_EEM!S28)</f>
        <v>0</v>
      </c>
      <c r="T35">
        <f>IF(CALC_EEM!T28="","",CALC_EEM!T28)</f>
        <v>0</v>
      </c>
      <c r="U35">
        <f>IF(CALC_EEM!U28="","",CALC_EEM!U28)</f>
        <v>0</v>
      </c>
    </row>
    <row r="36" spans="1:24">
      <c r="A36" t="str">
        <f>IF(CALC_EEM!A29="","",IF(CALC_EEM!A29="GLOBAL","GLOBAL",IF(CALC_EEM!C29="Total","CURSO_TOTAL",IF(CALC_EEM!C29="TotalEsp","CURSO_ESP",IF(CALC_EEM!C29="TotalNoEsp","CURSO_NOESP","CURSO_ASIG")))))</f>
        <v>GLOBAL</v>
      </c>
      <c r="B36" t="str">
        <f>IF(CALC_EEM!A29="","",CALC_EEM!A29)</f>
        <v>GLOBAL</v>
      </c>
      <c r="C36" t="str">
        <f>IF(CALC_EEM!B29="","",CALC_EEM!B29)</f>
        <v>Total</v>
      </c>
      <c r="D36">
        <f>IF(CALC_EEM!D29="","",CALC_EEM!D29)</f>
        <v>0</v>
      </c>
      <c r="E36" s="14" t="str">
        <f>IF(CALC_EEM!E29="","",CALC_EEM!E29)</f>
        <v>—</v>
      </c>
      <c r="F36" s="14" t="str">
        <f>IF(CALC_EEM!F29="","",CALC_EEM!F29)</f>
        <v>—</v>
      </c>
      <c r="G36" t="str">
        <f>IF(CALC_EEM!G29="","",CALC_EEM!G29)</f>
        <v>—</v>
      </c>
      <c r="H36" s="16" t="str">
        <f>IF(CALC_EEM!H29="","",CALC_EEM!H29)</f>
        <v>—</v>
      </c>
      <c r="I36" s="16" t="str">
        <f>IF(CALC_EEM!I29="","",CALC_EEM!I29)</f>
        <v>—</v>
      </c>
      <c r="J36" t="str">
        <f>IF(CALC_EEM!J29="","",CALC_EEM!J29)</f>
        <v>—</v>
      </c>
      <c r="K36" t="str">
        <f>IF(CALC_EEM!K29="","",CALC_EEM!K29)</f>
        <v>—</v>
      </c>
      <c r="L36">
        <f>IF(CALC_EEM!L29="","",CALC_EEM!L29)</f>
        <v>0</v>
      </c>
      <c r="M36">
        <f>IF(CALC_EEM!M29="","",CALC_EEM!M29)</f>
        <v>0</v>
      </c>
      <c r="N36">
        <f>IF(CALC_EEM!N29="","",CALC_EEM!N29)</f>
        <v>0</v>
      </c>
      <c r="O36">
        <f>IF(CALC_EEM!O29="","",CALC_EEM!O29)</f>
        <v>0</v>
      </c>
      <c r="P36">
        <f>IF(CALC_EEM!P29="","",CALC_EEM!P29)</f>
        <v>0</v>
      </c>
      <c r="Q36">
        <f>IF(CALC_EEM!Q29="","",CALC_EEM!Q29)</f>
        <v>0</v>
      </c>
      <c r="R36">
        <f>IF(CALC_EEM!R29="","",CALC_EEM!R29)</f>
        <v>0</v>
      </c>
      <c r="S36">
        <f>IF(CALC_EEM!S29="","",CALC_EEM!S29)</f>
        <v>0</v>
      </c>
      <c r="T36">
        <f>IF(CALC_EEM!T29="","",CALC_EEM!T29)</f>
        <v>0</v>
      </c>
      <c r="U36">
        <f>IF(CALC_EEM!U29="","",CALC_EEM!U29)</f>
        <v>0</v>
      </c>
    </row>
    <row r="37" spans="1:24">
      <c r="A37" t="str">
        <f>IF(CALC_EEM!A30="","",IF(CALC_EEM!A30="GLOBAL","GLOBAL",IF(CALC_EEM!C30="Total","CURSO_TOTAL",IF(CALC_EEM!C30="TotalEsp","CURSO_ESP",IF(CALC_EEM!C30="TotalNoEsp","CURSO_NOESP","CURSO_ASIG")))))</f>
        <v>GLOBAL</v>
      </c>
      <c r="B37" t="str">
        <f>IF(CALC_EEM!A30="","",CALC_EEM!A30)</f>
        <v>GLOBAL</v>
      </c>
      <c r="C37" t="str">
        <f>IF(CALC_EEM!B30="","",CALC_EEM!B30)</f>
        <v>Total</v>
      </c>
      <c r="D37">
        <f>IF(CALC_EEM!D30="","",CALC_EEM!D30)</f>
        <v>0</v>
      </c>
      <c r="E37" s="14" t="str">
        <f>IF(CALC_EEM!E30="","",CALC_EEM!E30)</f>
        <v>—</v>
      </c>
      <c r="F37" s="14" t="str">
        <f>IF(CALC_EEM!F30="","",CALC_EEM!F30)</f>
        <v>—</v>
      </c>
      <c r="G37" t="str">
        <f>IF(CALC_EEM!G30="","",CALC_EEM!G30)</f>
        <v>—</v>
      </c>
      <c r="H37" s="16" t="str">
        <f>IF(CALC_EEM!H30="","",CALC_EEM!H30)</f>
        <v>—</v>
      </c>
      <c r="I37" s="16" t="str">
        <f>IF(CALC_EEM!I30="","",CALC_EEM!I30)</f>
        <v>—</v>
      </c>
      <c r="J37" t="str">
        <f>IF(CALC_EEM!J30="","",CALC_EEM!J30)</f>
        <v>—</v>
      </c>
      <c r="K37" t="str">
        <f>IF(CALC_EEM!K30="","",CALC_EEM!K30)</f>
        <v>—</v>
      </c>
      <c r="L37">
        <f>IF(CALC_EEM!L30="","",CALC_EEM!L30)</f>
        <v>0</v>
      </c>
      <c r="M37">
        <f>IF(CALC_EEM!M30="","",CALC_EEM!M30)</f>
        <v>0</v>
      </c>
      <c r="N37">
        <f>IF(CALC_EEM!N30="","",CALC_EEM!N30)</f>
        <v>0</v>
      </c>
      <c r="O37">
        <f>IF(CALC_EEM!O30="","",CALC_EEM!O30)</f>
        <v>0</v>
      </c>
      <c r="P37">
        <f>IF(CALC_EEM!P30="","",CALC_EEM!P30)</f>
        <v>0</v>
      </c>
      <c r="Q37">
        <f>IF(CALC_EEM!Q30="","",CALC_EEM!Q30)</f>
        <v>0</v>
      </c>
      <c r="R37">
        <f>IF(CALC_EEM!R30="","",CALC_EEM!R30)</f>
        <v>0</v>
      </c>
      <c r="S37">
        <f>IF(CALC_EEM!S30="","",CALC_EEM!S30)</f>
        <v>0</v>
      </c>
      <c r="T37">
        <f>IF(CALC_EEM!T30="","",CALC_EEM!T30)</f>
        <v>0</v>
      </c>
      <c r="U37">
        <f>IF(CALC_EEM!U30="","",CALC_EEM!U30)</f>
        <v>0</v>
      </c>
    </row>
    <row r="38" spans="1:24">
      <c r="A38" t="str">
        <f>IF(CALC_EEM!A31="","",IF(CALC_EEM!A31="GLOBAL","GLOBAL",IF(CALC_EEM!C31="Total","CURSO_TOTAL",IF(CALC_EEM!C31="TotalEsp","CURSO_ESP",IF(CALC_EEM!C31="TotalNoEsp","CURSO_NOESP","CURSO_ASIG")))))</f>
        <v>GLOBAL</v>
      </c>
      <c r="B38" t="str">
        <f>IF(CALC_EEM!A31="","",CALC_EEM!A31)</f>
        <v>GLOBAL</v>
      </c>
      <c r="C38" t="str">
        <f>IF(CALC_EEM!B31="","",CALC_EEM!B31)</f>
        <v>Total</v>
      </c>
      <c r="D38">
        <f>IF(CALC_EEM!D31="","",CALC_EEM!D31)</f>
        <v>0</v>
      </c>
      <c r="E38" s="14" t="str">
        <f>IF(CALC_EEM!E31="","",CALC_EEM!E31)</f>
        <v>—</v>
      </c>
      <c r="F38" s="14" t="str">
        <f>IF(CALC_EEM!F31="","",CALC_EEM!F31)</f>
        <v>—</v>
      </c>
      <c r="G38" t="str">
        <f>IF(CALC_EEM!G31="","",CALC_EEM!G31)</f>
        <v>—</v>
      </c>
      <c r="H38" s="16" t="str">
        <f>IF(CALC_EEM!H31="","",CALC_EEM!H31)</f>
        <v>—</v>
      </c>
      <c r="I38" s="16" t="str">
        <f>IF(CALC_EEM!I31="","",CALC_EEM!I31)</f>
        <v>—</v>
      </c>
      <c r="J38" t="str">
        <f>IF(CALC_EEM!J31="","",CALC_EEM!J31)</f>
        <v>—</v>
      </c>
      <c r="K38" t="str">
        <f>IF(CALC_EEM!K31="","",CALC_EEM!K31)</f>
        <v>—</v>
      </c>
      <c r="L38">
        <f>IF(CALC_EEM!L31="","",CALC_EEM!L31)</f>
        <v>0</v>
      </c>
      <c r="M38">
        <f>IF(CALC_EEM!M31="","",CALC_EEM!M31)</f>
        <v>0</v>
      </c>
      <c r="N38">
        <f>IF(CALC_EEM!N31="","",CALC_EEM!N31)</f>
        <v>0</v>
      </c>
      <c r="O38">
        <f>IF(CALC_EEM!O31="","",CALC_EEM!O31)</f>
        <v>0</v>
      </c>
      <c r="P38">
        <f>IF(CALC_EEM!P31="","",CALC_EEM!P31)</f>
        <v>0</v>
      </c>
      <c r="Q38">
        <f>IF(CALC_EEM!Q31="","",CALC_EEM!Q31)</f>
        <v>0</v>
      </c>
      <c r="R38">
        <f>IF(CALC_EEM!R31="","",CALC_EEM!R31)</f>
        <v>0</v>
      </c>
      <c r="S38">
        <f>IF(CALC_EEM!S31="","",CALC_EEM!S31)</f>
        <v>0</v>
      </c>
      <c r="T38">
        <f>IF(CALC_EEM!T31="","",CALC_EEM!T31)</f>
        <v>0</v>
      </c>
      <c r="U38">
        <f>IF(CALC_EEM!U31="","",CALC_EEM!U31)</f>
        <v>0</v>
      </c>
    </row>
    <row r="39" spans="1:24">
      <c r="A39" t="str">
        <f>IF(CALC_EEM!A32="","",IF(CALC_EEM!A32="GLOBAL","GLOBAL",IF(CALC_EEM!C32="Total","CURSO_TOTAL",IF(CALC_EEM!C32="TotalEsp","CURSO_ESP",IF(CALC_EEM!C32="TotalNoEsp","CURSO_NOESP","CURSO_ASIG")))))</f>
        <v>GLOBAL</v>
      </c>
      <c r="B39" t="str">
        <f>IF(CALC_EEM!A32="","",CALC_EEM!A32)</f>
        <v>GLOBAL</v>
      </c>
      <c r="C39" t="str">
        <f>IF(CALC_EEM!B32="","",CALC_EEM!B32)</f>
        <v>Total</v>
      </c>
      <c r="D39">
        <f>IF(CALC_EEM!D32="","",CALC_EEM!D32)</f>
        <v>0</v>
      </c>
      <c r="E39" s="14" t="str">
        <f>IF(CALC_EEM!E32="","",CALC_EEM!E32)</f>
        <v>—</v>
      </c>
      <c r="F39" s="14" t="str">
        <f>IF(CALC_EEM!F32="","",CALC_EEM!F32)</f>
        <v>—</v>
      </c>
      <c r="G39" t="str">
        <f>IF(CALC_EEM!G32="","",CALC_EEM!G32)</f>
        <v>—</v>
      </c>
      <c r="H39" s="16" t="str">
        <f>IF(CALC_EEM!H32="","",CALC_EEM!H32)</f>
        <v>—</v>
      </c>
      <c r="I39" s="16" t="str">
        <f>IF(CALC_EEM!I32="","",CALC_EEM!I32)</f>
        <v>—</v>
      </c>
      <c r="J39" t="str">
        <f>IF(CALC_EEM!J32="","",CALC_EEM!J32)</f>
        <v>—</v>
      </c>
      <c r="K39" t="str">
        <f>IF(CALC_EEM!K32="","",CALC_EEM!K32)</f>
        <v>—</v>
      </c>
      <c r="L39">
        <f>IF(CALC_EEM!L32="","",CALC_EEM!L32)</f>
        <v>0</v>
      </c>
      <c r="M39">
        <f>IF(CALC_EEM!M32="","",CALC_EEM!M32)</f>
        <v>0</v>
      </c>
      <c r="N39">
        <f>IF(CALC_EEM!N32="","",CALC_EEM!N32)</f>
        <v>0</v>
      </c>
      <c r="O39">
        <f>IF(CALC_EEM!O32="","",CALC_EEM!O32)</f>
        <v>0</v>
      </c>
      <c r="P39">
        <f>IF(CALC_EEM!P32="","",CALC_EEM!P32)</f>
        <v>0</v>
      </c>
      <c r="Q39">
        <f>IF(CALC_EEM!Q32="","",CALC_EEM!Q32)</f>
        <v>0</v>
      </c>
      <c r="R39">
        <f>IF(CALC_EEM!R32="","",CALC_EEM!R32)</f>
        <v>0</v>
      </c>
      <c r="S39">
        <f>IF(CALC_EEM!S32="","",CALC_EEM!S32)</f>
        <v>0</v>
      </c>
      <c r="T39">
        <f>IF(CALC_EEM!T32="","",CALC_EEM!T32)</f>
        <v>0</v>
      </c>
      <c r="U39">
        <f>IF(CALC_EEM!U32="","",CALC_EEM!U32)</f>
        <v>0</v>
      </c>
    </row>
    <row r="40" spans="1:24">
      <c r="A40" t="str">
        <f>IF(CALC_EEM!A33="","",IF(CALC_EEM!A33="GLOBAL","GLOBAL",IF(CALC_EEM!C33="Total","CURSO_TOTAL",IF(CALC_EEM!C33="TotalEsp","CURSO_ESP",IF(CALC_EEM!C33="TotalNoEsp","CURSO_NOESP","CURSO_ASIG")))))</f>
        <v>GLOBAL</v>
      </c>
      <c r="B40" t="str">
        <f>IF(CALC_EEM!A33="","",CALC_EEM!A33)</f>
        <v>GLOBAL</v>
      </c>
      <c r="C40" t="str">
        <f>IF(CALC_EEM!B33="","",CALC_EEM!B33)</f>
        <v>Total</v>
      </c>
      <c r="D40">
        <f>IF(CALC_EEM!D33="","",CALC_EEM!D33)</f>
        <v>0</v>
      </c>
      <c r="E40" s="14" t="str">
        <f>IF(CALC_EEM!E33="","",CALC_EEM!E33)</f>
        <v>—</v>
      </c>
      <c r="F40" s="14" t="str">
        <f>IF(CALC_EEM!F33="","",CALC_EEM!F33)</f>
        <v>—</v>
      </c>
      <c r="G40" t="str">
        <f>IF(CALC_EEM!G33="","",CALC_EEM!G33)</f>
        <v>—</v>
      </c>
      <c r="H40" s="16" t="str">
        <f>IF(CALC_EEM!H33="","",CALC_EEM!H33)</f>
        <v>—</v>
      </c>
      <c r="I40" s="16" t="str">
        <f>IF(CALC_EEM!I33="","",CALC_EEM!I33)</f>
        <v>—</v>
      </c>
      <c r="J40" t="str">
        <f>IF(CALC_EEM!J33="","",CALC_EEM!J33)</f>
        <v>—</v>
      </c>
      <c r="K40" t="str">
        <f>IF(CALC_EEM!K33="","",CALC_EEM!K33)</f>
        <v>—</v>
      </c>
      <c r="L40">
        <f>IF(CALC_EEM!L33="","",CALC_EEM!L33)</f>
        <v>0</v>
      </c>
      <c r="M40">
        <f>IF(CALC_EEM!M33="","",CALC_EEM!M33)</f>
        <v>0</v>
      </c>
      <c r="N40">
        <f>IF(CALC_EEM!N33="","",CALC_EEM!N33)</f>
        <v>0</v>
      </c>
      <c r="O40">
        <f>IF(CALC_EEM!O33="","",CALC_EEM!O33)</f>
        <v>0</v>
      </c>
      <c r="P40">
        <f>IF(CALC_EEM!P33="","",CALC_EEM!P33)</f>
        <v>0</v>
      </c>
      <c r="Q40">
        <f>IF(CALC_EEM!Q33="","",CALC_EEM!Q33)</f>
        <v>0</v>
      </c>
      <c r="R40">
        <f>IF(CALC_EEM!R33="","",CALC_EEM!R33)</f>
        <v>0</v>
      </c>
      <c r="S40">
        <f>IF(CALC_EEM!S33="","",CALC_EEM!S33)</f>
        <v>0</v>
      </c>
      <c r="T40">
        <f>IF(CALC_EEM!T33="","",CALC_EEM!T33)</f>
        <v>0</v>
      </c>
      <c r="U40">
        <f>IF(CALC_EEM!U33="","",CALC_EEM!U33)</f>
        <v>0</v>
      </c>
    </row>
    <row r="41" spans="1:24">
      <c r="A41" t="str">
        <f>IF(CALC_EEM!A34="","",IF(CALC_EEM!A34="GLOBAL","GLOBAL",IF(CALC_EEM!C34="Total","CURSO_TOTAL",IF(CALC_EEM!C34="TotalEsp","CURSO_ESP",IF(CALC_EEM!C34="TotalNoEsp","CURSO_NOESP","CURSO_ASIG")))))</f>
        <v>GLOBAL</v>
      </c>
      <c r="B41" t="str">
        <f>IF(CALC_EEM!A34="","",CALC_EEM!A34)</f>
        <v>GLOBAL</v>
      </c>
      <c r="C41" t="str">
        <f>IF(CALC_EEM!B34="","",CALC_EEM!B34)</f>
        <v>Total</v>
      </c>
      <c r="D41">
        <f>IF(CALC_EEM!D34="","",CALC_EEM!D34)</f>
        <v>0</v>
      </c>
      <c r="E41" s="14" t="str">
        <f>IF(CALC_EEM!E34="","",CALC_EEM!E34)</f>
        <v>—</v>
      </c>
      <c r="F41" s="14" t="str">
        <f>IF(CALC_EEM!F34="","",CALC_EEM!F34)</f>
        <v>—</v>
      </c>
      <c r="G41" t="str">
        <f>IF(CALC_EEM!G34="","",CALC_EEM!G34)</f>
        <v>—</v>
      </c>
      <c r="H41" s="16" t="str">
        <f>IF(CALC_EEM!H34="","",CALC_EEM!H34)</f>
        <v>—</v>
      </c>
      <c r="I41" s="16" t="str">
        <f>IF(CALC_EEM!I34="","",CALC_EEM!I34)</f>
        <v>—</v>
      </c>
      <c r="J41" t="str">
        <f>IF(CALC_EEM!J34="","",CALC_EEM!J34)</f>
        <v>—</v>
      </c>
      <c r="K41" t="str">
        <f>IF(CALC_EEM!K34="","",CALC_EEM!K34)</f>
        <v>—</v>
      </c>
      <c r="L41">
        <f>IF(CALC_EEM!L34="","",CALC_EEM!L34)</f>
        <v>0</v>
      </c>
      <c r="M41">
        <f>IF(CALC_EEM!M34="","",CALC_EEM!M34)</f>
        <v>0</v>
      </c>
      <c r="N41">
        <f>IF(CALC_EEM!N34="","",CALC_EEM!N34)</f>
        <v>0</v>
      </c>
      <c r="O41">
        <f>IF(CALC_EEM!O34="","",CALC_EEM!O34)</f>
        <v>0</v>
      </c>
      <c r="P41">
        <f>IF(CALC_EEM!P34="","",CALC_EEM!P34)</f>
        <v>0</v>
      </c>
      <c r="Q41">
        <f>IF(CALC_EEM!Q34="","",CALC_EEM!Q34)</f>
        <v>0</v>
      </c>
      <c r="R41">
        <f>IF(CALC_EEM!R34="","",CALC_EEM!R34)</f>
        <v>0</v>
      </c>
      <c r="S41">
        <f>IF(CALC_EEM!S34="","",CALC_EEM!S34)</f>
        <v>0</v>
      </c>
      <c r="T41">
        <f>IF(CALC_EEM!T34="","",CALC_EEM!T34)</f>
        <v>0</v>
      </c>
      <c r="U41">
        <f>IF(CALC_EEM!U34="","",CALC_EEM!U34)</f>
        <v>0</v>
      </c>
    </row>
    <row r="42" spans="1:24">
      <c r="A42" t="str">
        <f>IF(CALC_EEM!A35="","",IF(CALC_EEM!A35="GLOBAL","GLOBAL",IF(CALC_EEM!C35="Total","CURSO_TOTAL",IF(CALC_EEM!C35="TotalEsp","CURSO_ESP",IF(CALC_EEM!C35="TotalNoEsp","CURSO_NOESP","CURSO_ASIG")))))</f>
        <v>GLOBAL</v>
      </c>
      <c r="B42" t="str">
        <f>IF(CALC_EEM!A35="","",CALC_EEM!A35)</f>
        <v>GLOBAL</v>
      </c>
      <c r="C42" t="str">
        <f>IF(CALC_EEM!B35="","",CALC_EEM!B35)</f>
        <v>Total</v>
      </c>
      <c r="D42">
        <f>IF(CALC_EEM!D35="","",CALC_EEM!D35)</f>
        <v>0</v>
      </c>
      <c r="E42" s="14" t="str">
        <f>IF(CALC_EEM!E35="","",CALC_EEM!E35)</f>
        <v>—</v>
      </c>
      <c r="F42" s="14" t="str">
        <f>IF(CALC_EEM!F35="","",CALC_EEM!F35)</f>
        <v>—</v>
      </c>
      <c r="G42" t="str">
        <f>IF(CALC_EEM!G35="","",CALC_EEM!G35)</f>
        <v>—</v>
      </c>
      <c r="H42" s="16" t="str">
        <f>IF(CALC_EEM!H35="","",CALC_EEM!H35)</f>
        <v>—</v>
      </c>
      <c r="I42" s="16" t="str">
        <f>IF(CALC_EEM!I35="","",CALC_EEM!I35)</f>
        <v>—</v>
      </c>
      <c r="J42" t="str">
        <f>IF(CALC_EEM!J35="","",CALC_EEM!J35)</f>
        <v>—</v>
      </c>
      <c r="K42" t="str">
        <f>IF(CALC_EEM!K35="","",CALC_EEM!K35)</f>
        <v>—</v>
      </c>
      <c r="L42">
        <f>IF(CALC_EEM!L35="","",CALC_EEM!L35)</f>
        <v>0</v>
      </c>
      <c r="M42">
        <f>IF(CALC_EEM!M35="","",CALC_EEM!M35)</f>
        <v>0</v>
      </c>
      <c r="N42">
        <f>IF(CALC_EEM!N35="","",CALC_EEM!N35)</f>
        <v>0</v>
      </c>
      <c r="O42">
        <f>IF(CALC_EEM!O35="","",CALC_EEM!O35)</f>
        <v>0</v>
      </c>
      <c r="P42">
        <f>IF(CALC_EEM!P35="","",CALC_EEM!P35)</f>
        <v>0</v>
      </c>
      <c r="Q42">
        <f>IF(CALC_EEM!Q35="","",CALC_EEM!Q35)</f>
        <v>0</v>
      </c>
      <c r="R42">
        <f>IF(CALC_EEM!R35="","",CALC_EEM!R35)</f>
        <v>0</v>
      </c>
      <c r="S42">
        <f>IF(CALC_EEM!S35="","",CALC_EEM!S35)</f>
        <v>0</v>
      </c>
      <c r="T42">
        <f>IF(CALC_EEM!T35="","",CALC_EEM!T35)</f>
        <v>0</v>
      </c>
      <c r="U42">
        <f>IF(CALC_EEM!U35="","",CALC_EEM!U35)</f>
        <v>0</v>
      </c>
    </row>
    <row r="43" spans="1:24">
      <c r="A43" t="str">
        <f>IF(CALC_EEM!A36="","",IF(CALC_EEM!A36="GLOBAL","GLOBAL",IF(CALC_EEM!C36="Total","CURSO_TOTAL",IF(CALC_EEM!C36="TotalEsp","CURSO_ESP",IF(CALC_EEM!C36="TotalNoEsp","CURSO_NOESP","CURSO_ASIG")))))</f>
        <v>GLOBAL</v>
      </c>
      <c r="B43" t="str">
        <f>IF(CALC_EEM!A36="","",CALC_EEM!A36)</f>
        <v>GLOBAL</v>
      </c>
      <c r="C43" t="str">
        <f>IF(CALC_EEM!B36="","",CALC_EEM!B36)</f>
        <v>Total</v>
      </c>
      <c r="D43">
        <f>IF(CALC_EEM!D36="","",CALC_EEM!D36)</f>
        <v>0</v>
      </c>
      <c r="E43" s="14" t="str">
        <f>IF(CALC_EEM!E36="","",CALC_EEM!E36)</f>
        <v>—</v>
      </c>
      <c r="F43" s="14" t="str">
        <f>IF(CALC_EEM!F36="","",CALC_EEM!F36)</f>
        <v>—</v>
      </c>
      <c r="G43" t="str">
        <f>IF(CALC_EEM!G36="","",CALC_EEM!G36)</f>
        <v>—</v>
      </c>
      <c r="H43" s="16" t="str">
        <f>IF(CALC_EEM!H36="","",CALC_EEM!H36)</f>
        <v>—</v>
      </c>
      <c r="I43" s="16" t="str">
        <f>IF(CALC_EEM!I36="","",CALC_EEM!I36)</f>
        <v>—</v>
      </c>
      <c r="J43" t="str">
        <f>IF(CALC_EEM!J36="","",CALC_EEM!J36)</f>
        <v>—</v>
      </c>
      <c r="K43" t="str">
        <f>IF(CALC_EEM!K36="","",CALC_EEM!K36)</f>
        <v>—</v>
      </c>
      <c r="L43">
        <f>IF(CALC_EEM!L36="","",CALC_EEM!L36)</f>
        <v>0</v>
      </c>
      <c r="M43">
        <f>IF(CALC_EEM!M36="","",CALC_EEM!M36)</f>
        <v>0</v>
      </c>
      <c r="N43">
        <f>IF(CALC_EEM!N36="","",CALC_EEM!N36)</f>
        <v>0</v>
      </c>
      <c r="O43">
        <f>IF(CALC_EEM!O36="","",CALC_EEM!O36)</f>
        <v>0</v>
      </c>
      <c r="P43">
        <f>IF(CALC_EEM!P36="","",CALC_EEM!P36)</f>
        <v>0</v>
      </c>
      <c r="Q43">
        <f>IF(CALC_EEM!Q36="","",CALC_EEM!Q36)</f>
        <v>0</v>
      </c>
      <c r="R43">
        <f>IF(CALC_EEM!R36="","",CALC_EEM!R36)</f>
        <v>0</v>
      </c>
      <c r="S43">
        <f>IF(CALC_EEM!S36="","",CALC_EEM!S36)</f>
        <v>0</v>
      </c>
      <c r="T43">
        <f>IF(CALC_EEM!T36="","",CALC_EEM!T36)</f>
        <v>0</v>
      </c>
      <c r="U43">
        <f>IF(CALC_EEM!U36="","",CALC_EEM!U36)</f>
        <v>0</v>
      </c>
    </row>
    <row r="44" spans="1:24">
      <c r="A44" t="str">
        <f>IF(CALC_EEM!A37="","",IF(CALC_EEM!A37="GLOBAL","GLOBAL",IF(CALC_EEM!C37="Total","CURSO_TOTAL",IF(CALC_EEM!C37="TotalEsp","CURSO_ESP",IF(CALC_EEM!C37="TotalNoEsp","CURSO_NOESP","CURSO_ASIG")))))</f>
        <v>GLOBAL</v>
      </c>
      <c r="B44" t="str">
        <f>IF(CALC_EEM!A37="","",CALC_EEM!A37)</f>
        <v>GLOBAL</v>
      </c>
      <c r="C44" t="str">
        <f>IF(CALC_EEM!B37="","",CALC_EEM!B37)</f>
        <v>Total</v>
      </c>
      <c r="D44">
        <f>IF(CALC_EEM!D37="","",CALC_EEM!D37)</f>
        <v>0</v>
      </c>
      <c r="E44" s="14" t="str">
        <f>IF(CALC_EEM!E37="","",CALC_EEM!E37)</f>
        <v>—</v>
      </c>
      <c r="F44" s="14" t="str">
        <f>IF(CALC_EEM!F37="","",CALC_EEM!F37)</f>
        <v>—</v>
      </c>
      <c r="G44" t="str">
        <f>IF(CALC_EEM!G37="","",CALC_EEM!G37)</f>
        <v>—</v>
      </c>
      <c r="H44" s="16" t="str">
        <f>IF(CALC_EEM!H37="","",CALC_EEM!H37)</f>
        <v>—</v>
      </c>
      <c r="I44" s="16" t="str">
        <f>IF(CALC_EEM!I37="","",CALC_EEM!I37)</f>
        <v>—</v>
      </c>
      <c r="J44" t="str">
        <f>IF(CALC_EEM!J37="","",CALC_EEM!J37)</f>
        <v>—</v>
      </c>
      <c r="K44" t="str">
        <f>IF(CALC_EEM!K37="","",CALC_EEM!K37)</f>
        <v>—</v>
      </c>
      <c r="L44">
        <f>IF(CALC_EEM!L37="","",CALC_EEM!L37)</f>
        <v>0</v>
      </c>
      <c r="M44">
        <f>IF(CALC_EEM!M37="","",CALC_EEM!M37)</f>
        <v>0</v>
      </c>
      <c r="N44">
        <f>IF(CALC_EEM!N37="","",CALC_EEM!N37)</f>
        <v>0</v>
      </c>
      <c r="O44">
        <f>IF(CALC_EEM!O37="","",CALC_EEM!O37)</f>
        <v>0</v>
      </c>
      <c r="P44">
        <f>IF(CALC_EEM!P37="","",CALC_EEM!P37)</f>
        <v>0</v>
      </c>
      <c r="Q44">
        <f>IF(CALC_EEM!Q37="","",CALC_EEM!Q37)</f>
        <v>0</v>
      </c>
      <c r="R44">
        <f>IF(CALC_EEM!R37="","",CALC_EEM!R37)</f>
        <v>0</v>
      </c>
      <c r="S44">
        <f>IF(CALC_EEM!S37="","",CALC_EEM!S37)</f>
        <v>0</v>
      </c>
      <c r="T44">
        <f>IF(CALC_EEM!T37="","",CALC_EEM!T37)</f>
        <v>0</v>
      </c>
      <c r="U44">
        <f>IF(CALC_EEM!U37="","",CALC_EEM!U37)</f>
        <v>0</v>
      </c>
    </row>
    <row r="45" spans="1:24">
      <c r="A45" t="str">
        <f>IF(CALC_EEM!A38="","",IF(CALC_EEM!A38="GLOBAL","GLOBAL",IF(CALC_EEM!C38="Total","CURSO_TOTAL",IF(CALC_EEM!C38="TotalEsp","CURSO_ESP",IF(CALC_EEM!C38="TotalNoEsp","CURSO_NOESP","CURSO_ASIG")))))</f>
        <v>GLOBAL</v>
      </c>
      <c r="B45" t="str">
        <f>IF(CALC_EEM!A38="","",CALC_EEM!A38)</f>
        <v>GLOBAL</v>
      </c>
      <c r="C45" t="str">
        <f>IF(CALC_EEM!B38="","",CALC_EEM!B38)</f>
        <v>Total</v>
      </c>
      <c r="D45">
        <f>IF(CALC_EEM!D38="","",CALC_EEM!D38)</f>
        <v>0</v>
      </c>
      <c r="E45" s="14" t="str">
        <f>IF(CALC_EEM!E38="","",CALC_EEM!E38)</f>
        <v>—</v>
      </c>
      <c r="F45" s="14" t="str">
        <f>IF(CALC_EEM!F38="","",CALC_EEM!F38)</f>
        <v>—</v>
      </c>
      <c r="G45" t="str">
        <f>IF(CALC_EEM!G38="","",CALC_EEM!G38)</f>
        <v>—</v>
      </c>
      <c r="H45" s="16" t="str">
        <f>IF(CALC_EEM!H38="","",CALC_EEM!H38)</f>
        <v>—</v>
      </c>
      <c r="I45" s="16" t="str">
        <f>IF(CALC_EEM!I38="","",CALC_EEM!I38)</f>
        <v>—</v>
      </c>
      <c r="J45" t="str">
        <f>IF(CALC_EEM!J38="","",CALC_EEM!J38)</f>
        <v>—</v>
      </c>
      <c r="K45" t="str">
        <f>IF(CALC_EEM!K38="","",CALC_EEM!K38)</f>
        <v>—</v>
      </c>
      <c r="L45">
        <f>IF(CALC_EEM!L38="","",CALC_EEM!L38)</f>
        <v>0</v>
      </c>
      <c r="M45">
        <f>IF(CALC_EEM!M38="","",CALC_EEM!M38)</f>
        <v>0</v>
      </c>
      <c r="N45">
        <f>IF(CALC_EEM!N38="","",CALC_EEM!N38)</f>
        <v>0</v>
      </c>
      <c r="O45">
        <f>IF(CALC_EEM!O38="","",CALC_EEM!O38)</f>
        <v>0</v>
      </c>
      <c r="P45">
        <f>IF(CALC_EEM!P38="","",CALC_EEM!P38)</f>
        <v>0</v>
      </c>
      <c r="Q45">
        <f>IF(CALC_EEM!Q38="","",CALC_EEM!Q38)</f>
        <v>0</v>
      </c>
      <c r="R45">
        <f>IF(CALC_EEM!R38="","",CALC_EEM!R38)</f>
        <v>0</v>
      </c>
      <c r="S45">
        <f>IF(CALC_EEM!S38="","",CALC_EEM!S38)</f>
        <v>0</v>
      </c>
      <c r="T45">
        <f>IF(CALC_EEM!T38="","",CALC_EEM!T38)</f>
        <v>0</v>
      </c>
      <c r="U45">
        <f>IF(CALC_EEM!U38="","",CALC_EEM!U38)</f>
        <v>0</v>
      </c>
    </row>
    <row r="46" spans="1:24">
      <c r="A46" t="str">
        <f>IF(CALC_EEM!A39="","",IF(CALC_EEM!A39="GLOBAL","GLOBAL",IF(CALC_EEM!C39="Total","CURSO_TOTAL",IF(CALC_EEM!C39="TotalEsp","CURSO_ESP",IF(CALC_EEM!C39="TotalNoEsp","CURSO_NOESP","CURSO_ASIG")))))</f>
        <v>GLOBAL</v>
      </c>
      <c r="B46" t="str">
        <f>IF(CALC_EEM!A39="","",CALC_EEM!A39)</f>
        <v>GLOBAL</v>
      </c>
      <c r="C46" t="str">
        <f>IF(CALC_EEM!B39="","",CALC_EEM!B39)</f>
        <v>Total</v>
      </c>
      <c r="D46">
        <f>IF(CALC_EEM!D39="","",CALC_EEM!D39)</f>
        <v>0</v>
      </c>
      <c r="E46" s="14" t="str">
        <f>IF(CALC_EEM!E39="","",CALC_EEM!E39)</f>
        <v>—</v>
      </c>
      <c r="F46" s="14" t="str">
        <f>IF(CALC_EEM!F39="","",CALC_EEM!F39)</f>
        <v>—</v>
      </c>
      <c r="G46" t="str">
        <f>IF(CALC_EEM!G39="","",CALC_EEM!G39)</f>
        <v>—</v>
      </c>
      <c r="H46" s="16" t="str">
        <f>IF(CALC_EEM!H39="","",CALC_EEM!H39)</f>
        <v>—</v>
      </c>
      <c r="I46" s="16" t="str">
        <f>IF(CALC_EEM!I39="","",CALC_EEM!I39)</f>
        <v>—</v>
      </c>
      <c r="J46" t="str">
        <f>IF(CALC_EEM!J39="","",CALC_EEM!J39)</f>
        <v>—</v>
      </c>
      <c r="K46" t="str">
        <f>IF(CALC_EEM!K39="","",CALC_EEM!K39)</f>
        <v>—</v>
      </c>
      <c r="L46">
        <f>IF(CALC_EEM!L39="","",CALC_EEM!L39)</f>
        <v>0</v>
      </c>
      <c r="M46">
        <f>IF(CALC_EEM!M39="","",CALC_EEM!M39)</f>
        <v>0</v>
      </c>
      <c r="N46">
        <f>IF(CALC_EEM!N39="","",CALC_EEM!N39)</f>
        <v>0</v>
      </c>
      <c r="O46">
        <f>IF(CALC_EEM!O39="","",CALC_EEM!O39)</f>
        <v>0</v>
      </c>
      <c r="P46">
        <f>IF(CALC_EEM!P39="","",CALC_EEM!P39)</f>
        <v>0</v>
      </c>
      <c r="Q46">
        <f>IF(CALC_EEM!Q39="","",CALC_EEM!Q39)</f>
        <v>0</v>
      </c>
      <c r="R46">
        <f>IF(CALC_EEM!R39="","",CALC_EEM!R39)</f>
        <v>0</v>
      </c>
      <c r="S46">
        <f>IF(CALC_EEM!S39="","",CALC_EEM!S39)</f>
        <v>0</v>
      </c>
      <c r="T46">
        <f>IF(CALC_EEM!T39="","",CALC_EEM!T39)</f>
        <v>0</v>
      </c>
      <c r="U46">
        <f>IF(CALC_EEM!U39="","",CALC_EEM!U39)</f>
        <v>0</v>
      </c>
    </row>
    <row r="47" spans="1:24">
      <c r="A47" t="str">
        <f>IF(CALC_EEM!A40="","",IF(CALC_EEM!A40="GLOBAL","GLOBAL",IF(CALC_EEM!C40="Total","CURSO_TOTAL",IF(CALC_EEM!C40="TotalEsp","CURSO_ESP",IF(CALC_EEM!C40="TotalNoEsp","CURSO_NOESP","CURSO_ASIG")))))</f>
        <v>GLOBAL</v>
      </c>
      <c r="B47" t="str">
        <f>IF(CALC_EEM!A40="","",CALC_EEM!A40)</f>
        <v>GLOBAL</v>
      </c>
      <c r="C47" t="str">
        <f>IF(CALC_EEM!B40="","",CALC_EEM!B40)</f>
        <v>Total</v>
      </c>
      <c r="D47">
        <f>IF(CALC_EEM!D40="","",CALC_EEM!D40)</f>
        <v>0</v>
      </c>
      <c r="E47" s="14" t="str">
        <f>IF(CALC_EEM!E40="","",CALC_EEM!E40)</f>
        <v>—</v>
      </c>
      <c r="F47" s="14" t="str">
        <f>IF(CALC_EEM!F40="","",CALC_EEM!F40)</f>
        <v>—</v>
      </c>
      <c r="G47" t="str">
        <f>IF(CALC_EEM!G40="","",CALC_EEM!G40)</f>
        <v>—</v>
      </c>
      <c r="H47" s="16" t="str">
        <f>IF(CALC_EEM!H40="","",CALC_EEM!H40)</f>
        <v>—</v>
      </c>
      <c r="I47" s="16" t="str">
        <f>IF(CALC_EEM!I40="","",CALC_EEM!I40)</f>
        <v>—</v>
      </c>
      <c r="J47" t="str">
        <f>IF(CALC_EEM!J40="","",CALC_EEM!J40)</f>
        <v>—</v>
      </c>
      <c r="K47" t="str">
        <f>IF(CALC_EEM!K40="","",CALC_EEM!K40)</f>
        <v>—</v>
      </c>
      <c r="L47">
        <f>IF(CALC_EEM!L40="","",CALC_EEM!L40)</f>
        <v>0</v>
      </c>
      <c r="M47">
        <f>IF(CALC_EEM!M40="","",CALC_EEM!M40)</f>
        <v>0</v>
      </c>
      <c r="N47">
        <f>IF(CALC_EEM!N40="","",CALC_EEM!N40)</f>
        <v>0</v>
      </c>
      <c r="O47">
        <f>IF(CALC_EEM!O40="","",CALC_EEM!O40)</f>
        <v>0</v>
      </c>
      <c r="P47">
        <f>IF(CALC_EEM!P40="","",CALC_EEM!P40)</f>
        <v>0</v>
      </c>
      <c r="Q47">
        <f>IF(CALC_EEM!Q40="","",CALC_EEM!Q40)</f>
        <v>0</v>
      </c>
      <c r="R47">
        <f>IF(CALC_EEM!R40="","",CALC_EEM!R40)</f>
        <v>0</v>
      </c>
      <c r="S47">
        <f>IF(CALC_EEM!S40="","",CALC_EEM!S40)</f>
        <v>0</v>
      </c>
      <c r="T47">
        <f>IF(CALC_EEM!T40="","",CALC_EEM!T40)</f>
        <v>0</v>
      </c>
      <c r="U47">
        <f>IF(CALC_EEM!U40="","",CALC_EEM!U40)</f>
        <v>0</v>
      </c>
    </row>
    <row r="48" spans="1:24">
      <c r="A48" t="str">
        <f>IF(CALC_EEM!A41="","",IF(CALC_EEM!A41="GLOBAL","GLOBAL",IF(CALC_EEM!C41="Total","CURSO_TOTAL",IF(CALC_EEM!C41="TotalEsp","CURSO_ESP",IF(CALC_EEM!C41="TotalNoEsp","CURSO_NOESP","CURSO_ASIG")))))</f>
        <v>GLOBAL</v>
      </c>
      <c r="B48" t="str">
        <f>IF(CALC_EEM!A41="","",CALC_EEM!A41)</f>
        <v>GLOBAL</v>
      </c>
      <c r="C48" t="str">
        <f>IF(CALC_EEM!B41="","",CALC_EEM!B41)</f>
        <v>Total</v>
      </c>
      <c r="D48">
        <f>IF(CALC_EEM!D41="","",CALC_EEM!D41)</f>
        <v>0</v>
      </c>
      <c r="E48" s="14" t="str">
        <f>IF(CALC_EEM!E41="","",CALC_EEM!E41)</f>
        <v>—</v>
      </c>
      <c r="F48" s="14" t="str">
        <f>IF(CALC_EEM!F41="","",CALC_EEM!F41)</f>
        <v>—</v>
      </c>
      <c r="G48" t="str">
        <f>IF(CALC_EEM!G41="","",CALC_EEM!G41)</f>
        <v>—</v>
      </c>
      <c r="H48" s="16" t="str">
        <f>IF(CALC_EEM!H41="","",CALC_EEM!H41)</f>
        <v>—</v>
      </c>
      <c r="I48" s="16" t="str">
        <f>IF(CALC_EEM!I41="","",CALC_EEM!I41)</f>
        <v>—</v>
      </c>
      <c r="J48" t="str">
        <f>IF(CALC_EEM!J41="","",CALC_EEM!J41)</f>
        <v>—</v>
      </c>
      <c r="K48" t="str">
        <f>IF(CALC_EEM!K41="","",CALC_EEM!K41)</f>
        <v>—</v>
      </c>
      <c r="L48">
        <f>IF(CALC_EEM!L41="","",CALC_EEM!L41)</f>
        <v>0</v>
      </c>
      <c r="M48">
        <f>IF(CALC_EEM!M41="","",CALC_EEM!M41)</f>
        <v>0</v>
      </c>
      <c r="N48">
        <f>IF(CALC_EEM!N41="","",CALC_EEM!N41)</f>
        <v>0</v>
      </c>
      <c r="O48">
        <f>IF(CALC_EEM!O41="","",CALC_EEM!O41)</f>
        <v>0</v>
      </c>
      <c r="P48">
        <f>IF(CALC_EEM!P41="","",CALC_EEM!P41)</f>
        <v>0</v>
      </c>
      <c r="Q48">
        <f>IF(CALC_EEM!Q41="","",CALC_EEM!Q41)</f>
        <v>0</v>
      </c>
      <c r="R48">
        <f>IF(CALC_EEM!R41="","",CALC_EEM!R41)</f>
        <v>0</v>
      </c>
      <c r="S48">
        <f>IF(CALC_EEM!S41="","",CALC_EEM!S41)</f>
        <v>0</v>
      </c>
      <c r="T48">
        <f>IF(CALC_EEM!T41="","",CALC_EEM!T41)</f>
        <v>0</v>
      </c>
      <c r="U48">
        <f>IF(CALC_EEM!U41="","",CALC_EEM!U41)</f>
        <v>0</v>
      </c>
    </row>
    <row r="49" spans="1:24">
      <c r="A49" t="str">
        <f>IF(CALC_EEM!A42="","",IF(CALC_EEM!A42="GLOBAL","GLOBAL",IF(CALC_EEM!C42="Total","CURSO_TOTAL",IF(CALC_EEM!C42="TotalEsp","CURSO_ESP",IF(CALC_EEM!C42="TotalNoEsp","CURSO_NOESP","CURSO_ASIG")))))</f>
        <v>GLOBAL</v>
      </c>
      <c r="B49" t="str">
        <f>IF(CALC_EEM!A42="","",CALC_EEM!A42)</f>
        <v>GLOBAL</v>
      </c>
      <c r="C49" t="str">
        <f>IF(CALC_EEM!B42="","",CALC_EEM!B42)</f>
        <v>Total</v>
      </c>
      <c r="D49">
        <f>IF(CALC_EEM!D42="","",CALC_EEM!D42)</f>
        <v>0</v>
      </c>
      <c r="E49" s="14" t="str">
        <f>IF(CALC_EEM!E42="","",CALC_EEM!E42)</f>
        <v>—</v>
      </c>
      <c r="F49" s="14" t="str">
        <f>IF(CALC_EEM!F42="","",CALC_EEM!F42)</f>
        <v>—</v>
      </c>
      <c r="G49" t="str">
        <f>IF(CALC_EEM!G42="","",CALC_EEM!G42)</f>
        <v>—</v>
      </c>
      <c r="H49" s="16" t="str">
        <f>IF(CALC_EEM!H42="","",CALC_EEM!H42)</f>
        <v>—</v>
      </c>
      <c r="I49" s="16" t="str">
        <f>IF(CALC_EEM!I42="","",CALC_EEM!I42)</f>
        <v>—</v>
      </c>
      <c r="J49" t="str">
        <f>IF(CALC_EEM!J42="","",CALC_EEM!J42)</f>
        <v>—</v>
      </c>
      <c r="K49" t="str">
        <f>IF(CALC_EEM!K42="","",CALC_EEM!K42)</f>
        <v>—</v>
      </c>
      <c r="L49">
        <f>IF(CALC_EEM!L42="","",CALC_EEM!L42)</f>
        <v>0</v>
      </c>
      <c r="M49">
        <f>IF(CALC_EEM!M42="","",CALC_EEM!M42)</f>
        <v>0</v>
      </c>
      <c r="N49">
        <f>IF(CALC_EEM!N42="","",CALC_EEM!N42)</f>
        <v>0</v>
      </c>
      <c r="O49">
        <f>IF(CALC_EEM!O42="","",CALC_EEM!O42)</f>
        <v>0</v>
      </c>
      <c r="P49">
        <f>IF(CALC_EEM!P42="","",CALC_EEM!P42)</f>
        <v>0</v>
      </c>
      <c r="Q49">
        <f>IF(CALC_EEM!Q42="","",CALC_EEM!Q42)</f>
        <v>0</v>
      </c>
      <c r="R49">
        <f>IF(CALC_EEM!R42="","",CALC_EEM!R42)</f>
        <v>0</v>
      </c>
      <c r="S49">
        <f>IF(CALC_EEM!S42="","",CALC_EEM!S42)</f>
        <v>0</v>
      </c>
      <c r="T49">
        <f>IF(CALC_EEM!T42="","",CALC_EEM!T42)</f>
        <v>0</v>
      </c>
      <c r="U49">
        <f>IF(CALC_EEM!U42="","",CALC_EEM!U42)</f>
        <v>0</v>
      </c>
    </row>
    <row r="50" spans="1:24">
      <c r="A50" t="str">
        <f>IF(CALC_EEM!A43="","",IF(CALC_EEM!A43="GLOBAL","GLOBAL",IF(CALC_EEM!C43="Total","CURSO_TOTAL",IF(CALC_EEM!C43="TotalEsp","CURSO_ESP",IF(CALC_EEM!C43="TotalNoEsp","CURSO_NOESP","CURSO_ASIG")))))</f>
        <v>GLOBAL</v>
      </c>
      <c r="B50" t="str">
        <f>IF(CALC_EEM!A43="","",CALC_EEM!A43)</f>
        <v>GLOBAL</v>
      </c>
      <c r="C50" t="str">
        <f>IF(CALC_EEM!B43="","",CALC_EEM!B43)</f>
        <v>Total</v>
      </c>
      <c r="D50">
        <f>IF(CALC_EEM!D43="","",CALC_EEM!D43)</f>
        <v>0</v>
      </c>
      <c r="E50" s="14" t="str">
        <f>IF(CALC_EEM!E43="","",CALC_EEM!E43)</f>
        <v>—</v>
      </c>
      <c r="F50" s="14" t="str">
        <f>IF(CALC_EEM!F43="","",CALC_EEM!F43)</f>
        <v>—</v>
      </c>
      <c r="G50" t="str">
        <f>IF(CALC_EEM!G43="","",CALC_EEM!G43)</f>
        <v>—</v>
      </c>
      <c r="H50" s="16" t="str">
        <f>IF(CALC_EEM!H43="","",CALC_EEM!H43)</f>
        <v>—</v>
      </c>
      <c r="I50" s="16" t="str">
        <f>IF(CALC_EEM!I43="","",CALC_EEM!I43)</f>
        <v>—</v>
      </c>
      <c r="J50" t="str">
        <f>IF(CALC_EEM!J43="","",CALC_EEM!J43)</f>
        <v>—</v>
      </c>
      <c r="K50" t="str">
        <f>IF(CALC_EEM!K43="","",CALC_EEM!K43)</f>
        <v>—</v>
      </c>
      <c r="L50">
        <f>IF(CALC_EEM!L43="","",CALC_EEM!L43)</f>
        <v>0</v>
      </c>
      <c r="M50">
        <f>IF(CALC_EEM!M43="","",CALC_EEM!M43)</f>
        <v>0</v>
      </c>
      <c r="N50">
        <f>IF(CALC_EEM!N43="","",CALC_EEM!N43)</f>
        <v>0</v>
      </c>
      <c r="O50">
        <f>IF(CALC_EEM!O43="","",CALC_EEM!O43)</f>
        <v>0</v>
      </c>
      <c r="P50">
        <f>IF(CALC_EEM!P43="","",CALC_EEM!P43)</f>
        <v>0</v>
      </c>
      <c r="Q50">
        <f>IF(CALC_EEM!Q43="","",CALC_EEM!Q43)</f>
        <v>0</v>
      </c>
      <c r="R50">
        <f>IF(CALC_EEM!R43="","",CALC_EEM!R43)</f>
        <v>0</v>
      </c>
      <c r="S50">
        <f>IF(CALC_EEM!S43="","",CALC_EEM!S43)</f>
        <v>0</v>
      </c>
      <c r="T50">
        <f>IF(CALC_EEM!T43="","",CALC_EEM!T43)</f>
        <v>0</v>
      </c>
      <c r="U50">
        <f>IF(CALC_EEM!U43="","",CALC_EEM!U43)</f>
        <v>0</v>
      </c>
    </row>
    <row r="51" spans="1:24">
      <c r="A51" t="str">
        <f>IF(CALC_EEM!A44="","",IF(CALC_EEM!A44="GLOBAL","GLOBAL",IF(CALC_EEM!C44="Total","CURSO_TOTAL",IF(CALC_EEM!C44="TotalEsp","CURSO_ESP",IF(CALC_EEM!C44="TotalNoEsp","CURSO_NOESP","CURSO_ASIG")))))</f>
        <v>GLOBAL</v>
      </c>
      <c r="B51" t="str">
        <f>IF(CALC_EEM!A44="","",CALC_EEM!A44)</f>
        <v>GLOBAL</v>
      </c>
      <c r="C51" t="str">
        <f>IF(CALC_EEM!B44="","",CALC_EEM!B44)</f>
        <v>Total</v>
      </c>
      <c r="D51">
        <f>IF(CALC_EEM!D44="","",CALC_EEM!D44)</f>
        <v>0</v>
      </c>
      <c r="E51" s="14" t="str">
        <f>IF(CALC_EEM!E44="","",CALC_EEM!E44)</f>
        <v>—</v>
      </c>
      <c r="F51" s="14" t="str">
        <f>IF(CALC_EEM!F44="","",CALC_EEM!F44)</f>
        <v>—</v>
      </c>
      <c r="G51" t="str">
        <f>IF(CALC_EEM!G44="","",CALC_EEM!G44)</f>
        <v>—</v>
      </c>
      <c r="H51" s="16" t="str">
        <f>IF(CALC_EEM!H44="","",CALC_EEM!H44)</f>
        <v>—</v>
      </c>
      <c r="I51" s="16" t="str">
        <f>IF(CALC_EEM!I44="","",CALC_EEM!I44)</f>
        <v>—</v>
      </c>
      <c r="J51" t="str">
        <f>IF(CALC_EEM!J44="","",CALC_EEM!J44)</f>
        <v>—</v>
      </c>
      <c r="K51" t="str">
        <f>IF(CALC_EEM!K44="","",CALC_EEM!K44)</f>
        <v>—</v>
      </c>
      <c r="L51">
        <f>IF(CALC_EEM!L44="","",CALC_EEM!L44)</f>
        <v>0</v>
      </c>
      <c r="M51">
        <f>IF(CALC_EEM!M44="","",CALC_EEM!M44)</f>
        <v>0</v>
      </c>
      <c r="N51">
        <f>IF(CALC_EEM!N44="","",CALC_EEM!N44)</f>
        <v>0</v>
      </c>
      <c r="O51">
        <f>IF(CALC_EEM!O44="","",CALC_EEM!O44)</f>
        <v>0</v>
      </c>
      <c r="P51">
        <f>IF(CALC_EEM!P44="","",CALC_EEM!P44)</f>
        <v>0</v>
      </c>
      <c r="Q51">
        <f>IF(CALC_EEM!Q44="","",CALC_EEM!Q44)</f>
        <v>0</v>
      </c>
      <c r="R51">
        <f>IF(CALC_EEM!R44="","",CALC_EEM!R44)</f>
        <v>0</v>
      </c>
      <c r="S51">
        <f>IF(CALC_EEM!S44="","",CALC_EEM!S44)</f>
        <v>0</v>
      </c>
      <c r="T51">
        <f>IF(CALC_EEM!T44="","",CALC_EEM!T44)</f>
        <v>0</v>
      </c>
      <c r="U51">
        <f>IF(CALC_EEM!U44="","",CALC_EEM!U44)</f>
        <v>0</v>
      </c>
    </row>
    <row r="52" spans="1:24">
      <c r="A52" t="str">
        <f>IF(CALC_EEM!A45="","",IF(CALC_EEM!A45="GLOBAL","GLOBAL",IF(CALC_EEM!C45="Total","CURSO_TOTAL",IF(CALC_EEM!C45="TotalEsp","CURSO_ESP",IF(CALC_EEM!C45="TotalNoEsp","CURSO_NOESP","CURSO_ASIG")))))</f>
        <v>GLOBAL</v>
      </c>
      <c r="B52" t="str">
        <f>IF(CALC_EEM!A45="","",CALC_EEM!A45)</f>
        <v>GLOBAL</v>
      </c>
      <c r="C52" t="str">
        <f>IF(CALC_EEM!B45="","",CALC_EEM!B45)</f>
        <v>Total</v>
      </c>
      <c r="D52">
        <f>IF(CALC_EEM!D45="","",CALC_EEM!D45)</f>
        <v>0</v>
      </c>
      <c r="E52" s="14" t="str">
        <f>IF(CALC_EEM!E45="","",CALC_EEM!E45)</f>
        <v>—</v>
      </c>
      <c r="F52" s="14" t="str">
        <f>IF(CALC_EEM!F45="","",CALC_EEM!F45)</f>
        <v>—</v>
      </c>
      <c r="G52" t="str">
        <f>IF(CALC_EEM!G45="","",CALC_EEM!G45)</f>
        <v>—</v>
      </c>
      <c r="H52" s="16" t="str">
        <f>IF(CALC_EEM!H45="","",CALC_EEM!H45)</f>
        <v>—</v>
      </c>
      <c r="I52" s="16" t="str">
        <f>IF(CALC_EEM!I45="","",CALC_EEM!I45)</f>
        <v>—</v>
      </c>
      <c r="J52" t="str">
        <f>IF(CALC_EEM!J45="","",CALC_EEM!J45)</f>
        <v>—</v>
      </c>
      <c r="K52" t="str">
        <f>IF(CALC_EEM!K45="","",CALC_EEM!K45)</f>
        <v>—</v>
      </c>
      <c r="L52">
        <f>IF(CALC_EEM!L45="","",CALC_EEM!L45)</f>
        <v>0</v>
      </c>
      <c r="M52">
        <f>IF(CALC_EEM!M45="","",CALC_EEM!M45)</f>
        <v>0</v>
      </c>
      <c r="N52">
        <f>IF(CALC_EEM!N45="","",CALC_EEM!N45)</f>
        <v>0</v>
      </c>
      <c r="O52">
        <f>IF(CALC_EEM!O45="","",CALC_EEM!O45)</f>
        <v>0</v>
      </c>
      <c r="P52">
        <f>IF(CALC_EEM!P45="","",CALC_EEM!P45)</f>
        <v>0</v>
      </c>
      <c r="Q52">
        <f>IF(CALC_EEM!Q45="","",CALC_EEM!Q45)</f>
        <v>0</v>
      </c>
      <c r="R52">
        <f>IF(CALC_EEM!R45="","",CALC_EEM!R45)</f>
        <v>0</v>
      </c>
      <c r="S52">
        <f>IF(CALC_EEM!S45="","",CALC_EEM!S45)</f>
        <v>0</v>
      </c>
      <c r="T52">
        <f>IF(CALC_EEM!T45="","",CALC_EEM!T45)</f>
        <v>0</v>
      </c>
      <c r="U52">
        <f>IF(CALC_EEM!U45="","",CALC_EEM!U45)</f>
        <v>0</v>
      </c>
    </row>
    <row r="53" spans="1:24">
      <c r="A53" t="str">
        <f>IF(CALC_EEM!A46="","",IF(CALC_EEM!A46="GLOBAL","GLOBAL",IF(CALC_EEM!C46="Total","CURSO_TOTAL",IF(CALC_EEM!C46="TotalEsp","CURSO_ESP",IF(CALC_EEM!C46="TotalNoEsp","CURSO_NOESP","CURSO_ASIG")))))</f>
        <v>GLOBAL</v>
      </c>
      <c r="B53" t="str">
        <f>IF(CALC_EEM!A46="","",CALC_EEM!A46)</f>
        <v>GLOBAL</v>
      </c>
      <c r="C53" t="str">
        <f>IF(CALC_EEM!B46="","",CALC_EEM!B46)</f>
        <v>Total</v>
      </c>
      <c r="D53">
        <f>IF(CALC_EEM!D46="","",CALC_EEM!D46)</f>
        <v>0</v>
      </c>
      <c r="E53" s="14" t="str">
        <f>IF(CALC_EEM!E46="","",CALC_EEM!E46)</f>
        <v>—</v>
      </c>
      <c r="F53" s="14" t="str">
        <f>IF(CALC_EEM!F46="","",CALC_EEM!F46)</f>
        <v>—</v>
      </c>
      <c r="G53" t="str">
        <f>IF(CALC_EEM!G46="","",CALC_EEM!G46)</f>
        <v>—</v>
      </c>
      <c r="H53" s="16" t="str">
        <f>IF(CALC_EEM!H46="","",CALC_EEM!H46)</f>
        <v>—</v>
      </c>
      <c r="I53" s="16" t="str">
        <f>IF(CALC_EEM!I46="","",CALC_EEM!I46)</f>
        <v>—</v>
      </c>
      <c r="J53" t="str">
        <f>IF(CALC_EEM!J46="","",CALC_EEM!J46)</f>
        <v>—</v>
      </c>
      <c r="K53" t="str">
        <f>IF(CALC_EEM!K46="","",CALC_EEM!K46)</f>
        <v>—</v>
      </c>
      <c r="L53">
        <f>IF(CALC_EEM!L46="","",CALC_EEM!L46)</f>
        <v>0</v>
      </c>
      <c r="M53">
        <f>IF(CALC_EEM!M46="","",CALC_EEM!M46)</f>
        <v>0</v>
      </c>
      <c r="N53">
        <f>IF(CALC_EEM!N46="","",CALC_EEM!N46)</f>
        <v>0</v>
      </c>
      <c r="O53">
        <f>IF(CALC_EEM!O46="","",CALC_EEM!O46)</f>
        <v>0</v>
      </c>
      <c r="P53">
        <f>IF(CALC_EEM!P46="","",CALC_EEM!P46)</f>
        <v>0</v>
      </c>
      <c r="Q53">
        <f>IF(CALC_EEM!Q46="","",CALC_EEM!Q46)</f>
        <v>0</v>
      </c>
      <c r="R53">
        <f>IF(CALC_EEM!R46="","",CALC_EEM!R46)</f>
        <v>0</v>
      </c>
      <c r="S53">
        <f>IF(CALC_EEM!S46="","",CALC_EEM!S46)</f>
        <v>0</v>
      </c>
      <c r="T53">
        <f>IF(CALC_EEM!T46="","",CALC_EEM!T46)</f>
        <v>0</v>
      </c>
      <c r="U53">
        <f>IF(CALC_EEM!U46="","",CALC_EEM!U46)</f>
        <v>0</v>
      </c>
    </row>
    <row r="54" spans="1:24">
      <c r="A54" t="str">
        <f>IF(CALC_EEM!A47="","",IF(CALC_EEM!A47="GLOBAL","GLOBAL",IF(CALC_EEM!C47="Total","CURSO_TOTAL",IF(CALC_EEM!C47="TotalEsp","CURSO_ESP",IF(CALC_EEM!C47="TotalNoEsp","CURSO_NOESP","CURSO_ASIG")))))</f>
        <v>GLOBAL</v>
      </c>
      <c r="B54" t="str">
        <f>IF(CALC_EEM!A47="","",CALC_EEM!A47)</f>
        <v>GLOBAL</v>
      </c>
      <c r="C54" t="str">
        <f>IF(CALC_EEM!B47="","",CALC_EEM!B47)</f>
        <v>Total</v>
      </c>
      <c r="D54">
        <f>IF(CALC_EEM!D47="","",CALC_EEM!D47)</f>
        <v>0</v>
      </c>
      <c r="E54" s="14" t="str">
        <f>IF(CALC_EEM!E47="","",CALC_EEM!E47)</f>
        <v>—</v>
      </c>
      <c r="F54" s="14" t="str">
        <f>IF(CALC_EEM!F47="","",CALC_EEM!F47)</f>
        <v>—</v>
      </c>
      <c r="G54" t="str">
        <f>IF(CALC_EEM!G47="","",CALC_EEM!G47)</f>
        <v>—</v>
      </c>
      <c r="H54" s="16" t="str">
        <f>IF(CALC_EEM!H47="","",CALC_EEM!H47)</f>
        <v>—</v>
      </c>
      <c r="I54" s="16" t="str">
        <f>IF(CALC_EEM!I47="","",CALC_EEM!I47)</f>
        <v>—</v>
      </c>
      <c r="J54" t="str">
        <f>IF(CALC_EEM!J47="","",CALC_EEM!J47)</f>
        <v>—</v>
      </c>
      <c r="K54" t="str">
        <f>IF(CALC_EEM!K47="","",CALC_EEM!K47)</f>
        <v>—</v>
      </c>
      <c r="L54">
        <f>IF(CALC_EEM!L47="","",CALC_EEM!L47)</f>
        <v>0</v>
      </c>
      <c r="M54">
        <f>IF(CALC_EEM!M47="","",CALC_EEM!M47)</f>
        <v>0</v>
      </c>
      <c r="N54">
        <f>IF(CALC_EEM!N47="","",CALC_EEM!N47)</f>
        <v>0</v>
      </c>
      <c r="O54">
        <f>IF(CALC_EEM!O47="","",CALC_EEM!O47)</f>
        <v>0</v>
      </c>
      <c r="P54">
        <f>IF(CALC_EEM!P47="","",CALC_EEM!P47)</f>
        <v>0</v>
      </c>
      <c r="Q54">
        <f>IF(CALC_EEM!Q47="","",CALC_EEM!Q47)</f>
        <v>0</v>
      </c>
      <c r="R54">
        <f>IF(CALC_EEM!R47="","",CALC_EEM!R47)</f>
        <v>0</v>
      </c>
      <c r="S54">
        <f>IF(CALC_EEM!S47="","",CALC_EEM!S47)</f>
        <v>0</v>
      </c>
      <c r="T54">
        <f>IF(CALC_EEM!T47="","",CALC_EEM!T47)</f>
        <v>0</v>
      </c>
      <c r="U54">
        <f>IF(CALC_EEM!U47="","",CALC_EEM!U47)</f>
        <v>0</v>
      </c>
    </row>
    <row r="55" spans="1:24">
      <c r="A55" t="str">
        <f>IF(CALC_EEM!A48="","",IF(CALC_EEM!A48="GLOBAL","GLOBAL",IF(CALC_EEM!C48="Total","CURSO_TOTAL",IF(CALC_EEM!C48="TotalEsp","CURSO_ESP",IF(CALC_EEM!C48="TotalNoEsp","CURSO_NOESP","CURSO_ASIG")))))</f>
        <v>GLOBAL</v>
      </c>
      <c r="B55" t="str">
        <f>IF(CALC_EEM!A48="","",CALC_EEM!A48)</f>
        <v>GLOBAL</v>
      </c>
      <c r="C55" t="str">
        <f>IF(CALC_EEM!B48="","",CALC_EEM!B48)</f>
        <v>Total</v>
      </c>
      <c r="D55">
        <f>IF(CALC_EEM!D48="","",CALC_EEM!D48)</f>
        <v>0</v>
      </c>
      <c r="E55" s="14" t="str">
        <f>IF(CALC_EEM!E48="","",CALC_EEM!E48)</f>
        <v>—</v>
      </c>
      <c r="F55" s="14" t="str">
        <f>IF(CALC_EEM!F48="","",CALC_EEM!F48)</f>
        <v>—</v>
      </c>
      <c r="G55" t="str">
        <f>IF(CALC_EEM!G48="","",CALC_EEM!G48)</f>
        <v>—</v>
      </c>
      <c r="H55" s="16" t="str">
        <f>IF(CALC_EEM!H48="","",CALC_EEM!H48)</f>
        <v>—</v>
      </c>
      <c r="I55" s="16" t="str">
        <f>IF(CALC_EEM!I48="","",CALC_EEM!I48)</f>
        <v>—</v>
      </c>
      <c r="J55" t="str">
        <f>IF(CALC_EEM!J48="","",CALC_EEM!J48)</f>
        <v>—</v>
      </c>
      <c r="K55" t="str">
        <f>IF(CALC_EEM!K48="","",CALC_EEM!K48)</f>
        <v>—</v>
      </c>
      <c r="L55">
        <f>IF(CALC_EEM!L48="","",CALC_EEM!L48)</f>
        <v>0</v>
      </c>
      <c r="M55">
        <f>IF(CALC_EEM!M48="","",CALC_EEM!M48)</f>
        <v>0</v>
      </c>
      <c r="N55">
        <f>IF(CALC_EEM!N48="","",CALC_EEM!N48)</f>
        <v>0</v>
      </c>
      <c r="O55">
        <f>IF(CALC_EEM!O48="","",CALC_EEM!O48)</f>
        <v>0</v>
      </c>
      <c r="P55">
        <f>IF(CALC_EEM!P48="","",CALC_EEM!P48)</f>
        <v>0</v>
      </c>
      <c r="Q55">
        <f>IF(CALC_EEM!Q48="","",CALC_EEM!Q48)</f>
        <v>0</v>
      </c>
      <c r="R55">
        <f>IF(CALC_EEM!R48="","",CALC_EEM!R48)</f>
        <v>0</v>
      </c>
      <c r="S55">
        <f>IF(CALC_EEM!S48="","",CALC_EEM!S48)</f>
        <v>0</v>
      </c>
      <c r="T55">
        <f>IF(CALC_EEM!T48="","",CALC_EEM!T48)</f>
        <v>0</v>
      </c>
      <c r="U55">
        <f>IF(CALC_EEM!U48="","",CALC_EEM!U48)</f>
        <v>0</v>
      </c>
    </row>
    <row r="56" spans="1:24">
      <c r="A56" t="str">
        <f>IF(CALC_EEM!A49="","",IF(CALC_EEM!A49="GLOBAL","GLOBAL",IF(CALC_EEM!C49="Total","CURSO_TOTAL",IF(CALC_EEM!C49="TotalEsp","CURSO_ESP",IF(CALC_EEM!C49="TotalNoEsp","CURSO_NOESP","CURSO_ASIG")))))</f>
        <v>GLOBAL</v>
      </c>
      <c r="B56" t="str">
        <f>IF(CALC_EEM!A49="","",CALC_EEM!A49)</f>
        <v>GLOBAL</v>
      </c>
      <c r="C56" t="str">
        <f>IF(CALC_EEM!B49="","",CALC_EEM!B49)</f>
        <v>Total</v>
      </c>
      <c r="D56">
        <f>IF(CALC_EEM!D49="","",CALC_EEM!D49)</f>
        <v>0</v>
      </c>
      <c r="E56" s="14" t="str">
        <f>IF(CALC_EEM!E49="","",CALC_EEM!E49)</f>
        <v>—</v>
      </c>
      <c r="F56" s="14" t="str">
        <f>IF(CALC_EEM!F49="","",CALC_EEM!F49)</f>
        <v>—</v>
      </c>
      <c r="G56" t="str">
        <f>IF(CALC_EEM!G49="","",CALC_EEM!G49)</f>
        <v>—</v>
      </c>
      <c r="H56" s="16" t="str">
        <f>IF(CALC_EEM!H49="","",CALC_EEM!H49)</f>
        <v>—</v>
      </c>
      <c r="I56" s="16" t="str">
        <f>IF(CALC_EEM!I49="","",CALC_EEM!I49)</f>
        <v>—</v>
      </c>
      <c r="J56" t="str">
        <f>IF(CALC_EEM!J49="","",CALC_EEM!J49)</f>
        <v>—</v>
      </c>
      <c r="K56" t="str">
        <f>IF(CALC_EEM!K49="","",CALC_EEM!K49)</f>
        <v>—</v>
      </c>
      <c r="L56">
        <f>IF(CALC_EEM!L49="","",CALC_EEM!L49)</f>
        <v>0</v>
      </c>
      <c r="M56">
        <f>IF(CALC_EEM!M49="","",CALC_EEM!M49)</f>
        <v>0</v>
      </c>
      <c r="N56">
        <f>IF(CALC_EEM!N49="","",CALC_EEM!N49)</f>
        <v>0</v>
      </c>
      <c r="O56">
        <f>IF(CALC_EEM!O49="","",CALC_EEM!O49)</f>
        <v>0</v>
      </c>
      <c r="P56">
        <f>IF(CALC_EEM!P49="","",CALC_EEM!P49)</f>
        <v>0</v>
      </c>
      <c r="Q56">
        <f>IF(CALC_EEM!Q49="","",CALC_EEM!Q49)</f>
        <v>0</v>
      </c>
      <c r="R56">
        <f>IF(CALC_EEM!R49="","",CALC_EEM!R49)</f>
        <v>0</v>
      </c>
      <c r="S56">
        <f>IF(CALC_EEM!S49="","",CALC_EEM!S49)</f>
        <v>0</v>
      </c>
      <c r="T56">
        <f>IF(CALC_EEM!T49="","",CALC_EEM!T49)</f>
        <v>0</v>
      </c>
      <c r="U56">
        <f>IF(CALC_EEM!U49="","",CALC_EEM!U49)</f>
        <v>0</v>
      </c>
    </row>
    <row r="57" spans="1:24">
      <c r="A57" t="str">
        <f>IF(CALC_EEM!A50="","",IF(CALC_EEM!A50="GLOBAL","GLOBAL",IF(CALC_EEM!C50="Total","CURSO_TOTAL",IF(CALC_EEM!C50="TotalEsp","CURSO_ESP",IF(CALC_EEM!C50="TotalNoEsp","CURSO_NOESP","CURSO_ASIG")))))</f>
        <v>GLOBAL</v>
      </c>
      <c r="B57" t="str">
        <f>IF(CALC_EEM!A50="","",CALC_EEM!A50)</f>
        <v>GLOBAL</v>
      </c>
      <c r="C57" t="str">
        <f>IF(CALC_EEM!B50="","",CALC_EEM!B50)</f>
        <v>Total</v>
      </c>
      <c r="D57">
        <f>IF(CALC_EEM!D50="","",CALC_EEM!D50)</f>
        <v>0</v>
      </c>
      <c r="E57" s="14" t="str">
        <f>IF(CALC_EEM!E50="","",CALC_EEM!E50)</f>
        <v>—</v>
      </c>
      <c r="F57" s="14" t="str">
        <f>IF(CALC_EEM!F50="","",CALC_EEM!F50)</f>
        <v>—</v>
      </c>
      <c r="G57" t="str">
        <f>IF(CALC_EEM!G50="","",CALC_EEM!G50)</f>
        <v>—</v>
      </c>
      <c r="H57" s="16" t="str">
        <f>IF(CALC_EEM!H50="","",CALC_EEM!H50)</f>
        <v>—</v>
      </c>
      <c r="I57" s="16" t="str">
        <f>IF(CALC_EEM!I50="","",CALC_EEM!I50)</f>
        <v>—</v>
      </c>
      <c r="J57" t="str">
        <f>IF(CALC_EEM!J50="","",CALC_EEM!J50)</f>
        <v>—</v>
      </c>
      <c r="K57" t="str">
        <f>IF(CALC_EEM!K50="","",CALC_EEM!K50)</f>
        <v>—</v>
      </c>
      <c r="L57">
        <f>IF(CALC_EEM!L50="","",CALC_EEM!L50)</f>
        <v>0</v>
      </c>
      <c r="M57">
        <f>IF(CALC_EEM!M50="","",CALC_EEM!M50)</f>
        <v>0</v>
      </c>
      <c r="N57">
        <f>IF(CALC_EEM!N50="","",CALC_EEM!N50)</f>
        <v>0</v>
      </c>
      <c r="O57">
        <f>IF(CALC_EEM!O50="","",CALC_EEM!O50)</f>
        <v>0</v>
      </c>
      <c r="P57">
        <f>IF(CALC_EEM!P50="","",CALC_EEM!P50)</f>
        <v>0</v>
      </c>
      <c r="Q57">
        <f>IF(CALC_EEM!Q50="","",CALC_EEM!Q50)</f>
        <v>0</v>
      </c>
      <c r="R57">
        <f>IF(CALC_EEM!R50="","",CALC_EEM!R50)</f>
        <v>0</v>
      </c>
      <c r="S57">
        <f>IF(CALC_EEM!S50="","",CALC_EEM!S50)</f>
        <v>0</v>
      </c>
      <c r="T57">
        <f>IF(CALC_EEM!T50="","",CALC_EEM!T50)</f>
        <v>0</v>
      </c>
      <c r="U57">
        <f>IF(CALC_EEM!U50="","",CALC_EEM!U50)</f>
        <v>0</v>
      </c>
    </row>
    <row r="58" spans="1:24">
      <c r="A58" t="str">
        <f>IF(CALC_EEM!A51="","",IF(CALC_EEM!A51="GLOBAL","GLOBAL",IF(CALC_EEM!C51="Total","CURSO_TOTAL",IF(CALC_EEM!C51="TotalEsp","CURSO_ESP",IF(CALC_EEM!C51="TotalNoEsp","CURSO_NOESP","CURSO_ASIG")))))</f>
        <v>GLOBAL</v>
      </c>
      <c r="B58" t="str">
        <f>IF(CALC_EEM!A51="","",CALC_EEM!A51)</f>
        <v>GLOBAL</v>
      </c>
      <c r="C58" t="str">
        <f>IF(CALC_EEM!B51="","",CALC_EEM!B51)</f>
        <v>Total</v>
      </c>
      <c r="D58">
        <f>IF(CALC_EEM!D51="","",CALC_EEM!D51)</f>
        <v>0</v>
      </c>
      <c r="E58" s="14" t="str">
        <f>IF(CALC_EEM!E51="","",CALC_EEM!E51)</f>
        <v>—</v>
      </c>
      <c r="F58" s="14" t="str">
        <f>IF(CALC_EEM!F51="","",CALC_EEM!F51)</f>
        <v>—</v>
      </c>
      <c r="G58" t="str">
        <f>IF(CALC_EEM!G51="","",CALC_EEM!G51)</f>
        <v>—</v>
      </c>
      <c r="H58" s="16" t="str">
        <f>IF(CALC_EEM!H51="","",CALC_EEM!H51)</f>
        <v>—</v>
      </c>
      <c r="I58" s="16" t="str">
        <f>IF(CALC_EEM!I51="","",CALC_EEM!I51)</f>
        <v>—</v>
      </c>
      <c r="J58" t="str">
        <f>IF(CALC_EEM!J51="","",CALC_EEM!J51)</f>
        <v>—</v>
      </c>
      <c r="K58" t="str">
        <f>IF(CALC_EEM!K51="","",CALC_EEM!K51)</f>
        <v>—</v>
      </c>
      <c r="L58">
        <f>IF(CALC_EEM!L51="","",CALC_EEM!L51)</f>
        <v>0</v>
      </c>
      <c r="M58">
        <f>IF(CALC_EEM!M51="","",CALC_EEM!M51)</f>
        <v>0</v>
      </c>
      <c r="N58">
        <f>IF(CALC_EEM!N51="","",CALC_EEM!N51)</f>
        <v>0</v>
      </c>
      <c r="O58">
        <f>IF(CALC_EEM!O51="","",CALC_EEM!O51)</f>
        <v>0</v>
      </c>
      <c r="P58">
        <f>IF(CALC_EEM!P51="","",CALC_EEM!P51)</f>
        <v>0</v>
      </c>
      <c r="Q58">
        <f>IF(CALC_EEM!Q51="","",CALC_EEM!Q51)</f>
        <v>0</v>
      </c>
      <c r="R58">
        <f>IF(CALC_EEM!R51="","",CALC_EEM!R51)</f>
        <v>0</v>
      </c>
      <c r="S58">
        <f>IF(CALC_EEM!S51="","",CALC_EEM!S51)</f>
        <v>0</v>
      </c>
      <c r="T58">
        <f>IF(CALC_EEM!T51="","",CALC_EEM!T51)</f>
        <v>0</v>
      </c>
      <c r="U58">
        <f>IF(CALC_EEM!U51="","",CALC_EEM!U51)</f>
        <v>0</v>
      </c>
    </row>
    <row r="59" spans="1:24">
      <c r="A59" t="str">
        <f>IF(CALC_EEM!A52="","",IF(CALC_EEM!A52="GLOBAL","GLOBAL",IF(CALC_EEM!C52="Total","CURSO_TOTAL",IF(CALC_EEM!C52="TotalEsp","CURSO_ESP",IF(CALC_EEM!C52="TotalNoEsp","CURSO_NOESP","CURSO_ASIG")))))</f>
        <v>GLOBAL</v>
      </c>
      <c r="B59" t="str">
        <f>IF(CALC_EEM!A52="","",CALC_EEM!A52)</f>
        <v>GLOBAL</v>
      </c>
      <c r="C59" t="str">
        <f>IF(CALC_EEM!B52="","",CALC_EEM!B52)</f>
        <v>Total</v>
      </c>
      <c r="D59">
        <f>IF(CALC_EEM!D52="","",CALC_EEM!D52)</f>
        <v>0</v>
      </c>
      <c r="E59" s="14" t="str">
        <f>IF(CALC_EEM!E52="","",CALC_EEM!E52)</f>
        <v>—</v>
      </c>
      <c r="F59" s="14" t="str">
        <f>IF(CALC_EEM!F52="","",CALC_EEM!F52)</f>
        <v>—</v>
      </c>
      <c r="G59" t="str">
        <f>IF(CALC_EEM!G52="","",CALC_EEM!G52)</f>
        <v>—</v>
      </c>
      <c r="H59" s="16" t="str">
        <f>IF(CALC_EEM!H52="","",CALC_EEM!H52)</f>
        <v>—</v>
      </c>
      <c r="I59" s="16" t="str">
        <f>IF(CALC_EEM!I52="","",CALC_EEM!I52)</f>
        <v>—</v>
      </c>
      <c r="J59" t="str">
        <f>IF(CALC_EEM!J52="","",CALC_EEM!J52)</f>
        <v>—</v>
      </c>
      <c r="K59" t="str">
        <f>IF(CALC_EEM!K52="","",CALC_EEM!K52)</f>
        <v>—</v>
      </c>
      <c r="L59">
        <f>IF(CALC_EEM!L52="","",CALC_EEM!L52)</f>
        <v>0</v>
      </c>
      <c r="M59">
        <f>IF(CALC_EEM!M52="","",CALC_EEM!M52)</f>
        <v>0</v>
      </c>
      <c r="N59">
        <f>IF(CALC_EEM!N52="","",CALC_EEM!N52)</f>
        <v>0</v>
      </c>
      <c r="O59">
        <f>IF(CALC_EEM!O52="","",CALC_EEM!O52)</f>
        <v>0</v>
      </c>
      <c r="P59">
        <f>IF(CALC_EEM!P52="","",CALC_EEM!P52)</f>
        <v>0</v>
      </c>
      <c r="Q59">
        <f>IF(CALC_EEM!Q52="","",CALC_EEM!Q52)</f>
        <v>0</v>
      </c>
      <c r="R59">
        <f>IF(CALC_EEM!R52="","",CALC_EEM!R52)</f>
        <v>0</v>
      </c>
      <c r="S59">
        <f>IF(CALC_EEM!S52="","",CALC_EEM!S52)</f>
        <v>0</v>
      </c>
      <c r="T59">
        <f>IF(CALC_EEM!T52="","",CALC_EEM!T52)</f>
        <v>0</v>
      </c>
      <c r="U59">
        <f>IF(CALC_EEM!U52="","",CALC_EEM!U52)</f>
        <v>0</v>
      </c>
    </row>
    <row r="60" spans="1:24">
      <c r="A60" t="str">
        <f>IF(CALC_EEM!A53="","",IF(CALC_EEM!A53="GLOBAL","GLOBAL",IF(CALC_EEM!C53="Total","CURSO_TOTAL",IF(CALC_EEM!C53="TotalEsp","CURSO_ESP",IF(CALC_EEM!C53="TotalNoEsp","CURSO_NOESP","CURSO_ASIG")))))</f>
        <v>GLOBAL</v>
      </c>
      <c r="B60" t="str">
        <f>IF(CALC_EEM!A53="","",CALC_EEM!A53)</f>
        <v>GLOBAL</v>
      </c>
      <c r="C60" t="str">
        <f>IF(CALC_EEM!B53="","",CALC_EEM!B53)</f>
        <v>Total</v>
      </c>
      <c r="D60">
        <f>IF(CALC_EEM!D53="","",CALC_EEM!D53)</f>
        <v>0</v>
      </c>
      <c r="E60" s="14" t="str">
        <f>IF(CALC_EEM!E53="","",CALC_EEM!E53)</f>
        <v>—</v>
      </c>
      <c r="F60" s="14" t="str">
        <f>IF(CALC_EEM!F53="","",CALC_EEM!F53)</f>
        <v>—</v>
      </c>
      <c r="G60" t="str">
        <f>IF(CALC_EEM!G53="","",CALC_EEM!G53)</f>
        <v>—</v>
      </c>
      <c r="H60" s="16" t="str">
        <f>IF(CALC_EEM!H53="","",CALC_EEM!H53)</f>
        <v>—</v>
      </c>
      <c r="I60" s="16" t="str">
        <f>IF(CALC_EEM!I53="","",CALC_EEM!I53)</f>
        <v>—</v>
      </c>
      <c r="J60" t="str">
        <f>IF(CALC_EEM!J53="","",CALC_EEM!J53)</f>
        <v>—</v>
      </c>
      <c r="K60" t="str">
        <f>IF(CALC_EEM!K53="","",CALC_EEM!K53)</f>
        <v>—</v>
      </c>
      <c r="L60">
        <f>IF(CALC_EEM!L53="","",CALC_EEM!L53)</f>
        <v>0</v>
      </c>
      <c r="M60">
        <f>IF(CALC_EEM!M53="","",CALC_EEM!M53)</f>
        <v>0</v>
      </c>
      <c r="N60">
        <f>IF(CALC_EEM!N53="","",CALC_EEM!N53)</f>
        <v>0</v>
      </c>
      <c r="O60">
        <f>IF(CALC_EEM!O53="","",CALC_EEM!O53)</f>
        <v>0</v>
      </c>
      <c r="P60">
        <f>IF(CALC_EEM!P53="","",CALC_EEM!P53)</f>
        <v>0</v>
      </c>
      <c r="Q60">
        <f>IF(CALC_EEM!Q53="","",CALC_EEM!Q53)</f>
        <v>0</v>
      </c>
      <c r="R60">
        <f>IF(CALC_EEM!R53="","",CALC_EEM!R53)</f>
        <v>0</v>
      </c>
      <c r="S60">
        <f>IF(CALC_EEM!S53="","",CALC_EEM!S53)</f>
        <v>0</v>
      </c>
      <c r="T60">
        <f>IF(CALC_EEM!T53="","",CALC_EEM!T53)</f>
        <v>0</v>
      </c>
      <c r="U60">
        <f>IF(CALC_EEM!U53="","",CALC_EEM!U53)</f>
        <v>0</v>
      </c>
    </row>
    <row r="61" spans="1:24">
      <c r="A61" t="str">
        <f>IF(CALC_EEM!A54="","",IF(CALC_EEM!A54="GLOBAL","GLOBAL",IF(CALC_EEM!C54="Total","CURSO_TOTAL",IF(CALC_EEM!C54="TotalEsp","CURSO_ESP",IF(CALC_EEM!C54="TotalNoEsp","CURSO_NOESP","CURSO_ASIG")))))</f>
        <v>GLOBAL</v>
      </c>
      <c r="B61" t="str">
        <f>IF(CALC_EEM!A54="","",CALC_EEM!A54)</f>
        <v>GLOBAL</v>
      </c>
      <c r="C61" t="str">
        <f>IF(CALC_EEM!B54="","",CALC_EEM!B54)</f>
        <v>Total</v>
      </c>
      <c r="D61">
        <f>IF(CALC_EEM!D54="","",CALC_EEM!D54)</f>
        <v>0</v>
      </c>
      <c r="E61" s="14" t="str">
        <f>IF(CALC_EEM!E54="","",CALC_EEM!E54)</f>
        <v>—</v>
      </c>
      <c r="F61" s="14" t="str">
        <f>IF(CALC_EEM!F54="","",CALC_EEM!F54)</f>
        <v>—</v>
      </c>
      <c r="G61" t="str">
        <f>IF(CALC_EEM!G54="","",CALC_EEM!G54)</f>
        <v>—</v>
      </c>
      <c r="H61" s="16" t="str">
        <f>IF(CALC_EEM!H54="","",CALC_EEM!H54)</f>
        <v>—</v>
      </c>
      <c r="I61" s="16" t="str">
        <f>IF(CALC_EEM!I54="","",CALC_EEM!I54)</f>
        <v>—</v>
      </c>
      <c r="J61" t="str">
        <f>IF(CALC_EEM!J54="","",CALC_EEM!J54)</f>
        <v>—</v>
      </c>
      <c r="K61" t="str">
        <f>IF(CALC_EEM!K54="","",CALC_EEM!K54)</f>
        <v>—</v>
      </c>
      <c r="L61">
        <f>IF(CALC_EEM!L54="","",CALC_EEM!L54)</f>
        <v>0</v>
      </c>
      <c r="M61">
        <f>IF(CALC_EEM!M54="","",CALC_EEM!M54)</f>
        <v>0</v>
      </c>
      <c r="N61">
        <f>IF(CALC_EEM!N54="","",CALC_EEM!N54)</f>
        <v>0</v>
      </c>
      <c r="O61">
        <f>IF(CALC_EEM!O54="","",CALC_EEM!O54)</f>
        <v>0</v>
      </c>
      <c r="P61">
        <f>IF(CALC_EEM!P54="","",CALC_EEM!P54)</f>
        <v>0</v>
      </c>
      <c r="Q61">
        <f>IF(CALC_EEM!Q54="","",CALC_EEM!Q54)</f>
        <v>0</v>
      </c>
      <c r="R61">
        <f>IF(CALC_EEM!R54="","",CALC_EEM!R54)</f>
        <v>0</v>
      </c>
      <c r="S61">
        <f>IF(CALC_EEM!S54="","",CALC_EEM!S54)</f>
        <v>0</v>
      </c>
      <c r="T61">
        <f>IF(CALC_EEM!T54="","",CALC_EEM!T54)</f>
        <v>0</v>
      </c>
      <c r="U61">
        <f>IF(CALC_EEM!U54="","",CALC_EEM!U54)</f>
        <v>0</v>
      </c>
    </row>
    <row r="62" spans="1:24">
      <c r="A62" t="str">
        <f>IF(CALC_EEM!A55="","",IF(CALC_EEM!A55="GLOBAL","GLOBAL",IF(CALC_EEM!C55="Total","CURSO_TOTAL",IF(CALC_EEM!C55="TotalEsp","CURSO_ESP",IF(CALC_EEM!C55="TotalNoEsp","CURSO_NOESP","CURSO_ASIG")))))</f>
        <v>GLOBAL</v>
      </c>
      <c r="B62" t="str">
        <f>IF(CALC_EEM!A55="","",CALC_EEM!A55)</f>
        <v>GLOBAL</v>
      </c>
      <c r="C62" t="str">
        <f>IF(CALC_EEM!B55="","",CALC_EEM!B55)</f>
        <v>Total</v>
      </c>
      <c r="D62">
        <f>IF(CALC_EEM!D55="","",CALC_EEM!D55)</f>
        <v>0</v>
      </c>
      <c r="E62" s="14" t="str">
        <f>IF(CALC_EEM!E55="","",CALC_EEM!E55)</f>
        <v>—</v>
      </c>
      <c r="F62" s="14" t="str">
        <f>IF(CALC_EEM!F55="","",CALC_EEM!F55)</f>
        <v>—</v>
      </c>
      <c r="G62" t="str">
        <f>IF(CALC_EEM!G55="","",CALC_EEM!G55)</f>
        <v>—</v>
      </c>
      <c r="H62" s="16" t="str">
        <f>IF(CALC_EEM!H55="","",CALC_EEM!H55)</f>
        <v>—</v>
      </c>
      <c r="I62" s="16" t="str">
        <f>IF(CALC_EEM!I55="","",CALC_EEM!I55)</f>
        <v>—</v>
      </c>
      <c r="J62" t="str">
        <f>IF(CALC_EEM!J55="","",CALC_EEM!J55)</f>
        <v>—</v>
      </c>
      <c r="K62" t="str">
        <f>IF(CALC_EEM!K55="","",CALC_EEM!K55)</f>
        <v>—</v>
      </c>
      <c r="L62">
        <f>IF(CALC_EEM!L55="","",CALC_EEM!L55)</f>
        <v>0</v>
      </c>
      <c r="M62">
        <f>IF(CALC_EEM!M55="","",CALC_EEM!M55)</f>
        <v>0</v>
      </c>
      <c r="N62">
        <f>IF(CALC_EEM!N55="","",CALC_EEM!N55)</f>
        <v>0</v>
      </c>
      <c r="O62">
        <f>IF(CALC_EEM!O55="","",CALC_EEM!O55)</f>
        <v>0</v>
      </c>
      <c r="P62">
        <f>IF(CALC_EEM!P55="","",CALC_EEM!P55)</f>
        <v>0</v>
      </c>
      <c r="Q62">
        <f>IF(CALC_EEM!Q55="","",CALC_EEM!Q55)</f>
        <v>0</v>
      </c>
      <c r="R62">
        <f>IF(CALC_EEM!R55="","",CALC_EEM!R55)</f>
        <v>0</v>
      </c>
      <c r="S62">
        <f>IF(CALC_EEM!S55="","",CALC_EEM!S55)</f>
        <v>0</v>
      </c>
      <c r="T62">
        <f>IF(CALC_EEM!T55="","",CALC_EEM!T55)</f>
        <v>0</v>
      </c>
      <c r="U62">
        <f>IF(CALC_EEM!U55="","",CALC_EEM!U55)</f>
        <v>0</v>
      </c>
    </row>
    <row r="63" spans="1:24">
      <c r="A63" t="str">
        <f>IF(CALC_EEM!A56="","",IF(CALC_EEM!A56="GLOBAL","GLOBAL",IF(CALC_EEM!C56="Total","CURSO_TOTAL",IF(CALC_EEM!C56="TotalEsp","CURSO_ESP",IF(CALC_EEM!C56="TotalNoEsp","CURSO_NOESP","CURSO_ASIG")))))</f>
        <v>GLOBAL</v>
      </c>
      <c r="B63" t="str">
        <f>IF(CALC_EEM!A56="","",CALC_EEM!A56)</f>
        <v>GLOBAL</v>
      </c>
      <c r="C63" t="str">
        <f>IF(CALC_EEM!B56="","",CALC_EEM!B56)</f>
        <v>Total</v>
      </c>
      <c r="D63">
        <f>IF(CALC_EEM!D56="","",CALC_EEM!D56)</f>
        <v>0</v>
      </c>
      <c r="E63" s="14" t="str">
        <f>IF(CALC_EEM!E56="","",CALC_EEM!E56)</f>
        <v>—</v>
      </c>
      <c r="F63" s="14" t="str">
        <f>IF(CALC_EEM!F56="","",CALC_EEM!F56)</f>
        <v>—</v>
      </c>
      <c r="G63" t="str">
        <f>IF(CALC_EEM!G56="","",CALC_EEM!G56)</f>
        <v>—</v>
      </c>
      <c r="H63" s="16" t="str">
        <f>IF(CALC_EEM!H56="","",CALC_EEM!H56)</f>
        <v>—</v>
      </c>
      <c r="I63" s="16" t="str">
        <f>IF(CALC_EEM!I56="","",CALC_EEM!I56)</f>
        <v>—</v>
      </c>
      <c r="J63" t="str">
        <f>IF(CALC_EEM!J56="","",CALC_EEM!J56)</f>
        <v>—</v>
      </c>
      <c r="K63" t="str">
        <f>IF(CALC_EEM!K56="","",CALC_EEM!K56)</f>
        <v>—</v>
      </c>
      <c r="L63">
        <f>IF(CALC_EEM!L56="","",CALC_EEM!L56)</f>
        <v>0</v>
      </c>
      <c r="M63">
        <f>IF(CALC_EEM!M56="","",CALC_EEM!M56)</f>
        <v>0</v>
      </c>
      <c r="N63">
        <f>IF(CALC_EEM!N56="","",CALC_EEM!N56)</f>
        <v>0</v>
      </c>
      <c r="O63">
        <f>IF(CALC_EEM!O56="","",CALC_EEM!O56)</f>
        <v>0</v>
      </c>
      <c r="P63">
        <f>IF(CALC_EEM!P56="","",CALC_EEM!P56)</f>
        <v>0</v>
      </c>
      <c r="Q63">
        <f>IF(CALC_EEM!Q56="","",CALC_EEM!Q56)</f>
        <v>0</v>
      </c>
      <c r="R63">
        <f>IF(CALC_EEM!R56="","",CALC_EEM!R56)</f>
        <v>0</v>
      </c>
      <c r="S63">
        <f>IF(CALC_EEM!S56="","",CALC_EEM!S56)</f>
        <v>0</v>
      </c>
      <c r="T63">
        <f>IF(CALC_EEM!T56="","",CALC_EEM!T56)</f>
        <v>0</v>
      </c>
      <c r="U63">
        <f>IF(CALC_EEM!U56="","",CALC_EEM!U56)</f>
        <v>0</v>
      </c>
    </row>
    <row r="64" spans="1:24">
      <c r="A64" t="str">
        <f>IF(CALC_EEM!A57="","",IF(CALC_EEM!A57="GLOBAL","GLOBAL",IF(CALC_EEM!C57="Total","CURSO_TOTAL",IF(CALC_EEM!C57="TotalEsp","CURSO_ESP",IF(CALC_EEM!C57="TotalNoEsp","CURSO_NOESP","CURSO_ASIG")))))</f>
        <v>GLOBAL</v>
      </c>
      <c r="B64" t="str">
        <f>IF(CALC_EEM!A57="","",CALC_EEM!A57)</f>
        <v>GLOBAL</v>
      </c>
      <c r="C64" t="str">
        <f>IF(CALC_EEM!B57="","",CALC_EEM!B57)</f>
        <v>Total</v>
      </c>
      <c r="D64">
        <f>IF(CALC_EEM!D57="","",CALC_EEM!D57)</f>
        <v>0</v>
      </c>
      <c r="E64" s="14" t="str">
        <f>IF(CALC_EEM!E57="","",CALC_EEM!E57)</f>
        <v>—</v>
      </c>
      <c r="F64" s="14" t="str">
        <f>IF(CALC_EEM!F57="","",CALC_EEM!F57)</f>
        <v>—</v>
      </c>
      <c r="G64" t="str">
        <f>IF(CALC_EEM!G57="","",CALC_EEM!G57)</f>
        <v>—</v>
      </c>
      <c r="H64" s="16" t="str">
        <f>IF(CALC_EEM!H57="","",CALC_EEM!H57)</f>
        <v>—</v>
      </c>
      <c r="I64" s="16" t="str">
        <f>IF(CALC_EEM!I57="","",CALC_EEM!I57)</f>
        <v>—</v>
      </c>
      <c r="J64" t="str">
        <f>IF(CALC_EEM!J57="","",CALC_EEM!J57)</f>
        <v>—</v>
      </c>
      <c r="K64" t="str">
        <f>IF(CALC_EEM!K57="","",CALC_EEM!K57)</f>
        <v>—</v>
      </c>
      <c r="L64">
        <f>IF(CALC_EEM!L57="","",CALC_EEM!L57)</f>
        <v>0</v>
      </c>
      <c r="M64">
        <f>IF(CALC_EEM!M57="","",CALC_EEM!M57)</f>
        <v>0</v>
      </c>
      <c r="N64">
        <f>IF(CALC_EEM!N57="","",CALC_EEM!N57)</f>
        <v>0</v>
      </c>
      <c r="O64">
        <f>IF(CALC_EEM!O57="","",CALC_EEM!O57)</f>
        <v>0</v>
      </c>
      <c r="P64">
        <f>IF(CALC_EEM!P57="","",CALC_EEM!P57)</f>
        <v>0</v>
      </c>
      <c r="Q64">
        <f>IF(CALC_EEM!Q57="","",CALC_EEM!Q57)</f>
        <v>0</v>
      </c>
      <c r="R64">
        <f>IF(CALC_EEM!R57="","",CALC_EEM!R57)</f>
        <v>0</v>
      </c>
      <c r="S64">
        <f>IF(CALC_EEM!S57="","",CALC_EEM!S57)</f>
        <v>0</v>
      </c>
      <c r="T64">
        <f>IF(CALC_EEM!T57="","",CALC_EEM!T57)</f>
        <v>0</v>
      </c>
      <c r="U64">
        <f>IF(CALC_EEM!U57="","",CALC_EEM!U57)</f>
        <v>0</v>
      </c>
    </row>
    <row r="65" spans="1:24">
      <c r="A65" t="str">
        <f>IF(CALC_EEM!A58="","",IF(CALC_EEM!A58="GLOBAL","GLOBAL",IF(CALC_EEM!C58="Total","CURSO_TOTAL",IF(CALC_EEM!C58="TotalEsp","CURSO_ESP",IF(CALC_EEM!C58="TotalNoEsp","CURSO_NOESP","CURSO_ASIG")))))</f>
        <v>GLOBAL</v>
      </c>
      <c r="B65" t="str">
        <f>IF(CALC_EEM!A58="","",CALC_EEM!A58)</f>
        <v>GLOBAL</v>
      </c>
      <c r="C65" t="str">
        <f>IF(CALC_EEM!B58="","",CALC_EEM!B58)</f>
        <v>Total</v>
      </c>
      <c r="D65">
        <f>IF(CALC_EEM!D58="","",CALC_EEM!D58)</f>
        <v>0</v>
      </c>
      <c r="E65" s="14" t="str">
        <f>IF(CALC_EEM!E58="","",CALC_EEM!E58)</f>
        <v>—</v>
      </c>
      <c r="F65" s="14" t="str">
        <f>IF(CALC_EEM!F58="","",CALC_EEM!F58)</f>
        <v>—</v>
      </c>
      <c r="G65" t="str">
        <f>IF(CALC_EEM!G58="","",CALC_EEM!G58)</f>
        <v>—</v>
      </c>
      <c r="H65" s="16" t="str">
        <f>IF(CALC_EEM!H58="","",CALC_EEM!H58)</f>
        <v>—</v>
      </c>
      <c r="I65" s="16" t="str">
        <f>IF(CALC_EEM!I58="","",CALC_EEM!I58)</f>
        <v>—</v>
      </c>
      <c r="J65" t="str">
        <f>IF(CALC_EEM!J58="","",CALC_EEM!J58)</f>
        <v>—</v>
      </c>
      <c r="K65" t="str">
        <f>IF(CALC_EEM!K58="","",CALC_EEM!K58)</f>
        <v>—</v>
      </c>
      <c r="L65">
        <f>IF(CALC_EEM!L58="","",CALC_EEM!L58)</f>
        <v>0</v>
      </c>
      <c r="M65">
        <f>IF(CALC_EEM!M58="","",CALC_EEM!M58)</f>
        <v>0</v>
      </c>
      <c r="N65">
        <f>IF(CALC_EEM!N58="","",CALC_EEM!N58)</f>
        <v>0</v>
      </c>
      <c r="O65">
        <f>IF(CALC_EEM!O58="","",CALC_EEM!O58)</f>
        <v>0</v>
      </c>
      <c r="P65">
        <f>IF(CALC_EEM!P58="","",CALC_EEM!P58)</f>
        <v>0</v>
      </c>
      <c r="Q65">
        <f>IF(CALC_EEM!Q58="","",CALC_EEM!Q58)</f>
        <v>0</v>
      </c>
      <c r="R65">
        <f>IF(CALC_EEM!R58="","",CALC_EEM!R58)</f>
        <v>0</v>
      </c>
      <c r="S65">
        <f>IF(CALC_EEM!S58="","",CALC_EEM!S58)</f>
        <v>0</v>
      </c>
      <c r="T65">
        <f>IF(CALC_EEM!T58="","",CALC_EEM!T58)</f>
        <v>0</v>
      </c>
      <c r="U65">
        <f>IF(CALC_EEM!U58="","",CALC_EEM!U58)</f>
        <v>0</v>
      </c>
    </row>
    <row r="66" spans="1:24">
      <c r="A66" t="str">
        <f>IF(CALC_EEM!A59="","",IF(CALC_EEM!A59="GLOBAL","GLOBAL",IF(CALC_EEM!C59="Total","CURSO_TOTAL",IF(CALC_EEM!C59="TotalEsp","CURSO_ESP",IF(CALC_EEM!C59="TotalNoEsp","CURSO_NOESP","CURSO_ASIG")))))</f>
        <v>GLOBAL</v>
      </c>
      <c r="B66" t="str">
        <f>IF(CALC_EEM!A59="","",CALC_EEM!A59)</f>
        <v>GLOBAL</v>
      </c>
      <c r="C66" t="str">
        <f>IF(CALC_EEM!B59="","",CALC_EEM!B59)</f>
        <v>Total</v>
      </c>
      <c r="D66">
        <f>IF(CALC_EEM!D59="","",CALC_EEM!D59)</f>
        <v>0</v>
      </c>
      <c r="E66" s="14" t="str">
        <f>IF(CALC_EEM!E59="","",CALC_EEM!E59)</f>
        <v>—</v>
      </c>
      <c r="F66" s="14" t="str">
        <f>IF(CALC_EEM!F59="","",CALC_EEM!F59)</f>
        <v>—</v>
      </c>
      <c r="G66" t="str">
        <f>IF(CALC_EEM!G59="","",CALC_EEM!G59)</f>
        <v>—</v>
      </c>
      <c r="H66" s="16" t="str">
        <f>IF(CALC_EEM!H59="","",CALC_EEM!H59)</f>
        <v>—</v>
      </c>
      <c r="I66" s="16" t="str">
        <f>IF(CALC_EEM!I59="","",CALC_EEM!I59)</f>
        <v>—</v>
      </c>
      <c r="J66" t="str">
        <f>IF(CALC_EEM!J59="","",CALC_EEM!J59)</f>
        <v>—</v>
      </c>
      <c r="K66" t="str">
        <f>IF(CALC_EEM!K59="","",CALC_EEM!K59)</f>
        <v>—</v>
      </c>
      <c r="L66">
        <f>IF(CALC_EEM!L59="","",CALC_EEM!L59)</f>
        <v>0</v>
      </c>
      <c r="M66">
        <f>IF(CALC_EEM!M59="","",CALC_EEM!M59)</f>
        <v>0</v>
      </c>
      <c r="N66">
        <f>IF(CALC_EEM!N59="","",CALC_EEM!N59)</f>
        <v>0</v>
      </c>
      <c r="O66">
        <f>IF(CALC_EEM!O59="","",CALC_EEM!O59)</f>
        <v>0</v>
      </c>
      <c r="P66">
        <f>IF(CALC_EEM!P59="","",CALC_EEM!P59)</f>
        <v>0</v>
      </c>
      <c r="Q66">
        <f>IF(CALC_EEM!Q59="","",CALC_EEM!Q59)</f>
        <v>0</v>
      </c>
      <c r="R66">
        <f>IF(CALC_EEM!R59="","",CALC_EEM!R59)</f>
        <v>0</v>
      </c>
      <c r="S66">
        <f>IF(CALC_EEM!S59="","",CALC_EEM!S59)</f>
        <v>0</v>
      </c>
      <c r="T66">
        <f>IF(CALC_EEM!T59="","",CALC_EEM!T59)</f>
        <v>0</v>
      </c>
      <c r="U66">
        <f>IF(CALC_EEM!U59="","",CALC_EEM!U59)</f>
        <v>0</v>
      </c>
    </row>
    <row r="67" spans="1:24">
      <c r="A67" t="str">
        <f>IF(CALC_EEM!A60="","",IF(CALC_EEM!A60="GLOBAL","GLOBAL",IF(CALC_EEM!C60="Total","CURSO_TOTAL",IF(CALC_EEM!C60="TotalEsp","CURSO_ESP",IF(CALC_EEM!C60="TotalNoEsp","CURSO_NOESP","CURSO_ASIG")))))</f>
        <v>GLOBAL</v>
      </c>
      <c r="B67" t="str">
        <f>IF(CALC_EEM!A60="","",CALC_EEM!A60)</f>
        <v>GLOBAL</v>
      </c>
      <c r="C67" t="str">
        <f>IF(CALC_EEM!B60="","",CALC_EEM!B60)</f>
        <v>Total</v>
      </c>
      <c r="D67">
        <f>IF(CALC_EEM!D60="","",CALC_EEM!D60)</f>
        <v>0</v>
      </c>
      <c r="E67" s="14" t="str">
        <f>IF(CALC_EEM!E60="","",CALC_EEM!E60)</f>
        <v>—</v>
      </c>
      <c r="F67" s="14" t="str">
        <f>IF(CALC_EEM!F60="","",CALC_EEM!F60)</f>
        <v>—</v>
      </c>
      <c r="G67" t="str">
        <f>IF(CALC_EEM!G60="","",CALC_EEM!G60)</f>
        <v>—</v>
      </c>
      <c r="H67" s="16" t="str">
        <f>IF(CALC_EEM!H60="","",CALC_EEM!H60)</f>
        <v>—</v>
      </c>
      <c r="I67" s="16" t="str">
        <f>IF(CALC_EEM!I60="","",CALC_EEM!I60)</f>
        <v>—</v>
      </c>
      <c r="J67" t="str">
        <f>IF(CALC_EEM!J60="","",CALC_EEM!J60)</f>
        <v>—</v>
      </c>
      <c r="K67" t="str">
        <f>IF(CALC_EEM!K60="","",CALC_EEM!K60)</f>
        <v>—</v>
      </c>
      <c r="L67">
        <f>IF(CALC_EEM!L60="","",CALC_EEM!L60)</f>
        <v>0</v>
      </c>
      <c r="M67">
        <f>IF(CALC_EEM!M60="","",CALC_EEM!M60)</f>
        <v>0</v>
      </c>
      <c r="N67">
        <f>IF(CALC_EEM!N60="","",CALC_EEM!N60)</f>
        <v>0</v>
      </c>
      <c r="O67">
        <f>IF(CALC_EEM!O60="","",CALC_EEM!O60)</f>
        <v>0</v>
      </c>
      <c r="P67">
        <f>IF(CALC_EEM!P60="","",CALC_EEM!P60)</f>
        <v>0</v>
      </c>
      <c r="Q67">
        <f>IF(CALC_EEM!Q60="","",CALC_EEM!Q60)</f>
        <v>0</v>
      </c>
      <c r="R67">
        <f>IF(CALC_EEM!R60="","",CALC_EEM!R60)</f>
        <v>0</v>
      </c>
      <c r="S67">
        <f>IF(CALC_EEM!S60="","",CALC_EEM!S60)</f>
        <v>0</v>
      </c>
      <c r="T67">
        <f>IF(CALC_EEM!T60="","",CALC_EEM!T60)</f>
        <v>0</v>
      </c>
      <c r="U67">
        <f>IF(CALC_EEM!U60="","",CALC_EEM!U60)</f>
        <v>0</v>
      </c>
    </row>
    <row r="68" spans="1:24">
      <c r="A68" t="str">
        <f>IF(CALC_EEM!A61="","",IF(CALC_EEM!A61="GLOBAL","GLOBAL",IF(CALC_EEM!C61="Total","CURSO_TOTAL",IF(CALC_EEM!C61="TotalEsp","CURSO_ESP",IF(CALC_EEM!C61="TotalNoEsp","CURSO_NOESP","CURSO_ASIG")))))</f>
        <v>GLOBAL</v>
      </c>
      <c r="B68" t="str">
        <f>IF(CALC_EEM!A61="","",CALC_EEM!A61)</f>
        <v>GLOBAL</v>
      </c>
      <c r="C68" t="str">
        <f>IF(CALC_EEM!B61="","",CALC_EEM!B61)</f>
        <v>Total</v>
      </c>
      <c r="D68">
        <f>IF(CALC_EEM!D61="","",CALC_EEM!D61)</f>
        <v>0</v>
      </c>
      <c r="E68" s="14" t="str">
        <f>IF(CALC_EEM!E61="","",CALC_EEM!E61)</f>
        <v>—</v>
      </c>
      <c r="F68" s="14" t="str">
        <f>IF(CALC_EEM!F61="","",CALC_EEM!F61)</f>
        <v>—</v>
      </c>
      <c r="G68" t="str">
        <f>IF(CALC_EEM!G61="","",CALC_EEM!G61)</f>
        <v>—</v>
      </c>
      <c r="H68" s="16" t="str">
        <f>IF(CALC_EEM!H61="","",CALC_EEM!H61)</f>
        <v>—</v>
      </c>
      <c r="I68" s="16" t="str">
        <f>IF(CALC_EEM!I61="","",CALC_EEM!I61)</f>
        <v>—</v>
      </c>
      <c r="J68" t="str">
        <f>IF(CALC_EEM!J61="","",CALC_EEM!J61)</f>
        <v>—</v>
      </c>
      <c r="K68" t="str">
        <f>IF(CALC_EEM!K61="","",CALC_EEM!K61)</f>
        <v>—</v>
      </c>
      <c r="L68">
        <f>IF(CALC_EEM!L61="","",CALC_EEM!L61)</f>
        <v>0</v>
      </c>
      <c r="M68">
        <f>IF(CALC_EEM!M61="","",CALC_EEM!M61)</f>
        <v>0</v>
      </c>
      <c r="N68">
        <f>IF(CALC_EEM!N61="","",CALC_EEM!N61)</f>
        <v>0</v>
      </c>
      <c r="O68">
        <f>IF(CALC_EEM!O61="","",CALC_EEM!O61)</f>
        <v>0</v>
      </c>
      <c r="P68">
        <f>IF(CALC_EEM!P61="","",CALC_EEM!P61)</f>
        <v>0</v>
      </c>
      <c r="Q68">
        <f>IF(CALC_EEM!Q61="","",CALC_EEM!Q61)</f>
        <v>0</v>
      </c>
      <c r="R68">
        <f>IF(CALC_EEM!R61="","",CALC_EEM!R61)</f>
        <v>0</v>
      </c>
      <c r="S68">
        <f>IF(CALC_EEM!S61="","",CALC_EEM!S61)</f>
        <v>0</v>
      </c>
      <c r="T68">
        <f>IF(CALC_EEM!T61="","",CALC_EEM!T61)</f>
        <v>0</v>
      </c>
      <c r="U68">
        <f>IF(CALC_EEM!U61="","",CALC_EEM!U61)</f>
        <v>0</v>
      </c>
    </row>
    <row r="69" spans="1:24">
      <c r="A69" t="str">
        <f>IF(CALC_EEM!A62="","",IF(CALC_EEM!A62="GLOBAL","GLOBAL",IF(CALC_EEM!C62="Total","CURSO_TOTAL",IF(CALC_EEM!C62="TotalEsp","CURSO_ESP",IF(CALC_EEM!C62="TotalNoEsp","CURSO_NOESP","CURSO_ASIG")))))</f>
        <v>GLOBAL</v>
      </c>
      <c r="B69" t="str">
        <f>IF(CALC_EEM!A62="","",CALC_EEM!A62)</f>
        <v>GLOBAL</v>
      </c>
      <c r="C69" t="str">
        <f>IF(CALC_EEM!B62="","",CALC_EEM!B62)</f>
        <v>Total</v>
      </c>
      <c r="D69">
        <f>IF(CALC_EEM!D62="","",CALC_EEM!D62)</f>
        <v>0</v>
      </c>
      <c r="E69" s="14" t="str">
        <f>IF(CALC_EEM!E62="","",CALC_EEM!E62)</f>
        <v>—</v>
      </c>
      <c r="F69" s="14" t="str">
        <f>IF(CALC_EEM!F62="","",CALC_EEM!F62)</f>
        <v>—</v>
      </c>
      <c r="G69" t="str">
        <f>IF(CALC_EEM!G62="","",CALC_EEM!G62)</f>
        <v>—</v>
      </c>
      <c r="H69" s="16" t="str">
        <f>IF(CALC_EEM!H62="","",CALC_EEM!H62)</f>
        <v>—</v>
      </c>
      <c r="I69" s="16" t="str">
        <f>IF(CALC_EEM!I62="","",CALC_EEM!I62)</f>
        <v>—</v>
      </c>
      <c r="J69" t="str">
        <f>IF(CALC_EEM!J62="","",CALC_EEM!J62)</f>
        <v>—</v>
      </c>
      <c r="K69" t="str">
        <f>IF(CALC_EEM!K62="","",CALC_EEM!K62)</f>
        <v>—</v>
      </c>
      <c r="L69">
        <f>IF(CALC_EEM!L62="","",CALC_EEM!L62)</f>
        <v>0</v>
      </c>
      <c r="M69">
        <f>IF(CALC_EEM!M62="","",CALC_EEM!M62)</f>
        <v>0</v>
      </c>
      <c r="N69">
        <f>IF(CALC_EEM!N62="","",CALC_EEM!N62)</f>
        <v>0</v>
      </c>
      <c r="O69">
        <f>IF(CALC_EEM!O62="","",CALC_EEM!O62)</f>
        <v>0</v>
      </c>
      <c r="P69">
        <f>IF(CALC_EEM!P62="","",CALC_EEM!P62)</f>
        <v>0</v>
      </c>
      <c r="Q69">
        <f>IF(CALC_EEM!Q62="","",CALC_EEM!Q62)</f>
        <v>0</v>
      </c>
      <c r="R69">
        <f>IF(CALC_EEM!R62="","",CALC_EEM!R62)</f>
        <v>0</v>
      </c>
      <c r="S69">
        <f>IF(CALC_EEM!S62="","",CALC_EEM!S62)</f>
        <v>0</v>
      </c>
      <c r="T69">
        <f>IF(CALC_EEM!T62="","",CALC_EEM!T62)</f>
        <v>0</v>
      </c>
      <c r="U69">
        <f>IF(CALC_EEM!U62="","",CALC_EEM!U62)</f>
        <v>0</v>
      </c>
    </row>
    <row r="70" spans="1:24">
      <c r="A70" t="str">
        <f>IF(CALC_EEM!A63="","",IF(CALC_EEM!A63="GLOBAL","GLOBAL",IF(CALC_EEM!C63="Total","CURSO_TOTAL",IF(CALC_EEM!C63="TotalEsp","CURSO_ESP",IF(CALC_EEM!C63="TotalNoEsp","CURSO_NOESP","CURSO_ASIG")))))</f>
        <v>GLOBAL</v>
      </c>
      <c r="B70" t="str">
        <f>IF(CALC_EEM!A63="","",CALC_EEM!A63)</f>
        <v>GLOBAL</v>
      </c>
      <c r="C70" t="str">
        <f>IF(CALC_EEM!B63="","",CALC_EEM!B63)</f>
        <v>Total</v>
      </c>
      <c r="D70">
        <f>IF(CALC_EEM!D63="","",CALC_EEM!D63)</f>
        <v>0</v>
      </c>
      <c r="E70" s="14" t="str">
        <f>IF(CALC_EEM!E63="","",CALC_EEM!E63)</f>
        <v>—</v>
      </c>
      <c r="F70" s="14" t="str">
        <f>IF(CALC_EEM!F63="","",CALC_EEM!F63)</f>
        <v>—</v>
      </c>
      <c r="G70" t="str">
        <f>IF(CALC_EEM!G63="","",CALC_EEM!G63)</f>
        <v>—</v>
      </c>
      <c r="H70" s="16" t="str">
        <f>IF(CALC_EEM!H63="","",CALC_EEM!H63)</f>
        <v>—</v>
      </c>
      <c r="I70" s="16" t="str">
        <f>IF(CALC_EEM!I63="","",CALC_EEM!I63)</f>
        <v>—</v>
      </c>
      <c r="J70" t="str">
        <f>IF(CALC_EEM!J63="","",CALC_EEM!J63)</f>
        <v>—</v>
      </c>
      <c r="K70" t="str">
        <f>IF(CALC_EEM!K63="","",CALC_EEM!K63)</f>
        <v>—</v>
      </c>
      <c r="L70">
        <f>IF(CALC_EEM!L63="","",CALC_EEM!L63)</f>
        <v>0</v>
      </c>
      <c r="M70">
        <f>IF(CALC_EEM!M63="","",CALC_EEM!M63)</f>
        <v>0</v>
      </c>
      <c r="N70">
        <f>IF(CALC_EEM!N63="","",CALC_EEM!N63)</f>
        <v>0</v>
      </c>
      <c r="O70">
        <f>IF(CALC_EEM!O63="","",CALC_EEM!O63)</f>
        <v>0</v>
      </c>
      <c r="P70">
        <f>IF(CALC_EEM!P63="","",CALC_EEM!P63)</f>
        <v>0</v>
      </c>
      <c r="Q70">
        <f>IF(CALC_EEM!Q63="","",CALC_EEM!Q63)</f>
        <v>0</v>
      </c>
      <c r="R70">
        <f>IF(CALC_EEM!R63="","",CALC_EEM!R63)</f>
        <v>0</v>
      </c>
      <c r="S70">
        <f>IF(CALC_EEM!S63="","",CALC_EEM!S63)</f>
        <v>0</v>
      </c>
      <c r="T70">
        <f>IF(CALC_EEM!T63="","",CALC_EEM!T63)</f>
        <v>0</v>
      </c>
      <c r="U70">
        <f>IF(CALC_EEM!U63="","",CALC_EEM!U63)</f>
        <v>0</v>
      </c>
    </row>
    <row r="71" spans="1:24">
      <c r="A71" t="str">
        <f>IF(CALC_EEM!A64="","",IF(CALC_EEM!A64="GLOBAL","GLOBAL",IF(CALC_EEM!C64="Total","CURSO_TOTAL",IF(CALC_EEM!C64="TotalEsp","CURSO_ESP",IF(CALC_EEM!C64="TotalNoEsp","CURSO_NOESP","CURSO_ASIG")))))</f>
        <v>GLOBAL</v>
      </c>
      <c r="B71" t="str">
        <f>IF(CALC_EEM!A64="","",CALC_EEM!A64)</f>
        <v>GLOBAL</v>
      </c>
      <c r="C71" t="str">
        <f>IF(CALC_EEM!B64="","",CALC_EEM!B64)</f>
        <v>Total</v>
      </c>
      <c r="D71">
        <f>IF(CALC_EEM!D64="","",CALC_EEM!D64)</f>
        <v>0</v>
      </c>
      <c r="E71" s="14" t="str">
        <f>IF(CALC_EEM!E64="","",CALC_EEM!E64)</f>
        <v>—</v>
      </c>
      <c r="F71" s="14" t="str">
        <f>IF(CALC_EEM!F64="","",CALC_EEM!F64)</f>
        <v>—</v>
      </c>
      <c r="G71" t="str">
        <f>IF(CALC_EEM!G64="","",CALC_EEM!G64)</f>
        <v>—</v>
      </c>
      <c r="H71" s="16" t="str">
        <f>IF(CALC_EEM!H64="","",CALC_EEM!H64)</f>
        <v>—</v>
      </c>
      <c r="I71" s="16" t="str">
        <f>IF(CALC_EEM!I64="","",CALC_EEM!I64)</f>
        <v>—</v>
      </c>
      <c r="J71" t="str">
        <f>IF(CALC_EEM!J64="","",CALC_EEM!J64)</f>
        <v>—</v>
      </c>
      <c r="K71" t="str">
        <f>IF(CALC_EEM!K64="","",CALC_EEM!K64)</f>
        <v>—</v>
      </c>
      <c r="L71">
        <f>IF(CALC_EEM!L64="","",CALC_EEM!L64)</f>
        <v>0</v>
      </c>
      <c r="M71">
        <f>IF(CALC_EEM!M64="","",CALC_EEM!M64)</f>
        <v>0</v>
      </c>
      <c r="N71">
        <f>IF(CALC_EEM!N64="","",CALC_EEM!N64)</f>
        <v>0</v>
      </c>
      <c r="O71">
        <f>IF(CALC_EEM!O64="","",CALC_EEM!O64)</f>
        <v>0</v>
      </c>
      <c r="P71">
        <f>IF(CALC_EEM!P64="","",CALC_EEM!P64)</f>
        <v>0</v>
      </c>
      <c r="Q71">
        <f>IF(CALC_EEM!Q64="","",CALC_EEM!Q64)</f>
        <v>0</v>
      </c>
      <c r="R71">
        <f>IF(CALC_EEM!R64="","",CALC_EEM!R64)</f>
        <v>0</v>
      </c>
      <c r="S71">
        <f>IF(CALC_EEM!S64="","",CALC_EEM!S64)</f>
        <v>0</v>
      </c>
      <c r="T71">
        <f>IF(CALC_EEM!T64="","",CALC_EEM!T64)</f>
        <v>0</v>
      </c>
      <c r="U71">
        <f>IF(CALC_EEM!U64="","",CALC_EEM!U64)</f>
        <v>0</v>
      </c>
    </row>
    <row r="72" spans="1:24">
      <c r="A72" t="str">
        <f>IF(CALC_EEM!A65="","",IF(CALC_EEM!A65="GLOBAL","GLOBAL",IF(CALC_EEM!C65="Total","CURSO_TOTAL",IF(CALC_EEM!C65="TotalEsp","CURSO_ESP",IF(CALC_EEM!C65="TotalNoEsp","CURSO_NOESP","CURSO_ASIG")))))</f>
        <v>GLOBAL</v>
      </c>
      <c r="B72" t="str">
        <f>IF(CALC_EEM!A65="","",CALC_EEM!A65)</f>
        <v>GLOBAL</v>
      </c>
      <c r="C72" t="str">
        <f>IF(CALC_EEM!B65="","",CALC_EEM!B65)</f>
        <v>Total</v>
      </c>
      <c r="D72">
        <f>IF(CALC_EEM!D65="","",CALC_EEM!D65)</f>
        <v>0</v>
      </c>
      <c r="E72" s="14" t="str">
        <f>IF(CALC_EEM!E65="","",CALC_EEM!E65)</f>
        <v>—</v>
      </c>
      <c r="F72" s="14" t="str">
        <f>IF(CALC_EEM!F65="","",CALC_EEM!F65)</f>
        <v>—</v>
      </c>
      <c r="G72" t="str">
        <f>IF(CALC_EEM!G65="","",CALC_EEM!G65)</f>
        <v>—</v>
      </c>
      <c r="H72" s="16" t="str">
        <f>IF(CALC_EEM!H65="","",CALC_EEM!H65)</f>
        <v>—</v>
      </c>
      <c r="I72" s="16" t="str">
        <f>IF(CALC_EEM!I65="","",CALC_EEM!I65)</f>
        <v>—</v>
      </c>
      <c r="J72" t="str">
        <f>IF(CALC_EEM!J65="","",CALC_EEM!J65)</f>
        <v>—</v>
      </c>
      <c r="K72" t="str">
        <f>IF(CALC_EEM!K65="","",CALC_EEM!K65)</f>
        <v>—</v>
      </c>
      <c r="L72">
        <f>IF(CALC_EEM!L65="","",CALC_EEM!L65)</f>
        <v>0</v>
      </c>
      <c r="M72">
        <f>IF(CALC_EEM!M65="","",CALC_EEM!M65)</f>
        <v>0</v>
      </c>
      <c r="N72">
        <f>IF(CALC_EEM!N65="","",CALC_EEM!N65)</f>
        <v>0</v>
      </c>
      <c r="O72">
        <f>IF(CALC_EEM!O65="","",CALC_EEM!O65)</f>
        <v>0</v>
      </c>
      <c r="P72">
        <f>IF(CALC_EEM!P65="","",CALC_EEM!P65)</f>
        <v>0</v>
      </c>
      <c r="Q72">
        <f>IF(CALC_EEM!Q65="","",CALC_EEM!Q65)</f>
        <v>0</v>
      </c>
      <c r="R72">
        <f>IF(CALC_EEM!R65="","",CALC_EEM!R65)</f>
        <v>0</v>
      </c>
      <c r="S72">
        <f>IF(CALC_EEM!S65="","",CALC_EEM!S65)</f>
        <v>0</v>
      </c>
      <c r="T72">
        <f>IF(CALC_EEM!T65="","",CALC_EEM!T65)</f>
        <v>0</v>
      </c>
      <c r="U72">
        <f>IF(CALC_EEM!U65="","",CALC_EEM!U65)</f>
        <v>0</v>
      </c>
    </row>
    <row r="73" spans="1:24">
      <c r="A73" t="str">
        <f>IF(CALC_EEM!A66="","",IF(CALC_EEM!A66="GLOBAL","GLOBAL",IF(CALC_EEM!C66="Total","CURSO_TOTAL",IF(CALC_EEM!C66="TotalEsp","CURSO_ESP",IF(CALC_EEM!C66="TotalNoEsp","CURSO_NOESP","CURSO_ASIG")))))</f>
        <v>GLOBAL</v>
      </c>
      <c r="B73" t="str">
        <f>IF(CALC_EEM!A66="","",CALC_EEM!A66)</f>
        <v>GLOBAL</v>
      </c>
      <c r="C73" t="str">
        <f>IF(CALC_EEM!B66="","",CALC_EEM!B66)</f>
        <v>Total</v>
      </c>
      <c r="D73">
        <f>IF(CALC_EEM!D66="","",CALC_EEM!D66)</f>
        <v>0</v>
      </c>
      <c r="E73" s="14" t="str">
        <f>IF(CALC_EEM!E66="","",CALC_EEM!E66)</f>
        <v>—</v>
      </c>
      <c r="F73" s="14" t="str">
        <f>IF(CALC_EEM!F66="","",CALC_EEM!F66)</f>
        <v>—</v>
      </c>
      <c r="G73" t="str">
        <f>IF(CALC_EEM!G66="","",CALC_EEM!G66)</f>
        <v>—</v>
      </c>
      <c r="H73" s="16" t="str">
        <f>IF(CALC_EEM!H66="","",CALC_EEM!H66)</f>
        <v>—</v>
      </c>
      <c r="I73" s="16" t="str">
        <f>IF(CALC_EEM!I66="","",CALC_EEM!I66)</f>
        <v>—</v>
      </c>
      <c r="J73" t="str">
        <f>IF(CALC_EEM!J66="","",CALC_EEM!J66)</f>
        <v>—</v>
      </c>
      <c r="K73" t="str">
        <f>IF(CALC_EEM!K66="","",CALC_EEM!K66)</f>
        <v>—</v>
      </c>
      <c r="L73">
        <f>IF(CALC_EEM!L66="","",CALC_EEM!L66)</f>
        <v>0</v>
      </c>
      <c r="M73">
        <f>IF(CALC_EEM!M66="","",CALC_EEM!M66)</f>
        <v>0</v>
      </c>
      <c r="N73">
        <f>IF(CALC_EEM!N66="","",CALC_EEM!N66)</f>
        <v>0</v>
      </c>
      <c r="O73">
        <f>IF(CALC_EEM!O66="","",CALC_EEM!O66)</f>
        <v>0</v>
      </c>
      <c r="P73">
        <f>IF(CALC_EEM!P66="","",CALC_EEM!P66)</f>
        <v>0</v>
      </c>
      <c r="Q73">
        <f>IF(CALC_EEM!Q66="","",CALC_EEM!Q66)</f>
        <v>0</v>
      </c>
      <c r="R73">
        <f>IF(CALC_EEM!R66="","",CALC_EEM!R66)</f>
        <v>0</v>
      </c>
      <c r="S73">
        <f>IF(CALC_EEM!S66="","",CALC_EEM!S66)</f>
        <v>0</v>
      </c>
      <c r="T73">
        <f>IF(CALC_EEM!T66="","",CALC_EEM!T66)</f>
        <v>0</v>
      </c>
      <c r="U73">
        <f>IF(CALC_EEM!U66="","",CALC_EEM!U66)</f>
        <v>0</v>
      </c>
    </row>
    <row r="74" spans="1:24">
      <c r="A74" t="str">
        <f>IF(CALC_EEM!A67="","",IF(CALC_EEM!A67="GLOBAL","GLOBAL",IF(CALC_EEM!C67="Total","CURSO_TOTAL",IF(CALC_EEM!C67="TotalEsp","CURSO_ESP",IF(CALC_EEM!C67="TotalNoEsp","CURSO_NOESP","CURSO_ASIG")))))</f>
        <v>GLOBAL</v>
      </c>
      <c r="B74" t="str">
        <f>IF(CALC_EEM!A67="","",CALC_EEM!A67)</f>
        <v>GLOBAL</v>
      </c>
      <c r="C74" t="str">
        <f>IF(CALC_EEM!B67="","",CALC_EEM!B67)</f>
        <v>Total</v>
      </c>
      <c r="D74">
        <f>IF(CALC_EEM!D67="","",CALC_EEM!D67)</f>
        <v>0</v>
      </c>
      <c r="E74" s="14" t="str">
        <f>IF(CALC_EEM!E67="","",CALC_EEM!E67)</f>
        <v>—</v>
      </c>
      <c r="F74" s="14" t="str">
        <f>IF(CALC_EEM!F67="","",CALC_EEM!F67)</f>
        <v>—</v>
      </c>
      <c r="G74" t="str">
        <f>IF(CALC_EEM!G67="","",CALC_EEM!G67)</f>
        <v>—</v>
      </c>
      <c r="H74" s="16" t="str">
        <f>IF(CALC_EEM!H67="","",CALC_EEM!H67)</f>
        <v>—</v>
      </c>
      <c r="I74" s="16" t="str">
        <f>IF(CALC_EEM!I67="","",CALC_EEM!I67)</f>
        <v>—</v>
      </c>
      <c r="J74" t="str">
        <f>IF(CALC_EEM!J67="","",CALC_EEM!J67)</f>
        <v>—</v>
      </c>
      <c r="K74" t="str">
        <f>IF(CALC_EEM!K67="","",CALC_EEM!K67)</f>
        <v>—</v>
      </c>
      <c r="L74">
        <f>IF(CALC_EEM!L67="","",CALC_EEM!L67)</f>
        <v>0</v>
      </c>
      <c r="M74">
        <f>IF(CALC_EEM!M67="","",CALC_EEM!M67)</f>
        <v>0</v>
      </c>
      <c r="N74">
        <f>IF(CALC_EEM!N67="","",CALC_EEM!N67)</f>
        <v>0</v>
      </c>
      <c r="O74">
        <f>IF(CALC_EEM!O67="","",CALC_EEM!O67)</f>
        <v>0</v>
      </c>
      <c r="P74">
        <f>IF(CALC_EEM!P67="","",CALC_EEM!P67)</f>
        <v>0</v>
      </c>
      <c r="Q74">
        <f>IF(CALC_EEM!Q67="","",CALC_EEM!Q67)</f>
        <v>0</v>
      </c>
      <c r="R74">
        <f>IF(CALC_EEM!R67="","",CALC_EEM!R67)</f>
        <v>0</v>
      </c>
      <c r="S74">
        <f>IF(CALC_EEM!S67="","",CALC_EEM!S67)</f>
        <v>0</v>
      </c>
      <c r="T74">
        <f>IF(CALC_EEM!T67="","",CALC_EEM!T67)</f>
        <v>0</v>
      </c>
      <c r="U74">
        <f>IF(CALC_EEM!U67="","",CALC_EEM!U67)</f>
        <v>0</v>
      </c>
    </row>
    <row r="75" spans="1:24">
      <c r="A75" t="str">
        <f>IF(CALC_EEM!A68="","",IF(CALC_EEM!A68="GLOBAL","GLOBAL",IF(CALC_EEM!C68="Total","CURSO_TOTAL",IF(CALC_EEM!C68="TotalEsp","CURSO_ESP",IF(CALC_EEM!C68="TotalNoEsp","CURSO_NOESP","CURSO_ASIG")))))</f>
        <v>GLOBAL</v>
      </c>
      <c r="B75" t="str">
        <f>IF(CALC_EEM!A68="","",CALC_EEM!A68)</f>
        <v>GLOBAL</v>
      </c>
      <c r="C75" t="str">
        <f>IF(CALC_EEM!B68="","",CALC_EEM!B68)</f>
        <v>Total</v>
      </c>
      <c r="D75">
        <f>IF(CALC_EEM!D68="","",CALC_EEM!D68)</f>
        <v>0</v>
      </c>
      <c r="E75" s="14" t="str">
        <f>IF(CALC_EEM!E68="","",CALC_EEM!E68)</f>
        <v>—</v>
      </c>
      <c r="F75" s="14" t="str">
        <f>IF(CALC_EEM!F68="","",CALC_EEM!F68)</f>
        <v>—</v>
      </c>
      <c r="G75" t="str">
        <f>IF(CALC_EEM!G68="","",CALC_EEM!G68)</f>
        <v>—</v>
      </c>
      <c r="H75" s="16" t="str">
        <f>IF(CALC_EEM!H68="","",CALC_EEM!H68)</f>
        <v>—</v>
      </c>
      <c r="I75" s="16" t="str">
        <f>IF(CALC_EEM!I68="","",CALC_EEM!I68)</f>
        <v>—</v>
      </c>
      <c r="J75" t="str">
        <f>IF(CALC_EEM!J68="","",CALC_EEM!J68)</f>
        <v>—</v>
      </c>
      <c r="K75" t="str">
        <f>IF(CALC_EEM!K68="","",CALC_EEM!K68)</f>
        <v>—</v>
      </c>
      <c r="L75">
        <f>IF(CALC_EEM!L68="","",CALC_EEM!L68)</f>
        <v>0</v>
      </c>
      <c r="M75">
        <f>IF(CALC_EEM!M68="","",CALC_EEM!M68)</f>
        <v>0</v>
      </c>
      <c r="N75">
        <f>IF(CALC_EEM!N68="","",CALC_EEM!N68)</f>
        <v>0</v>
      </c>
      <c r="O75">
        <f>IF(CALC_EEM!O68="","",CALC_EEM!O68)</f>
        <v>0</v>
      </c>
      <c r="P75">
        <f>IF(CALC_EEM!P68="","",CALC_EEM!P68)</f>
        <v>0</v>
      </c>
      <c r="Q75">
        <f>IF(CALC_EEM!Q68="","",CALC_EEM!Q68)</f>
        <v>0</v>
      </c>
      <c r="R75">
        <f>IF(CALC_EEM!R68="","",CALC_EEM!R68)</f>
        <v>0</v>
      </c>
      <c r="S75">
        <f>IF(CALC_EEM!S68="","",CALC_EEM!S68)</f>
        <v>0</v>
      </c>
      <c r="T75">
        <f>IF(CALC_EEM!T68="","",CALC_EEM!T68)</f>
        <v>0</v>
      </c>
      <c r="U75">
        <f>IF(CALC_EEM!U68="","",CALC_EEM!U68)</f>
        <v>0</v>
      </c>
    </row>
    <row r="76" spans="1:24">
      <c r="A76" t="str">
        <f>IF(CALC_EEM!A69="","",IF(CALC_EEM!A69="GLOBAL","GLOBAL",IF(CALC_EEM!C69="Total","CURSO_TOTAL",IF(CALC_EEM!C69="TotalEsp","CURSO_ESP",IF(CALC_EEM!C69="TotalNoEsp","CURSO_NOESP","CURSO_ASIG")))))</f>
        <v>GLOBAL</v>
      </c>
      <c r="B76" t="str">
        <f>IF(CALC_EEM!A69="","",CALC_EEM!A69)</f>
        <v>GLOBAL</v>
      </c>
      <c r="C76" t="str">
        <f>IF(CALC_EEM!B69="","",CALC_EEM!B69)</f>
        <v>Total</v>
      </c>
      <c r="D76">
        <f>IF(CALC_EEM!D69="","",CALC_EEM!D69)</f>
        <v>0</v>
      </c>
      <c r="E76" s="14" t="str">
        <f>IF(CALC_EEM!E69="","",CALC_EEM!E69)</f>
        <v>—</v>
      </c>
      <c r="F76" s="14" t="str">
        <f>IF(CALC_EEM!F69="","",CALC_EEM!F69)</f>
        <v>—</v>
      </c>
      <c r="G76" t="str">
        <f>IF(CALC_EEM!G69="","",CALC_EEM!G69)</f>
        <v>—</v>
      </c>
      <c r="H76" s="16" t="str">
        <f>IF(CALC_EEM!H69="","",CALC_EEM!H69)</f>
        <v>—</v>
      </c>
      <c r="I76" s="16" t="str">
        <f>IF(CALC_EEM!I69="","",CALC_EEM!I69)</f>
        <v>—</v>
      </c>
      <c r="J76" t="str">
        <f>IF(CALC_EEM!J69="","",CALC_EEM!J69)</f>
        <v>—</v>
      </c>
      <c r="K76" t="str">
        <f>IF(CALC_EEM!K69="","",CALC_EEM!K69)</f>
        <v>—</v>
      </c>
      <c r="L76">
        <f>IF(CALC_EEM!L69="","",CALC_EEM!L69)</f>
        <v>0</v>
      </c>
      <c r="M76">
        <f>IF(CALC_EEM!M69="","",CALC_EEM!M69)</f>
        <v>0</v>
      </c>
      <c r="N76">
        <f>IF(CALC_EEM!N69="","",CALC_EEM!N69)</f>
        <v>0</v>
      </c>
      <c r="O76">
        <f>IF(CALC_EEM!O69="","",CALC_EEM!O69)</f>
        <v>0</v>
      </c>
      <c r="P76">
        <f>IF(CALC_EEM!P69="","",CALC_EEM!P69)</f>
        <v>0</v>
      </c>
      <c r="Q76">
        <f>IF(CALC_EEM!Q69="","",CALC_EEM!Q69)</f>
        <v>0</v>
      </c>
      <c r="R76">
        <f>IF(CALC_EEM!R69="","",CALC_EEM!R69)</f>
        <v>0</v>
      </c>
      <c r="S76">
        <f>IF(CALC_EEM!S69="","",CALC_EEM!S69)</f>
        <v>0</v>
      </c>
      <c r="T76">
        <f>IF(CALC_EEM!T69="","",CALC_EEM!T69)</f>
        <v>0</v>
      </c>
      <c r="U76">
        <f>IF(CALC_EEM!U69="","",CALC_EEM!U69)</f>
        <v>0</v>
      </c>
    </row>
    <row r="77" spans="1:24">
      <c r="A77" t="str">
        <f>IF(CALC_EEM!A70="","",IF(CALC_EEM!A70="GLOBAL","GLOBAL",IF(CALC_EEM!C70="Total","CURSO_TOTAL",IF(CALC_EEM!C70="TotalEsp","CURSO_ESP",IF(CALC_EEM!C70="TotalNoEsp","CURSO_NOESP","CURSO_ASIG")))))</f>
        <v>GLOBAL</v>
      </c>
      <c r="B77" t="str">
        <f>IF(CALC_EEM!A70="","",CALC_EEM!A70)</f>
        <v>GLOBAL</v>
      </c>
      <c r="C77" t="str">
        <f>IF(CALC_EEM!B70="","",CALC_EEM!B70)</f>
        <v>Total</v>
      </c>
      <c r="D77">
        <f>IF(CALC_EEM!D70="","",CALC_EEM!D70)</f>
        <v>0</v>
      </c>
      <c r="E77" s="14" t="str">
        <f>IF(CALC_EEM!E70="","",CALC_EEM!E70)</f>
        <v>—</v>
      </c>
      <c r="F77" s="14" t="str">
        <f>IF(CALC_EEM!F70="","",CALC_EEM!F70)</f>
        <v>—</v>
      </c>
      <c r="G77" t="str">
        <f>IF(CALC_EEM!G70="","",CALC_EEM!G70)</f>
        <v>—</v>
      </c>
      <c r="H77" s="16" t="str">
        <f>IF(CALC_EEM!H70="","",CALC_EEM!H70)</f>
        <v>—</v>
      </c>
      <c r="I77" s="16" t="str">
        <f>IF(CALC_EEM!I70="","",CALC_EEM!I70)</f>
        <v>—</v>
      </c>
      <c r="J77" t="str">
        <f>IF(CALC_EEM!J70="","",CALC_EEM!J70)</f>
        <v>—</v>
      </c>
      <c r="K77" t="str">
        <f>IF(CALC_EEM!K70="","",CALC_EEM!K70)</f>
        <v>—</v>
      </c>
      <c r="L77">
        <f>IF(CALC_EEM!L70="","",CALC_EEM!L70)</f>
        <v>0</v>
      </c>
      <c r="M77">
        <f>IF(CALC_EEM!M70="","",CALC_EEM!M70)</f>
        <v>0</v>
      </c>
      <c r="N77">
        <f>IF(CALC_EEM!N70="","",CALC_EEM!N70)</f>
        <v>0</v>
      </c>
      <c r="O77">
        <f>IF(CALC_EEM!O70="","",CALC_EEM!O70)</f>
        <v>0</v>
      </c>
      <c r="P77">
        <f>IF(CALC_EEM!P70="","",CALC_EEM!P70)</f>
        <v>0</v>
      </c>
      <c r="Q77">
        <f>IF(CALC_EEM!Q70="","",CALC_EEM!Q70)</f>
        <v>0</v>
      </c>
      <c r="R77">
        <f>IF(CALC_EEM!R70="","",CALC_EEM!R70)</f>
        <v>0</v>
      </c>
      <c r="S77">
        <f>IF(CALC_EEM!S70="","",CALC_EEM!S70)</f>
        <v>0</v>
      </c>
      <c r="T77">
        <f>IF(CALC_EEM!T70="","",CALC_EEM!T70)</f>
        <v>0</v>
      </c>
      <c r="U77">
        <f>IF(CALC_EEM!U70="","",CALC_EEM!U70)</f>
        <v>0</v>
      </c>
    </row>
    <row r="78" spans="1:24">
      <c r="A78" t="str">
        <f>IF(CALC_EEM!A71="","",IF(CALC_EEM!A71="GLOBAL","GLOBAL",IF(CALC_EEM!C71="Total","CURSO_TOTAL",IF(CALC_EEM!C71="TotalEsp","CURSO_ESP",IF(CALC_EEM!C71="TotalNoEsp","CURSO_NOESP","CURSO_ASIG")))))</f>
        <v>GLOBAL</v>
      </c>
      <c r="B78" t="str">
        <f>IF(CALC_EEM!A71="","",CALC_EEM!A71)</f>
        <v>GLOBAL</v>
      </c>
      <c r="C78" t="str">
        <f>IF(CALC_EEM!B71="","",CALC_EEM!B71)</f>
        <v>Total</v>
      </c>
      <c r="D78">
        <f>IF(CALC_EEM!D71="","",CALC_EEM!D71)</f>
        <v>0</v>
      </c>
      <c r="E78" s="14" t="str">
        <f>IF(CALC_EEM!E71="","",CALC_EEM!E71)</f>
        <v>—</v>
      </c>
      <c r="F78" s="14" t="str">
        <f>IF(CALC_EEM!F71="","",CALC_EEM!F71)</f>
        <v>—</v>
      </c>
      <c r="G78" t="str">
        <f>IF(CALC_EEM!G71="","",CALC_EEM!G71)</f>
        <v>—</v>
      </c>
      <c r="H78" s="16" t="str">
        <f>IF(CALC_EEM!H71="","",CALC_EEM!H71)</f>
        <v>—</v>
      </c>
      <c r="I78" s="16" t="str">
        <f>IF(CALC_EEM!I71="","",CALC_EEM!I71)</f>
        <v>—</v>
      </c>
      <c r="J78" t="str">
        <f>IF(CALC_EEM!J71="","",CALC_EEM!J71)</f>
        <v>—</v>
      </c>
      <c r="K78" t="str">
        <f>IF(CALC_EEM!K71="","",CALC_EEM!K71)</f>
        <v>—</v>
      </c>
      <c r="L78">
        <f>IF(CALC_EEM!L71="","",CALC_EEM!L71)</f>
        <v>0</v>
      </c>
      <c r="M78">
        <f>IF(CALC_EEM!M71="","",CALC_EEM!M71)</f>
        <v>0</v>
      </c>
      <c r="N78">
        <f>IF(CALC_EEM!N71="","",CALC_EEM!N71)</f>
        <v>0</v>
      </c>
      <c r="O78">
        <f>IF(CALC_EEM!O71="","",CALC_EEM!O71)</f>
        <v>0</v>
      </c>
      <c r="P78">
        <f>IF(CALC_EEM!P71="","",CALC_EEM!P71)</f>
        <v>0</v>
      </c>
      <c r="Q78">
        <f>IF(CALC_EEM!Q71="","",CALC_EEM!Q71)</f>
        <v>0</v>
      </c>
      <c r="R78">
        <f>IF(CALC_EEM!R71="","",CALC_EEM!R71)</f>
        <v>0</v>
      </c>
      <c r="S78">
        <f>IF(CALC_EEM!S71="","",CALC_EEM!S71)</f>
        <v>0</v>
      </c>
      <c r="T78">
        <f>IF(CALC_EEM!T71="","",CALC_EEM!T71)</f>
        <v>0</v>
      </c>
      <c r="U78">
        <f>IF(CALC_EEM!U71="","",CALC_EEM!U71)</f>
        <v>0</v>
      </c>
    </row>
    <row r="79" spans="1:24">
      <c r="A79" t="str">
        <f>IF(CALC_EEM!A72="","",IF(CALC_EEM!A72="GLOBAL","GLOBAL",IF(CALC_EEM!C72="Total","CURSO_TOTAL",IF(CALC_EEM!C72="TotalEsp","CURSO_ESP",IF(CALC_EEM!C72="TotalNoEsp","CURSO_NOESP","CURSO_ASIG")))))</f>
        <v>GLOBAL</v>
      </c>
      <c r="B79" t="str">
        <f>IF(CALC_EEM!A72="","",CALC_EEM!A72)</f>
        <v>GLOBAL</v>
      </c>
      <c r="C79" t="str">
        <f>IF(CALC_EEM!B72="","",CALC_EEM!B72)</f>
        <v>Total</v>
      </c>
      <c r="D79">
        <f>IF(CALC_EEM!D72="","",CALC_EEM!D72)</f>
        <v>0</v>
      </c>
      <c r="E79" s="14" t="str">
        <f>IF(CALC_EEM!E72="","",CALC_EEM!E72)</f>
        <v>—</v>
      </c>
      <c r="F79" s="14" t="str">
        <f>IF(CALC_EEM!F72="","",CALC_EEM!F72)</f>
        <v>—</v>
      </c>
      <c r="G79" t="str">
        <f>IF(CALC_EEM!G72="","",CALC_EEM!G72)</f>
        <v>—</v>
      </c>
      <c r="H79" s="16" t="str">
        <f>IF(CALC_EEM!H72="","",CALC_EEM!H72)</f>
        <v>—</v>
      </c>
      <c r="I79" s="16" t="str">
        <f>IF(CALC_EEM!I72="","",CALC_EEM!I72)</f>
        <v>—</v>
      </c>
      <c r="J79" t="str">
        <f>IF(CALC_EEM!J72="","",CALC_EEM!J72)</f>
        <v>—</v>
      </c>
      <c r="K79" t="str">
        <f>IF(CALC_EEM!K72="","",CALC_EEM!K72)</f>
        <v>—</v>
      </c>
      <c r="L79">
        <f>IF(CALC_EEM!L72="","",CALC_EEM!L72)</f>
        <v>0</v>
      </c>
      <c r="M79">
        <f>IF(CALC_EEM!M72="","",CALC_EEM!M72)</f>
        <v>0</v>
      </c>
      <c r="N79">
        <f>IF(CALC_EEM!N72="","",CALC_EEM!N72)</f>
        <v>0</v>
      </c>
      <c r="O79">
        <f>IF(CALC_EEM!O72="","",CALC_EEM!O72)</f>
        <v>0</v>
      </c>
      <c r="P79">
        <f>IF(CALC_EEM!P72="","",CALC_EEM!P72)</f>
        <v>0</v>
      </c>
      <c r="Q79">
        <f>IF(CALC_EEM!Q72="","",CALC_EEM!Q72)</f>
        <v>0</v>
      </c>
      <c r="R79">
        <f>IF(CALC_EEM!R72="","",CALC_EEM!R72)</f>
        <v>0</v>
      </c>
      <c r="S79">
        <f>IF(CALC_EEM!S72="","",CALC_EEM!S72)</f>
        <v>0</v>
      </c>
      <c r="T79">
        <f>IF(CALC_EEM!T72="","",CALC_EEM!T72)</f>
        <v>0</v>
      </c>
      <c r="U79">
        <f>IF(CALC_EEM!U72="","",CALC_EEM!U72)</f>
        <v>0</v>
      </c>
    </row>
    <row r="80" spans="1:24">
      <c r="A80" t="str">
        <f>IF(CALC_EEM!A73="","",IF(CALC_EEM!A73="GLOBAL","GLOBAL",IF(CALC_EEM!C73="Total","CURSO_TOTAL",IF(CALC_EEM!C73="TotalEsp","CURSO_ESP",IF(CALC_EEM!C73="TotalNoEsp","CURSO_NOESP","CURSO_ASIG")))))</f>
        <v>GLOBAL</v>
      </c>
      <c r="B80" t="str">
        <f>IF(CALC_EEM!A73="","",CALC_EEM!A73)</f>
        <v>GLOBAL</v>
      </c>
      <c r="C80" t="str">
        <f>IF(CALC_EEM!B73="","",CALC_EEM!B73)</f>
        <v>Total</v>
      </c>
      <c r="D80">
        <f>IF(CALC_EEM!D73="","",CALC_EEM!D73)</f>
        <v>0</v>
      </c>
      <c r="E80" s="14" t="str">
        <f>IF(CALC_EEM!E73="","",CALC_EEM!E73)</f>
        <v>—</v>
      </c>
      <c r="F80" s="14" t="str">
        <f>IF(CALC_EEM!F73="","",CALC_EEM!F73)</f>
        <v>—</v>
      </c>
      <c r="G80" t="str">
        <f>IF(CALC_EEM!G73="","",CALC_EEM!G73)</f>
        <v>—</v>
      </c>
      <c r="H80" s="16" t="str">
        <f>IF(CALC_EEM!H73="","",CALC_EEM!H73)</f>
        <v>—</v>
      </c>
      <c r="I80" s="16" t="str">
        <f>IF(CALC_EEM!I73="","",CALC_EEM!I73)</f>
        <v>—</v>
      </c>
      <c r="J80" t="str">
        <f>IF(CALC_EEM!J73="","",CALC_EEM!J73)</f>
        <v>—</v>
      </c>
      <c r="K80" t="str">
        <f>IF(CALC_EEM!K73="","",CALC_EEM!K73)</f>
        <v>—</v>
      </c>
      <c r="L80">
        <f>IF(CALC_EEM!L73="","",CALC_EEM!L73)</f>
        <v>0</v>
      </c>
      <c r="M80">
        <f>IF(CALC_EEM!M73="","",CALC_EEM!M73)</f>
        <v>0</v>
      </c>
      <c r="N80">
        <f>IF(CALC_EEM!N73="","",CALC_EEM!N73)</f>
        <v>0</v>
      </c>
      <c r="O80">
        <f>IF(CALC_EEM!O73="","",CALC_EEM!O73)</f>
        <v>0</v>
      </c>
      <c r="P80">
        <f>IF(CALC_EEM!P73="","",CALC_EEM!P73)</f>
        <v>0</v>
      </c>
      <c r="Q80">
        <f>IF(CALC_EEM!Q73="","",CALC_EEM!Q73)</f>
        <v>0</v>
      </c>
      <c r="R80">
        <f>IF(CALC_EEM!R73="","",CALC_EEM!R73)</f>
        <v>0</v>
      </c>
      <c r="S80">
        <f>IF(CALC_EEM!S73="","",CALC_EEM!S73)</f>
        <v>0</v>
      </c>
      <c r="T80">
        <f>IF(CALC_EEM!T73="","",CALC_EEM!T73)</f>
        <v>0</v>
      </c>
      <c r="U80">
        <f>IF(CALC_EEM!U73="","",CALC_EEM!U73)</f>
        <v>0</v>
      </c>
    </row>
    <row r="81" spans="1:24">
      <c r="A81" t="str">
        <f>IF(CALC_EEM!A74="","",IF(CALC_EEM!A74="GLOBAL","GLOBAL",IF(CALC_EEM!C74="Total","CURSO_TOTAL",IF(CALC_EEM!C74="TotalEsp","CURSO_ESP",IF(CALC_EEM!C74="TotalNoEsp","CURSO_NOESP","CURSO_ASIG")))))</f>
        <v>GLOBAL</v>
      </c>
      <c r="B81" t="str">
        <f>IF(CALC_EEM!A74="","",CALC_EEM!A74)</f>
        <v>GLOBAL</v>
      </c>
      <c r="C81" t="str">
        <f>IF(CALC_EEM!B74="","",CALC_EEM!B74)</f>
        <v>Total</v>
      </c>
      <c r="D81">
        <f>IF(CALC_EEM!D74="","",CALC_EEM!D74)</f>
        <v>0</v>
      </c>
      <c r="E81" s="14" t="str">
        <f>IF(CALC_EEM!E74="","",CALC_EEM!E74)</f>
        <v>—</v>
      </c>
      <c r="F81" s="14" t="str">
        <f>IF(CALC_EEM!F74="","",CALC_EEM!F74)</f>
        <v>—</v>
      </c>
      <c r="G81" t="str">
        <f>IF(CALC_EEM!G74="","",CALC_EEM!G74)</f>
        <v>—</v>
      </c>
      <c r="H81" s="16" t="str">
        <f>IF(CALC_EEM!H74="","",CALC_EEM!H74)</f>
        <v>—</v>
      </c>
      <c r="I81" s="16" t="str">
        <f>IF(CALC_EEM!I74="","",CALC_EEM!I74)</f>
        <v>—</v>
      </c>
      <c r="J81" t="str">
        <f>IF(CALC_EEM!J74="","",CALC_EEM!J74)</f>
        <v>—</v>
      </c>
      <c r="K81" t="str">
        <f>IF(CALC_EEM!K74="","",CALC_EEM!K74)</f>
        <v>—</v>
      </c>
      <c r="L81">
        <f>IF(CALC_EEM!L74="","",CALC_EEM!L74)</f>
        <v>0</v>
      </c>
      <c r="M81">
        <f>IF(CALC_EEM!M74="","",CALC_EEM!M74)</f>
        <v>0</v>
      </c>
      <c r="N81">
        <f>IF(CALC_EEM!N74="","",CALC_EEM!N74)</f>
        <v>0</v>
      </c>
      <c r="O81">
        <f>IF(CALC_EEM!O74="","",CALC_EEM!O74)</f>
        <v>0</v>
      </c>
      <c r="P81">
        <f>IF(CALC_EEM!P74="","",CALC_EEM!P74)</f>
        <v>0</v>
      </c>
      <c r="Q81">
        <f>IF(CALC_EEM!Q74="","",CALC_EEM!Q74)</f>
        <v>0</v>
      </c>
      <c r="R81">
        <f>IF(CALC_EEM!R74="","",CALC_EEM!R74)</f>
        <v>0</v>
      </c>
      <c r="S81">
        <f>IF(CALC_EEM!S74="","",CALC_EEM!S74)</f>
        <v>0</v>
      </c>
      <c r="T81">
        <f>IF(CALC_EEM!T74="","",CALC_EEM!T74)</f>
        <v>0</v>
      </c>
      <c r="U81">
        <f>IF(CALC_EEM!U74="","",CALC_EEM!U74)</f>
        <v>0</v>
      </c>
    </row>
    <row r="82" spans="1:24">
      <c r="A82" t="str">
        <f>IF(CALC_EEM!A75="","",IF(CALC_EEM!A75="GLOBAL","GLOBAL",IF(CALC_EEM!C75="Total","CURSO_TOTAL",IF(CALC_EEM!C75="TotalEsp","CURSO_ESP",IF(CALC_EEM!C75="TotalNoEsp","CURSO_NOESP","CURSO_ASIG")))))</f>
        <v>GLOBAL</v>
      </c>
      <c r="B82" t="str">
        <f>IF(CALC_EEM!A75="","",CALC_EEM!A75)</f>
        <v>GLOBAL</v>
      </c>
      <c r="C82" t="str">
        <f>IF(CALC_EEM!B75="","",CALC_EEM!B75)</f>
        <v>Total</v>
      </c>
      <c r="D82">
        <f>IF(CALC_EEM!D75="","",CALC_EEM!D75)</f>
        <v>0</v>
      </c>
      <c r="E82" s="14" t="str">
        <f>IF(CALC_EEM!E75="","",CALC_EEM!E75)</f>
        <v>—</v>
      </c>
      <c r="F82" s="14" t="str">
        <f>IF(CALC_EEM!F75="","",CALC_EEM!F75)</f>
        <v>—</v>
      </c>
      <c r="G82" t="str">
        <f>IF(CALC_EEM!G75="","",CALC_EEM!G75)</f>
        <v>—</v>
      </c>
      <c r="H82" s="16" t="str">
        <f>IF(CALC_EEM!H75="","",CALC_EEM!H75)</f>
        <v>—</v>
      </c>
      <c r="I82" s="16" t="str">
        <f>IF(CALC_EEM!I75="","",CALC_EEM!I75)</f>
        <v>—</v>
      </c>
      <c r="J82" t="str">
        <f>IF(CALC_EEM!J75="","",CALC_EEM!J75)</f>
        <v>—</v>
      </c>
      <c r="K82" t="str">
        <f>IF(CALC_EEM!K75="","",CALC_EEM!K75)</f>
        <v>—</v>
      </c>
      <c r="L82">
        <f>IF(CALC_EEM!L75="","",CALC_EEM!L75)</f>
        <v>0</v>
      </c>
      <c r="M82">
        <f>IF(CALC_EEM!M75="","",CALC_EEM!M75)</f>
        <v>0</v>
      </c>
      <c r="N82">
        <f>IF(CALC_EEM!N75="","",CALC_EEM!N75)</f>
        <v>0</v>
      </c>
      <c r="O82">
        <f>IF(CALC_EEM!O75="","",CALC_EEM!O75)</f>
        <v>0</v>
      </c>
      <c r="P82">
        <f>IF(CALC_EEM!P75="","",CALC_EEM!P75)</f>
        <v>0</v>
      </c>
      <c r="Q82">
        <f>IF(CALC_EEM!Q75="","",CALC_EEM!Q75)</f>
        <v>0</v>
      </c>
      <c r="R82">
        <f>IF(CALC_EEM!R75="","",CALC_EEM!R75)</f>
        <v>0</v>
      </c>
      <c r="S82">
        <f>IF(CALC_EEM!S75="","",CALC_EEM!S75)</f>
        <v>0</v>
      </c>
      <c r="T82">
        <f>IF(CALC_EEM!T75="","",CALC_EEM!T75)</f>
        <v>0</v>
      </c>
      <c r="U82">
        <f>IF(CALC_EEM!U75="","",CALC_EEM!U75)</f>
        <v>0</v>
      </c>
    </row>
    <row r="83" spans="1:24">
      <c r="A83" t="str">
        <f>IF(CALC_EEM!A76="","",IF(CALC_EEM!A76="GLOBAL","GLOBAL",IF(CALC_EEM!C76="Total","CURSO_TOTAL",IF(CALC_EEM!C76="TotalEsp","CURSO_ESP",IF(CALC_EEM!C76="TotalNoEsp","CURSO_NOESP","CURSO_ASIG")))))</f>
        <v>GLOBAL</v>
      </c>
      <c r="B83" t="str">
        <f>IF(CALC_EEM!A76="","",CALC_EEM!A76)</f>
        <v>GLOBAL</v>
      </c>
      <c r="C83" t="str">
        <f>IF(CALC_EEM!B76="","",CALC_EEM!B76)</f>
        <v>Total</v>
      </c>
      <c r="D83">
        <f>IF(CALC_EEM!D76="","",CALC_EEM!D76)</f>
        <v>0</v>
      </c>
      <c r="E83" s="14" t="str">
        <f>IF(CALC_EEM!E76="","",CALC_EEM!E76)</f>
        <v>—</v>
      </c>
      <c r="F83" s="14" t="str">
        <f>IF(CALC_EEM!F76="","",CALC_EEM!F76)</f>
        <v>—</v>
      </c>
      <c r="G83" t="str">
        <f>IF(CALC_EEM!G76="","",CALC_EEM!G76)</f>
        <v>—</v>
      </c>
      <c r="H83" s="16" t="str">
        <f>IF(CALC_EEM!H76="","",CALC_EEM!H76)</f>
        <v>—</v>
      </c>
      <c r="I83" s="16" t="str">
        <f>IF(CALC_EEM!I76="","",CALC_EEM!I76)</f>
        <v>—</v>
      </c>
      <c r="J83" t="str">
        <f>IF(CALC_EEM!J76="","",CALC_EEM!J76)</f>
        <v>—</v>
      </c>
      <c r="K83" t="str">
        <f>IF(CALC_EEM!K76="","",CALC_EEM!K76)</f>
        <v>—</v>
      </c>
      <c r="L83">
        <f>IF(CALC_EEM!L76="","",CALC_EEM!L76)</f>
        <v>0</v>
      </c>
      <c r="M83">
        <f>IF(CALC_EEM!M76="","",CALC_EEM!M76)</f>
        <v>0</v>
      </c>
      <c r="N83">
        <f>IF(CALC_EEM!N76="","",CALC_EEM!N76)</f>
        <v>0</v>
      </c>
      <c r="O83">
        <f>IF(CALC_EEM!O76="","",CALC_EEM!O76)</f>
        <v>0</v>
      </c>
      <c r="P83">
        <f>IF(CALC_EEM!P76="","",CALC_EEM!P76)</f>
        <v>0</v>
      </c>
      <c r="Q83">
        <f>IF(CALC_EEM!Q76="","",CALC_EEM!Q76)</f>
        <v>0</v>
      </c>
      <c r="R83">
        <f>IF(CALC_EEM!R76="","",CALC_EEM!R76)</f>
        <v>0</v>
      </c>
      <c r="S83">
        <f>IF(CALC_EEM!S76="","",CALC_EEM!S76)</f>
        <v>0</v>
      </c>
      <c r="T83">
        <f>IF(CALC_EEM!T76="","",CALC_EEM!T76)</f>
        <v>0</v>
      </c>
      <c r="U83">
        <f>IF(CALC_EEM!U76="","",CALC_EEM!U76)</f>
        <v>0</v>
      </c>
    </row>
    <row r="84" spans="1:24">
      <c r="A84" t="str">
        <f>IF(CALC_EEM!A77="","",IF(CALC_EEM!A77="GLOBAL","GLOBAL",IF(CALC_EEM!C77="Total","CURSO_TOTAL",IF(CALC_EEM!C77="TotalEsp","CURSO_ESP",IF(CALC_EEM!C77="TotalNoEsp","CURSO_NOESP","CURSO_ASIG")))))</f>
        <v>GLOBAL</v>
      </c>
      <c r="B84" t="str">
        <f>IF(CALC_EEM!A77="","",CALC_EEM!A77)</f>
        <v>GLOBAL</v>
      </c>
      <c r="C84" t="str">
        <f>IF(CALC_EEM!B77="","",CALC_EEM!B77)</f>
        <v>Total</v>
      </c>
      <c r="D84">
        <f>IF(CALC_EEM!D77="","",CALC_EEM!D77)</f>
        <v>0</v>
      </c>
      <c r="E84" s="14" t="str">
        <f>IF(CALC_EEM!E77="","",CALC_EEM!E77)</f>
        <v>—</v>
      </c>
      <c r="F84" s="14" t="str">
        <f>IF(CALC_EEM!F77="","",CALC_EEM!F77)</f>
        <v>—</v>
      </c>
      <c r="G84" t="str">
        <f>IF(CALC_EEM!G77="","",CALC_EEM!G77)</f>
        <v>—</v>
      </c>
      <c r="H84" s="16" t="str">
        <f>IF(CALC_EEM!H77="","",CALC_EEM!H77)</f>
        <v>—</v>
      </c>
      <c r="I84" s="16" t="str">
        <f>IF(CALC_EEM!I77="","",CALC_EEM!I77)</f>
        <v>—</v>
      </c>
      <c r="J84" t="str">
        <f>IF(CALC_EEM!J77="","",CALC_EEM!J77)</f>
        <v>—</v>
      </c>
      <c r="K84" t="str">
        <f>IF(CALC_EEM!K77="","",CALC_EEM!K77)</f>
        <v>—</v>
      </c>
      <c r="L84">
        <f>IF(CALC_EEM!L77="","",CALC_EEM!L77)</f>
        <v>0</v>
      </c>
      <c r="M84">
        <f>IF(CALC_EEM!M77="","",CALC_EEM!M77)</f>
        <v>0</v>
      </c>
      <c r="N84">
        <f>IF(CALC_EEM!N77="","",CALC_EEM!N77)</f>
        <v>0</v>
      </c>
      <c r="O84">
        <f>IF(CALC_EEM!O77="","",CALC_EEM!O77)</f>
        <v>0</v>
      </c>
      <c r="P84">
        <f>IF(CALC_EEM!P77="","",CALC_EEM!P77)</f>
        <v>0</v>
      </c>
      <c r="Q84">
        <f>IF(CALC_EEM!Q77="","",CALC_EEM!Q77)</f>
        <v>0</v>
      </c>
      <c r="R84">
        <f>IF(CALC_EEM!R77="","",CALC_EEM!R77)</f>
        <v>0</v>
      </c>
      <c r="S84">
        <f>IF(CALC_EEM!S77="","",CALC_EEM!S77)</f>
        <v>0</v>
      </c>
      <c r="T84">
        <f>IF(CALC_EEM!T77="","",CALC_EEM!T77)</f>
        <v>0</v>
      </c>
      <c r="U84">
        <f>IF(CALC_EEM!U77="","",CALC_EEM!U77)</f>
        <v>0</v>
      </c>
    </row>
    <row r="85" spans="1:24">
      <c r="A85" t="str">
        <f>IF(CALC_EEM!A78="","",IF(CALC_EEM!A78="GLOBAL","GLOBAL",IF(CALC_EEM!C78="Total","CURSO_TOTAL",IF(CALC_EEM!C78="TotalEsp","CURSO_ESP",IF(CALC_EEM!C78="TotalNoEsp","CURSO_NOESP","CURSO_ASIG")))))</f>
        <v>GLOBAL</v>
      </c>
      <c r="B85" t="str">
        <f>IF(CALC_EEM!A78="","",CALC_EEM!A78)</f>
        <v>GLOBAL</v>
      </c>
      <c r="C85" t="str">
        <f>IF(CALC_EEM!B78="","",CALC_EEM!B78)</f>
        <v>Total</v>
      </c>
      <c r="D85">
        <f>IF(CALC_EEM!D78="","",CALC_EEM!D78)</f>
        <v>0</v>
      </c>
      <c r="E85" s="14" t="str">
        <f>IF(CALC_EEM!E78="","",CALC_EEM!E78)</f>
        <v>—</v>
      </c>
      <c r="F85" s="14" t="str">
        <f>IF(CALC_EEM!F78="","",CALC_EEM!F78)</f>
        <v>—</v>
      </c>
      <c r="G85" t="str">
        <f>IF(CALC_EEM!G78="","",CALC_EEM!G78)</f>
        <v>—</v>
      </c>
      <c r="H85" s="16" t="str">
        <f>IF(CALC_EEM!H78="","",CALC_EEM!H78)</f>
        <v>—</v>
      </c>
      <c r="I85" s="16" t="str">
        <f>IF(CALC_EEM!I78="","",CALC_EEM!I78)</f>
        <v>—</v>
      </c>
      <c r="J85" t="str">
        <f>IF(CALC_EEM!J78="","",CALC_EEM!J78)</f>
        <v>—</v>
      </c>
      <c r="K85" t="str">
        <f>IF(CALC_EEM!K78="","",CALC_EEM!K78)</f>
        <v>—</v>
      </c>
      <c r="L85">
        <f>IF(CALC_EEM!L78="","",CALC_EEM!L78)</f>
        <v>0</v>
      </c>
      <c r="M85">
        <f>IF(CALC_EEM!M78="","",CALC_EEM!M78)</f>
        <v>0</v>
      </c>
      <c r="N85">
        <f>IF(CALC_EEM!N78="","",CALC_EEM!N78)</f>
        <v>0</v>
      </c>
      <c r="O85">
        <f>IF(CALC_EEM!O78="","",CALC_EEM!O78)</f>
        <v>0</v>
      </c>
      <c r="P85">
        <f>IF(CALC_EEM!P78="","",CALC_EEM!P78)</f>
        <v>0</v>
      </c>
      <c r="Q85">
        <f>IF(CALC_EEM!Q78="","",CALC_EEM!Q78)</f>
        <v>0</v>
      </c>
      <c r="R85">
        <f>IF(CALC_EEM!R78="","",CALC_EEM!R78)</f>
        <v>0</v>
      </c>
      <c r="S85">
        <f>IF(CALC_EEM!S78="","",CALC_EEM!S78)</f>
        <v>0</v>
      </c>
      <c r="T85">
        <f>IF(CALC_EEM!T78="","",CALC_EEM!T78)</f>
        <v>0</v>
      </c>
      <c r="U85">
        <f>IF(CALC_EEM!U78="","",CALC_EEM!U78)</f>
        <v>0</v>
      </c>
    </row>
    <row r="86" spans="1:24">
      <c r="A86" t="str">
        <f>IF(CALC_EEM!A79="","",IF(CALC_EEM!A79="GLOBAL","GLOBAL",IF(CALC_EEM!C79="Total","CURSO_TOTAL",IF(CALC_EEM!C79="TotalEsp","CURSO_ESP",IF(CALC_EEM!C79="TotalNoEsp","CURSO_NOESP","CURSO_ASIG")))))</f>
        <v>GLOBAL</v>
      </c>
      <c r="B86" t="str">
        <f>IF(CALC_EEM!A79="","",CALC_EEM!A79)</f>
        <v>GLOBAL</v>
      </c>
      <c r="C86" t="str">
        <f>IF(CALC_EEM!B79="","",CALC_EEM!B79)</f>
        <v>Total</v>
      </c>
      <c r="D86">
        <f>IF(CALC_EEM!D79="","",CALC_EEM!D79)</f>
        <v>0</v>
      </c>
      <c r="E86" s="14" t="str">
        <f>IF(CALC_EEM!E79="","",CALC_EEM!E79)</f>
        <v>—</v>
      </c>
      <c r="F86" s="14" t="str">
        <f>IF(CALC_EEM!F79="","",CALC_EEM!F79)</f>
        <v>—</v>
      </c>
      <c r="G86" t="str">
        <f>IF(CALC_EEM!G79="","",CALC_EEM!G79)</f>
        <v>—</v>
      </c>
      <c r="H86" s="16" t="str">
        <f>IF(CALC_EEM!H79="","",CALC_EEM!H79)</f>
        <v>—</v>
      </c>
      <c r="I86" s="16" t="str">
        <f>IF(CALC_EEM!I79="","",CALC_EEM!I79)</f>
        <v>—</v>
      </c>
      <c r="J86" t="str">
        <f>IF(CALC_EEM!J79="","",CALC_EEM!J79)</f>
        <v>—</v>
      </c>
      <c r="K86" t="str">
        <f>IF(CALC_EEM!K79="","",CALC_EEM!K79)</f>
        <v>—</v>
      </c>
      <c r="L86">
        <f>IF(CALC_EEM!L79="","",CALC_EEM!L79)</f>
        <v>0</v>
      </c>
      <c r="M86">
        <f>IF(CALC_EEM!M79="","",CALC_EEM!M79)</f>
        <v>0</v>
      </c>
      <c r="N86">
        <f>IF(CALC_EEM!N79="","",CALC_EEM!N79)</f>
        <v>0</v>
      </c>
      <c r="O86">
        <f>IF(CALC_EEM!O79="","",CALC_EEM!O79)</f>
        <v>0</v>
      </c>
      <c r="P86">
        <f>IF(CALC_EEM!P79="","",CALC_EEM!P79)</f>
        <v>0</v>
      </c>
      <c r="Q86">
        <f>IF(CALC_EEM!Q79="","",CALC_EEM!Q79)</f>
        <v>0</v>
      </c>
      <c r="R86">
        <f>IF(CALC_EEM!R79="","",CALC_EEM!R79)</f>
        <v>0</v>
      </c>
      <c r="S86">
        <f>IF(CALC_EEM!S79="","",CALC_EEM!S79)</f>
        <v>0</v>
      </c>
      <c r="T86">
        <f>IF(CALC_EEM!T79="","",CALC_EEM!T79)</f>
        <v>0</v>
      </c>
      <c r="U86">
        <f>IF(CALC_EEM!U79="","",CALC_EEM!U79)</f>
        <v>0</v>
      </c>
    </row>
    <row r="87" spans="1:24">
      <c r="A87" t="str">
        <f>IF(CALC_EEM!A80="","",IF(CALC_EEM!A80="GLOBAL","GLOBAL",IF(CALC_EEM!C80="Total","CURSO_TOTAL",IF(CALC_EEM!C80="TotalEsp","CURSO_ESP",IF(CALC_EEM!C80="TotalNoEsp","CURSO_NOESP","CURSO_ASIG")))))</f>
        <v>GLOBAL</v>
      </c>
      <c r="B87" t="str">
        <f>IF(CALC_EEM!A80="","",CALC_EEM!A80)</f>
        <v>GLOBAL</v>
      </c>
      <c r="C87" t="str">
        <f>IF(CALC_EEM!B80="","",CALC_EEM!B80)</f>
        <v>Total</v>
      </c>
      <c r="D87">
        <f>IF(CALC_EEM!D80="","",CALC_EEM!D80)</f>
        <v>0</v>
      </c>
      <c r="E87" s="14" t="str">
        <f>IF(CALC_EEM!E80="","",CALC_EEM!E80)</f>
        <v>—</v>
      </c>
      <c r="F87" s="14" t="str">
        <f>IF(CALC_EEM!F80="","",CALC_EEM!F80)</f>
        <v>—</v>
      </c>
      <c r="G87" t="str">
        <f>IF(CALC_EEM!G80="","",CALC_EEM!G80)</f>
        <v>—</v>
      </c>
      <c r="H87" s="16" t="str">
        <f>IF(CALC_EEM!H80="","",CALC_EEM!H80)</f>
        <v>—</v>
      </c>
      <c r="I87" s="16" t="str">
        <f>IF(CALC_EEM!I80="","",CALC_EEM!I80)</f>
        <v>—</v>
      </c>
      <c r="J87" t="str">
        <f>IF(CALC_EEM!J80="","",CALC_EEM!J80)</f>
        <v>—</v>
      </c>
      <c r="K87" t="str">
        <f>IF(CALC_EEM!K80="","",CALC_EEM!K80)</f>
        <v>—</v>
      </c>
      <c r="L87">
        <f>IF(CALC_EEM!L80="","",CALC_EEM!L80)</f>
        <v>0</v>
      </c>
      <c r="M87">
        <f>IF(CALC_EEM!M80="","",CALC_EEM!M80)</f>
        <v>0</v>
      </c>
      <c r="N87">
        <f>IF(CALC_EEM!N80="","",CALC_EEM!N80)</f>
        <v>0</v>
      </c>
      <c r="O87">
        <f>IF(CALC_EEM!O80="","",CALC_EEM!O80)</f>
        <v>0</v>
      </c>
      <c r="P87">
        <f>IF(CALC_EEM!P80="","",CALC_EEM!P80)</f>
        <v>0</v>
      </c>
      <c r="Q87">
        <f>IF(CALC_EEM!Q80="","",CALC_EEM!Q80)</f>
        <v>0</v>
      </c>
      <c r="R87">
        <f>IF(CALC_EEM!R80="","",CALC_EEM!R80)</f>
        <v>0</v>
      </c>
      <c r="S87">
        <f>IF(CALC_EEM!S80="","",CALC_EEM!S80)</f>
        <v>0</v>
      </c>
      <c r="T87">
        <f>IF(CALC_EEM!T80="","",CALC_EEM!T80)</f>
        <v>0</v>
      </c>
      <c r="U87">
        <f>IF(CALC_EEM!U80="","",CALC_EEM!U80)</f>
        <v>0</v>
      </c>
    </row>
    <row r="88" spans="1:24">
      <c r="A88" t="str">
        <f>IF(CALC_EEM!A81="","",IF(CALC_EEM!A81="GLOBAL","GLOBAL",IF(CALC_EEM!C81="Total","CURSO_TOTAL",IF(CALC_EEM!C81="TotalEsp","CURSO_ESP",IF(CALC_EEM!C81="TotalNoEsp","CURSO_NOESP","CURSO_ASIG")))))</f>
        <v>GLOBAL</v>
      </c>
      <c r="B88" t="str">
        <f>IF(CALC_EEM!A81="","",CALC_EEM!A81)</f>
        <v>GLOBAL</v>
      </c>
      <c r="C88" t="str">
        <f>IF(CALC_EEM!B81="","",CALC_EEM!B81)</f>
        <v>Total</v>
      </c>
      <c r="D88">
        <f>IF(CALC_EEM!D81="","",CALC_EEM!D81)</f>
        <v>0</v>
      </c>
      <c r="E88" s="14" t="str">
        <f>IF(CALC_EEM!E81="","",CALC_EEM!E81)</f>
        <v>—</v>
      </c>
      <c r="F88" s="14" t="str">
        <f>IF(CALC_EEM!F81="","",CALC_EEM!F81)</f>
        <v>—</v>
      </c>
      <c r="G88" t="str">
        <f>IF(CALC_EEM!G81="","",CALC_EEM!G81)</f>
        <v>—</v>
      </c>
      <c r="H88" s="16" t="str">
        <f>IF(CALC_EEM!H81="","",CALC_EEM!H81)</f>
        <v>—</v>
      </c>
      <c r="I88" s="16" t="str">
        <f>IF(CALC_EEM!I81="","",CALC_EEM!I81)</f>
        <v>—</v>
      </c>
      <c r="J88" t="str">
        <f>IF(CALC_EEM!J81="","",CALC_EEM!J81)</f>
        <v>—</v>
      </c>
      <c r="K88" t="str">
        <f>IF(CALC_EEM!K81="","",CALC_EEM!K81)</f>
        <v>—</v>
      </c>
      <c r="L88">
        <f>IF(CALC_EEM!L81="","",CALC_EEM!L81)</f>
        <v>0</v>
      </c>
      <c r="M88">
        <f>IF(CALC_EEM!M81="","",CALC_EEM!M81)</f>
        <v>0</v>
      </c>
      <c r="N88">
        <f>IF(CALC_EEM!N81="","",CALC_EEM!N81)</f>
        <v>0</v>
      </c>
      <c r="O88">
        <f>IF(CALC_EEM!O81="","",CALC_EEM!O81)</f>
        <v>0</v>
      </c>
      <c r="P88">
        <f>IF(CALC_EEM!P81="","",CALC_EEM!P81)</f>
        <v>0</v>
      </c>
      <c r="Q88">
        <f>IF(CALC_EEM!Q81="","",CALC_EEM!Q81)</f>
        <v>0</v>
      </c>
      <c r="R88">
        <f>IF(CALC_EEM!R81="","",CALC_EEM!R81)</f>
        <v>0</v>
      </c>
      <c r="S88">
        <f>IF(CALC_EEM!S81="","",CALC_EEM!S81)</f>
        <v>0</v>
      </c>
      <c r="T88">
        <f>IF(CALC_EEM!T81="","",CALC_EEM!T81)</f>
        <v>0</v>
      </c>
      <c r="U88">
        <f>IF(CALC_EEM!U81="","",CALC_EEM!U81)</f>
        <v>0</v>
      </c>
    </row>
    <row r="89" spans="1:24">
      <c r="A89" t="str">
        <f>IF(CALC_EEM!A82="","",IF(CALC_EEM!A82="GLOBAL","GLOBAL",IF(CALC_EEM!C82="Total","CURSO_TOTAL",IF(CALC_EEM!C82="TotalEsp","CURSO_ESP",IF(CALC_EEM!C82="TotalNoEsp","CURSO_NOESP","CURSO_ASIG")))))</f>
        <v>GLOBAL</v>
      </c>
      <c r="B89" t="str">
        <f>IF(CALC_EEM!A82="","",CALC_EEM!A82)</f>
        <v>GLOBAL</v>
      </c>
      <c r="C89" t="str">
        <f>IF(CALC_EEM!B82="","",CALC_EEM!B82)</f>
        <v>Total</v>
      </c>
      <c r="D89">
        <f>IF(CALC_EEM!D82="","",CALC_EEM!D82)</f>
        <v>0</v>
      </c>
      <c r="E89" s="14" t="str">
        <f>IF(CALC_EEM!E82="","",CALC_EEM!E82)</f>
        <v>—</v>
      </c>
      <c r="F89" s="14" t="str">
        <f>IF(CALC_EEM!F82="","",CALC_EEM!F82)</f>
        <v>—</v>
      </c>
      <c r="G89" t="str">
        <f>IF(CALC_EEM!G82="","",CALC_EEM!G82)</f>
        <v>—</v>
      </c>
      <c r="H89" s="16" t="str">
        <f>IF(CALC_EEM!H82="","",CALC_EEM!H82)</f>
        <v>—</v>
      </c>
      <c r="I89" s="16" t="str">
        <f>IF(CALC_EEM!I82="","",CALC_EEM!I82)</f>
        <v>—</v>
      </c>
      <c r="J89" t="str">
        <f>IF(CALC_EEM!J82="","",CALC_EEM!J82)</f>
        <v>—</v>
      </c>
      <c r="K89" t="str">
        <f>IF(CALC_EEM!K82="","",CALC_EEM!K82)</f>
        <v>—</v>
      </c>
      <c r="L89">
        <f>IF(CALC_EEM!L82="","",CALC_EEM!L82)</f>
        <v>0</v>
      </c>
      <c r="M89">
        <f>IF(CALC_EEM!M82="","",CALC_EEM!M82)</f>
        <v>0</v>
      </c>
      <c r="N89">
        <f>IF(CALC_EEM!N82="","",CALC_EEM!N82)</f>
        <v>0</v>
      </c>
      <c r="O89">
        <f>IF(CALC_EEM!O82="","",CALC_EEM!O82)</f>
        <v>0</v>
      </c>
      <c r="P89">
        <f>IF(CALC_EEM!P82="","",CALC_EEM!P82)</f>
        <v>0</v>
      </c>
      <c r="Q89">
        <f>IF(CALC_EEM!Q82="","",CALC_EEM!Q82)</f>
        <v>0</v>
      </c>
      <c r="R89">
        <f>IF(CALC_EEM!R82="","",CALC_EEM!R82)</f>
        <v>0</v>
      </c>
      <c r="S89">
        <f>IF(CALC_EEM!S82="","",CALC_EEM!S82)</f>
        <v>0</v>
      </c>
      <c r="T89">
        <f>IF(CALC_EEM!T82="","",CALC_EEM!T82)</f>
        <v>0</v>
      </c>
      <c r="U89">
        <f>IF(CALC_EEM!U82="","",CALC_EEM!U82)</f>
        <v>0</v>
      </c>
    </row>
    <row r="90" spans="1:24">
      <c r="A90" t="str">
        <f>IF(CALC_EEM!A83="","",IF(CALC_EEM!A83="GLOBAL","GLOBAL",IF(CALC_EEM!C83="Total","CURSO_TOTAL",IF(CALC_EEM!C83="TotalEsp","CURSO_ESP",IF(CALC_EEM!C83="TotalNoEsp","CURSO_NOESP","CURSO_ASIG")))))</f>
        <v>GLOBAL</v>
      </c>
      <c r="B90" t="str">
        <f>IF(CALC_EEM!A83="","",CALC_EEM!A83)</f>
        <v>GLOBAL</v>
      </c>
      <c r="C90" t="str">
        <f>IF(CALC_EEM!B83="","",CALC_EEM!B83)</f>
        <v>Total</v>
      </c>
      <c r="D90">
        <f>IF(CALC_EEM!D83="","",CALC_EEM!D83)</f>
        <v>0</v>
      </c>
      <c r="E90" s="14" t="str">
        <f>IF(CALC_EEM!E83="","",CALC_EEM!E83)</f>
        <v>—</v>
      </c>
      <c r="F90" s="14" t="str">
        <f>IF(CALC_EEM!F83="","",CALC_EEM!F83)</f>
        <v>—</v>
      </c>
      <c r="G90" t="str">
        <f>IF(CALC_EEM!G83="","",CALC_EEM!G83)</f>
        <v>—</v>
      </c>
      <c r="H90" s="16" t="str">
        <f>IF(CALC_EEM!H83="","",CALC_EEM!H83)</f>
        <v>—</v>
      </c>
      <c r="I90" s="16" t="str">
        <f>IF(CALC_EEM!I83="","",CALC_EEM!I83)</f>
        <v>—</v>
      </c>
      <c r="J90" t="str">
        <f>IF(CALC_EEM!J83="","",CALC_EEM!J83)</f>
        <v>—</v>
      </c>
      <c r="K90" t="str">
        <f>IF(CALC_EEM!K83="","",CALC_EEM!K83)</f>
        <v>—</v>
      </c>
      <c r="L90">
        <f>IF(CALC_EEM!L83="","",CALC_EEM!L83)</f>
        <v>0</v>
      </c>
      <c r="M90">
        <f>IF(CALC_EEM!M83="","",CALC_EEM!M83)</f>
        <v>0</v>
      </c>
      <c r="N90">
        <f>IF(CALC_EEM!N83="","",CALC_EEM!N83)</f>
        <v>0</v>
      </c>
      <c r="O90">
        <f>IF(CALC_EEM!O83="","",CALC_EEM!O83)</f>
        <v>0</v>
      </c>
      <c r="P90">
        <f>IF(CALC_EEM!P83="","",CALC_EEM!P83)</f>
        <v>0</v>
      </c>
      <c r="Q90">
        <f>IF(CALC_EEM!Q83="","",CALC_EEM!Q83)</f>
        <v>0</v>
      </c>
      <c r="R90">
        <f>IF(CALC_EEM!R83="","",CALC_EEM!R83)</f>
        <v>0</v>
      </c>
      <c r="S90">
        <f>IF(CALC_EEM!S83="","",CALC_EEM!S83)</f>
        <v>0</v>
      </c>
      <c r="T90">
        <f>IF(CALC_EEM!T83="","",CALC_EEM!T83)</f>
        <v>0</v>
      </c>
      <c r="U90">
        <f>IF(CALC_EEM!U83="","",CALC_EEM!U83)</f>
        <v>0</v>
      </c>
    </row>
    <row r="91" spans="1:24">
      <c r="A91" t="str">
        <f>IF(CALC_EEM!A84="","",IF(CALC_EEM!A84="GLOBAL","GLOBAL",IF(CALC_EEM!C84="Total","CURSO_TOTAL",IF(CALC_EEM!C84="TotalEsp","CURSO_ESP",IF(CALC_EEM!C84="TotalNoEsp","CURSO_NOESP","CURSO_ASIG")))))</f>
        <v>GLOBAL</v>
      </c>
      <c r="B91" t="str">
        <f>IF(CALC_EEM!A84="","",CALC_EEM!A84)</f>
        <v>GLOBAL</v>
      </c>
      <c r="C91" t="str">
        <f>IF(CALC_EEM!B84="","",CALC_EEM!B84)</f>
        <v>Total</v>
      </c>
      <c r="D91">
        <f>IF(CALC_EEM!D84="","",CALC_EEM!D84)</f>
        <v>0</v>
      </c>
      <c r="E91" s="14" t="str">
        <f>IF(CALC_EEM!E84="","",CALC_EEM!E84)</f>
        <v>—</v>
      </c>
      <c r="F91" s="14" t="str">
        <f>IF(CALC_EEM!F84="","",CALC_EEM!F84)</f>
        <v>—</v>
      </c>
      <c r="G91" t="str">
        <f>IF(CALC_EEM!G84="","",CALC_EEM!G84)</f>
        <v>—</v>
      </c>
      <c r="H91" s="16" t="str">
        <f>IF(CALC_EEM!H84="","",CALC_EEM!H84)</f>
        <v>—</v>
      </c>
      <c r="I91" s="16" t="str">
        <f>IF(CALC_EEM!I84="","",CALC_EEM!I84)</f>
        <v>—</v>
      </c>
      <c r="J91" t="str">
        <f>IF(CALC_EEM!J84="","",CALC_EEM!J84)</f>
        <v>—</v>
      </c>
      <c r="K91" t="str">
        <f>IF(CALC_EEM!K84="","",CALC_EEM!K84)</f>
        <v>—</v>
      </c>
      <c r="L91">
        <f>IF(CALC_EEM!L84="","",CALC_EEM!L84)</f>
        <v>0</v>
      </c>
      <c r="M91">
        <f>IF(CALC_EEM!M84="","",CALC_EEM!M84)</f>
        <v>0</v>
      </c>
      <c r="N91">
        <f>IF(CALC_EEM!N84="","",CALC_EEM!N84)</f>
        <v>0</v>
      </c>
      <c r="O91">
        <f>IF(CALC_EEM!O84="","",CALC_EEM!O84)</f>
        <v>0</v>
      </c>
      <c r="P91">
        <f>IF(CALC_EEM!P84="","",CALC_EEM!P84)</f>
        <v>0</v>
      </c>
      <c r="Q91">
        <f>IF(CALC_EEM!Q84="","",CALC_EEM!Q84)</f>
        <v>0</v>
      </c>
      <c r="R91">
        <f>IF(CALC_EEM!R84="","",CALC_EEM!R84)</f>
        <v>0</v>
      </c>
      <c r="S91">
        <f>IF(CALC_EEM!S84="","",CALC_EEM!S84)</f>
        <v>0</v>
      </c>
      <c r="T91">
        <f>IF(CALC_EEM!T84="","",CALC_EEM!T84)</f>
        <v>0</v>
      </c>
      <c r="U91">
        <f>IF(CALC_EEM!U84="","",CALC_EEM!U84)</f>
        <v>0</v>
      </c>
    </row>
    <row r="92" spans="1:24">
      <c r="A92" t="str">
        <f>IF(CALC_EEM!A85="","",IF(CALC_EEM!A85="GLOBAL","GLOBAL",IF(CALC_EEM!C85="Total","CURSO_TOTAL",IF(CALC_EEM!C85="TotalEsp","CURSO_ESP",IF(CALC_EEM!C85="TotalNoEsp","CURSO_NOESP","CURSO_ASIG")))))</f>
        <v>GLOBAL</v>
      </c>
      <c r="B92" t="str">
        <f>IF(CALC_EEM!A85="","",CALC_EEM!A85)</f>
        <v>GLOBAL</v>
      </c>
      <c r="C92" t="str">
        <f>IF(CALC_EEM!B85="","",CALC_EEM!B85)</f>
        <v>Total</v>
      </c>
      <c r="D92">
        <f>IF(CALC_EEM!D85="","",CALC_EEM!D85)</f>
        <v>0</v>
      </c>
      <c r="E92" s="14" t="str">
        <f>IF(CALC_EEM!E85="","",CALC_EEM!E85)</f>
        <v>—</v>
      </c>
      <c r="F92" s="14" t="str">
        <f>IF(CALC_EEM!F85="","",CALC_EEM!F85)</f>
        <v>—</v>
      </c>
      <c r="G92" t="str">
        <f>IF(CALC_EEM!G85="","",CALC_EEM!G85)</f>
        <v>—</v>
      </c>
      <c r="H92" s="16" t="str">
        <f>IF(CALC_EEM!H85="","",CALC_EEM!H85)</f>
        <v>—</v>
      </c>
      <c r="I92" s="16" t="str">
        <f>IF(CALC_EEM!I85="","",CALC_EEM!I85)</f>
        <v>—</v>
      </c>
      <c r="J92" t="str">
        <f>IF(CALC_EEM!J85="","",CALC_EEM!J85)</f>
        <v>—</v>
      </c>
      <c r="K92" t="str">
        <f>IF(CALC_EEM!K85="","",CALC_EEM!K85)</f>
        <v>—</v>
      </c>
      <c r="L92">
        <f>IF(CALC_EEM!L85="","",CALC_EEM!L85)</f>
        <v>0</v>
      </c>
      <c r="M92">
        <f>IF(CALC_EEM!M85="","",CALC_EEM!M85)</f>
        <v>0</v>
      </c>
      <c r="N92">
        <f>IF(CALC_EEM!N85="","",CALC_EEM!N85)</f>
        <v>0</v>
      </c>
      <c r="O92">
        <f>IF(CALC_EEM!O85="","",CALC_EEM!O85)</f>
        <v>0</v>
      </c>
      <c r="P92">
        <f>IF(CALC_EEM!P85="","",CALC_EEM!P85)</f>
        <v>0</v>
      </c>
      <c r="Q92">
        <f>IF(CALC_EEM!Q85="","",CALC_EEM!Q85)</f>
        <v>0</v>
      </c>
      <c r="R92">
        <f>IF(CALC_EEM!R85="","",CALC_EEM!R85)</f>
        <v>0</v>
      </c>
      <c r="S92">
        <f>IF(CALC_EEM!S85="","",CALC_EEM!S85)</f>
        <v>0</v>
      </c>
      <c r="T92">
        <f>IF(CALC_EEM!T85="","",CALC_EEM!T85)</f>
        <v>0</v>
      </c>
      <c r="U92">
        <f>IF(CALC_EEM!U85="","",CALC_EEM!U85)</f>
        <v>0</v>
      </c>
    </row>
    <row r="93" spans="1:24">
      <c r="A93" t="str">
        <f>IF(CALC_EEM!A86="","",IF(CALC_EEM!A86="GLOBAL","GLOBAL",IF(CALC_EEM!C86="Total","CURSO_TOTAL",IF(CALC_EEM!C86="TotalEsp","CURSO_ESP",IF(CALC_EEM!C86="TotalNoEsp","CURSO_NOESP","CURSO_ASIG")))))</f>
        <v>GLOBAL</v>
      </c>
      <c r="B93" t="str">
        <f>IF(CALC_EEM!A86="","",CALC_EEM!A86)</f>
        <v>GLOBAL</v>
      </c>
      <c r="C93" t="str">
        <f>IF(CALC_EEM!B86="","",CALC_EEM!B86)</f>
        <v>Total</v>
      </c>
      <c r="D93">
        <f>IF(CALC_EEM!D86="","",CALC_EEM!D86)</f>
        <v>0</v>
      </c>
      <c r="E93" s="14" t="str">
        <f>IF(CALC_EEM!E86="","",CALC_EEM!E86)</f>
        <v>—</v>
      </c>
      <c r="F93" s="14" t="str">
        <f>IF(CALC_EEM!F86="","",CALC_EEM!F86)</f>
        <v>—</v>
      </c>
      <c r="G93" t="str">
        <f>IF(CALC_EEM!G86="","",CALC_EEM!G86)</f>
        <v>—</v>
      </c>
      <c r="H93" s="16" t="str">
        <f>IF(CALC_EEM!H86="","",CALC_EEM!H86)</f>
        <v>—</v>
      </c>
      <c r="I93" s="16" t="str">
        <f>IF(CALC_EEM!I86="","",CALC_EEM!I86)</f>
        <v>—</v>
      </c>
      <c r="J93" t="str">
        <f>IF(CALC_EEM!J86="","",CALC_EEM!J86)</f>
        <v>—</v>
      </c>
      <c r="K93" t="str">
        <f>IF(CALC_EEM!K86="","",CALC_EEM!K86)</f>
        <v>—</v>
      </c>
      <c r="L93">
        <f>IF(CALC_EEM!L86="","",CALC_EEM!L86)</f>
        <v>0</v>
      </c>
      <c r="M93">
        <f>IF(CALC_EEM!M86="","",CALC_EEM!M86)</f>
        <v>0</v>
      </c>
      <c r="N93">
        <f>IF(CALC_EEM!N86="","",CALC_EEM!N86)</f>
        <v>0</v>
      </c>
      <c r="O93">
        <f>IF(CALC_EEM!O86="","",CALC_EEM!O86)</f>
        <v>0</v>
      </c>
      <c r="P93">
        <f>IF(CALC_EEM!P86="","",CALC_EEM!P86)</f>
        <v>0</v>
      </c>
      <c r="Q93">
        <f>IF(CALC_EEM!Q86="","",CALC_EEM!Q86)</f>
        <v>0</v>
      </c>
      <c r="R93">
        <f>IF(CALC_EEM!R86="","",CALC_EEM!R86)</f>
        <v>0</v>
      </c>
      <c r="S93">
        <f>IF(CALC_EEM!S86="","",CALC_EEM!S86)</f>
        <v>0</v>
      </c>
      <c r="T93">
        <f>IF(CALC_EEM!T86="","",CALC_EEM!T86)</f>
        <v>0</v>
      </c>
      <c r="U93">
        <f>IF(CALC_EEM!U86="","",CALC_EEM!U86)</f>
        <v>0</v>
      </c>
    </row>
    <row r="94" spans="1:24">
      <c r="A94" t="str">
        <f>IF(CALC_EEM!A87="","",IF(CALC_EEM!A87="GLOBAL","GLOBAL",IF(CALC_EEM!C87="Total","CURSO_TOTAL",IF(CALC_EEM!C87="TotalEsp","CURSO_ESP",IF(CALC_EEM!C87="TotalNoEsp","CURSO_NOESP","CURSO_ASIG")))))</f>
        <v>GLOBAL</v>
      </c>
      <c r="B94" t="str">
        <f>IF(CALC_EEM!A87="","",CALC_EEM!A87)</f>
        <v>GLOBAL</v>
      </c>
      <c r="C94" t="str">
        <f>IF(CALC_EEM!B87="","",CALC_EEM!B87)</f>
        <v>Total</v>
      </c>
      <c r="D94">
        <f>IF(CALC_EEM!D87="","",CALC_EEM!D87)</f>
        <v>0</v>
      </c>
      <c r="E94" s="14" t="str">
        <f>IF(CALC_EEM!E87="","",CALC_EEM!E87)</f>
        <v>—</v>
      </c>
      <c r="F94" s="14" t="str">
        <f>IF(CALC_EEM!F87="","",CALC_EEM!F87)</f>
        <v>—</v>
      </c>
      <c r="G94" t="str">
        <f>IF(CALC_EEM!G87="","",CALC_EEM!G87)</f>
        <v>—</v>
      </c>
      <c r="H94" s="16" t="str">
        <f>IF(CALC_EEM!H87="","",CALC_EEM!H87)</f>
        <v>—</v>
      </c>
      <c r="I94" s="16" t="str">
        <f>IF(CALC_EEM!I87="","",CALC_EEM!I87)</f>
        <v>—</v>
      </c>
      <c r="J94" t="str">
        <f>IF(CALC_EEM!J87="","",CALC_EEM!J87)</f>
        <v>—</v>
      </c>
      <c r="K94" t="str">
        <f>IF(CALC_EEM!K87="","",CALC_EEM!K87)</f>
        <v>—</v>
      </c>
      <c r="L94">
        <f>IF(CALC_EEM!L87="","",CALC_EEM!L87)</f>
        <v>0</v>
      </c>
      <c r="M94">
        <f>IF(CALC_EEM!M87="","",CALC_EEM!M87)</f>
        <v>0</v>
      </c>
      <c r="N94">
        <f>IF(CALC_EEM!N87="","",CALC_EEM!N87)</f>
        <v>0</v>
      </c>
      <c r="O94">
        <f>IF(CALC_EEM!O87="","",CALC_EEM!O87)</f>
        <v>0</v>
      </c>
      <c r="P94">
        <f>IF(CALC_EEM!P87="","",CALC_EEM!P87)</f>
        <v>0</v>
      </c>
      <c r="Q94">
        <f>IF(CALC_EEM!Q87="","",CALC_EEM!Q87)</f>
        <v>0</v>
      </c>
      <c r="R94">
        <f>IF(CALC_EEM!R87="","",CALC_EEM!R87)</f>
        <v>0</v>
      </c>
      <c r="S94">
        <f>IF(CALC_EEM!S87="","",CALC_EEM!S87)</f>
        <v>0</v>
      </c>
      <c r="T94">
        <f>IF(CALC_EEM!T87="","",CALC_EEM!T87)</f>
        <v>0</v>
      </c>
      <c r="U94">
        <f>IF(CALC_EEM!U87="","",CALC_EEM!U87)</f>
        <v>0</v>
      </c>
    </row>
    <row r="95" spans="1:24">
      <c r="A95" t="str">
        <f>IF(CALC_EEM!A88="","",IF(CALC_EEM!A88="GLOBAL","GLOBAL",IF(CALC_EEM!C88="Total","CURSO_TOTAL",IF(CALC_EEM!C88="TotalEsp","CURSO_ESP",IF(CALC_EEM!C88="TotalNoEsp","CURSO_NOESP","CURSO_ASIG")))))</f>
        <v>GLOBAL</v>
      </c>
      <c r="B95" t="str">
        <f>IF(CALC_EEM!A88="","",CALC_EEM!A88)</f>
        <v>GLOBAL</v>
      </c>
      <c r="C95" t="str">
        <f>IF(CALC_EEM!B88="","",CALC_EEM!B88)</f>
        <v>Total</v>
      </c>
      <c r="D95">
        <f>IF(CALC_EEM!D88="","",CALC_EEM!D88)</f>
        <v>0</v>
      </c>
      <c r="E95" s="14" t="str">
        <f>IF(CALC_EEM!E88="","",CALC_EEM!E88)</f>
        <v>—</v>
      </c>
      <c r="F95" s="14" t="str">
        <f>IF(CALC_EEM!F88="","",CALC_EEM!F88)</f>
        <v>—</v>
      </c>
      <c r="G95" t="str">
        <f>IF(CALC_EEM!G88="","",CALC_EEM!G88)</f>
        <v>—</v>
      </c>
      <c r="H95" s="16" t="str">
        <f>IF(CALC_EEM!H88="","",CALC_EEM!H88)</f>
        <v>—</v>
      </c>
      <c r="I95" s="16" t="str">
        <f>IF(CALC_EEM!I88="","",CALC_EEM!I88)</f>
        <v>—</v>
      </c>
      <c r="J95" t="str">
        <f>IF(CALC_EEM!J88="","",CALC_EEM!J88)</f>
        <v>—</v>
      </c>
      <c r="K95" t="str">
        <f>IF(CALC_EEM!K88="","",CALC_EEM!K88)</f>
        <v>—</v>
      </c>
      <c r="L95">
        <f>IF(CALC_EEM!L88="","",CALC_EEM!L88)</f>
        <v>0</v>
      </c>
      <c r="M95">
        <f>IF(CALC_EEM!M88="","",CALC_EEM!M88)</f>
        <v>0</v>
      </c>
      <c r="N95">
        <f>IF(CALC_EEM!N88="","",CALC_EEM!N88)</f>
        <v>0</v>
      </c>
      <c r="O95">
        <f>IF(CALC_EEM!O88="","",CALC_EEM!O88)</f>
        <v>0</v>
      </c>
      <c r="P95">
        <f>IF(CALC_EEM!P88="","",CALC_EEM!P88)</f>
        <v>0</v>
      </c>
      <c r="Q95">
        <f>IF(CALC_EEM!Q88="","",CALC_EEM!Q88)</f>
        <v>0</v>
      </c>
      <c r="R95">
        <f>IF(CALC_EEM!R88="","",CALC_EEM!R88)</f>
        <v>0</v>
      </c>
      <c r="S95">
        <f>IF(CALC_EEM!S88="","",CALC_EEM!S88)</f>
        <v>0</v>
      </c>
      <c r="T95">
        <f>IF(CALC_EEM!T88="","",CALC_EEM!T88)</f>
        <v>0</v>
      </c>
      <c r="U95">
        <f>IF(CALC_EEM!U88="","",CALC_EEM!U88)</f>
        <v>0</v>
      </c>
    </row>
    <row r="96" spans="1:24">
      <c r="A96" t="str">
        <f>IF(CALC_EEM!A89="","",IF(CALC_EEM!A89="GLOBAL","GLOBAL",IF(CALC_EEM!C89="Total","CURSO_TOTAL",IF(CALC_EEM!C89="TotalEsp","CURSO_ESP",IF(CALC_EEM!C89="TotalNoEsp","CURSO_NOESP","CURSO_ASIG")))))</f>
        <v>GLOBAL</v>
      </c>
      <c r="B96" t="str">
        <f>IF(CALC_EEM!A89="","",CALC_EEM!A89)</f>
        <v>GLOBAL</v>
      </c>
      <c r="C96" t="str">
        <f>IF(CALC_EEM!B89="","",CALC_EEM!B89)</f>
        <v>Total</v>
      </c>
      <c r="D96">
        <f>IF(CALC_EEM!D89="","",CALC_EEM!D89)</f>
        <v>0</v>
      </c>
      <c r="E96" s="14" t="str">
        <f>IF(CALC_EEM!E89="","",CALC_EEM!E89)</f>
        <v>—</v>
      </c>
      <c r="F96" s="14" t="str">
        <f>IF(CALC_EEM!F89="","",CALC_EEM!F89)</f>
        <v>—</v>
      </c>
      <c r="G96" t="str">
        <f>IF(CALC_EEM!G89="","",CALC_EEM!G89)</f>
        <v>—</v>
      </c>
      <c r="H96" s="16" t="str">
        <f>IF(CALC_EEM!H89="","",CALC_EEM!H89)</f>
        <v>—</v>
      </c>
      <c r="I96" s="16" t="str">
        <f>IF(CALC_EEM!I89="","",CALC_EEM!I89)</f>
        <v>—</v>
      </c>
      <c r="J96" t="str">
        <f>IF(CALC_EEM!J89="","",CALC_EEM!J89)</f>
        <v>—</v>
      </c>
      <c r="K96" t="str">
        <f>IF(CALC_EEM!K89="","",CALC_EEM!K89)</f>
        <v>—</v>
      </c>
      <c r="L96">
        <f>IF(CALC_EEM!L89="","",CALC_EEM!L89)</f>
        <v>0</v>
      </c>
      <c r="M96">
        <f>IF(CALC_EEM!M89="","",CALC_EEM!M89)</f>
        <v>0</v>
      </c>
      <c r="N96">
        <f>IF(CALC_EEM!N89="","",CALC_EEM!N89)</f>
        <v>0</v>
      </c>
      <c r="O96">
        <f>IF(CALC_EEM!O89="","",CALC_EEM!O89)</f>
        <v>0</v>
      </c>
      <c r="P96">
        <f>IF(CALC_EEM!P89="","",CALC_EEM!P89)</f>
        <v>0</v>
      </c>
      <c r="Q96">
        <f>IF(CALC_EEM!Q89="","",CALC_EEM!Q89)</f>
        <v>0</v>
      </c>
      <c r="R96">
        <f>IF(CALC_EEM!R89="","",CALC_EEM!R89)</f>
        <v>0</v>
      </c>
      <c r="S96">
        <f>IF(CALC_EEM!S89="","",CALC_EEM!S89)</f>
        <v>0</v>
      </c>
      <c r="T96">
        <f>IF(CALC_EEM!T89="","",CALC_EEM!T89)</f>
        <v>0</v>
      </c>
      <c r="U96">
        <f>IF(CALC_EEM!U89="","",CALC_EEM!U89)</f>
        <v>0</v>
      </c>
    </row>
    <row r="97" spans="1:24">
      <c r="A97" t="str">
        <f>IF(CALC_EEM!A90="","",IF(CALC_EEM!A90="GLOBAL","GLOBAL",IF(CALC_EEM!C90="Total","CURSO_TOTAL",IF(CALC_EEM!C90="TotalEsp","CURSO_ESP",IF(CALC_EEM!C90="TotalNoEsp","CURSO_NOESP","CURSO_ASIG")))))</f>
        <v>GLOBAL</v>
      </c>
      <c r="B97" t="str">
        <f>IF(CALC_EEM!A90="","",CALC_EEM!A90)</f>
        <v>GLOBAL</v>
      </c>
      <c r="C97" t="str">
        <f>IF(CALC_EEM!B90="","",CALC_EEM!B90)</f>
        <v>Total</v>
      </c>
      <c r="D97">
        <f>IF(CALC_EEM!D90="","",CALC_EEM!D90)</f>
        <v>0</v>
      </c>
      <c r="E97" s="14" t="str">
        <f>IF(CALC_EEM!E90="","",CALC_EEM!E90)</f>
        <v>—</v>
      </c>
      <c r="F97" s="14" t="str">
        <f>IF(CALC_EEM!F90="","",CALC_EEM!F90)</f>
        <v>—</v>
      </c>
      <c r="G97" t="str">
        <f>IF(CALC_EEM!G90="","",CALC_EEM!G90)</f>
        <v>—</v>
      </c>
      <c r="H97" s="16" t="str">
        <f>IF(CALC_EEM!H90="","",CALC_EEM!H90)</f>
        <v>—</v>
      </c>
      <c r="I97" s="16" t="str">
        <f>IF(CALC_EEM!I90="","",CALC_EEM!I90)</f>
        <v>—</v>
      </c>
      <c r="J97" t="str">
        <f>IF(CALC_EEM!J90="","",CALC_EEM!J90)</f>
        <v>—</v>
      </c>
      <c r="K97" t="str">
        <f>IF(CALC_EEM!K90="","",CALC_EEM!K90)</f>
        <v>—</v>
      </c>
      <c r="L97">
        <f>IF(CALC_EEM!L90="","",CALC_EEM!L90)</f>
        <v>0</v>
      </c>
      <c r="M97">
        <f>IF(CALC_EEM!M90="","",CALC_EEM!M90)</f>
        <v>0</v>
      </c>
      <c r="N97">
        <f>IF(CALC_EEM!N90="","",CALC_EEM!N90)</f>
        <v>0</v>
      </c>
      <c r="O97">
        <f>IF(CALC_EEM!O90="","",CALC_EEM!O90)</f>
        <v>0</v>
      </c>
      <c r="P97">
        <f>IF(CALC_EEM!P90="","",CALC_EEM!P90)</f>
        <v>0</v>
      </c>
      <c r="Q97">
        <f>IF(CALC_EEM!Q90="","",CALC_EEM!Q90)</f>
        <v>0</v>
      </c>
      <c r="R97">
        <f>IF(CALC_EEM!R90="","",CALC_EEM!R90)</f>
        <v>0</v>
      </c>
      <c r="S97">
        <f>IF(CALC_EEM!S90="","",CALC_EEM!S90)</f>
        <v>0</v>
      </c>
      <c r="T97">
        <f>IF(CALC_EEM!T90="","",CALC_EEM!T90)</f>
        <v>0</v>
      </c>
      <c r="U97">
        <f>IF(CALC_EEM!U90="","",CALC_EEM!U90)</f>
        <v>0</v>
      </c>
    </row>
    <row r="98" spans="1:24">
      <c r="A98" t="str">
        <f>IF(CALC_EEM!A91="","",IF(CALC_EEM!A91="GLOBAL","GLOBAL",IF(CALC_EEM!C91="Total","CURSO_TOTAL",IF(CALC_EEM!C91="TotalEsp","CURSO_ESP",IF(CALC_EEM!C91="TotalNoEsp","CURSO_NOESP","CURSO_ASIG")))))</f>
        <v>GLOBAL</v>
      </c>
      <c r="B98" t="str">
        <f>IF(CALC_EEM!A91="","",CALC_EEM!A91)</f>
        <v>GLOBAL</v>
      </c>
      <c r="C98" t="str">
        <f>IF(CALC_EEM!B91="","",CALC_EEM!B91)</f>
        <v>Total</v>
      </c>
      <c r="D98">
        <f>IF(CALC_EEM!D91="","",CALC_EEM!D91)</f>
        <v>0</v>
      </c>
      <c r="E98" s="14" t="str">
        <f>IF(CALC_EEM!E91="","",CALC_EEM!E91)</f>
        <v>—</v>
      </c>
      <c r="F98" s="14" t="str">
        <f>IF(CALC_EEM!F91="","",CALC_EEM!F91)</f>
        <v>—</v>
      </c>
      <c r="G98" t="str">
        <f>IF(CALC_EEM!G91="","",CALC_EEM!G91)</f>
        <v>—</v>
      </c>
      <c r="H98" s="16" t="str">
        <f>IF(CALC_EEM!H91="","",CALC_EEM!H91)</f>
        <v>—</v>
      </c>
      <c r="I98" s="16" t="str">
        <f>IF(CALC_EEM!I91="","",CALC_EEM!I91)</f>
        <v>—</v>
      </c>
      <c r="J98" t="str">
        <f>IF(CALC_EEM!J91="","",CALC_EEM!J91)</f>
        <v>—</v>
      </c>
      <c r="K98" t="str">
        <f>IF(CALC_EEM!K91="","",CALC_EEM!K91)</f>
        <v>—</v>
      </c>
      <c r="L98">
        <f>IF(CALC_EEM!L91="","",CALC_EEM!L91)</f>
        <v>0</v>
      </c>
      <c r="M98">
        <f>IF(CALC_EEM!M91="","",CALC_EEM!M91)</f>
        <v>0</v>
      </c>
      <c r="N98">
        <f>IF(CALC_EEM!N91="","",CALC_EEM!N91)</f>
        <v>0</v>
      </c>
      <c r="O98">
        <f>IF(CALC_EEM!O91="","",CALC_EEM!O91)</f>
        <v>0</v>
      </c>
      <c r="P98">
        <f>IF(CALC_EEM!P91="","",CALC_EEM!P91)</f>
        <v>0</v>
      </c>
      <c r="Q98">
        <f>IF(CALC_EEM!Q91="","",CALC_EEM!Q91)</f>
        <v>0</v>
      </c>
      <c r="R98">
        <f>IF(CALC_EEM!R91="","",CALC_EEM!R91)</f>
        <v>0</v>
      </c>
      <c r="S98">
        <f>IF(CALC_EEM!S91="","",CALC_EEM!S91)</f>
        <v>0</v>
      </c>
      <c r="T98">
        <f>IF(CALC_EEM!T91="","",CALC_EEM!T91)</f>
        <v>0</v>
      </c>
      <c r="U98">
        <f>IF(CALC_EEM!U91="","",CALC_EEM!U91)</f>
        <v>0</v>
      </c>
    </row>
    <row r="99" spans="1:24">
      <c r="A99" t="str">
        <f>IF(CALC_EEM!A92="","",IF(CALC_EEM!A92="GLOBAL","GLOBAL",IF(CALC_EEM!C92="Total","CURSO_TOTAL",IF(CALC_EEM!C92="TotalEsp","CURSO_ESP",IF(CALC_EEM!C92="TotalNoEsp","CURSO_NOESP","CURSO_ASIG")))))</f>
        <v>GLOBAL</v>
      </c>
      <c r="B99" t="str">
        <f>IF(CALC_EEM!A92="","",CALC_EEM!A92)</f>
        <v>GLOBAL</v>
      </c>
      <c r="C99" t="str">
        <f>IF(CALC_EEM!B92="","",CALC_EEM!B92)</f>
        <v>Total</v>
      </c>
      <c r="D99">
        <f>IF(CALC_EEM!D92="","",CALC_EEM!D92)</f>
        <v>0</v>
      </c>
      <c r="E99" s="14" t="str">
        <f>IF(CALC_EEM!E92="","",CALC_EEM!E92)</f>
        <v>—</v>
      </c>
      <c r="F99" s="14" t="str">
        <f>IF(CALC_EEM!F92="","",CALC_EEM!F92)</f>
        <v>—</v>
      </c>
      <c r="G99" t="str">
        <f>IF(CALC_EEM!G92="","",CALC_EEM!G92)</f>
        <v>—</v>
      </c>
      <c r="H99" s="16" t="str">
        <f>IF(CALC_EEM!H92="","",CALC_EEM!H92)</f>
        <v>—</v>
      </c>
      <c r="I99" s="16" t="str">
        <f>IF(CALC_EEM!I92="","",CALC_EEM!I92)</f>
        <v>—</v>
      </c>
      <c r="J99" t="str">
        <f>IF(CALC_EEM!J92="","",CALC_EEM!J92)</f>
        <v>—</v>
      </c>
      <c r="K99" t="str">
        <f>IF(CALC_EEM!K92="","",CALC_EEM!K92)</f>
        <v>—</v>
      </c>
      <c r="L99">
        <f>IF(CALC_EEM!L92="","",CALC_EEM!L92)</f>
        <v>0</v>
      </c>
      <c r="M99">
        <f>IF(CALC_EEM!M92="","",CALC_EEM!M92)</f>
        <v>0</v>
      </c>
      <c r="N99">
        <f>IF(CALC_EEM!N92="","",CALC_EEM!N92)</f>
        <v>0</v>
      </c>
      <c r="O99">
        <f>IF(CALC_EEM!O92="","",CALC_EEM!O92)</f>
        <v>0</v>
      </c>
      <c r="P99">
        <f>IF(CALC_EEM!P92="","",CALC_EEM!P92)</f>
        <v>0</v>
      </c>
      <c r="Q99">
        <f>IF(CALC_EEM!Q92="","",CALC_EEM!Q92)</f>
        <v>0</v>
      </c>
      <c r="R99">
        <f>IF(CALC_EEM!R92="","",CALC_EEM!R92)</f>
        <v>0</v>
      </c>
      <c r="S99">
        <f>IF(CALC_EEM!S92="","",CALC_EEM!S92)</f>
        <v>0</v>
      </c>
      <c r="T99">
        <f>IF(CALC_EEM!T92="","",CALC_EEM!T92)</f>
        <v>0</v>
      </c>
      <c r="U99">
        <f>IF(CALC_EEM!U92="","",CALC_EEM!U92)</f>
        <v>0</v>
      </c>
    </row>
    <row r="100" spans="1:24">
      <c r="A100" t="str">
        <f>IF(CALC_EEM!A93="","",IF(CALC_EEM!A93="GLOBAL","GLOBAL",IF(CALC_EEM!C93="Total","CURSO_TOTAL",IF(CALC_EEM!C93="TotalEsp","CURSO_ESP",IF(CALC_EEM!C93="TotalNoEsp","CURSO_NOESP","CURSO_ASIG")))))</f>
        <v>GLOBAL</v>
      </c>
      <c r="B100" t="str">
        <f>IF(CALC_EEM!A93="","",CALC_EEM!A93)</f>
        <v>GLOBAL</v>
      </c>
      <c r="C100" t="str">
        <f>IF(CALC_EEM!B93="","",CALC_EEM!B93)</f>
        <v>Total</v>
      </c>
      <c r="D100">
        <f>IF(CALC_EEM!D93="","",CALC_EEM!D93)</f>
        <v>0</v>
      </c>
      <c r="E100" s="14" t="str">
        <f>IF(CALC_EEM!E93="","",CALC_EEM!E93)</f>
        <v>—</v>
      </c>
      <c r="F100" s="14" t="str">
        <f>IF(CALC_EEM!F93="","",CALC_EEM!F93)</f>
        <v>—</v>
      </c>
      <c r="G100" t="str">
        <f>IF(CALC_EEM!G93="","",CALC_EEM!G93)</f>
        <v>—</v>
      </c>
      <c r="H100" s="16" t="str">
        <f>IF(CALC_EEM!H93="","",CALC_EEM!H93)</f>
        <v>—</v>
      </c>
      <c r="I100" s="16" t="str">
        <f>IF(CALC_EEM!I93="","",CALC_EEM!I93)</f>
        <v>—</v>
      </c>
      <c r="J100" t="str">
        <f>IF(CALC_EEM!J93="","",CALC_EEM!J93)</f>
        <v>—</v>
      </c>
      <c r="K100" t="str">
        <f>IF(CALC_EEM!K93="","",CALC_EEM!K93)</f>
        <v>—</v>
      </c>
      <c r="L100">
        <f>IF(CALC_EEM!L93="","",CALC_EEM!L93)</f>
        <v>0</v>
      </c>
      <c r="M100">
        <f>IF(CALC_EEM!M93="","",CALC_EEM!M93)</f>
        <v>0</v>
      </c>
      <c r="N100">
        <f>IF(CALC_EEM!N93="","",CALC_EEM!N93)</f>
        <v>0</v>
      </c>
      <c r="O100">
        <f>IF(CALC_EEM!O93="","",CALC_EEM!O93)</f>
        <v>0</v>
      </c>
      <c r="P100">
        <f>IF(CALC_EEM!P93="","",CALC_EEM!P93)</f>
        <v>0</v>
      </c>
      <c r="Q100">
        <f>IF(CALC_EEM!Q93="","",CALC_EEM!Q93)</f>
        <v>0</v>
      </c>
      <c r="R100">
        <f>IF(CALC_EEM!R93="","",CALC_EEM!R93)</f>
        <v>0</v>
      </c>
      <c r="S100">
        <f>IF(CALC_EEM!S93="","",CALC_EEM!S93)</f>
        <v>0</v>
      </c>
      <c r="T100">
        <f>IF(CALC_EEM!T93="","",CALC_EEM!T93)</f>
        <v>0</v>
      </c>
      <c r="U100">
        <f>IF(CALC_EEM!U93="","",CALC_EEM!U93)</f>
        <v>0</v>
      </c>
    </row>
    <row r="101" spans="1:24">
      <c r="A101" t="str">
        <f>IF(CALC_EEM!A94="","",IF(CALC_EEM!A94="GLOBAL","GLOBAL",IF(CALC_EEM!C94="Total","CURSO_TOTAL",IF(CALC_EEM!C94="TotalEsp","CURSO_ESP",IF(CALC_EEM!C94="TotalNoEsp","CURSO_NOESP","CURSO_ASIG")))))</f>
        <v>GLOBAL</v>
      </c>
      <c r="B101" t="str">
        <f>IF(CALC_EEM!A94="","",CALC_EEM!A94)</f>
        <v>GLOBAL</v>
      </c>
      <c r="C101" t="str">
        <f>IF(CALC_EEM!B94="","",CALC_EEM!B94)</f>
        <v>Total</v>
      </c>
      <c r="D101">
        <f>IF(CALC_EEM!D94="","",CALC_EEM!D94)</f>
        <v>0</v>
      </c>
      <c r="E101" s="14" t="str">
        <f>IF(CALC_EEM!E94="","",CALC_EEM!E94)</f>
        <v>—</v>
      </c>
      <c r="F101" s="14" t="str">
        <f>IF(CALC_EEM!F94="","",CALC_EEM!F94)</f>
        <v>—</v>
      </c>
      <c r="G101" t="str">
        <f>IF(CALC_EEM!G94="","",CALC_EEM!G94)</f>
        <v>—</v>
      </c>
      <c r="H101" s="16" t="str">
        <f>IF(CALC_EEM!H94="","",CALC_EEM!H94)</f>
        <v>—</v>
      </c>
      <c r="I101" s="16" t="str">
        <f>IF(CALC_EEM!I94="","",CALC_EEM!I94)</f>
        <v>—</v>
      </c>
      <c r="J101" t="str">
        <f>IF(CALC_EEM!J94="","",CALC_EEM!J94)</f>
        <v>—</v>
      </c>
      <c r="K101" t="str">
        <f>IF(CALC_EEM!K94="","",CALC_EEM!K94)</f>
        <v>—</v>
      </c>
      <c r="L101">
        <f>IF(CALC_EEM!L94="","",CALC_EEM!L94)</f>
        <v>0</v>
      </c>
      <c r="M101">
        <f>IF(CALC_EEM!M94="","",CALC_EEM!M94)</f>
        <v>0</v>
      </c>
      <c r="N101">
        <f>IF(CALC_EEM!N94="","",CALC_EEM!N94)</f>
        <v>0</v>
      </c>
      <c r="O101">
        <f>IF(CALC_EEM!O94="","",CALC_EEM!O94)</f>
        <v>0</v>
      </c>
      <c r="P101">
        <f>IF(CALC_EEM!P94="","",CALC_EEM!P94)</f>
        <v>0</v>
      </c>
      <c r="Q101">
        <f>IF(CALC_EEM!Q94="","",CALC_EEM!Q94)</f>
        <v>0</v>
      </c>
      <c r="R101">
        <f>IF(CALC_EEM!R94="","",CALC_EEM!R94)</f>
        <v>0</v>
      </c>
      <c r="S101">
        <f>IF(CALC_EEM!S94="","",CALC_EEM!S94)</f>
        <v>0</v>
      </c>
      <c r="T101">
        <f>IF(CALC_EEM!T94="","",CALC_EEM!T94)</f>
        <v>0</v>
      </c>
      <c r="U101">
        <f>IF(CALC_EEM!U94="","",CALC_EEM!U94)</f>
        <v>0</v>
      </c>
    </row>
    <row r="102" spans="1:24">
      <c r="A102" t="str">
        <f>IF(CALC_EEM!A95="","",IF(CALC_EEM!A95="GLOBAL","GLOBAL",IF(CALC_EEM!C95="Total","CURSO_TOTAL",IF(CALC_EEM!C95="TotalEsp","CURSO_ESP",IF(CALC_EEM!C95="TotalNoEsp","CURSO_NOESP","CURSO_ASIG")))))</f>
        <v>GLOBAL</v>
      </c>
      <c r="B102" t="str">
        <f>IF(CALC_EEM!A95="","",CALC_EEM!A95)</f>
        <v>GLOBAL</v>
      </c>
      <c r="C102" t="str">
        <f>IF(CALC_EEM!B95="","",CALC_EEM!B95)</f>
        <v>Total</v>
      </c>
      <c r="D102">
        <f>IF(CALC_EEM!D95="","",CALC_EEM!D95)</f>
        <v>0</v>
      </c>
      <c r="E102" s="14" t="str">
        <f>IF(CALC_EEM!E95="","",CALC_EEM!E95)</f>
        <v>—</v>
      </c>
      <c r="F102" s="14" t="str">
        <f>IF(CALC_EEM!F95="","",CALC_EEM!F95)</f>
        <v>—</v>
      </c>
      <c r="G102" t="str">
        <f>IF(CALC_EEM!G95="","",CALC_EEM!G95)</f>
        <v>—</v>
      </c>
      <c r="H102" s="16" t="str">
        <f>IF(CALC_EEM!H95="","",CALC_EEM!H95)</f>
        <v>—</v>
      </c>
      <c r="I102" s="16" t="str">
        <f>IF(CALC_EEM!I95="","",CALC_EEM!I95)</f>
        <v>—</v>
      </c>
      <c r="J102" t="str">
        <f>IF(CALC_EEM!J95="","",CALC_EEM!J95)</f>
        <v>—</v>
      </c>
      <c r="K102" t="str">
        <f>IF(CALC_EEM!K95="","",CALC_EEM!K95)</f>
        <v>—</v>
      </c>
      <c r="L102">
        <f>IF(CALC_EEM!L95="","",CALC_EEM!L95)</f>
        <v>0</v>
      </c>
      <c r="M102">
        <f>IF(CALC_EEM!M95="","",CALC_EEM!M95)</f>
        <v>0</v>
      </c>
      <c r="N102">
        <f>IF(CALC_EEM!N95="","",CALC_EEM!N95)</f>
        <v>0</v>
      </c>
      <c r="O102">
        <f>IF(CALC_EEM!O95="","",CALC_EEM!O95)</f>
        <v>0</v>
      </c>
      <c r="P102">
        <f>IF(CALC_EEM!P95="","",CALC_EEM!P95)</f>
        <v>0</v>
      </c>
      <c r="Q102">
        <f>IF(CALC_EEM!Q95="","",CALC_EEM!Q95)</f>
        <v>0</v>
      </c>
      <c r="R102">
        <f>IF(CALC_EEM!R95="","",CALC_EEM!R95)</f>
        <v>0</v>
      </c>
      <c r="S102">
        <f>IF(CALC_EEM!S95="","",CALC_EEM!S95)</f>
        <v>0</v>
      </c>
      <c r="T102">
        <f>IF(CALC_EEM!T95="","",CALC_EEM!T95)</f>
        <v>0</v>
      </c>
      <c r="U102">
        <f>IF(CALC_EEM!U95="","",CALC_EEM!U95)</f>
        <v>0</v>
      </c>
    </row>
    <row r="103" spans="1:24">
      <c r="A103" t="str">
        <f>IF(CALC_EEM!A96="","",IF(CALC_EEM!A96="GLOBAL","GLOBAL",IF(CALC_EEM!C96="Total","CURSO_TOTAL",IF(CALC_EEM!C96="TotalEsp","CURSO_ESP",IF(CALC_EEM!C96="TotalNoEsp","CURSO_NOESP","CURSO_ASIG")))))</f>
        <v>GLOBAL</v>
      </c>
      <c r="B103" t="str">
        <f>IF(CALC_EEM!A96="","",CALC_EEM!A96)</f>
        <v>GLOBAL</v>
      </c>
      <c r="C103" t="str">
        <f>IF(CALC_EEM!B96="","",CALC_EEM!B96)</f>
        <v>Total</v>
      </c>
      <c r="D103">
        <f>IF(CALC_EEM!D96="","",CALC_EEM!D96)</f>
        <v>0</v>
      </c>
      <c r="E103" s="14" t="str">
        <f>IF(CALC_EEM!E96="","",CALC_EEM!E96)</f>
        <v>—</v>
      </c>
      <c r="F103" s="14" t="str">
        <f>IF(CALC_EEM!F96="","",CALC_EEM!F96)</f>
        <v>—</v>
      </c>
      <c r="G103" t="str">
        <f>IF(CALC_EEM!G96="","",CALC_EEM!G96)</f>
        <v>—</v>
      </c>
      <c r="H103" s="16" t="str">
        <f>IF(CALC_EEM!H96="","",CALC_EEM!H96)</f>
        <v>—</v>
      </c>
      <c r="I103" s="16" t="str">
        <f>IF(CALC_EEM!I96="","",CALC_EEM!I96)</f>
        <v>—</v>
      </c>
      <c r="J103" t="str">
        <f>IF(CALC_EEM!J96="","",CALC_EEM!J96)</f>
        <v>—</v>
      </c>
      <c r="K103" t="str">
        <f>IF(CALC_EEM!K96="","",CALC_EEM!K96)</f>
        <v>—</v>
      </c>
      <c r="L103">
        <f>IF(CALC_EEM!L96="","",CALC_EEM!L96)</f>
        <v>0</v>
      </c>
      <c r="M103">
        <f>IF(CALC_EEM!M96="","",CALC_EEM!M96)</f>
        <v>0</v>
      </c>
      <c r="N103">
        <f>IF(CALC_EEM!N96="","",CALC_EEM!N96)</f>
        <v>0</v>
      </c>
      <c r="O103">
        <f>IF(CALC_EEM!O96="","",CALC_EEM!O96)</f>
        <v>0</v>
      </c>
      <c r="P103">
        <f>IF(CALC_EEM!P96="","",CALC_EEM!P96)</f>
        <v>0</v>
      </c>
      <c r="Q103">
        <f>IF(CALC_EEM!Q96="","",CALC_EEM!Q96)</f>
        <v>0</v>
      </c>
      <c r="R103">
        <f>IF(CALC_EEM!R96="","",CALC_EEM!R96)</f>
        <v>0</v>
      </c>
      <c r="S103">
        <f>IF(CALC_EEM!S96="","",CALC_EEM!S96)</f>
        <v>0</v>
      </c>
      <c r="T103">
        <f>IF(CALC_EEM!T96="","",CALC_EEM!T96)</f>
        <v>0</v>
      </c>
      <c r="U103">
        <f>IF(CALC_EEM!U96="","",CALC_EEM!U96)</f>
        <v>0</v>
      </c>
    </row>
    <row r="104" spans="1:24">
      <c r="A104" t="str">
        <f>IF(CALC_EEM!A97="","",IF(CALC_EEM!A97="GLOBAL","GLOBAL",IF(CALC_EEM!C97="Total","CURSO_TOTAL",IF(CALC_EEM!C97="TotalEsp","CURSO_ESP",IF(CALC_EEM!C97="TotalNoEsp","CURSO_NOESP","CURSO_ASIG")))))</f>
        <v>GLOBAL</v>
      </c>
      <c r="B104" t="str">
        <f>IF(CALC_EEM!A97="","",CALC_EEM!A97)</f>
        <v>GLOBAL</v>
      </c>
      <c r="C104" t="str">
        <f>IF(CALC_EEM!B97="","",CALC_EEM!B97)</f>
        <v>Total</v>
      </c>
      <c r="D104">
        <f>IF(CALC_EEM!D97="","",CALC_EEM!D97)</f>
        <v>0</v>
      </c>
      <c r="E104" s="14" t="str">
        <f>IF(CALC_EEM!E97="","",CALC_EEM!E97)</f>
        <v>—</v>
      </c>
      <c r="F104" s="14" t="str">
        <f>IF(CALC_EEM!F97="","",CALC_EEM!F97)</f>
        <v>—</v>
      </c>
      <c r="G104" t="str">
        <f>IF(CALC_EEM!G97="","",CALC_EEM!G97)</f>
        <v>—</v>
      </c>
      <c r="H104" s="16" t="str">
        <f>IF(CALC_EEM!H97="","",CALC_EEM!H97)</f>
        <v>—</v>
      </c>
      <c r="I104" s="16" t="str">
        <f>IF(CALC_EEM!I97="","",CALC_EEM!I97)</f>
        <v>—</v>
      </c>
      <c r="J104" t="str">
        <f>IF(CALC_EEM!J97="","",CALC_EEM!J97)</f>
        <v>—</v>
      </c>
      <c r="K104" t="str">
        <f>IF(CALC_EEM!K97="","",CALC_EEM!K97)</f>
        <v>—</v>
      </c>
      <c r="L104">
        <f>IF(CALC_EEM!L97="","",CALC_EEM!L97)</f>
        <v>0</v>
      </c>
      <c r="M104">
        <f>IF(CALC_EEM!M97="","",CALC_EEM!M97)</f>
        <v>0</v>
      </c>
      <c r="N104">
        <f>IF(CALC_EEM!N97="","",CALC_EEM!N97)</f>
        <v>0</v>
      </c>
      <c r="O104">
        <f>IF(CALC_EEM!O97="","",CALC_EEM!O97)</f>
        <v>0</v>
      </c>
      <c r="P104">
        <f>IF(CALC_EEM!P97="","",CALC_EEM!P97)</f>
        <v>0</v>
      </c>
      <c r="Q104">
        <f>IF(CALC_EEM!Q97="","",CALC_EEM!Q97)</f>
        <v>0</v>
      </c>
      <c r="R104">
        <f>IF(CALC_EEM!R97="","",CALC_EEM!R97)</f>
        <v>0</v>
      </c>
      <c r="S104">
        <f>IF(CALC_EEM!S97="","",CALC_EEM!S97)</f>
        <v>0</v>
      </c>
      <c r="T104">
        <f>IF(CALC_EEM!T97="","",CALC_EEM!T97)</f>
        <v>0</v>
      </c>
      <c r="U104">
        <f>IF(CALC_EEM!U97="","",CALC_EEM!U97)</f>
        <v>0</v>
      </c>
    </row>
    <row r="105" spans="1:24">
      <c r="A105" t="str">
        <f>IF(CALC_EEM!A98="","",IF(CALC_EEM!A98="GLOBAL","GLOBAL",IF(CALC_EEM!C98="Total","CURSO_TOTAL",IF(CALC_EEM!C98="TotalEsp","CURSO_ESP",IF(CALC_EEM!C98="TotalNoEsp","CURSO_NOESP","CURSO_ASIG")))))</f>
        <v>GLOBAL</v>
      </c>
      <c r="B105" t="str">
        <f>IF(CALC_EEM!A98="","",CALC_EEM!A98)</f>
        <v>GLOBAL</v>
      </c>
      <c r="C105" t="str">
        <f>IF(CALC_EEM!B98="","",CALC_EEM!B98)</f>
        <v>Total</v>
      </c>
      <c r="D105">
        <f>IF(CALC_EEM!D98="","",CALC_EEM!D98)</f>
        <v>0</v>
      </c>
      <c r="E105" s="14" t="str">
        <f>IF(CALC_EEM!E98="","",CALC_EEM!E98)</f>
        <v>—</v>
      </c>
      <c r="F105" s="14" t="str">
        <f>IF(CALC_EEM!F98="","",CALC_EEM!F98)</f>
        <v>—</v>
      </c>
      <c r="G105" t="str">
        <f>IF(CALC_EEM!G98="","",CALC_EEM!G98)</f>
        <v>—</v>
      </c>
      <c r="H105" s="16" t="str">
        <f>IF(CALC_EEM!H98="","",CALC_EEM!H98)</f>
        <v>—</v>
      </c>
      <c r="I105" s="16" t="str">
        <f>IF(CALC_EEM!I98="","",CALC_EEM!I98)</f>
        <v>—</v>
      </c>
      <c r="J105" t="str">
        <f>IF(CALC_EEM!J98="","",CALC_EEM!J98)</f>
        <v>—</v>
      </c>
      <c r="K105" t="str">
        <f>IF(CALC_EEM!K98="","",CALC_EEM!K98)</f>
        <v>—</v>
      </c>
      <c r="L105">
        <f>IF(CALC_EEM!L98="","",CALC_EEM!L98)</f>
        <v>0</v>
      </c>
      <c r="M105">
        <f>IF(CALC_EEM!M98="","",CALC_EEM!M98)</f>
        <v>0</v>
      </c>
      <c r="N105">
        <f>IF(CALC_EEM!N98="","",CALC_EEM!N98)</f>
        <v>0</v>
      </c>
      <c r="O105">
        <f>IF(CALC_EEM!O98="","",CALC_EEM!O98)</f>
        <v>0</v>
      </c>
      <c r="P105">
        <f>IF(CALC_EEM!P98="","",CALC_EEM!P98)</f>
        <v>0</v>
      </c>
      <c r="Q105">
        <f>IF(CALC_EEM!Q98="","",CALC_EEM!Q98)</f>
        <v>0</v>
      </c>
      <c r="R105">
        <f>IF(CALC_EEM!R98="","",CALC_EEM!R98)</f>
        <v>0</v>
      </c>
      <c r="S105">
        <f>IF(CALC_EEM!S98="","",CALC_EEM!S98)</f>
        <v>0</v>
      </c>
      <c r="T105">
        <f>IF(CALC_EEM!T98="","",CALC_EEM!T98)</f>
        <v>0</v>
      </c>
      <c r="U105">
        <f>IF(CALC_EEM!U98="","",CALC_EEM!U98)</f>
        <v>0</v>
      </c>
    </row>
    <row r="106" spans="1:24">
      <c r="A106" t="str">
        <f>IF(CALC_EEM!A99="","",IF(CALC_EEM!A99="GLOBAL","GLOBAL",IF(CALC_EEM!C99="Total","CURSO_TOTAL",IF(CALC_EEM!C99="TotalEsp","CURSO_ESP",IF(CALC_EEM!C99="TotalNoEsp","CURSO_NOESP","CURSO_ASIG")))))</f>
        <v>GLOBAL</v>
      </c>
      <c r="B106" t="str">
        <f>IF(CALC_EEM!A99="","",CALC_EEM!A99)</f>
        <v>GLOBAL</v>
      </c>
      <c r="C106" t="str">
        <f>IF(CALC_EEM!B99="","",CALC_EEM!B99)</f>
        <v>Total</v>
      </c>
      <c r="D106">
        <f>IF(CALC_EEM!D99="","",CALC_EEM!D99)</f>
        <v>0</v>
      </c>
      <c r="E106" s="14" t="str">
        <f>IF(CALC_EEM!E99="","",CALC_EEM!E99)</f>
        <v>—</v>
      </c>
      <c r="F106" s="14" t="str">
        <f>IF(CALC_EEM!F99="","",CALC_EEM!F99)</f>
        <v>—</v>
      </c>
      <c r="G106" t="str">
        <f>IF(CALC_EEM!G99="","",CALC_EEM!G99)</f>
        <v>—</v>
      </c>
      <c r="H106" s="16" t="str">
        <f>IF(CALC_EEM!H99="","",CALC_EEM!H99)</f>
        <v>—</v>
      </c>
      <c r="I106" s="16" t="str">
        <f>IF(CALC_EEM!I99="","",CALC_EEM!I99)</f>
        <v>—</v>
      </c>
      <c r="J106" t="str">
        <f>IF(CALC_EEM!J99="","",CALC_EEM!J99)</f>
        <v>—</v>
      </c>
      <c r="K106" t="str">
        <f>IF(CALC_EEM!K99="","",CALC_EEM!K99)</f>
        <v>—</v>
      </c>
      <c r="L106">
        <f>IF(CALC_EEM!L99="","",CALC_EEM!L99)</f>
        <v>0</v>
      </c>
      <c r="M106">
        <f>IF(CALC_EEM!M99="","",CALC_EEM!M99)</f>
        <v>0</v>
      </c>
      <c r="N106">
        <f>IF(CALC_EEM!N99="","",CALC_EEM!N99)</f>
        <v>0</v>
      </c>
      <c r="O106">
        <f>IF(CALC_EEM!O99="","",CALC_EEM!O99)</f>
        <v>0</v>
      </c>
      <c r="P106">
        <f>IF(CALC_EEM!P99="","",CALC_EEM!P99)</f>
        <v>0</v>
      </c>
      <c r="Q106">
        <f>IF(CALC_EEM!Q99="","",CALC_EEM!Q99)</f>
        <v>0</v>
      </c>
      <c r="R106">
        <f>IF(CALC_EEM!R99="","",CALC_EEM!R99)</f>
        <v>0</v>
      </c>
      <c r="S106">
        <f>IF(CALC_EEM!S99="","",CALC_EEM!S99)</f>
        <v>0</v>
      </c>
      <c r="T106">
        <f>IF(CALC_EEM!T99="","",CALC_EEM!T99)</f>
        <v>0</v>
      </c>
      <c r="U106">
        <f>IF(CALC_EEM!U99="","",CALC_EEM!U99)</f>
        <v>0</v>
      </c>
    </row>
    <row r="107" spans="1:24">
      <c r="A107" t="str">
        <f>IF(CALC_EEM!A100="","",IF(CALC_EEM!A100="GLOBAL","GLOBAL",IF(CALC_EEM!C100="Total","CURSO_TOTAL",IF(CALC_EEM!C100="TotalEsp","CURSO_ESP",IF(CALC_EEM!C100="TotalNoEsp","CURSO_NOESP","CURSO_ASIG")))))</f>
        <v>GLOBAL</v>
      </c>
      <c r="B107" t="str">
        <f>IF(CALC_EEM!A100="","",CALC_EEM!A100)</f>
        <v>GLOBAL</v>
      </c>
      <c r="C107" t="str">
        <f>IF(CALC_EEM!B100="","",CALC_EEM!B100)</f>
        <v>Total</v>
      </c>
      <c r="D107">
        <f>IF(CALC_EEM!D100="","",CALC_EEM!D100)</f>
        <v>0</v>
      </c>
      <c r="E107" s="14" t="str">
        <f>IF(CALC_EEM!E100="","",CALC_EEM!E100)</f>
        <v>—</v>
      </c>
      <c r="F107" s="14" t="str">
        <f>IF(CALC_EEM!F100="","",CALC_EEM!F100)</f>
        <v>—</v>
      </c>
      <c r="G107" t="str">
        <f>IF(CALC_EEM!G100="","",CALC_EEM!G100)</f>
        <v>—</v>
      </c>
      <c r="H107" s="16" t="str">
        <f>IF(CALC_EEM!H100="","",CALC_EEM!H100)</f>
        <v>—</v>
      </c>
      <c r="I107" s="16" t="str">
        <f>IF(CALC_EEM!I100="","",CALC_EEM!I100)</f>
        <v>—</v>
      </c>
      <c r="J107" t="str">
        <f>IF(CALC_EEM!J100="","",CALC_EEM!J100)</f>
        <v>—</v>
      </c>
      <c r="K107" t="str">
        <f>IF(CALC_EEM!K100="","",CALC_EEM!K100)</f>
        <v>—</v>
      </c>
      <c r="L107">
        <f>IF(CALC_EEM!L100="","",CALC_EEM!L100)</f>
        <v>0</v>
      </c>
      <c r="M107">
        <f>IF(CALC_EEM!M100="","",CALC_EEM!M100)</f>
        <v>0</v>
      </c>
      <c r="N107">
        <f>IF(CALC_EEM!N100="","",CALC_EEM!N100)</f>
        <v>0</v>
      </c>
      <c r="O107">
        <f>IF(CALC_EEM!O100="","",CALC_EEM!O100)</f>
        <v>0</v>
      </c>
      <c r="P107">
        <f>IF(CALC_EEM!P100="","",CALC_EEM!P100)</f>
        <v>0</v>
      </c>
      <c r="Q107">
        <f>IF(CALC_EEM!Q100="","",CALC_EEM!Q100)</f>
        <v>0</v>
      </c>
      <c r="R107">
        <f>IF(CALC_EEM!R100="","",CALC_EEM!R100)</f>
        <v>0</v>
      </c>
      <c r="S107">
        <f>IF(CALC_EEM!S100="","",CALC_EEM!S100)</f>
        <v>0</v>
      </c>
      <c r="T107">
        <f>IF(CALC_EEM!T100="","",CALC_EEM!T100)</f>
        <v>0</v>
      </c>
      <c r="U107">
        <f>IF(CALC_EEM!U100="","",CALC_EEM!U100)</f>
        <v>0</v>
      </c>
    </row>
    <row r="108" spans="1:24">
      <c r="A108" t="str">
        <f>IF(CALC_EEM!A101="","",IF(CALC_EEM!A101="GLOBAL","GLOBAL",IF(CALC_EEM!C101="Total","CURSO_TOTAL",IF(CALC_EEM!C101="TotalEsp","CURSO_ESP",IF(CALC_EEM!C101="TotalNoEsp","CURSO_NOESP","CURSO_ASIG")))))</f>
        <v>GLOBAL</v>
      </c>
      <c r="B108" t="str">
        <f>IF(CALC_EEM!A101="","",CALC_EEM!A101)</f>
        <v>GLOBAL</v>
      </c>
      <c r="C108" t="str">
        <f>IF(CALC_EEM!B101="","",CALC_EEM!B101)</f>
        <v>Total</v>
      </c>
      <c r="D108">
        <f>IF(CALC_EEM!D101="","",CALC_EEM!D101)</f>
        <v>0</v>
      </c>
      <c r="E108" s="14" t="str">
        <f>IF(CALC_EEM!E101="","",CALC_EEM!E101)</f>
        <v>—</v>
      </c>
      <c r="F108" s="14" t="str">
        <f>IF(CALC_EEM!F101="","",CALC_EEM!F101)</f>
        <v>—</v>
      </c>
      <c r="G108" t="str">
        <f>IF(CALC_EEM!G101="","",CALC_EEM!G101)</f>
        <v>—</v>
      </c>
      <c r="H108" s="16" t="str">
        <f>IF(CALC_EEM!H101="","",CALC_EEM!H101)</f>
        <v>—</v>
      </c>
      <c r="I108" s="16" t="str">
        <f>IF(CALC_EEM!I101="","",CALC_EEM!I101)</f>
        <v>—</v>
      </c>
      <c r="J108" t="str">
        <f>IF(CALC_EEM!J101="","",CALC_EEM!J101)</f>
        <v>—</v>
      </c>
      <c r="K108" t="str">
        <f>IF(CALC_EEM!K101="","",CALC_EEM!K101)</f>
        <v>—</v>
      </c>
      <c r="L108">
        <f>IF(CALC_EEM!L101="","",CALC_EEM!L101)</f>
        <v>0</v>
      </c>
      <c r="M108">
        <f>IF(CALC_EEM!M101="","",CALC_EEM!M101)</f>
        <v>0</v>
      </c>
      <c r="N108">
        <f>IF(CALC_EEM!N101="","",CALC_EEM!N101)</f>
        <v>0</v>
      </c>
      <c r="O108">
        <f>IF(CALC_EEM!O101="","",CALC_EEM!O101)</f>
        <v>0</v>
      </c>
      <c r="P108">
        <f>IF(CALC_EEM!P101="","",CALC_EEM!P101)</f>
        <v>0</v>
      </c>
      <c r="Q108">
        <f>IF(CALC_EEM!Q101="","",CALC_EEM!Q101)</f>
        <v>0</v>
      </c>
      <c r="R108">
        <f>IF(CALC_EEM!R101="","",CALC_EEM!R101)</f>
        <v>0</v>
      </c>
      <c r="S108">
        <f>IF(CALC_EEM!S101="","",CALC_EEM!S101)</f>
        <v>0</v>
      </c>
      <c r="T108">
        <f>IF(CALC_EEM!T101="","",CALC_EEM!T101)</f>
        <v>0</v>
      </c>
      <c r="U108">
        <f>IF(CALC_EEM!U101="","",CALC_EEM!U101)</f>
        <v>0</v>
      </c>
    </row>
    <row r="109" spans="1:24">
      <c r="A109" t="str">
        <f>IF(CALC_EEM!A102="","",IF(CALC_EEM!A102="GLOBAL","GLOBAL",IF(CALC_EEM!C102="Total","CURSO_TOTAL",IF(CALC_EEM!C102="TotalEsp","CURSO_ESP",IF(CALC_EEM!C102="TotalNoEsp","CURSO_NOESP","CURSO_ASIG")))))</f>
        <v>GLOBAL</v>
      </c>
      <c r="B109" t="str">
        <f>IF(CALC_EEM!A102="","",CALC_EEM!A102)</f>
        <v>GLOBAL</v>
      </c>
      <c r="C109" t="str">
        <f>IF(CALC_EEM!B102="","",CALC_EEM!B102)</f>
        <v>Total</v>
      </c>
      <c r="D109">
        <f>IF(CALC_EEM!D102="","",CALC_EEM!D102)</f>
        <v>0</v>
      </c>
      <c r="E109" s="14" t="str">
        <f>IF(CALC_EEM!E102="","",CALC_EEM!E102)</f>
        <v>—</v>
      </c>
      <c r="F109" s="14" t="str">
        <f>IF(CALC_EEM!F102="","",CALC_EEM!F102)</f>
        <v>—</v>
      </c>
      <c r="G109" t="str">
        <f>IF(CALC_EEM!G102="","",CALC_EEM!G102)</f>
        <v>—</v>
      </c>
      <c r="H109" s="16" t="str">
        <f>IF(CALC_EEM!H102="","",CALC_EEM!H102)</f>
        <v>—</v>
      </c>
      <c r="I109" s="16" t="str">
        <f>IF(CALC_EEM!I102="","",CALC_EEM!I102)</f>
        <v>—</v>
      </c>
      <c r="J109" t="str">
        <f>IF(CALC_EEM!J102="","",CALC_EEM!J102)</f>
        <v>—</v>
      </c>
      <c r="K109" t="str">
        <f>IF(CALC_EEM!K102="","",CALC_EEM!K102)</f>
        <v>—</v>
      </c>
      <c r="L109">
        <f>IF(CALC_EEM!L102="","",CALC_EEM!L102)</f>
        <v>0</v>
      </c>
      <c r="M109">
        <f>IF(CALC_EEM!M102="","",CALC_EEM!M102)</f>
        <v>0</v>
      </c>
      <c r="N109">
        <f>IF(CALC_EEM!N102="","",CALC_EEM!N102)</f>
        <v>0</v>
      </c>
      <c r="O109">
        <f>IF(CALC_EEM!O102="","",CALC_EEM!O102)</f>
        <v>0</v>
      </c>
      <c r="P109">
        <f>IF(CALC_EEM!P102="","",CALC_EEM!P102)</f>
        <v>0</v>
      </c>
      <c r="Q109">
        <f>IF(CALC_EEM!Q102="","",CALC_EEM!Q102)</f>
        <v>0</v>
      </c>
      <c r="R109">
        <f>IF(CALC_EEM!R102="","",CALC_EEM!R102)</f>
        <v>0</v>
      </c>
      <c r="S109">
        <f>IF(CALC_EEM!S102="","",CALC_EEM!S102)</f>
        <v>0</v>
      </c>
      <c r="T109">
        <f>IF(CALC_EEM!T102="","",CALC_EEM!T102)</f>
        <v>0</v>
      </c>
      <c r="U109">
        <f>IF(CALC_EEM!U102="","",CALC_EEM!U102)</f>
        <v>0</v>
      </c>
    </row>
    <row r="110" spans="1:24">
      <c r="A110" t="str">
        <f>IF(CALC_EEM!A103="","",IF(CALC_EEM!A103="GLOBAL","GLOBAL",IF(CALC_EEM!C103="Total","CURSO_TOTAL",IF(CALC_EEM!C103="TotalEsp","CURSO_ESP",IF(CALC_EEM!C103="TotalNoEsp","CURSO_NOESP","CURSO_ASIG")))))</f>
        <v>GLOBAL</v>
      </c>
      <c r="B110" t="str">
        <f>IF(CALC_EEM!A103="","",CALC_EEM!A103)</f>
        <v>GLOBAL</v>
      </c>
      <c r="C110" t="str">
        <f>IF(CALC_EEM!B103="","",CALC_EEM!B103)</f>
        <v>Total</v>
      </c>
      <c r="D110">
        <f>IF(CALC_EEM!D103="","",CALC_EEM!D103)</f>
        <v>0</v>
      </c>
      <c r="E110" s="14" t="str">
        <f>IF(CALC_EEM!E103="","",CALC_EEM!E103)</f>
        <v>—</v>
      </c>
      <c r="F110" s="14" t="str">
        <f>IF(CALC_EEM!F103="","",CALC_EEM!F103)</f>
        <v>—</v>
      </c>
      <c r="G110" t="str">
        <f>IF(CALC_EEM!G103="","",CALC_EEM!G103)</f>
        <v>—</v>
      </c>
      <c r="H110" s="16" t="str">
        <f>IF(CALC_EEM!H103="","",CALC_EEM!H103)</f>
        <v>—</v>
      </c>
      <c r="I110" s="16" t="str">
        <f>IF(CALC_EEM!I103="","",CALC_EEM!I103)</f>
        <v>—</v>
      </c>
      <c r="J110" t="str">
        <f>IF(CALC_EEM!J103="","",CALC_EEM!J103)</f>
        <v>—</v>
      </c>
      <c r="K110" t="str">
        <f>IF(CALC_EEM!K103="","",CALC_EEM!K103)</f>
        <v>—</v>
      </c>
      <c r="L110">
        <f>IF(CALC_EEM!L103="","",CALC_EEM!L103)</f>
        <v>0</v>
      </c>
      <c r="M110">
        <f>IF(CALC_EEM!M103="","",CALC_EEM!M103)</f>
        <v>0</v>
      </c>
      <c r="N110">
        <f>IF(CALC_EEM!N103="","",CALC_EEM!N103)</f>
        <v>0</v>
      </c>
      <c r="O110">
        <f>IF(CALC_EEM!O103="","",CALC_EEM!O103)</f>
        <v>0</v>
      </c>
      <c r="P110">
        <f>IF(CALC_EEM!P103="","",CALC_EEM!P103)</f>
        <v>0</v>
      </c>
      <c r="Q110">
        <f>IF(CALC_EEM!Q103="","",CALC_EEM!Q103)</f>
        <v>0</v>
      </c>
      <c r="R110">
        <f>IF(CALC_EEM!R103="","",CALC_EEM!R103)</f>
        <v>0</v>
      </c>
      <c r="S110">
        <f>IF(CALC_EEM!S103="","",CALC_EEM!S103)</f>
        <v>0</v>
      </c>
      <c r="T110">
        <f>IF(CALC_EEM!T103="","",CALC_EEM!T103)</f>
        <v>0</v>
      </c>
      <c r="U110">
        <f>IF(CALC_EEM!U103="","",CALC_EEM!U103)</f>
        <v>0</v>
      </c>
    </row>
    <row r="111" spans="1:24">
      <c r="A111" t="str">
        <f>IF(CALC_EEM!A104="","",IF(CALC_EEM!A104="GLOBAL","GLOBAL",IF(CALC_EEM!C104="Total","CURSO_TOTAL",IF(CALC_EEM!C104="TotalEsp","CURSO_ESP",IF(CALC_EEM!C104="TotalNoEsp","CURSO_NOESP","CURSO_ASIG")))))</f>
        <v>GLOBAL</v>
      </c>
      <c r="B111" t="str">
        <f>IF(CALC_EEM!A104="","",CALC_EEM!A104)</f>
        <v>GLOBAL</v>
      </c>
      <c r="C111" t="str">
        <f>IF(CALC_EEM!B104="","",CALC_EEM!B104)</f>
        <v>Total</v>
      </c>
      <c r="D111">
        <f>IF(CALC_EEM!D104="","",CALC_EEM!D104)</f>
        <v>0</v>
      </c>
      <c r="E111" s="14" t="str">
        <f>IF(CALC_EEM!E104="","",CALC_EEM!E104)</f>
        <v>—</v>
      </c>
      <c r="F111" s="14" t="str">
        <f>IF(CALC_EEM!F104="","",CALC_EEM!F104)</f>
        <v>—</v>
      </c>
      <c r="G111" t="str">
        <f>IF(CALC_EEM!G104="","",CALC_EEM!G104)</f>
        <v>—</v>
      </c>
      <c r="H111" s="16" t="str">
        <f>IF(CALC_EEM!H104="","",CALC_EEM!H104)</f>
        <v>—</v>
      </c>
      <c r="I111" s="16" t="str">
        <f>IF(CALC_EEM!I104="","",CALC_EEM!I104)</f>
        <v>—</v>
      </c>
      <c r="J111" t="str">
        <f>IF(CALC_EEM!J104="","",CALC_EEM!J104)</f>
        <v>—</v>
      </c>
      <c r="K111" t="str">
        <f>IF(CALC_EEM!K104="","",CALC_EEM!K104)</f>
        <v>—</v>
      </c>
      <c r="L111">
        <f>IF(CALC_EEM!L104="","",CALC_EEM!L104)</f>
        <v>0</v>
      </c>
      <c r="M111">
        <f>IF(CALC_EEM!M104="","",CALC_EEM!M104)</f>
        <v>0</v>
      </c>
      <c r="N111">
        <f>IF(CALC_EEM!N104="","",CALC_EEM!N104)</f>
        <v>0</v>
      </c>
      <c r="O111">
        <f>IF(CALC_EEM!O104="","",CALC_EEM!O104)</f>
        <v>0</v>
      </c>
      <c r="P111">
        <f>IF(CALC_EEM!P104="","",CALC_EEM!P104)</f>
        <v>0</v>
      </c>
      <c r="Q111">
        <f>IF(CALC_EEM!Q104="","",CALC_EEM!Q104)</f>
        <v>0</v>
      </c>
      <c r="R111">
        <f>IF(CALC_EEM!R104="","",CALC_EEM!R104)</f>
        <v>0</v>
      </c>
      <c r="S111">
        <f>IF(CALC_EEM!S104="","",CALC_EEM!S104)</f>
        <v>0</v>
      </c>
      <c r="T111">
        <f>IF(CALC_EEM!T104="","",CALC_EEM!T104)</f>
        <v>0</v>
      </c>
      <c r="U111">
        <f>IF(CALC_EEM!U104="","",CALC_EEM!U104)</f>
        <v>0</v>
      </c>
    </row>
    <row r="112" spans="1:24">
      <c r="A112" t="str">
        <f>IF(CALC_EEM!A105="","",IF(CALC_EEM!A105="GLOBAL","GLOBAL",IF(CALC_EEM!C105="Total","CURSO_TOTAL",IF(CALC_EEM!C105="TotalEsp","CURSO_ESP",IF(CALC_EEM!C105="TotalNoEsp","CURSO_NOESP","CURSO_ASIG")))))</f>
        <v>GLOBAL</v>
      </c>
      <c r="B112" t="str">
        <f>IF(CALC_EEM!A105="","",CALC_EEM!A105)</f>
        <v>GLOBAL</v>
      </c>
      <c r="C112" t="str">
        <f>IF(CALC_EEM!B105="","",CALC_EEM!B105)</f>
        <v>Total</v>
      </c>
      <c r="D112">
        <f>IF(CALC_EEM!D105="","",CALC_EEM!D105)</f>
        <v>0</v>
      </c>
      <c r="E112" s="14" t="str">
        <f>IF(CALC_EEM!E105="","",CALC_EEM!E105)</f>
        <v>—</v>
      </c>
      <c r="F112" s="14" t="str">
        <f>IF(CALC_EEM!F105="","",CALC_EEM!F105)</f>
        <v>—</v>
      </c>
      <c r="G112" t="str">
        <f>IF(CALC_EEM!G105="","",CALC_EEM!G105)</f>
        <v>—</v>
      </c>
      <c r="H112" s="16" t="str">
        <f>IF(CALC_EEM!H105="","",CALC_EEM!H105)</f>
        <v>—</v>
      </c>
      <c r="I112" s="16" t="str">
        <f>IF(CALC_EEM!I105="","",CALC_EEM!I105)</f>
        <v>—</v>
      </c>
      <c r="J112" t="str">
        <f>IF(CALC_EEM!J105="","",CALC_EEM!J105)</f>
        <v>—</v>
      </c>
      <c r="K112" t="str">
        <f>IF(CALC_EEM!K105="","",CALC_EEM!K105)</f>
        <v>—</v>
      </c>
      <c r="L112">
        <f>IF(CALC_EEM!L105="","",CALC_EEM!L105)</f>
        <v>0</v>
      </c>
      <c r="M112">
        <f>IF(CALC_EEM!M105="","",CALC_EEM!M105)</f>
        <v>0</v>
      </c>
      <c r="N112">
        <f>IF(CALC_EEM!N105="","",CALC_EEM!N105)</f>
        <v>0</v>
      </c>
      <c r="O112">
        <f>IF(CALC_EEM!O105="","",CALC_EEM!O105)</f>
        <v>0</v>
      </c>
      <c r="P112">
        <f>IF(CALC_EEM!P105="","",CALC_EEM!P105)</f>
        <v>0</v>
      </c>
      <c r="Q112">
        <f>IF(CALC_EEM!Q105="","",CALC_EEM!Q105)</f>
        <v>0</v>
      </c>
      <c r="R112">
        <f>IF(CALC_EEM!R105="","",CALC_EEM!R105)</f>
        <v>0</v>
      </c>
      <c r="S112">
        <f>IF(CALC_EEM!S105="","",CALC_EEM!S105)</f>
        <v>0</v>
      </c>
      <c r="T112">
        <f>IF(CALC_EEM!T105="","",CALC_EEM!T105)</f>
        <v>0</v>
      </c>
      <c r="U112">
        <f>IF(CALC_EEM!U105="","",CALC_EEM!U105)</f>
        <v>0</v>
      </c>
    </row>
    <row r="113" spans="1:24">
      <c r="A113" t="str">
        <f>IF(CALC_EEM!A106="","",IF(CALC_EEM!A106="GLOBAL","GLOBAL",IF(CALC_EEM!C106="Total","CURSO_TOTAL",IF(CALC_EEM!C106="TotalEsp","CURSO_ESP",IF(CALC_EEM!C106="TotalNoEsp","CURSO_NOESP","CURSO_ASIG")))))</f>
        <v>GLOBAL</v>
      </c>
      <c r="B113" t="str">
        <f>IF(CALC_EEM!A106="","",CALC_EEM!A106)</f>
        <v>GLOBAL</v>
      </c>
      <c r="C113" t="str">
        <f>IF(CALC_EEM!B106="","",CALC_EEM!B106)</f>
        <v>Total</v>
      </c>
      <c r="D113">
        <f>IF(CALC_EEM!D106="","",CALC_EEM!D106)</f>
        <v>0</v>
      </c>
      <c r="E113" s="14" t="str">
        <f>IF(CALC_EEM!E106="","",CALC_EEM!E106)</f>
        <v>—</v>
      </c>
      <c r="F113" s="14" t="str">
        <f>IF(CALC_EEM!F106="","",CALC_EEM!F106)</f>
        <v>—</v>
      </c>
      <c r="G113" t="str">
        <f>IF(CALC_EEM!G106="","",CALC_EEM!G106)</f>
        <v>—</v>
      </c>
      <c r="H113" s="16" t="str">
        <f>IF(CALC_EEM!H106="","",CALC_EEM!H106)</f>
        <v>—</v>
      </c>
      <c r="I113" s="16" t="str">
        <f>IF(CALC_EEM!I106="","",CALC_EEM!I106)</f>
        <v>—</v>
      </c>
      <c r="J113" t="str">
        <f>IF(CALC_EEM!J106="","",CALC_EEM!J106)</f>
        <v>—</v>
      </c>
      <c r="K113" t="str">
        <f>IF(CALC_EEM!K106="","",CALC_EEM!K106)</f>
        <v>—</v>
      </c>
      <c r="L113">
        <f>IF(CALC_EEM!L106="","",CALC_EEM!L106)</f>
        <v>0</v>
      </c>
      <c r="M113">
        <f>IF(CALC_EEM!M106="","",CALC_EEM!M106)</f>
        <v>0</v>
      </c>
      <c r="N113">
        <f>IF(CALC_EEM!N106="","",CALC_EEM!N106)</f>
        <v>0</v>
      </c>
      <c r="O113">
        <f>IF(CALC_EEM!O106="","",CALC_EEM!O106)</f>
        <v>0</v>
      </c>
      <c r="P113">
        <f>IF(CALC_EEM!P106="","",CALC_EEM!P106)</f>
        <v>0</v>
      </c>
      <c r="Q113">
        <f>IF(CALC_EEM!Q106="","",CALC_EEM!Q106)</f>
        <v>0</v>
      </c>
      <c r="R113">
        <f>IF(CALC_EEM!R106="","",CALC_EEM!R106)</f>
        <v>0</v>
      </c>
      <c r="S113">
        <f>IF(CALC_EEM!S106="","",CALC_EEM!S106)</f>
        <v>0</v>
      </c>
      <c r="T113">
        <f>IF(CALC_EEM!T106="","",CALC_EEM!T106)</f>
        <v>0</v>
      </c>
      <c r="U113">
        <f>IF(CALC_EEM!U106="","",CALC_EEM!U106)</f>
        <v>0</v>
      </c>
    </row>
    <row r="114" spans="1:24">
      <c r="A114" t="str">
        <f>IF(CALC_EEM!A107="","",IF(CALC_EEM!A107="GLOBAL","GLOBAL",IF(CALC_EEM!C107="Total","CURSO_TOTAL",IF(CALC_EEM!C107="TotalEsp","CURSO_ESP",IF(CALC_EEM!C107="TotalNoEsp","CURSO_NOESP","CURSO_ASIG")))))</f>
        <v>GLOBAL</v>
      </c>
      <c r="B114" t="str">
        <f>IF(CALC_EEM!A107="","",CALC_EEM!A107)</f>
        <v>GLOBAL</v>
      </c>
      <c r="C114" t="str">
        <f>IF(CALC_EEM!B107="","",CALC_EEM!B107)</f>
        <v>Total</v>
      </c>
      <c r="D114">
        <f>IF(CALC_EEM!D107="","",CALC_EEM!D107)</f>
        <v>0</v>
      </c>
      <c r="E114" s="14" t="str">
        <f>IF(CALC_EEM!E107="","",CALC_EEM!E107)</f>
        <v>—</v>
      </c>
      <c r="F114" s="14" t="str">
        <f>IF(CALC_EEM!F107="","",CALC_EEM!F107)</f>
        <v>—</v>
      </c>
      <c r="G114" t="str">
        <f>IF(CALC_EEM!G107="","",CALC_EEM!G107)</f>
        <v>—</v>
      </c>
      <c r="H114" s="16" t="str">
        <f>IF(CALC_EEM!H107="","",CALC_EEM!H107)</f>
        <v>—</v>
      </c>
      <c r="I114" s="16" t="str">
        <f>IF(CALC_EEM!I107="","",CALC_EEM!I107)</f>
        <v>—</v>
      </c>
      <c r="J114" t="str">
        <f>IF(CALC_EEM!J107="","",CALC_EEM!J107)</f>
        <v>—</v>
      </c>
      <c r="K114" t="str">
        <f>IF(CALC_EEM!K107="","",CALC_EEM!K107)</f>
        <v>—</v>
      </c>
      <c r="L114">
        <f>IF(CALC_EEM!L107="","",CALC_EEM!L107)</f>
        <v>0</v>
      </c>
      <c r="M114">
        <f>IF(CALC_EEM!M107="","",CALC_EEM!M107)</f>
        <v>0</v>
      </c>
      <c r="N114">
        <f>IF(CALC_EEM!N107="","",CALC_EEM!N107)</f>
        <v>0</v>
      </c>
      <c r="O114">
        <f>IF(CALC_EEM!O107="","",CALC_EEM!O107)</f>
        <v>0</v>
      </c>
      <c r="P114">
        <f>IF(CALC_EEM!P107="","",CALC_EEM!P107)</f>
        <v>0</v>
      </c>
      <c r="Q114">
        <f>IF(CALC_EEM!Q107="","",CALC_EEM!Q107)</f>
        <v>0</v>
      </c>
      <c r="R114">
        <f>IF(CALC_EEM!R107="","",CALC_EEM!R107)</f>
        <v>0</v>
      </c>
      <c r="S114">
        <f>IF(CALC_EEM!S107="","",CALC_EEM!S107)</f>
        <v>0</v>
      </c>
      <c r="T114">
        <f>IF(CALC_EEM!T107="","",CALC_EEM!T107)</f>
        <v>0</v>
      </c>
      <c r="U114">
        <f>IF(CALC_EEM!U107="","",CALC_EEM!U107)</f>
        <v>0</v>
      </c>
    </row>
    <row r="115" spans="1:24">
      <c r="A115" t="str">
        <f>IF(CALC_EEM!A108="","",IF(CALC_EEM!A108="GLOBAL","GLOBAL",IF(CALC_EEM!C108="Total","CURSO_TOTAL",IF(CALC_EEM!C108="TotalEsp","CURSO_ESP",IF(CALC_EEM!C108="TotalNoEsp","CURSO_NOESP","CURSO_ASIG")))))</f>
        <v>GLOBAL</v>
      </c>
      <c r="B115" t="str">
        <f>IF(CALC_EEM!A108="","",CALC_EEM!A108)</f>
        <v>GLOBAL</v>
      </c>
      <c r="C115" t="str">
        <f>IF(CALC_EEM!B108="","",CALC_EEM!B108)</f>
        <v>Total</v>
      </c>
      <c r="D115">
        <f>IF(CALC_EEM!D108="","",CALC_EEM!D108)</f>
        <v>0</v>
      </c>
      <c r="E115" s="14" t="str">
        <f>IF(CALC_EEM!E108="","",CALC_EEM!E108)</f>
        <v>—</v>
      </c>
      <c r="F115" s="14" t="str">
        <f>IF(CALC_EEM!F108="","",CALC_EEM!F108)</f>
        <v>—</v>
      </c>
      <c r="G115" t="str">
        <f>IF(CALC_EEM!G108="","",CALC_EEM!G108)</f>
        <v>—</v>
      </c>
      <c r="H115" s="16" t="str">
        <f>IF(CALC_EEM!H108="","",CALC_EEM!H108)</f>
        <v>—</v>
      </c>
      <c r="I115" s="16" t="str">
        <f>IF(CALC_EEM!I108="","",CALC_EEM!I108)</f>
        <v>—</v>
      </c>
      <c r="J115" t="str">
        <f>IF(CALC_EEM!J108="","",CALC_EEM!J108)</f>
        <v>—</v>
      </c>
      <c r="K115" t="str">
        <f>IF(CALC_EEM!K108="","",CALC_EEM!K108)</f>
        <v>—</v>
      </c>
      <c r="L115">
        <f>IF(CALC_EEM!L108="","",CALC_EEM!L108)</f>
        <v>0</v>
      </c>
      <c r="M115">
        <f>IF(CALC_EEM!M108="","",CALC_EEM!M108)</f>
        <v>0</v>
      </c>
      <c r="N115">
        <f>IF(CALC_EEM!N108="","",CALC_EEM!N108)</f>
        <v>0</v>
      </c>
      <c r="O115">
        <f>IF(CALC_EEM!O108="","",CALC_EEM!O108)</f>
        <v>0</v>
      </c>
      <c r="P115">
        <f>IF(CALC_EEM!P108="","",CALC_EEM!P108)</f>
        <v>0</v>
      </c>
      <c r="Q115">
        <f>IF(CALC_EEM!Q108="","",CALC_EEM!Q108)</f>
        <v>0</v>
      </c>
      <c r="R115">
        <f>IF(CALC_EEM!R108="","",CALC_EEM!R108)</f>
        <v>0</v>
      </c>
      <c r="S115">
        <f>IF(CALC_EEM!S108="","",CALC_EEM!S108)</f>
        <v>0</v>
      </c>
      <c r="T115">
        <f>IF(CALC_EEM!T108="","",CALC_EEM!T108)</f>
        <v>0</v>
      </c>
      <c r="U115">
        <f>IF(CALC_EEM!U108="","",CALC_EEM!U108)</f>
        <v>0</v>
      </c>
    </row>
    <row r="116" spans="1:24">
      <c r="A116" t="str">
        <f>IF(CALC_EEM!A109="","",IF(CALC_EEM!A109="GLOBAL","GLOBAL",IF(CALC_EEM!C109="Total","CURSO_TOTAL",IF(CALC_EEM!C109="TotalEsp","CURSO_ESP",IF(CALC_EEM!C109="TotalNoEsp","CURSO_NOESP","CURSO_ASIG")))))</f>
        <v>GLOBAL</v>
      </c>
      <c r="B116" t="str">
        <f>IF(CALC_EEM!A109="","",CALC_EEM!A109)</f>
        <v>GLOBAL</v>
      </c>
      <c r="C116" t="str">
        <f>IF(CALC_EEM!B109="","",CALC_EEM!B109)</f>
        <v>Total</v>
      </c>
      <c r="D116">
        <f>IF(CALC_EEM!D109="","",CALC_EEM!D109)</f>
        <v>0</v>
      </c>
      <c r="E116" s="14" t="str">
        <f>IF(CALC_EEM!E109="","",CALC_EEM!E109)</f>
        <v>—</v>
      </c>
      <c r="F116" s="14" t="str">
        <f>IF(CALC_EEM!F109="","",CALC_EEM!F109)</f>
        <v>—</v>
      </c>
      <c r="G116" t="str">
        <f>IF(CALC_EEM!G109="","",CALC_EEM!G109)</f>
        <v>—</v>
      </c>
      <c r="H116" s="16" t="str">
        <f>IF(CALC_EEM!H109="","",CALC_EEM!H109)</f>
        <v>—</v>
      </c>
      <c r="I116" s="16" t="str">
        <f>IF(CALC_EEM!I109="","",CALC_EEM!I109)</f>
        <v>—</v>
      </c>
      <c r="J116" t="str">
        <f>IF(CALC_EEM!J109="","",CALC_EEM!J109)</f>
        <v>—</v>
      </c>
      <c r="K116" t="str">
        <f>IF(CALC_EEM!K109="","",CALC_EEM!K109)</f>
        <v>—</v>
      </c>
      <c r="L116">
        <f>IF(CALC_EEM!L109="","",CALC_EEM!L109)</f>
        <v>0</v>
      </c>
      <c r="M116">
        <f>IF(CALC_EEM!M109="","",CALC_EEM!M109)</f>
        <v>0</v>
      </c>
      <c r="N116">
        <f>IF(CALC_EEM!N109="","",CALC_EEM!N109)</f>
        <v>0</v>
      </c>
      <c r="O116">
        <f>IF(CALC_EEM!O109="","",CALC_EEM!O109)</f>
        <v>0</v>
      </c>
      <c r="P116">
        <f>IF(CALC_EEM!P109="","",CALC_EEM!P109)</f>
        <v>0</v>
      </c>
      <c r="Q116">
        <f>IF(CALC_EEM!Q109="","",CALC_EEM!Q109)</f>
        <v>0</v>
      </c>
      <c r="R116">
        <f>IF(CALC_EEM!R109="","",CALC_EEM!R109)</f>
        <v>0</v>
      </c>
      <c r="S116">
        <f>IF(CALC_EEM!S109="","",CALC_EEM!S109)</f>
        <v>0</v>
      </c>
      <c r="T116">
        <f>IF(CALC_EEM!T109="","",CALC_EEM!T109)</f>
        <v>0</v>
      </c>
      <c r="U116">
        <f>IF(CALC_EEM!U109="","",CALC_EEM!U109)</f>
        <v>0</v>
      </c>
    </row>
    <row r="117" spans="1:24">
      <c r="A117" t="str">
        <f>IF(CALC_EEM!A110="","",IF(CALC_EEM!A110="GLOBAL","GLOBAL",IF(CALC_EEM!C110="Total","CURSO_TOTAL",IF(CALC_EEM!C110="TotalEsp","CURSO_ESP",IF(CALC_EEM!C110="TotalNoEsp","CURSO_NOESP","CURSO_ASIG")))))</f>
        <v>GLOBAL</v>
      </c>
      <c r="B117" t="str">
        <f>IF(CALC_EEM!A110="","",CALC_EEM!A110)</f>
        <v>GLOBAL</v>
      </c>
      <c r="C117" t="str">
        <f>IF(CALC_EEM!B110="","",CALC_EEM!B110)</f>
        <v>Total</v>
      </c>
      <c r="D117">
        <f>IF(CALC_EEM!D110="","",CALC_EEM!D110)</f>
        <v>0</v>
      </c>
      <c r="E117" s="14" t="str">
        <f>IF(CALC_EEM!E110="","",CALC_EEM!E110)</f>
        <v>—</v>
      </c>
      <c r="F117" s="14" t="str">
        <f>IF(CALC_EEM!F110="","",CALC_EEM!F110)</f>
        <v>—</v>
      </c>
      <c r="G117" t="str">
        <f>IF(CALC_EEM!G110="","",CALC_EEM!G110)</f>
        <v>—</v>
      </c>
      <c r="H117" s="16" t="str">
        <f>IF(CALC_EEM!H110="","",CALC_EEM!H110)</f>
        <v>—</v>
      </c>
      <c r="I117" s="16" t="str">
        <f>IF(CALC_EEM!I110="","",CALC_EEM!I110)</f>
        <v>—</v>
      </c>
      <c r="J117" t="str">
        <f>IF(CALC_EEM!J110="","",CALC_EEM!J110)</f>
        <v>—</v>
      </c>
      <c r="K117" t="str">
        <f>IF(CALC_EEM!K110="","",CALC_EEM!K110)</f>
        <v>—</v>
      </c>
      <c r="L117">
        <f>IF(CALC_EEM!L110="","",CALC_EEM!L110)</f>
        <v>0</v>
      </c>
      <c r="M117">
        <f>IF(CALC_EEM!M110="","",CALC_EEM!M110)</f>
        <v>0</v>
      </c>
      <c r="N117">
        <f>IF(CALC_EEM!N110="","",CALC_EEM!N110)</f>
        <v>0</v>
      </c>
      <c r="O117">
        <f>IF(CALC_EEM!O110="","",CALC_EEM!O110)</f>
        <v>0</v>
      </c>
      <c r="P117">
        <f>IF(CALC_EEM!P110="","",CALC_EEM!P110)</f>
        <v>0</v>
      </c>
      <c r="Q117">
        <f>IF(CALC_EEM!Q110="","",CALC_EEM!Q110)</f>
        <v>0</v>
      </c>
      <c r="R117">
        <f>IF(CALC_EEM!R110="","",CALC_EEM!R110)</f>
        <v>0</v>
      </c>
      <c r="S117">
        <f>IF(CALC_EEM!S110="","",CALC_EEM!S110)</f>
        <v>0</v>
      </c>
      <c r="T117">
        <f>IF(CALC_EEM!T110="","",CALC_EEM!T110)</f>
        <v>0</v>
      </c>
      <c r="U117">
        <f>IF(CALC_EEM!U110="","",CALC_EEM!U110)</f>
        <v>0</v>
      </c>
    </row>
    <row r="118" spans="1:24">
      <c r="A118" t="str">
        <f>IF(CALC_EEM!A111="","",IF(CALC_EEM!A111="GLOBAL","GLOBAL",IF(CALC_EEM!C111="Total","CURSO_TOTAL",IF(CALC_EEM!C111="TotalEsp","CURSO_ESP",IF(CALC_EEM!C111="TotalNoEsp","CURSO_NOESP","CURSO_ASIG")))))</f>
        <v>GLOBAL</v>
      </c>
      <c r="B118" t="str">
        <f>IF(CALC_EEM!A111="","",CALC_EEM!A111)</f>
        <v>GLOBAL</v>
      </c>
      <c r="C118" t="str">
        <f>IF(CALC_EEM!B111="","",CALC_EEM!B111)</f>
        <v>Total</v>
      </c>
      <c r="D118">
        <f>IF(CALC_EEM!D111="","",CALC_EEM!D111)</f>
        <v>0</v>
      </c>
      <c r="E118" s="14" t="str">
        <f>IF(CALC_EEM!E111="","",CALC_EEM!E111)</f>
        <v>—</v>
      </c>
      <c r="F118" s="14" t="str">
        <f>IF(CALC_EEM!F111="","",CALC_EEM!F111)</f>
        <v>—</v>
      </c>
      <c r="G118" t="str">
        <f>IF(CALC_EEM!G111="","",CALC_EEM!G111)</f>
        <v>—</v>
      </c>
      <c r="H118" s="16" t="str">
        <f>IF(CALC_EEM!H111="","",CALC_EEM!H111)</f>
        <v>—</v>
      </c>
      <c r="I118" s="16" t="str">
        <f>IF(CALC_EEM!I111="","",CALC_EEM!I111)</f>
        <v>—</v>
      </c>
      <c r="J118" t="str">
        <f>IF(CALC_EEM!J111="","",CALC_EEM!J111)</f>
        <v>—</v>
      </c>
      <c r="K118" t="str">
        <f>IF(CALC_EEM!K111="","",CALC_EEM!K111)</f>
        <v>—</v>
      </c>
      <c r="L118">
        <f>IF(CALC_EEM!L111="","",CALC_EEM!L111)</f>
        <v>0</v>
      </c>
      <c r="M118">
        <f>IF(CALC_EEM!M111="","",CALC_EEM!M111)</f>
        <v>0</v>
      </c>
      <c r="N118">
        <f>IF(CALC_EEM!N111="","",CALC_EEM!N111)</f>
        <v>0</v>
      </c>
      <c r="O118">
        <f>IF(CALC_EEM!O111="","",CALC_EEM!O111)</f>
        <v>0</v>
      </c>
      <c r="P118">
        <f>IF(CALC_EEM!P111="","",CALC_EEM!P111)</f>
        <v>0</v>
      </c>
      <c r="Q118">
        <f>IF(CALC_EEM!Q111="","",CALC_EEM!Q111)</f>
        <v>0</v>
      </c>
      <c r="R118">
        <f>IF(CALC_EEM!R111="","",CALC_EEM!R111)</f>
        <v>0</v>
      </c>
      <c r="S118">
        <f>IF(CALC_EEM!S111="","",CALC_EEM!S111)</f>
        <v>0</v>
      </c>
      <c r="T118">
        <f>IF(CALC_EEM!T111="","",CALC_EEM!T111)</f>
        <v>0</v>
      </c>
      <c r="U118">
        <f>IF(CALC_EEM!U111="","",CALC_EEM!U111)</f>
        <v>0</v>
      </c>
    </row>
    <row r="119" spans="1:24">
      <c r="A119" t="str">
        <f>IF(CALC_EEM!A112="","",IF(CALC_EEM!A112="GLOBAL","GLOBAL",IF(CALC_EEM!C112="Total","CURSO_TOTAL",IF(CALC_EEM!C112="TotalEsp","CURSO_ESP",IF(CALC_EEM!C112="TotalNoEsp","CURSO_NOESP","CURSO_ASIG")))))</f>
        <v>GLOBAL</v>
      </c>
      <c r="B119" t="str">
        <f>IF(CALC_EEM!A112="","",CALC_EEM!A112)</f>
        <v>GLOBAL</v>
      </c>
      <c r="C119" t="str">
        <f>IF(CALC_EEM!B112="","",CALC_EEM!B112)</f>
        <v>Total</v>
      </c>
      <c r="D119">
        <f>IF(CALC_EEM!D112="","",CALC_EEM!D112)</f>
        <v>0</v>
      </c>
      <c r="E119" s="14" t="str">
        <f>IF(CALC_EEM!E112="","",CALC_EEM!E112)</f>
        <v>—</v>
      </c>
      <c r="F119" s="14" t="str">
        <f>IF(CALC_EEM!F112="","",CALC_EEM!F112)</f>
        <v>—</v>
      </c>
      <c r="G119" t="str">
        <f>IF(CALC_EEM!G112="","",CALC_EEM!G112)</f>
        <v>—</v>
      </c>
      <c r="H119" s="16" t="str">
        <f>IF(CALC_EEM!H112="","",CALC_EEM!H112)</f>
        <v>—</v>
      </c>
      <c r="I119" s="16" t="str">
        <f>IF(CALC_EEM!I112="","",CALC_EEM!I112)</f>
        <v>—</v>
      </c>
      <c r="J119" t="str">
        <f>IF(CALC_EEM!J112="","",CALC_EEM!J112)</f>
        <v>—</v>
      </c>
      <c r="K119" t="str">
        <f>IF(CALC_EEM!K112="","",CALC_EEM!K112)</f>
        <v>—</v>
      </c>
      <c r="L119">
        <f>IF(CALC_EEM!L112="","",CALC_EEM!L112)</f>
        <v>0</v>
      </c>
      <c r="M119">
        <f>IF(CALC_EEM!M112="","",CALC_EEM!M112)</f>
        <v>0</v>
      </c>
      <c r="N119">
        <f>IF(CALC_EEM!N112="","",CALC_EEM!N112)</f>
        <v>0</v>
      </c>
      <c r="O119">
        <f>IF(CALC_EEM!O112="","",CALC_EEM!O112)</f>
        <v>0</v>
      </c>
      <c r="P119">
        <f>IF(CALC_EEM!P112="","",CALC_EEM!P112)</f>
        <v>0</v>
      </c>
      <c r="Q119">
        <f>IF(CALC_EEM!Q112="","",CALC_EEM!Q112)</f>
        <v>0</v>
      </c>
      <c r="R119">
        <f>IF(CALC_EEM!R112="","",CALC_EEM!R112)</f>
        <v>0</v>
      </c>
      <c r="S119">
        <f>IF(CALC_EEM!S112="","",CALC_EEM!S112)</f>
        <v>0</v>
      </c>
      <c r="T119">
        <f>IF(CALC_EEM!T112="","",CALC_EEM!T112)</f>
        <v>0</v>
      </c>
      <c r="U119">
        <f>IF(CALC_EEM!U112="","",CALC_EEM!U112)</f>
        <v>0</v>
      </c>
    </row>
    <row r="120" spans="1:24">
      <c r="A120" t="str">
        <f>IF(CALC_EEM!A113="","",IF(CALC_EEM!A113="GLOBAL","GLOBAL",IF(CALC_EEM!C113="Total","CURSO_TOTAL",IF(CALC_EEM!C113="TotalEsp","CURSO_ESP",IF(CALC_EEM!C113="TotalNoEsp","CURSO_NOESP","CURSO_ASIG")))))</f>
        <v>GLOBAL</v>
      </c>
      <c r="B120" t="str">
        <f>IF(CALC_EEM!A113="","",CALC_EEM!A113)</f>
        <v>GLOBAL</v>
      </c>
      <c r="C120" t="str">
        <f>IF(CALC_EEM!B113="","",CALC_EEM!B113)</f>
        <v>Total</v>
      </c>
      <c r="D120">
        <f>IF(CALC_EEM!D113="","",CALC_EEM!D113)</f>
        <v>0</v>
      </c>
      <c r="E120" s="14" t="str">
        <f>IF(CALC_EEM!E113="","",CALC_EEM!E113)</f>
        <v>—</v>
      </c>
      <c r="F120" s="14" t="str">
        <f>IF(CALC_EEM!F113="","",CALC_EEM!F113)</f>
        <v>—</v>
      </c>
      <c r="G120" t="str">
        <f>IF(CALC_EEM!G113="","",CALC_EEM!G113)</f>
        <v>—</v>
      </c>
      <c r="H120" s="16" t="str">
        <f>IF(CALC_EEM!H113="","",CALC_EEM!H113)</f>
        <v>—</v>
      </c>
      <c r="I120" s="16" t="str">
        <f>IF(CALC_EEM!I113="","",CALC_EEM!I113)</f>
        <v>—</v>
      </c>
      <c r="J120" t="str">
        <f>IF(CALC_EEM!J113="","",CALC_EEM!J113)</f>
        <v>—</v>
      </c>
      <c r="K120" t="str">
        <f>IF(CALC_EEM!K113="","",CALC_EEM!K113)</f>
        <v>—</v>
      </c>
      <c r="L120">
        <f>IF(CALC_EEM!L113="","",CALC_EEM!L113)</f>
        <v>0</v>
      </c>
      <c r="M120">
        <f>IF(CALC_EEM!M113="","",CALC_EEM!M113)</f>
        <v>0</v>
      </c>
      <c r="N120">
        <f>IF(CALC_EEM!N113="","",CALC_EEM!N113)</f>
        <v>0</v>
      </c>
      <c r="O120">
        <f>IF(CALC_EEM!O113="","",CALC_EEM!O113)</f>
        <v>0</v>
      </c>
      <c r="P120">
        <f>IF(CALC_EEM!P113="","",CALC_EEM!P113)</f>
        <v>0</v>
      </c>
      <c r="Q120">
        <f>IF(CALC_EEM!Q113="","",CALC_EEM!Q113)</f>
        <v>0</v>
      </c>
      <c r="R120">
        <f>IF(CALC_EEM!R113="","",CALC_EEM!R113)</f>
        <v>0</v>
      </c>
      <c r="S120">
        <f>IF(CALC_EEM!S113="","",CALC_EEM!S113)</f>
        <v>0</v>
      </c>
      <c r="T120">
        <f>IF(CALC_EEM!T113="","",CALC_EEM!T113)</f>
        <v>0</v>
      </c>
      <c r="U120">
        <f>IF(CALC_EEM!U113="","",CALC_EEM!U113)</f>
        <v>0</v>
      </c>
    </row>
    <row r="121" spans="1:24">
      <c r="A121" t="str">
        <f>IF(CALC_EEM!A114="","",IF(CALC_EEM!A114="GLOBAL","GLOBAL",IF(CALC_EEM!C114="Total","CURSO_TOTAL",IF(CALC_EEM!C114="TotalEsp","CURSO_ESP",IF(CALC_EEM!C114="TotalNoEsp","CURSO_NOESP","CURSO_ASIG")))))</f>
        <v>GLOBAL</v>
      </c>
      <c r="B121" t="str">
        <f>IF(CALC_EEM!A114="","",CALC_EEM!A114)</f>
        <v>GLOBAL</v>
      </c>
      <c r="C121" t="str">
        <f>IF(CALC_EEM!B114="","",CALC_EEM!B114)</f>
        <v>Total</v>
      </c>
      <c r="D121">
        <f>IF(CALC_EEM!D114="","",CALC_EEM!D114)</f>
        <v>0</v>
      </c>
      <c r="E121" s="14" t="str">
        <f>IF(CALC_EEM!E114="","",CALC_EEM!E114)</f>
        <v>—</v>
      </c>
      <c r="F121" s="14" t="str">
        <f>IF(CALC_EEM!F114="","",CALC_EEM!F114)</f>
        <v>—</v>
      </c>
      <c r="G121" t="str">
        <f>IF(CALC_EEM!G114="","",CALC_EEM!G114)</f>
        <v>—</v>
      </c>
      <c r="H121" s="16" t="str">
        <f>IF(CALC_EEM!H114="","",CALC_EEM!H114)</f>
        <v>—</v>
      </c>
      <c r="I121" s="16" t="str">
        <f>IF(CALC_EEM!I114="","",CALC_EEM!I114)</f>
        <v>—</v>
      </c>
      <c r="J121" t="str">
        <f>IF(CALC_EEM!J114="","",CALC_EEM!J114)</f>
        <v>—</v>
      </c>
      <c r="K121" t="str">
        <f>IF(CALC_EEM!K114="","",CALC_EEM!K114)</f>
        <v>—</v>
      </c>
      <c r="L121">
        <f>IF(CALC_EEM!L114="","",CALC_EEM!L114)</f>
        <v>0</v>
      </c>
      <c r="M121">
        <f>IF(CALC_EEM!M114="","",CALC_EEM!M114)</f>
        <v>0</v>
      </c>
      <c r="N121">
        <f>IF(CALC_EEM!N114="","",CALC_EEM!N114)</f>
        <v>0</v>
      </c>
      <c r="O121">
        <f>IF(CALC_EEM!O114="","",CALC_EEM!O114)</f>
        <v>0</v>
      </c>
      <c r="P121">
        <f>IF(CALC_EEM!P114="","",CALC_EEM!P114)</f>
        <v>0</v>
      </c>
      <c r="Q121">
        <f>IF(CALC_EEM!Q114="","",CALC_EEM!Q114)</f>
        <v>0</v>
      </c>
      <c r="R121">
        <f>IF(CALC_EEM!R114="","",CALC_EEM!R114)</f>
        <v>0</v>
      </c>
      <c r="S121">
        <f>IF(CALC_EEM!S114="","",CALC_EEM!S114)</f>
        <v>0</v>
      </c>
      <c r="T121">
        <f>IF(CALC_EEM!T114="","",CALC_EEM!T114)</f>
        <v>0</v>
      </c>
      <c r="U121">
        <f>IF(CALC_EEM!U114="","",CALC_EEM!U114)</f>
        <v>0</v>
      </c>
    </row>
    <row r="122" spans="1:24">
      <c r="A122" t="str">
        <f>IF(CALC_EEM!A115="","",IF(CALC_EEM!A115="GLOBAL","GLOBAL",IF(CALC_EEM!C115="Total","CURSO_TOTAL",IF(CALC_EEM!C115="TotalEsp","CURSO_ESP",IF(CALC_EEM!C115="TotalNoEsp","CURSO_NOESP","CURSO_ASIG")))))</f>
        <v>GLOBAL</v>
      </c>
      <c r="B122" t="str">
        <f>IF(CALC_EEM!A115="","",CALC_EEM!A115)</f>
        <v>GLOBAL</v>
      </c>
      <c r="C122" t="str">
        <f>IF(CALC_EEM!B115="","",CALC_EEM!B115)</f>
        <v>Total</v>
      </c>
      <c r="D122">
        <f>IF(CALC_EEM!D115="","",CALC_EEM!D115)</f>
        <v>0</v>
      </c>
      <c r="E122" s="14" t="str">
        <f>IF(CALC_EEM!E115="","",CALC_EEM!E115)</f>
        <v>—</v>
      </c>
      <c r="F122" s="14" t="str">
        <f>IF(CALC_EEM!F115="","",CALC_EEM!F115)</f>
        <v>—</v>
      </c>
      <c r="G122" t="str">
        <f>IF(CALC_EEM!G115="","",CALC_EEM!G115)</f>
        <v>—</v>
      </c>
      <c r="H122" s="16" t="str">
        <f>IF(CALC_EEM!H115="","",CALC_EEM!H115)</f>
        <v>—</v>
      </c>
      <c r="I122" s="16" t="str">
        <f>IF(CALC_EEM!I115="","",CALC_EEM!I115)</f>
        <v>—</v>
      </c>
      <c r="J122" t="str">
        <f>IF(CALC_EEM!J115="","",CALC_EEM!J115)</f>
        <v>—</v>
      </c>
      <c r="K122" t="str">
        <f>IF(CALC_EEM!K115="","",CALC_EEM!K115)</f>
        <v>—</v>
      </c>
      <c r="L122">
        <f>IF(CALC_EEM!L115="","",CALC_EEM!L115)</f>
        <v>0</v>
      </c>
      <c r="M122">
        <f>IF(CALC_EEM!M115="","",CALC_EEM!M115)</f>
        <v>0</v>
      </c>
      <c r="N122">
        <f>IF(CALC_EEM!N115="","",CALC_EEM!N115)</f>
        <v>0</v>
      </c>
      <c r="O122">
        <f>IF(CALC_EEM!O115="","",CALC_EEM!O115)</f>
        <v>0</v>
      </c>
      <c r="P122">
        <f>IF(CALC_EEM!P115="","",CALC_EEM!P115)</f>
        <v>0</v>
      </c>
      <c r="Q122">
        <f>IF(CALC_EEM!Q115="","",CALC_EEM!Q115)</f>
        <v>0</v>
      </c>
      <c r="R122">
        <f>IF(CALC_EEM!R115="","",CALC_EEM!R115)</f>
        <v>0</v>
      </c>
      <c r="S122">
        <f>IF(CALC_EEM!S115="","",CALC_EEM!S115)</f>
        <v>0</v>
      </c>
      <c r="T122">
        <f>IF(CALC_EEM!T115="","",CALC_EEM!T115)</f>
        <v>0</v>
      </c>
      <c r="U122">
        <f>IF(CALC_EEM!U115="","",CALC_EEM!U115)</f>
        <v>0</v>
      </c>
    </row>
    <row r="123" spans="1:24">
      <c r="A123" t="str">
        <f>IF(CALC_EEM!A116="","",IF(CALC_EEM!A116="GLOBAL","GLOBAL",IF(CALC_EEM!C116="Total","CURSO_TOTAL",IF(CALC_EEM!C116="TotalEsp","CURSO_ESP",IF(CALC_EEM!C116="TotalNoEsp","CURSO_NOESP","CURSO_ASIG")))))</f>
        <v>GLOBAL</v>
      </c>
      <c r="B123" t="str">
        <f>IF(CALC_EEM!A116="","",CALC_EEM!A116)</f>
        <v>GLOBAL</v>
      </c>
      <c r="C123" t="str">
        <f>IF(CALC_EEM!B116="","",CALC_EEM!B116)</f>
        <v>Total</v>
      </c>
      <c r="D123">
        <f>IF(CALC_EEM!D116="","",CALC_EEM!D116)</f>
        <v>0</v>
      </c>
      <c r="E123" s="14" t="str">
        <f>IF(CALC_EEM!E116="","",CALC_EEM!E116)</f>
        <v>—</v>
      </c>
      <c r="F123" s="14" t="str">
        <f>IF(CALC_EEM!F116="","",CALC_EEM!F116)</f>
        <v>—</v>
      </c>
      <c r="G123" t="str">
        <f>IF(CALC_EEM!G116="","",CALC_EEM!G116)</f>
        <v>—</v>
      </c>
      <c r="H123" s="16" t="str">
        <f>IF(CALC_EEM!H116="","",CALC_EEM!H116)</f>
        <v>—</v>
      </c>
      <c r="I123" s="16" t="str">
        <f>IF(CALC_EEM!I116="","",CALC_EEM!I116)</f>
        <v>—</v>
      </c>
      <c r="J123" t="str">
        <f>IF(CALC_EEM!J116="","",CALC_EEM!J116)</f>
        <v>—</v>
      </c>
      <c r="K123" t="str">
        <f>IF(CALC_EEM!K116="","",CALC_EEM!K116)</f>
        <v>—</v>
      </c>
      <c r="L123">
        <f>IF(CALC_EEM!L116="","",CALC_EEM!L116)</f>
        <v>0</v>
      </c>
      <c r="M123">
        <f>IF(CALC_EEM!M116="","",CALC_EEM!M116)</f>
        <v>0</v>
      </c>
      <c r="N123">
        <f>IF(CALC_EEM!N116="","",CALC_EEM!N116)</f>
        <v>0</v>
      </c>
      <c r="O123">
        <f>IF(CALC_EEM!O116="","",CALC_EEM!O116)</f>
        <v>0</v>
      </c>
      <c r="P123">
        <f>IF(CALC_EEM!P116="","",CALC_EEM!P116)</f>
        <v>0</v>
      </c>
      <c r="Q123">
        <f>IF(CALC_EEM!Q116="","",CALC_EEM!Q116)</f>
        <v>0</v>
      </c>
      <c r="R123">
        <f>IF(CALC_EEM!R116="","",CALC_EEM!R116)</f>
        <v>0</v>
      </c>
      <c r="S123">
        <f>IF(CALC_EEM!S116="","",CALC_EEM!S116)</f>
        <v>0</v>
      </c>
      <c r="T123">
        <f>IF(CALC_EEM!T116="","",CALC_EEM!T116)</f>
        <v>0</v>
      </c>
      <c r="U123">
        <f>IF(CALC_EEM!U116="","",CALC_EEM!U116)</f>
        <v>0</v>
      </c>
    </row>
    <row r="124" spans="1:24">
      <c r="A124" t="str">
        <f>IF(CALC_EEM!A117="","",IF(CALC_EEM!A117="GLOBAL","GLOBAL",IF(CALC_EEM!C117="Total","CURSO_TOTAL",IF(CALC_EEM!C117="TotalEsp","CURSO_ESP",IF(CALC_EEM!C117="TotalNoEsp","CURSO_NOESP","CURSO_ASIG")))))</f>
        <v>GLOBAL</v>
      </c>
      <c r="B124" t="str">
        <f>IF(CALC_EEM!A117="","",CALC_EEM!A117)</f>
        <v>GLOBAL</v>
      </c>
      <c r="C124" t="str">
        <f>IF(CALC_EEM!B117="","",CALC_EEM!B117)</f>
        <v>Total</v>
      </c>
      <c r="D124">
        <f>IF(CALC_EEM!D117="","",CALC_EEM!D117)</f>
        <v>0</v>
      </c>
      <c r="E124" s="14" t="str">
        <f>IF(CALC_EEM!E117="","",CALC_EEM!E117)</f>
        <v>—</v>
      </c>
      <c r="F124" s="14" t="str">
        <f>IF(CALC_EEM!F117="","",CALC_EEM!F117)</f>
        <v>—</v>
      </c>
      <c r="G124" t="str">
        <f>IF(CALC_EEM!G117="","",CALC_EEM!G117)</f>
        <v>—</v>
      </c>
      <c r="H124" s="16" t="str">
        <f>IF(CALC_EEM!H117="","",CALC_EEM!H117)</f>
        <v>—</v>
      </c>
      <c r="I124" s="16" t="str">
        <f>IF(CALC_EEM!I117="","",CALC_EEM!I117)</f>
        <v>—</v>
      </c>
      <c r="J124" t="str">
        <f>IF(CALC_EEM!J117="","",CALC_EEM!J117)</f>
        <v>—</v>
      </c>
      <c r="K124" t="str">
        <f>IF(CALC_EEM!K117="","",CALC_EEM!K117)</f>
        <v>—</v>
      </c>
      <c r="L124">
        <f>IF(CALC_EEM!L117="","",CALC_EEM!L117)</f>
        <v>0</v>
      </c>
      <c r="M124">
        <f>IF(CALC_EEM!M117="","",CALC_EEM!M117)</f>
        <v>0</v>
      </c>
      <c r="N124">
        <f>IF(CALC_EEM!N117="","",CALC_EEM!N117)</f>
        <v>0</v>
      </c>
      <c r="O124">
        <f>IF(CALC_EEM!O117="","",CALC_EEM!O117)</f>
        <v>0</v>
      </c>
      <c r="P124">
        <f>IF(CALC_EEM!P117="","",CALC_EEM!P117)</f>
        <v>0</v>
      </c>
      <c r="Q124">
        <f>IF(CALC_EEM!Q117="","",CALC_EEM!Q117)</f>
        <v>0</v>
      </c>
      <c r="R124">
        <f>IF(CALC_EEM!R117="","",CALC_EEM!R117)</f>
        <v>0</v>
      </c>
      <c r="S124">
        <f>IF(CALC_EEM!S117="","",CALC_EEM!S117)</f>
        <v>0</v>
      </c>
      <c r="T124">
        <f>IF(CALC_EEM!T117="","",CALC_EEM!T117)</f>
        <v>0</v>
      </c>
      <c r="U124">
        <f>IF(CALC_EEM!U117="","",CALC_EEM!U117)</f>
        <v>0</v>
      </c>
    </row>
    <row r="125" spans="1:24">
      <c r="A125" t="str">
        <f>IF(CALC_EEM!A118="","",IF(CALC_EEM!A118="GLOBAL","GLOBAL",IF(CALC_EEM!C118="Total","CURSO_TOTAL",IF(CALC_EEM!C118="TotalEsp","CURSO_ESP",IF(CALC_EEM!C118="TotalNoEsp","CURSO_NOESP","CURSO_ASIG")))))</f>
        <v>GLOBAL</v>
      </c>
      <c r="B125" t="str">
        <f>IF(CALC_EEM!A118="","",CALC_EEM!A118)</f>
        <v>GLOBAL</v>
      </c>
      <c r="C125" t="str">
        <f>IF(CALC_EEM!B118="","",CALC_EEM!B118)</f>
        <v>Total</v>
      </c>
      <c r="D125">
        <f>IF(CALC_EEM!D118="","",CALC_EEM!D118)</f>
        <v>0</v>
      </c>
      <c r="E125" s="14" t="str">
        <f>IF(CALC_EEM!E118="","",CALC_EEM!E118)</f>
        <v>—</v>
      </c>
      <c r="F125" s="14" t="str">
        <f>IF(CALC_EEM!F118="","",CALC_EEM!F118)</f>
        <v>—</v>
      </c>
      <c r="G125" t="str">
        <f>IF(CALC_EEM!G118="","",CALC_EEM!G118)</f>
        <v>—</v>
      </c>
      <c r="H125" s="16" t="str">
        <f>IF(CALC_EEM!H118="","",CALC_EEM!H118)</f>
        <v>—</v>
      </c>
      <c r="I125" s="16" t="str">
        <f>IF(CALC_EEM!I118="","",CALC_EEM!I118)</f>
        <v>—</v>
      </c>
      <c r="J125" t="str">
        <f>IF(CALC_EEM!J118="","",CALC_EEM!J118)</f>
        <v>—</v>
      </c>
      <c r="K125" t="str">
        <f>IF(CALC_EEM!K118="","",CALC_EEM!K118)</f>
        <v>—</v>
      </c>
      <c r="L125">
        <f>IF(CALC_EEM!L118="","",CALC_EEM!L118)</f>
        <v>0</v>
      </c>
      <c r="M125">
        <f>IF(CALC_EEM!M118="","",CALC_EEM!M118)</f>
        <v>0</v>
      </c>
      <c r="N125">
        <f>IF(CALC_EEM!N118="","",CALC_EEM!N118)</f>
        <v>0</v>
      </c>
      <c r="O125">
        <f>IF(CALC_EEM!O118="","",CALC_EEM!O118)</f>
        <v>0</v>
      </c>
      <c r="P125">
        <f>IF(CALC_EEM!P118="","",CALC_EEM!P118)</f>
        <v>0</v>
      </c>
      <c r="Q125">
        <f>IF(CALC_EEM!Q118="","",CALC_EEM!Q118)</f>
        <v>0</v>
      </c>
      <c r="R125">
        <f>IF(CALC_EEM!R118="","",CALC_EEM!R118)</f>
        <v>0</v>
      </c>
      <c r="S125">
        <f>IF(CALC_EEM!S118="","",CALC_EEM!S118)</f>
        <v>0</v>
      </c>
      <c r="T125">
        <f>IF(CALC_EEM!T118="","",CALC_EEM!T118)</f>
        <v>0</v>
      </c>
      <c r="U125">
        <f>IF(CALC_EEM!U118="","",CALC_EEM!U118)</f>
        <v>0</v>
      </c>
    </row>
    <row r="126" spans="1:24">
      <c r="A126" t="str">
        <f>IF(CALC_EEM!A119="","",IF(CALC_EEM!A119="GLOBAL","GLOBAL",IF(CALC_EEM!C119="Total","CURSO_TOTAL",IF(CALC_EEM!C119="TotalEsp","CURSO_ESP",IF(CALC_EEM!C119="TotalNoEsp","CURSO_NOESP","CURSO_ASIG")))))</f>
        <v>GLOBAL</v>
      </c>
      <c r="B126" t="str">
        <f>IF(CALC_EEM!A119="","",CALC_EEM!A119)</f>
        <v>GLOBAL</v>
      </c>
      <c r="C126" t="str">
        <f>IF(CALC_EEM!B119="","",CALC_EEM!B119)</f>
        <v>Total</v>
      </c>
      <c r="D126">
        <f>IF(CALC_EEM!D119="","",CALC_EEM!D119)</f>
        <v>0</v>
      </c>
      <c r="E126" s="14" t="str">
        <f>IF(CALC_EEM!E119="","",CALC_EEM!E119)</f>
        <v>—</v>
      </c>
      <c r="F126" s="14" t="str">
        <f>IF(CALC_EEM!F119="","",CALC_EEM!F119)</f>
        <v>—</v>
      </c>
      <c r="G126" t="str">
        <f>IF(CALC_EEM!G119="","",CALC_EEM!G119)</f>
        <v>—</v>
      </c>
      <c r="H126" s="16" t="str">
        <f>IF(CALC_EEM!H119="","",CALC_EEM!H119)</f>
        <v>—</v>
      </c>
      <c r="I126" s="16" t="str">
        <f>IF(CALC_EEM!I119="","",CALC_EEM!I119)</f>
        <v>—</v>
      </c>
      <c r="J126" t="str">
        <f>IF(CALC_EEM!J119="","",CALC_EEM!J119)</f>
        <v>—</v>
      </c>
      <c r="K126" t="str">
        <f>IF(CALC_EEM!K119="","",CALC_EEM!K119)</f>
        <v>—</v>
      </c>
      <c r="L126">
        <f>IF(CALC_EEM!L119="","",CALC_EEM!L119)</f>
        <v>0</v>
      </c>
      <c r="M126">
        <f>IF(CALC_EEM!M119="","",CALC_EEM!M119)</f>
        <v>0</v>
      </c>
      <c r="N126">
        <f>IF(CALC_EEM!N119="","",CALC_EEM!N119)</f>
        <v>0</v>
      </c>
      <c r="O126">
        <f>IF(CALC_EEM!O119="","",CALC_EEM!O119)</f>
        <v>0</v>
      </c>
      <c r="P126">
        <f>IF(CALC_EEM!P119="","",CALC_EEM!P119)</f>
        <v>0</v>
      </c>
      <c r="Q126">
        <f>IF(CALC_EEM!Q119="","",CALC_EEM!Q119)</f>
        <v>0</v>
      </c>
      <c r="R126">
        <f>IF(CALC_EEM!R119="","",CALC_EEM!R119)</f>
        <v>0</v>
      </c>
      <c r="S126">
        <f>IF(CALC_EEM!S119="","",CALC_EEM!S119)</f>
        <v>0</v>
      </c>
      <c r="T126">
        <f>IF(CALC_EEM!T119="","",CALC_EEM!T119)</f>
        <v>0</v>
      </c>
      <c r="U126">
        <f>IF(CALC_EEM!U119="","",CALC_EEM!U119)</f>
        <v>0</v>
      </c>
    </row>
    <row r="127" spans="1:24">
      <c r="A127" t="str">
        <f>IF(CALC_EEM!A120="","",IF(CALC_EEM!A120="GLOBAL","GLOBAL",IF(CALC_EEM!C120="Total","CURSO_TOTAL",IF(CALC_EEM!C120="TotalEsp","CURSO_ESP",IF(CALC_EEM!C120="TotalNoEsp","CURSO_NOESP","CURSO_ASIG")))))</f>
        <v>GLOBAL</v>
      </c>
      <c r="B127" t="str">
        <f>IF(CALC_EEM!A120="","",CALC_EEM!A120)</f>
        <v>GLOBAL</v>
      </c>
      <c r="C127" t="str">
        <f>IF(CALC_EEM!B120="","",CALC_EEM!B120)</f>
        <v>Total</v>
      </c>
      <c r="D127">
        <f>IF(CALC_EEM!D120="","",CALC_EEM!D120)</f>
        <v>0</v>
      </c>
      <c r="E127" s="14" t="str">
        <f>IF(CALC_EEM!E120="","",CALC_EEM!E120)</f>
        <v>—</v>
      </c>
      <c r="F127" s="14" t="str">
        <f>IF(CALC_EEM!F120="","",CALC_EEM!F120)</f>
        <v>—</v>
      </c>
      <c r="G127" t="str">
        <f>IF(CALC_EEM!G120="","",CALC_EEM!G120)</f>
        <v>—</v>
      </c>
      <c r="H127" s="16" t="str">
        <f>IF(CALC_EEM!H120="","",CALC_EEM!H120)</f>
        <v>—</v>
      </c>
      <c r="I127" s="16" t="str">
        <f>IF(CALC_EEM!I120="","",CALC_EEM!I120)</f>
        <v>—</v>
      </c>
      <c r="J127" t="str">
        <f>IF(CALC_EEM!J120="","",CALC_EEM!J120)</f>
        <v>—</v>
      </c>
      <c r="K127" t="str">
        <f>IF(CALC_EEM!K120="","",CALC_EEM!K120)</f>
        <v>—</v>
      </c>
      <c r="L127">
        <f>IF(CALC_EEM!L120="","",CALC_EEM!L120)</f>
        <v>0</v>
      </c>
      <c r="M127">
        <f>IF(CALC_EEM!M120="","",CALC_EEM!M120)</f>
        <v>0</v>
      </c>
      <c r="N127">
        <f>IF(CALC_EEM!N120="","",CALC_EEM!N120)</f>
        <v>0</v>
      </c>
      <c r="O127">
        <f>IF(CALC_EEM!O120="","",CALC_EEM!O120)</f>
        <v>0</v>
      </c>
      <c r="P127">
        <f>IF(CALC_EEM!P120="","",CALC_EEM!P120)</f>
        <v>0</v>
      </c>
      <c r="Q127">
        <f>IF(CALC_EEM!Q120="","",CALC_EEM!Q120)</f>
        <v>0</v>
      </c>
      <c r="R127">
        <f>IF(CALC_EEM!R120="","",CALC_EEM!R120)</f>
        <v>0</v>
      </c>
      <c r="S127">
        <f>IF(CALC_EEM!S120="","",CALC_EEM!S120)</f>
        <v>0</v>
      </c>
      <c r="T127">
        <f>IF(CALC_EEM!T120="","",CALC_EEM!T120)</f>
        <v>0</v>
      </c>
      <c r="U127">
        <f>IF(CALC_EEM!U120="","",CALC_EEM!U120)</f>
        <v>0</v>
      </c>
    </row>
    <row r="128" spans="1:24">
      <c r="A128" t="str">
        <f>IF(CALC_EEM!A121="","",IF(CALC_EEM!A121="GLOBAL","GLOBAL",IF(CALC_EEM!C121="Total","CURSO_TOTAL",IF(CALC_EEM!C121="TotalEsp","CURSO_ESP",IF(CALC_EEM!C121="TotalNoEsp","CURSO_NOESP","CURSO_ASIG")))))</f>
        <v>GLOBAL</v>
      </c>
      <c r="B128" t="str">
        <f>IF(CALC_EEM!A121="","",CALC_EEM!A121)</f>
        <v>GLOBAL</v>
      </c>
      <c r="C128" t="str">
        <f>IF(CALC_EEM!B121="","",CALC_EEM!B121)</f>
        <v>Total</v>
      </c>
      <c r="D128">
        <f>IF(CALC_EEM!D121="","",CALC_EEM!D121)</f>
        <v>0</v>
      </c>
      <c r="E128" s="14" t="str">
        <f>IF(CALC_EEM!E121="","",CALC_EEM!E121)</f>
        <v>—</v>
      </c>
      <c r="F128" s="14" t="str">
        <f>IF(CALC_EEM!F121="","",CALC_EEM!F121)</f>
        <v>—</v>
      </c>
      <c r="G128" t="str">
        <f>IF(CALC_EEM!G121="","",CALC_EEM!G121)</f>
        <v>—</v>
      </c>
      <c r="H128" s="16" t="str">
        <f>IF(CALC_EEM!H121="","",CALC_EEM!H121)</f>
        <v>—</v>
      </c>
      <c r="I128" s="16" t="str">
        <f>IF(CALC_EEM!I121="","",CALC_EEM!I121)</f>
        <v>—</v>
      </c>
      <c r="J128" t="str">
        <f>IF(CALC_EEM!J121="","",CALC_EEM!J121)</f>
        <v>—</v>
      </c>
      <c r="K128" t="str">
        <f>IF(CALC_EEM!K121="","",CALC_EEM!K121)</f>
        <v>—</v>
      </c>
      <c r="L128">
        <f>IF(CALC_EEM!L121="","",CALC_EEM!L121)</f>
        <v>0</v>
      </c>
      <c r="M128">
        <f>IF(CALC_EEM!M121="","",CALC_EEM!M121)</f>
        <v>0</v>
      </c>
      <c r="N128">
        <f>IF(CALC_EEM!N121="","",CALC_EEM!N121)</f>
        <v>0</v>
      </c>
      <c r="O128">
        <f>IF(CALC_EEM!O121="","",CALC_EEM!O121)</f>
        <v>0</v>
      </c>
      <c r="P128">
        <f>IF(CALC_EEM!P121="","",CALC_EEM!P121)</f>
        <v>0</v>
      </c>
      <c r="Q128">
        <f>IF(CALC_EEM!Q121="","",CALC_EEM!Q121)</f>
        <v>0</v>
      </c>
      <c r="R128">
        <f>IF(CALC_EEM!R121="","",CALC_EEM!R121)</f>
        <v>0</v>
      </c>
      <c r="S128">
        <f>IF(CALC_EEM!S121="","",CALC_EEM!S121)</f>
        <v>0</v>
      </c>
      <c r="T128">
        <f>IF(CALC_EEM!T121="","",CALC_EEM!T121)</f>
        <v>0</v>
      </c>
      <c r="U128">
        <f>IF(CALC_EEM!U121="","",CALC_EEM!U121)</f>
        <v>0</v>
      </c>
    </row>
    <row r="129" spans="1:24">
      <c r="A129" t="str">
        <f>IF(CALC_EEM!A122="","",IF(CALC_EEM!A122="GLOBAL","GLOBAL",IF(CALC_EEM!C122="Total","CURSO_TOTAL",IF(CALC_EEM!C122="TotalEsp","CURSO_ESP",IF(CALC_EEM!C122="TotalNoEsp","CURSO_NOESP","CURSO_ASIG")))))</f>
        <v>GLOBAL</v>
      </c>
      <c r="B129" t="str">
        <f>IF(CALC_EEM!A122="","",CALC_EEM!A122)</f>
        <v>GLOBAL</v>
      </c>
      <c r="C129" t="str">
        <f>IF(CALC_EEM!B122="","",CALC_EEM!B122)</f>
        <v>Total</v>
      </c>
      <c r="D129">
        <f>IF(CALC_EEM!D122="","",CALC_EEM!D122)</f>
        <v>0</v>
      </c>
      <c r="E129" s="14" t="str">
        <f>IF(CALC_EEM!E122="","",CALC_EEM!E122)</f>
        <v>—</v>
      </c>
      <c r="F129" s="14" t="str">
        <f>IF(CALC_EEM!F122="","",CALC_EEM!F122)</f>
        <v>—</v>
      </c>
      <c r="G129" t="str">
        <f>IF(CALC_EEM!G122="","",CALC_EEM!G122)</f>
        <v>—</v>
      </c>
      <c r="H129" s="16" t="str">
        <f>IF(CALC_EEM!H122="","",CALC_EEM!H122)</f>
        <v>—</v>
      </c>
      <c r="I129" s="16" t="str">
        <f>IF(CALC_EEM!I122="","",CALC_EEM!I122)</f>
        <v>—</v>
      </c>
      <c r="J129" t="str">
        <f>IF(CALC_EEM!J122="","",CALC_EEM!J122)</f>
        <v>—</v>
      </c>
      <c r="K129" t="str">
        <f>IF(CALC_EEM!K122="","",CALC_EEM!K122)</f>
        <v>—</v>
      </c>
      <c r="L129">
        <f>IF(CALC_EEM!L122="","",CALC_EEM!L122)</f>
        <v>0</v>
      </c>
      <c r="M129">
        <f>IF(CALC_EEM!M122="","",CALC_EEM!M122)</f>
        <v>0</v>
      </c>
      <c r="N129">
        <f>IF(CALC_EEM!N122="","",CALC_EEM!N122)</f>
        <v>0</v>
      </c>
      <c r="O129">
        <f>IF(CALC_EEM!O122="","",CALC_EEM!O122)</f>
        <v>0</v>
      </c>
      <c r="P129">
        <f>IF(CALC_EEM!P122="","",CALC_EEM!P122)</f>
        <v>0</v>
      </c>
      <c r="Q129">
        <f>IF(CALC_EEM!Q122="","",CALC_EEM!Q122)</f>
        <v>0</v>
      </c>
      <c r="R129">
        <f>IF(CALC_EEM!R122="","",CALC_EEM!R122)</f>
        <v>0</v>
      </c>
      <c r="S129">
        <f>IF(CALC_EEM!S122="","",CALC_EEM!S122)</f>
        <v>0</v>
      </c>
      <c r="T129">
        <f>IF(CALC_EEM!T122="","",CALC_EEM!T122)</f>
        <v>0</v>
      </c>
      <c r="U129">
        <f>IF(CALC_EEM!U122="","",CALC_EEM!U122)</f>
        <v>0</v>
      </c>
    </row>
    <row r="130" spans="1:24">
      <c r="A130" t="str">
        <f>IF(CALC_EEM!A123="","",IF(CALC_EEM!A123="GLOBAL","GLOBAL",IF(CALC_EEM!C123="Total","CURSO_TOTAL",IF(CALC_EEM!C123="TotalEsp","CURSO_ESP",IF(CALC_EEM!C123="TotalNoEsp","CURSO_NOESP","CURSO_ASIG")))))</f>
        <v>GLOBAL</v>
      </c>
      <c r="B130" t="str">
        <f>IF(CALC_EEM!A123="","",CALC_EEM!A123)</f>
        <v>GLOBAL</v>
      </c>
      <c r="C130" t="str">
        <f>IF(CALC_EEM!B123="","",CALC_EEM!B123)</f>
        <v>Total</v>
      </c>
      <c r="D130">
        <f>IF(CALC_EEM!D123="","",CALC_EEM!D123)</f>
        <v>0</v>
      </c>
      <c r="E130" s="14" t="str">
        <f>IF(CALC_EEM!E123="","",CALC_EEM!E123)</f>
        <v>—</v>
      </c>
      <c r="F130" s="14" t="str">
        <f>IF(CALC_EEM!F123="","",CALC_EEM!F123)</f>
        <v>—</v>
      </c>
      <c r="G130" t="str">
        <f>IF(CALC_EEM!G123="","",CALC_EEM!G123)</f>
        <v>—</v>
      </c>
      <c r="H130" s="16" t="str">
        <f>IF(CALC_EEM!H123="","",CALC_EEM!H123)</f>
        <v>—</v>
      </c>
      <c r="I130" s="16" t="str">
        <f>IF(CALC_EEM!I123="","",CALC_EEM!I123)</f>
        <v>—</v>
      </c>
      <c r="J130" t="str">
        <f>IF(CALC_EEM!J123="","",CALC_EEM!J123)</f>
        <v>—</v>
      </c>
      <c r="K130" t="str">
        <f>IF(CALC_EEM!K123="","",CALC_EEM!K123)</f>
        <v>—</v>
      </c>
      <c r="L130">
        <f>IF(CALC_EEM!L123="","",CALC_EEM!L123)</f>
        <v>0</v>
      </c>
      <c r="M130">
        <f>IF(CALC_EEM!M123="","",CALC_EEM!M123)</f>
        <v>0</v>
      </c>
      <c r="N130">
        <f>IF(CALC_EEM!N123="","",CALC_EEM!N123)</f>
        <v>0</v>
      </c>
      <c r="O130">
        <f>IF(CALC_EEM!O123="","",CALC_EEM!O123)</f>
        <v>0</v>
      </c>
      <c r="P130">
        <f>IF(CALC_EEM!P123="","",CALC_EEM!P123)</f>
        <v>0</v>
      </c>
      <c r="Q130">
        <f>IF(CALC_EEM!Q123="","",CALC_EEM!Q123)</f>
        <v>0</v>
      </c>
      <c r="R130">
        <f>IF(CALC_EEM!R123="","",CALC_EEM!R123)</f>
        <v>0</v>
      </c>
      <c r="S130">
        <f>IF(CALC_EEM!S123="","",CALC_EEM!S123)</f>
        <v>0</v>
      </c>
      <c r="T130">
        <f>IF(CALC_EEM!T123="","",CALC_EEM!T123)</f>
        <v>0</v>
      </c>
      <c r="U130">
        <f>IF(CALC_EEM!U123="","",CALC_EEM!U123)</f>
        <v>0</v>
      </c>
    </row>
    <row r="131" spans="1:24">
      <c r="A131" t="str">
        <f>IF(CALC_EEM!A124="","",IF(CALC_EEM!A124="GLOBAL","GLOBAL",IF(CALC_EEM!C124="Total","CURSO_TOTAL",IF(CALC_EEM!C124="TotalEsp","CURSO_ESP",IF(CALC_EEM!C124="TotalNoEsp","CURSO_NOESP","CURSO_ASIG")))))</f>
        <v>GLOBAL</v>
      </c>
      <c r="B131" t="str">
        <f>IF(CALC_EEM!A124="","",CALC_EEM!A124)</f>
        <v>GLOBAL</v>
      </c>
      <c r="C131" t="str">
        <f>IF(CALC_EEM!B124="","",CALC_EEM!B124)</f>
        <v>Total</v>
      </c>
      <c r="D131">
        <f>IF(CALC_EEM!D124="","",CALC_EEM!D124)</f>
        <v>0</v>
      </c>
      <c r="E131" s="14" t="str">
        <f>IF(CALC_EEM!E124="","",CALC_EEM!E124)</f>
        <v>—</v>
      </c>
      <c r="F131" s="14" t="str">
        <f>IF(CALC_EEM!F124="","",CALC_EEM!F124)</f>
        <v>—</v>
      </c>
      <c r="G131" t="str">
        <f>IF(CALC_EEM!G124="","",CALC_EEM!G124)</f>
        <v>—</v>
      </c>
      <c r="H131" s="16" t="str">
        <f>IF(CALC_EEM!H124="","",CALC_EEM!H124)</f>
        <v>—</v>
      </c>
      <c r="I131" s="16" t="str">
        <f>IF(CALC_EEM!I124="","",CALC_EEM!I124)</f>
        <v>—</v>
      </c>
      <c r="J131" t="str">
        <f>IF(CALC_EEM!J124="","",CALC_EEM!J124)</f>
        <v>—</v>
      </c>
      <c r="K131" t="str">
        <f>IF(CALC_EEM!K124="","",CALC_EEM!K124)</f>
        <v>—</v>
      </c>
      <c r="L131">
        <f>IF(CALC_EEM!L124="","",CALC_EEM!L124)</f>
        <v>0</v>
      </c>
      <c r="M131">
        <f>IF(CALC_EEM!M124="","",CALC_EEM!M124)</f>
        <v>0</v>
      </c>
      <c r="N131">
        <f>IF(CALC_EEM!N124="","",CALC_EEM!N124)</f>
        <v>0</v>
      </c>
      <c r="O131">
        <f>IF(CALC_EEM!O124="","",CALC_EEM!O124)</f>
        <v>0</v>
      </c>
      <c r="P131">
        <f>IF(CALC_EEM!P124="","",CALC_EEM!P124)</f>
        <v>0</v>
      </c>
      <c r="Q131">
        <f>IF(CALC_EEM!Q124="","",CALC_EEM!Q124)</f>
        <v>0</v>
      </c>
      <c r="R131">
        <f>IF(CALC_EEM!R124="","",CALC_EEM!R124)</f>
        <v>0</v>
      </c>
      <c r="S131">
        <f>IF(CALC_EEM!S124="","",CALC_EEM!S124)</f>
        <v>0</v>
      </c>
      <c r="T131">
        <f>IF(CALC_EEM!T124="","",CALC_EEM!T124)</f>
        <v>0</v>
      </c>
      <c r="U131">
        <f>IF(CALC_EEM!U124="","",CALC_EEM!U124)</f>
        <v>0</v>
      </c>
    </row>
    <row r="132" spans="1:24">
      <c r="A132" t="str">
        <f>IF(CALC_EEM!A125="","",IF(CALC_EEM!A125="GLOBAL","GLOBAL",IF(CALC_EEM!C125="Total","CURSO_TOTAL",IF(CALC_EEM!C125="TotalEsp","CURSO_ESP",IF(CALC_EEM!C125="TotalNoEsp","CURSO_NOESP","CURSO_ASIG")))))</f>
        <v>GLOBAL</v>
      </c>
      <c r="B132" t="str">
        <f>IF(CALC_EEM!A125="","",CALC_EEM!A125)</f>
        <v>GLOBAL</v>
      </c>
      <c r="C132" t="str">
        <f>IF(CALC_EEM!B125="","",CALC_EEM!B125)</f>
        <v>Total</v>
      </c>
      <c r="D132">
        <f>IF(CALC_EEM!D125="","",CALC_EEM!D125)</f>
        <v>0</v>
      </c>
      <c r="E132" s="14" t="str">
        <f>IF(CALC_EEM!E125="","",CALC_EEM!E125)</f>
        <v>—</v>
      </c>
      <c r="F132" s="14" t="str">
        <f>IF(CALC_EEM!F125="","",CALC_EEM!F125)</f>
        <v>—</v>
      </c>
      <c r="G132" t="str">
        <f>IF(CALC_EEM!G125="","",CALC_EEM!G125)</f>
        <v>—</v>
      </c>
      <c r="H132" s="16" t="str">
        <f>IF(CALC_EEM!H125="","",CALC_EEM!H125)</f>
        <v>—</v>
      </c>
      <c r="I132" s="16" t="str">
        <f>IF(CALC_EEM!I125="","",CALC_EEM!I125)</f>
        <v>—</v>
      </c>
      <c r="J132" t="str">
        <f>IF(CALC_EEM!J125="","",CALC_EEM!J125)</f>
        <v>—</v>
      </c>
      <c r="K132" t="str">
        <f>IF(CALC_EEM!K125="","",CALC_EEM!K125)</f>
        <v>—</v>
      </c>
      <c r="L132">
        <f>IF(CALC_EEM!L125="","",CALC_EEM!L125)</f>
        <v>0</v>
      </c>
      <c r="M132">
        <f>IF(CALC_EEM!M125="","",CALC_EEM!M125)</f>
        <v>0</v>
      </c>
      <c r="N132">
        <f>IF(CALC_EEM!N125="","",CALC_EEM!N125)</f>
        <v>0</v>
      </c>
      <c r="O132">
        <f>IF(CALC_EEM!O125="","",CALC_EEM!O125)</f>
        <v>0</v>
      </c>
      <c r="P132">
        <f>IF(CALC_EEM!P125="","",CALC_EEM!P125)</f>
        <v>0</v>
      </c>
      <c r="Q132">
        <f>IF(CALC_EEM!Q125="","",CALC_EEM!Q125)</f>
        <v>0</v>
      </c>
      <c r="R132">
        <f>IF(CALC_EEM!R125="","",CALC_EEM!R125)</f>
        <v>0</v>
      </c>
      <c r="S132">
        <f>IF(CALC_EEM!S125="","",CALC_EEM!S125)</f>
        <v>0</v>
      </c>
      <c r="T132">
        <f>IF(CALC_EEM!T125="","",CALC_EEM!T125)</f>
        <v>0</v>
      </c>
      <c r="U132">
        <f>IF(CALC_EEM!U125="","",CALC_EEM!U125)</f>
        <v>0</v>
      </c>
    </row>
    <row r="133" spans="1:24">
      <c r="A133" t="str">
        <f>IF(CALC_EEM!A126="","",IF(CALC_EEM!A126="GLOBAL","GLOBAL",IF(CALC_EEM!C126="Total","CURSO_TOTAL",IF(CALC_EEM!C126="TotalEsp","CURSO_ESP",IF(CALC_EEM!C126="TotalNoEsp","CURSO_NOESP","CURSO_ASIG")))))</f>
        <v>GLOBAL</v>
      </c>
      <c r="B133" t="str">
        <f>IF(CALC_EEM!A126="","",CALC_EEM!A126)</f>
        <v>GLOBAL</v>
      </c>
      <c r="C133" t="str">
        <f>IF(CALC_EEM!B126="","",CALC_EEM!B126)</f>
        <v>Total</v>
      </c>
      <c r="D133">
        <f>IF(CALC_EEM!D126="","",CALC_EEM!D126)</f>
        <v>0</v>
      </c>
      <c r="E133" s="14" t="str">
        <f>IF(CALC_EEM!E126="","",CALC_EEM!E126)</f>
        <v>—</v>
      </c>
      <c r="F133" s="14" t="str">
        <f>IF(CALC_EEM!F126="","",CALC_EEM!F126)</f>
        <v>—</v>
      </c>
      <c r="G133" t="str">
        <f>IF(CALC_EEM!G126="","",CALC_EEM!G126)</f>
        <v>—</v>
      </c>
      <c r="H133" s="16" t="str">
        <f>IF(CALC_EEM!H126="","",CALC_EEM!H126)</f>
        <v>—</v>
      </c>
      <c r="I133" s="16" t="str">
        <f>IF(CALC_EEM!I126="","",CALC_EEM!I126)</f>
        <v>—</v>
      </c>
      <c r="J133" t="str">
        <f>IF(CALC_EEM!J126="","",CALC_EEM!J126)</f>
        <v>—</v>
      </c>
      <c r="K133" t="str">
        <f>IF(CALC_EEM!K126="","",CALC_EEM!K126)</f>
        <v>—</v>
      </c>
      <c r="L133">
        <f>IF(CALC_EEM!L126="","",CALC_EEM!L126)</f>
        <v>0</v>
      </c>
      <c r="M133">
        <f>IF(CALC_EEM!M126="","",CALC_EEM!M126)</f>
        <v>0</v>
      </c>
      <c r="N133">
        <f>IF(CALC_EEM!N126="","",CALC_EEM!N126)</f>
        <v>0</v>
      </c>
      <c r="O133">
        <f>IF(CALC_EEM!O126="","",CALC_EEM!O126)</f>
        <v>0</v>
      </c>
      <c r="P133">
        <f>IF(CALC_EEM!P126="","",CALC_EEM!P126)</f>
        <v>0</v>
      </c>
      <c r="Q133">
        <f>IF(CALC_EEM!Q126="","",CALC_EEM!Q126)</f>
        <v>0</v>
      </c>
      <c r="R133">
        <f>IF(CALC_EEM!R126="","",CALC_EEM!R126)</f>
        <v>0</v>
      </c>
      <c r="S133">
        <f>IF(CALC_EEM!S126="","",CALC_EEM!S126)</f>
        <v>0</v>
      </c>
      <c r="T133">
        <f>IF(CALC_EEM!T126="","",CALC_EEM!T126)</f>
        <v>0</v>
      </c>
      <c r="U133">
        <f>IF(CALC_EEM!U126="","",CALC_EEM!U126)</f>
        <v>0</v>
      </c>
    </row>
    <row r="134" spans="1:24">
      <c r="A134" t="str">
        <f>IF(CALC_EEM!A127="","",IF(CALC_EEM!A127="GLOBAL","GLOBAL",IF(CALC_EEM!C127="Total","CURSO_TOTAL",IF(CALC_EEM!C127="TotalEsp","CURSO_ESP",IF(CALC_EEM!C127="TotalNoEsp","CURSO_NOESP","CURSO_ASIG")))))</f>
        <v>GLOBAL</v>
      </c>
      <c r="B134" t="str">
        <f>IF(CALC_EEM!A127="","",CALC_EEM!A127)</f>
        <v>GLOBAL</v>
      </c>
      <c r="C134" t="str">
        <f>IF(CALC_EEM!B127="","",CALC_EEM!B127)</f>
        <v>Total</v>
      </c>
      <c r="D134">
        <f>IF(CALC_EEM!D127="","",CALC_EEM!D127)</f>
        <v>0</v>
      </c>
      <c r="E134" s="14" t="str">
        <f>IF(CALC_EEM!E127="","",CALC_EEM!E127)</f>
        <v>—</v>
      </c>
      <c r="F134" s="14" t="str">
        <f>IF(CALC_EEM!F127="","",CALC_EEM!F127)</f>
        <v>—</v>
      </c>
      <c r="G134" t="str">
        <f>IF(CALC_EEM!G127="","",CALC_EEM!G127)</f>
        <v>—</v>
      </c>
      <c r="H134" s="16" t="str">
        <f>IF(CALC_EEM!H127="","",CALC_EEM!H127)</f>
        <v>—</v>
      </c>
      <c r="I134" s="16" t="str">
        <f>IF(CALC_EEM!I127="","",CALC_EEM!I127)</f>
        <v>—</v>
      </c>
      <c r="J134" t="str">
        <f>IF(CALC_EEM!J127="","",CALC_EEM!J127)</f>
        <v>—</v>
      </c>
      <c r="K134" t="str">
        <f>IF(CALC_EEM!K127="","",CALC_EEM!K127)</f>
        <v>—</v>
      </c>
      <c r="L134">
        <f>IF(CALC_EEM!L127="","",CALC_EEM!L127)</f>
        <v>0</v>
      </c>
      <c r="M134">
        <f>IF(CALC_EEM!M127="","",CALC_EEM!M127)</f>
        <v>0</v>
      </c>
      <c r="N134">
        <f>IF(CALC_EEM!N127="","",CALC_EEM!N127)</f>
        <v>0</v>
      </c>
      <c r="O134">
        <f>IF(CALC_EEM!O127="","",CALC_EEM!O127)</f>
        <v>0</v>
      </c>
      <c r="P134">
        <f>IF(CALC_EEM!P127="","",CALC_EEM!P127)</f>
        <v>0</v>
      </c>
      <c r="Q134">
        <f>IF(CALC_EEM!Q127="","",CALC_EEM!Q127)</f>
        <v>0</v>
      </c>
      <c r="R134">
        <f>IF(CALC_EEM!R127="","",CALC_EEM!R127)</f>
        <v>0</v>
      </c>
      <c r="S134">
        <f>IF(CALC_EEM!S127="","",CALC_EEM!S127)</f>
        <v>0</v>
      </c>
      <c r="T134">
        <f>IF(CALC_EEM!T127="","",CALC_EEM!T127)</f>
        <v>0</v>
      </c>
      <c r="U134">
        <f>IF(CALC_EEM!U127="","",CALC_EEM!U127)</f>
        <v>0</v>
      </c>
    </row>
    <row r="135" spans="1:24">
      <c r="A135" t="str">
        <f>IF(CALC_EEM!A128="","",IF(CALC_EEM!A128="GLOBAL","GLOBAL",IF(CALC_EEM!C128="Total","CURSO_TOTAL",IF(CALC_EEM!C128="TotalEsp","CURSO_ESP",IF(CALC_EEM!C128="TotalNoEsp","CURSO_NOESP","CURSO_ASIG")))))</f>
        <v>GLOBAL</v>
      </c>
      <c r="B135" t="str">
        <f>IF(CALC_EEM!A128="","",CALC_EEM!A128)</f>
        <v>GLOBAL</v>
      </c>
      <c r="C135" t="str">
        <f>IF(CALC_EEM!B128="","",CALC_EEM!B128)</f>
        <v>Total</v>
      </c>
      <c r="D135">
        <f>IF(CALC_EEM!D128="","",CALC_EEM!D128)</f>
        <v>0</v>
      </c>
      <c r="E135" s="14" t="str">
        <f>IF(CALC_EEM!E128="","",CALC_EEM!E128)</f>
        <v>—</v>
      </c>
      <c r="F135" s="14" t="str">
        <f>IF(CALC_EEM!F128="","",CALC_EEM!F128)</f>
        <v>—</v>
      </c>
      <c r="G135" t="str">
        <f>IF(CALC_EEM!G128="","",CALC_EEM!G128)</f>
        <v>—</v>
      </c>
      <c r="H135" s="16" t="str">
        <f>IF(CALC_EEM!H128="","",CALC_EEM!H128)</f>
        <v>—</v>
      </c>
      <c r="I135" s="16" t="str">
        <f>IF(CALC_EEM!I128="","",CALC_EEM!I128)</f>
        <v>—</v>
      </c>
      <c r="J135" t="str">
        <f>IF(CALC_EEM!J128="","",CALC_EEM!J128)</f>
        <v>—</v>
      </c>
      <c r="K135" t="str">
        <f>IF(CALC_EEM!K128="","",CALC_EEM!K128)</f>
        <v>—</v>
      </c>
      <c r="L135">
        <f>IF(CALC_EEM!L128="","",CALC_EEM!L128)</f>
        <v>0</v>
      </c>
      <c r="M135">
        <f>IF(CALC_EEM!M128="","",CALC_EEM!M128)</f>
        <v>0</v>
      </c>
      <c r="N135">
        <f>IF(CALC_EEM!N128="","",CALC_EEM!N128)</f>
        <v>0</v>
      </c>
      <c r="O135">
        <f>IF(CALC_EEM!O128="","",CALC_EEM!O128)</f>
        <v>0</v>
      </c>
      <c r="P135">
        <f>IF(CALC_EEM!P128="","",CALC_EEM!P128)</f>
        <v>0</v>
      </c>
      <c r="Q135">
        <f>IF(CALC_EEM!Q128="","",CALC_EEM!Q128)</f>
        <v>0</v>
      </c>
      <c r="R135">
        <f>IF(CALC_EEM!R128="","",CALC_EEM!R128)</f>
        <v>0</v>
      </c>
      <c r="S135">
        <f>IF(CALC_EEM!S128="","",CALC_EEM!S128)</f>
        <v>0</v>
      </c>
      <c r="T135">
        <f>IF(CALC_EEM!T128="","",CALC_EEM!T128)</f>
        <v>0</v>
      </c>
      <c r="U135">
        <f>IF(CALC_EEM!U128="","",CALC_EEM!U128)</f>
        <v>0</v>
      </c>
    </row>
    <row r="136" spans="1:24">
      <c r="A136" t="str">
        <f>IF(CALC_EEM!A129="","",IF(CALC_EEM!A129="GLOBAL","GLOBAL",IF(CALC_EEM!C129="Total","CURSO_TOTAL",IF(CALC_EEM!C129="TotalEsp","CURSO_ESP",IF(CALC_EEM!C129="TotalNoEsp","CURSO_NOESP","CURSO_ASIG")))))</f>
        <v>GLOBAL</v>
      </c>
      <c r="B136" t="str">
        <f>IF(CALC_EEM!A129="","",CALC_EEM!A129)</f>
        <v>GLOBAL</v>
      </c>
      <c r="C136" t="str">
        <f>IF(CALC_EEM!B129="","",CALC_EEM!B129)</f>
        <v>Total</v>
      </c>
      <c r="D136">
        <f>IF(CALC_EEM!D129="","",CALC_EEM!D129)</f>
        <v>0</v>
      </c>
      <c r="E136" s="14" t="str">
        <f>IF(CALC_EEM!E129="","",CALC_EEM!E129)</f>
        <v>—</v>
      </c>
      <c r="F136" s="14" t="str">
        <f>IF(CALC_EEM!F129="","",CALC_EEM!F129)</f>
        <v>—</v>
      </c>
      <c r="G136" t="str">
        <f>IF(CALC_EEM!G129="","",CALC_EEM!G129)</f>
        <v>—</v>
      </c>
      <c r="H136" s="16" t="str">
        <f>IF(CALC_EEM!H129="","",CALC_EEM!H129)</f>
        <v>—</v>
      </c>
      <c r="I136" s="16" t="str">
        <f>IF(CALC_EEM!I129="","",CALC_EEM!I129)</f>
        <v>—</v>
      </c>
      <c r="J136" t="str">
        <f>IF(CALC_EEM!J129="","",CALC_EEM!J129)</f>
        <v>—</v>
      </c>
      <c r="K136" t="str">
        <f>IF(CALC_EEM!K129="","",CALC_EEM!K129)</f>
        <v>—</v>
      </c>
      <c r="L136">
        <f>IF(CALC_EEM!L129="","",CALC_EEM!L129)</f>
        <v>0</v>
      </c>
      <c r="M136">
        <f>IF(CALC_EEM!M129="","",CALC_EEM!M129)</f>
        <v>0</v>
      </c>
      <c r="N136">
        <f>IF(CALC_EEM!N129="","",CALC_EEM!N129)</f>
        <v>0</v>
      </c>
      <c r="O136">
        <f>IF(CALC_EEM!O129="","",CALC_EEM!O129)</f>
        <v>0</v>
      </c>
      <c r="P136">
        <f>IF(CALC_EEM!P129="","",CALC_EEM!P129)</f>
        <v>0</v>
      </c>
      <c r="Q136">
        <f>IF(CALC_EEM!Q129="","",CALC_EEM!Q129)</f>
        <v>0</v>
      </c>
      <c r="R136">
        <f>IF(CALC_EEM!R129="","",CALC_EEM!R129)</f>
        <v>0</v>
      </c>
      <c r="S136">
        <f>IF(CALC_EEM!S129="","",CALC_EEM!S129)</f>
        <v>0</v>
      </c>
      <c r="T136">
        <f>IF(CALC_EEM!T129="","",CALC_EEM!T129)</f>
        <v>0</v>
      </c>
      <c r="U136">
        <f>IF(CALC_EEM!U129="","",CALC_EEM!U129)</f>
        <v>0</v>
      </c>
    </row>
    <row r="137" spans="1:24">
      <c r="A137" t="str">
        <f>IF(CALC_EEM!A130="","",IF(CALC_EEM!A130="GLOBAL","GLOBAL",IF(CALC_EEM!C130="Total","CURSO_TOTAL",IF(CALC_EEM!C130="TotalEsp","CURSO_ESP",IF(CALC_EEM!C130="TotalNoEsp","CURSO_NOESP","CURSO_ASIG")))))</f>
        <v>GLOBAL</v>
      </c>
      <c r="B137" t="str">
        <f>IF(CALC_EEM!A130="","",CALC_EEM!A130)</f>
        <v>GLOBAL</v>
      </c>
      <c r="C137" t="str">
        <f>IF(CALC_EEM!B130="","",CALC_EEM!B130)</f>
        <v>Total</v>
      </c>
      <c r="D137">
        <f>IF(CALC_EEM!D130="","",CALC_EEM!D130)</f>
        <v>0</v>
      </c>
      <c r="E137" s="14" t="str">
        <f>IF(CALC_EEM!E130="","",CALC_EEM!E130)</f>
        <v>—</v>
      </c>
      <c r="F137" s="14" t="str">
        <f>IF(CALC_EEM!F130="","",CALC_EEM!F130)</f>
        <v>—</v>
      </c>
      <c r="G137" t="str">
        <f>IF(CALC_EEM!G130="","",CALC_EEM!G130)</f>
        <v>—</v>
      </c>
      <c r="H137" s="16" t="str">
        <f>IF(CALC_EEM!H130="","",CALC_EEM!H130)</f>
        <v>—</v>
      </c>
      <c r="I137" s="16" t="str">
        <f>IF(CALC_EEM!I130="","",CALC_EEM!I130)</f>
        <v>—</v>
      </c>
      <c r="J137" t="str">
        <f>IF(CALC_EEM!J130="","",CALC_EEM!J130)</f>
        <v>—</v>
      </c>
      <c r="K137" t="str">
        <f>IF(CALC_EEM!K130="","",CALC_EEM!K130)</f>
        <v>—</v>
      </c>
      <c r="L137">
        <f>IF(CALC_EEM!L130="","",CALC_EEM!L130)</f>
        <v>0</v>
      </c>
      <c r="M137">
        <f>IF(CALC_EEM!M130="","",CALC_EEM!M130)</f>
        <v>0</v>
      </c>
      <c r="N137">
        <f>IF(CALC_EEM!N130="","",CALC_EEM!N130)</f>
        <v>0</v>
      </c>
      <c r="O137">
        <f>IF(CALC_EEM!O130="","",CALC_EEM!O130)</f>
        <v>0</v>
      </c>
      <c r="P137">
        <f>IF(CALC_EEM!P130="","",CALC_EEM!P130)</f>
        <v>0</v>
      </c>
      <c r="Q137">
        <f>IF(CALC_EEM!Q130="","",CALC_EEM!Q130)</f>
        <v>0</v>
      </c>
      <c r="R137">
        <f>IF(CALC_EEM!R130="","",CALC_EEM!R130)</f>
        <v>0</v>
      </c>
      <c r="S137">
        <f>IF(CALC_EEM!S130="","",CALC_EEM!S130)</f>
        <v>0</v>
      </c>
      <c r="T137">
        <f>IF(CALC_EEM!T130="","",CALC_EEM!T130)</f>
        <v>0</v>
      </c>
      <c r="U137">
        <f>IF(CALC_EEM!U130="","",CALC_EEM!U130)</f>
        <v>0</v>
      </c>
    </row>
    <row r="138" spans="1:24">
      <c r="A138" t="str">
        <f>IF(CALC_EEM!A131="","",IF(CALC_EEM!A131="GLOBAL","GLOBAL",IF(CALC_EEM!C131="Total","CURSO_TOTAL",IF(CALC_EEM!C131="TotalEsp","CURSO_ESP",IF(CALC_EEM!C131="TotalNoEsp","CURSO_NOESP","CURSO_ASIG")))))</f>
        <v>GLOBAL</v>
      </c>
      <c r="B138" t="str">
        <f>IF(CALC_EEM!A131="","",CALC_EEM!A131)</f>
        <v>GLOBAL</v>
      </c>
      <c r="C138" t="str">
        <f>IF(CALC_EEM!B131="","",CALC_EEM!B131)</f>
        <v>Total</v>
      </c>
      <c r="D138">
        <f>IF(CALC_EEM!D131="","",CALC_EEM!D131)</f>
        <v>0</v>
      </c>
      <c r="E138" s="14" t="str">
        <f>IF(CALC_EEM!E131="","",CALC_EEM!E131)</f>
        <v>—</v>
      </c>
      <c r="F138" s="14" t="str">
        <f>IF(CALC_EEM!F131="","",CALC_EEM!F131)</f>
        <v>—</v>
      </c>
      <c r="G138" t="str">
        <f>IF(CALC_EEM!G131="","",CALC_EEM!G131)</f>
        <v>—</v>
      </c>
      <c r="H138" s="16" t="str">
        <f>IF(CALC_EEM!H131="","",CALC_EEM!H131)</f>
        <v>—</v>
      </c>
      <c r="I138" s="16" t="str">
        <f>IF(CALC_EEM!I131="","",CALC_EEM!I131)</f>
        <v>—</v>
      </c>
      <c r="J138" t="str">
        <f>IF(CALC_EEM!J131="","",CALC_EEM!J131)</f>
        <v>—</v>
      </c>
      <c r="K138" t="str">
        <f>IF(CALC_EEM!K131="","",CALC_EEM!K131)</f>
        <v>—</v>
      </c>
      <c r="L138">
        <f>IF(CALC_EEM!L131="","",CALC_EEM!L131)</f>
        <v>0</v>
      </c>
      <c r="M138">
        <f>IF(CALC_EEM!M131="","",CALC_EEM!M131)</f>
        <v>0</v>
      </c>
      <c r="N138">
        <f>IF(CALC_EEM!N131="","",CALC_EEM!N131)</f>
        <v>0</v>
      </c>
      <c r="O138">
        <f>IF(CALC_EEM!O131="","",CALC_EEM!O131)</f>
        <v>0</v>
      </c>
      <c r="P138">
        <f>IF(CALC_EEM!P131="","",CALC_EEM!P131)</f>
        <v>0</v>
      </c>
      <c r="Q138">
        <f>IF(CALC_EEM!Q131="","",CALC_EEM!Q131)</f>
        <v>0</v>
      </c>
      <c r="R138">
        <f>IF(CALC_EEM!R131="","",CALC_EEM!R131)</f>
        <v>0</v>
      </c>
      <c r="S138">
        <f>IF(CALC_EEM!S131="","",CALC_EEM!S131)</f>
        <v>0</v>
      </c>
      <c r="T138">
        <f>IF(CALC_EEM!T131="","",CALC_EEM!T131)</f>
        <v>0</v>
      </c>
      <c r="U138">
        <f>IF(CALC_EEM!U131="","",CALC_EEM!U131)</f>
        <v>0</v>
      </c>
    </row>
    <row r="139" spans="1:24">
      <c r="A139" t="str">
        <f>IF(CALC_EEM!A132="","",IF(CALC_EEM!A132="GLOBAL","GLOBAL",IF(CALC_EEM!C132="Total","CURSO_TOTAL",IF(CALC_EEM!C132="TotalEsp","CURSO_ESP",IF(CALC_EEM!C132="TotalNoEsp","CURSO_NOESP","CURSO_ASIG")))))</f>
        <v>GLOBAL</v>
      </c>
      <c r="B139" t="str">
        <f>IF(CALC_EEM!A132="","",CALC_EEM!A132)</f>
        <v>GLOBAL</v>
      </c>
      <c r="C139" t="str">
        <f>IF(CALC_EEM!B132="","",CALC_EEM!B132)</f>
        <v>Total</v>
      </c>
      <c r="D139">
        <f>IF(CALC_EEM!D132="","",CALC_EEM!D132)</f>
        <v>0</v>
      </c>
      <c r="E139" s="14" t="str">
        <f>IF(CALC_EEM!E132="","",CALC_EEM!E132)</f>
        <v>—</v>
      </c>
      <c r="F139" s="14" t="str">
        <f>IF(CALC_EEM!F132="","",CALC_EEM!F132)</f>
        <v>—</v>
      </c>
      <c r="G139" t="str">
        <f>IF(CALC_EEM!G132="","",CALC_EEM!G132)</f>
        <v>—</v>
      </c>
      <c r="H139" s="16" t="str">
        <f>IF(CALC_EEM!H132="","",CALC_EEM!H132)</f>
        <v>—</v>
      </c>
      <c r="I139" s="16" t="str">
        <f>IF(CALC_EEM!I132="","",CALC_EEM!I132)</f>
        <v>—</v>
      </c>
      <c r="J139" t="str">
        <f>IF(CALC_EEM!J132="","",CALC_EEM!J132)</f>
        <v>—</v>
      </c>
      <c r="K139" t="str">
        <f>IF(CALC_EEM!K132="","",CALC_EEM!K132)</f>
        <v>—</v>
      </c>
      <c r="L139">
        <f>IF(CALC_EEM!L132="","",CALC_EEM!L132)</f>
        <v>0</v>
      </c>
      <c r="M139">
        <f>IF(CALC_EEM!M132="","",CALC_EEM!M132)</f>
        <v>0</v>
      </c>
      <c r="N139">
        <f>IF(CALC_EEM!N132="","",CALC_EEM!N132)</f>
        <v>0</v>
      </c>
      <c r="O139">
        <f>IF(CALC_EEM!O132="","",CALC_EEM!O132)</f>
        <v>0</v>
      </c>
      <c r="P139">
        <f>IF(CALC_EEM!P132="","",CALC_EEM!P132)</f>
        <v>0</v>
      </c>
      <c r="Q139">
        <f>IF(CALC_EEM!Q132="","",CALC_EEM!Q132)</f>
        <v>0</v>
      </c>
      <c r="R139">
        <f>IF(CALC_EEM!R132="","",CALC_EEM!R132)</f>
        <v>0</v>
      </c>
      <c r="S139">
        <f>IF(CALC_EEM!S132="","",CALC_EEM!S132)</f>
        <v>0</v>
      </c>
      <c r="T139">
        <f>IF(CALC_EEM!T132="","",CALC_EEM!T132)</f>
        <v>0</v>
      </c>
      <c r="U139">
        <f>IF(CALC_EEM!U132="","",CALC_EEM!U132)</f>
        <v>0</v>
      </c>
    </row>
    <row r="140" spans="1:24">
      <c r="A140" t="str">
        <f>IF(CALC_EEM!A133="","",IF(CALC_EEM!A133="GLOBAL","GLOBAL",IF(CALC_EEM!C133="Total","CURSO_TOTAL",IF(CALC_EEM!C133="TotalEsp","CURSO_ESP",IF(CALC_EEM!C133="TotalNoEsp","CURSO_NOESP","CURSO_ASIG")))))</f>
        <v>GLOBAL</v>
      </c>
      <c r="B140" t="str">
        <f>IF(CALC_EEM!A133="","",CALC_EEM!A133)</f>
        <v>GLOBAL</v>
      </c>
      <c r="C140" t="str">
        <f>IF(CALC_EEM!B133="","",CALC_EEM!B133)</f>
        <v>Total</v>
      </c>
      <c r="D140">
        <f>IF(CALC_EEM!D133="","",CALC_EEM!D133)</f>
        <v>0</v>
      </c>
      <c r="E140" s="14" t="str">
        <f>IF(CALC_EEM!E133="","",CALC_EEM!E133)</f>
        <v>—</v>
      </c>
      <c r="F140" s="14" t="str">
        <f>IF(CALC_EEM!F133="","",CALC_EEM!F133)</f>
        <v>—</v>
      </c>
      <c r="G140" t="str">
        <f>IF(CALC_EEM!G133="","",CALC_EEM!G133)</f>
        <v>—</v>
      </c>
      <c r="H140" s="16" t="str">
        <f>IF(CALC_EEM!H133="","",CALC_EEM!H133)</f>
        <v>—</v>
      </c>
      <c r="I140" s="16" t="str">
        <f>IF(CALC_EEM!I133="","",CALC_EEM!I133)</f>
        <v>—</v>
      </c>
      <c r="J140" t="str">
        <f>IF(CALC_EEM!J133="","",CALC_EEM!J133)</f>
        <v>—</v>
      </c>
      <c r="K140" t="str">
        <f>IF(CALC_EEM!K133="","",CALC_EEM!K133)</f>
        <v>—</v>
      </c>
      <c r="L140">
        <f>IF(CALC_EEM!L133="","",CALC_EEM!L133)</f>
        <v>0</v>
      </c>
      <c r="M140">
        <f>IF(CALC_EEM!M133="","",CALC_EEM!M133)</f>
        <v>0</v>
      </c>
      <c r="N140">
        <f>IF(CALC_EEM!N133="","",CALC_EEM!N133)</f>
        <v>0</v>
      </c>
      <c r="O140">
        <f>IF(CALC_EEM!O133="","",CALC_EEM!O133)</f>
        <v>0</v>
      </c>
      <c r="P140">
        <f>IF(CALC_EEM!P133="","",CALC_EEM!P133)</f>
        <v>0</v>
      </c>
      <c r="Q140">
        <f>IF(CALC_EEM!Q133="","",CALC_EEM!Q133)</f>
        <v>0</v>
      </c>
      <c r="R140">
        <f>IF(CALC_EEM!R133="","",CALC_EEM!R133)</f>
        <v>0</v>
      </c>
      <c r="S140">
        <f>IF(CALC_EEM!S133="","",CALC_EEM!S133)</f>
        <v>0</v>
      </c>
      <c r="T140">
        <f>IF(CALC_EEM!T133="","",CALC_EEM!T133)</f>
        <v>0</v>
      </c>
      <c r="U140">
        <f>IF(CALC_EEM!U133="","",CALC_EEM!U133)</f>
        <v>0</v>
      </c>
    </row>
    <row r="141" spans="1:24">
      <c r="A141" t="str">
        <f>IF(CALC_EEM!A134="","",IF(CALC_EEM!A134="GLOBAL","GLOBAL",IF(CALC_EEM!C134="Total","CURSO_TOTAL",IF(CALC_EEM!C134="TotalEsp","CURSO_ESP",IF(CALC_EEM!C134="TotalNoEsp","CURSO_NOESP","CURSO_ASIG")))))</f>
        <v>GLOBAL</v>
      </c>
      <c r="B141" t="str">
        <f>IF(CALC_EEM!A134="","",CALC_EEM!A134)</f>
        <v>GLOBAL</v>
      </c>
      <c r="C141" t="str">
        <f>IF(CALC_EEM!B134="","",CALC_EEM!B134)</f>
        <v>Total</v>
      </c>
      <c r="D141">
        <f>IF(CALC_EEM!D134="","",CALC_EEM!D134)</f>
        <v>0</v>
      </c>
      <c r="E141" s="14" t="str">
        <f>IF(CALC_EEM!E134="","",CALC_EEM!E134)</f>
        <v>—</v>
      </c>
      <c r="F141" s="14" t="str">
        <f>IF(CALC_EEM!F134="","",CALC_EEM!F134)</f>
        <v>—</v>
      </c>
      <c r="G141" t="str">
        <f>IF(CALC_EEM!G134="","",CALC_EEM!G134)</f>
        <v>—</v>
      </c>
      <c r="H141" s="16" t="str">
        <f>IF(CALC_EEM!H134="","",CALC_EEM!H134)</f>
        <v>—</v>
      </c>
      <c r="I141" s="16" t="str">
        <f>IF(CALC_EEM!I134="","",CALC_EEM!I134)</f>
        <v>—</v>
      </c>
      <c r="J141" t="str">
        <f>IF(CALC_EEM!J134="","",CALC_EEM!J134)</f>
        <v>—</v>
      </c>
      <c r="K141" t="str">
        <f>IF(CALC_EEM!K134="","",CALC_EEM!K134)</f>
        <v>—</v>
      </c>
      <c r="L141">
        <f>IF(CALC_EEM!L134="","",CALC_EEM!L134)</f>
        <v>0</v>
      </c>
      <c r="M141">
        <f>IF(CALC_EEM!M134="","",CALC_EEM!M134)</f>
        <v>0</v>
      </c>
      <c r="N141">
        <f>IF(CALC_EEM!N134="","",CALC_EEM!N134)</f>
        <v>0</v>
      </c>
      <c r="O141">
        <f>IF(CALC_EEM!O134="","",CALC_EEM!O134)</f>
        <v>0</v>
      </c>
      <c r="P141">
        <f>IF(CALC_EEM!P134="","",CALC_EEM!P134)</f>
        <v>0</v>
      </c>
      <c r="Q141">
        <f>IF(CALC_EEM!Q134="","",CALC_EEM!Q134)</f>
        <v>0</v>
      </c>
      <c r="R141">
        <f>IF(CALC_EEM!R134="","",CALC_EEM!R134)</f>
        <v>0</v>
      </c>
      <c r="S141">
        <f>IF(CALC_EEM!S134="","",CALC_EEM!S134)</f>
        <v>0</v>
      </c>
      <c r="T141">
        <f>IF(CALC_EEM!T134="","",CALC_EEM!T134)</f>
        <v>0</v>
      </c>
      <c r="U141">
        <f>IF(CALC_EEM!U134="","",CALC_EEM!U134)</f>
        <v>0</v>
      </c>
    </row>
    <row r="142" spans="1:24">
      <c r="A142" t="str">
        <f>IF(CALC_EEM!A135="","",IF(CALC_EEM!A135="GLOBAL","GLOBAL",IF(CALC_EEM!C135="Total","CURSO_TOTAL",IF(CALC_EEM!C135="TotalEsp","CURSO_ESP",IF(CALC_EEM!C135="TotalNoEsp","CURSO_NOESP","CURSO_ASIG")))))</f>
        <v>GLOBAL</v>
      </c>
      <c r="B142" t="str">
        <f>IF(CALC_EEM!A135="","",CALC_EEM!A135)</f>
        <v>GLOBAL</v>
      </c>
      <c r="C142" t="str">
        <f>IF(CALC_EEM!B135="","",CALC_EEM!B135)</f>
        <v>Total</v>
      </c>
      <c r="D142">
        <f>IF(CALC_EEM!D135="","",CALC_EEM!D135)</f>
        <v>0</v>
      </c>
      <c r="E142" s="14" t="str">
        <f>IF(CALC_EEM!E135="","",CALC_EEM!E135)</f>
        <v>—</v>
      </c>
      <c r="F142" s="14" t="str">
        <f>IF(CALC_EEM!F135="","",CALC_EEM!F135)</f>
        <v>—</v>
      </c>
      <c r="G142" t="str">
        <f>IF(CALC_EEM!G135="","",CALC_EEM!G135)</f>
        <v>—</v>
      </c>
      <c r="H142" s="16" t="str">
        <f>IF(CALC_EEM!H135="","",CALC_EEM!H135)</f>
        <v>—</v>
      </c>
      <c r="I142" s="16" t="str">
        <f>IF(CALC_EEM!I135="","",CALC_EEM!I135)</f>
        <v>—</v>
      </c>
      <c r="J142" t="str">
        <f>IF(CALC_EEM!J135="","",CALC_EEM!J135)</f>
        <v>—</v>
      </c>
      <c r="K142" t="str">
        <f>IF(CALC_EEM!K135="","",CALC_EEM!K135)</f>
        <v>—</v>
      </c>
      <c r="L142">
        <f>IF(CALC_EEM!L135="","",CALC_EEM!L135)</f>
        <v>0</v>
      </c>
      <c r="M142">
        <f>IF(CALC_EEM!M135="","",CALC_EEM!M135)</f>
        <v>0</v>
      </c>
      <c r="N142">
        <f>IF(CALC_EEM!N135="","",CALC_EEM!N135)</f>
        <v>0</v>
      </c>
      <c r="O142">
        <f>IF(CALC_EEM!O135="","",CALC_EEM!O135)</f>
        <v>0</v>
      </c>
      <c r="P142">
        <f>IF(CALC_EEM!P135="","",CALC_EEM!P135)</f>
        <v>0</v>
      </c>
      <c r="Q142">
        <f>IF(CALC_EEM!Q135="","",CALC_EEM!Q135)</f>
        <v>0</v>
      </c>
      <c r="R142">
        <f>IF(CALC_EEM!R135="","",CALC_EEM!R135)</f>
        <v>0</v>
      </c>
      <c r="S142">
        <f>IF(CALC_EEM!S135="","",CALC_EEM!S135)</f>
        <v>0</v>
      </c>
      <c r="T142">
        <f>IF(CALC_EEM!T135="","",CALC_EEM!T135)</f>
        <v>0</v>
      </c>
      <c r="U142">
        <f>IF(CALC_EEM!U135="","",CALC_EEM!U135)</f>
        <v>0</v>
      </c>
    </row>
    <row r="143" spans="1:24">
      <c r="A143" t="str">
        <f>IF(CALC_EEM!A136="","",IF(CALC_EEM!A136="GLOBAL","GLOBAL",IF(CALC_EEM!C136="Total","CURSO_TOTAL",IF(CALC_EEM!C136="TotalEsp","CURSO_ESP",IF(CALC_EEM!C136="TotalNoEsp","CURSO_NOESP","CURSO_ASIG")))))</f>
        <v>GLOBAL</v>
      </c>
      <c r="B143" t="str">
        <f>IF(CALC_EEM!A136="","",CALC_EEM!A136)</f>
        <v>GLOBAL</v>
      </c>
      <c r="C143" t="str">
        <f>IF(CALC_EEM!B136="","",CALC_EEM!B136)</f>
        <v>Total</v>
      </c>
      <c r="D143">
        <f>IF(CALC_EEM!D136="","",CALC_EEM!D136)</f>
        <v>0</v>
      </c>
      <c r="E143" s="14" t="str">
        <f>IF(CALC_EEM!E136="","",CALC_EEM!E136)</f>
        <v>—</v>
      </c>
      <c r="F143" s="14" t="str">
        <f>IF(CALC_EEM!F136="","",CALC_EEM!F136)</f>
        <v>—</v>
      </c>
      <c r="G143" t="str">
        <f>IF(CALC_EEM!G136="","",CALC_EEM!G136)</f>
        <v>—</v>
      </c>
      <c r="H143" s="16" t="str">
        <f>IF(CALC_EEM!H136="","",CALC_EEM!H136)</f>
        <v>—</v>
      </c>
      <c r="I143" s="16" t="str">
        <f>IF(CALC_EEM!I136="","",CALC_EEM!I136)</f>
        <v>—</v>
      </c>
      <c r="J143" t="str">
        <f>IF(CALC_EEM!J136="","",CALC_EEM!J136)</f>
        <v>—</v>
      </c>
      <c r="K143" t="str">
        <f>IF(CALC_EEM!K136="","",CALC_EEM!K136)</f>
        <v>—</v>
      </c>
      <c r="L143">
        <f>IF(CALC_EEM!L136="","",CALC_EEM!L136)</f>
        <v>0</v>
      </c>
      <c r="M143">
        <f>IF(CALC_EEM!M136="","",CALC_EEM!M136)</f>
        <v>0</v>
      </c>
      <c r="N143">
        <f>IF(CALC_EEM!N136="","",CALC_EEM!N136)</f>
        <v>0</v>
      </c>
      <c r="O143">
        <f>IF(CALC_EEM!O136="","",CALC_EEM!O136)</f>
        <v>0</v>
      </c>
      <c r="P143">
        <f>IF(CALC_EEM!P136="","",CALC_EEM!P136)</f>
        <v>0</v>
      </c>
      <c r="Q143">
        <f>IF(CALC_EEM!Q136="","",CALC_EEM!Q136)</f>
        <v>0</v>
      </c>
      <c r="R143">
        <f>IF(CALC_EEM!R136="","",CALC_EEM!R136)</f>
        <v>0</v>
      </c>
      <c r="S143">
        <f>IF(CALC_EEM!S136="","",CALC_EEM!S136)</f>
        <v>0</v>
      </c>
      <c r="T143">
        <f>IF(CALC_EEM!T136="","",CALC_EEM!T136)</f>
        <v>0</v>
      </c>
      <c r="U143">
        <f>IF(CALC_EEM!U136="","",CALC_EEM!U136)</f>
        <v>0</v>
      </c>
    </row>
    <row r="144" spans="1:24">
      <c r="A144" t="str">
        <f>IF(CALC_EEM!A137="","",IF(CALC_EEM!A137="GLOBAL","GLOBAL",IF(CALC_EEM!C137="Total","CURSO_TOTAL",IF(CALC_EEM!C137="TotalEsp","CURSO_ESP",IF(CALC_EEM!C137="TotalNoEsp","CURSO_NOESP","CURSO_ASIG")))))</f>
        <v>GLOBAL</v>
      </c>
      <c r="B144" t="str">
        <f>IF(CALC_EEM!A137="","",CALC_EEM!A137)</f>
        <v>GLOBAL</v>
      </c>
      <c r="C144" t="str">
        <f>IF(CALC_EEM!B137="","",CALC_EEM!B137)</f>
        <v>Total</v>
      </c>
      <c r="D144">
        <f>IF(CALC_EEM!D137="","",CALC_EEM!D137)</f>
        <v>0</v>
      </c>
      <c r="E144" s="14" t="str">
        <f>IF(CALC_EEM!E137="","",CALC_EEM!E137)</f>
        <v>—</v>
      </c>
      <c r="F144" s="14" t="str">
        <f>IF(CALC_EEM!F137="","",CALC_EEM!F137)</f>
        <v>—</v>
      </c>
      <c r="G144" t="str">
        <f>IF(CALC_EEM!G137="","",CALC_EEM!G137)</f>
        <v>—</v>
      </c>
      <c r="H144" s="16" t="str">
        <f>IF(CALC_EEM!H137="","",CALC_EEM!H137)</f>
        <v>—</v>
      </c>
      <c r="I144" s="16" t="str">
        <f>IF(CALC_EEM!I137="","",CALC_EEM!I137)</f>
        <v>—</v>
      </c>
      <c r="J144" t="str">
        <f>IF(CALC_EEM!J137="","",CALC_EEM!J137)</f>
        <v>—</v>
      </c>
      <c r="K144" t="str">
        <f>IF(CALC_EEM!K137="","",CALC_EEM!K137)</f>
        <v>—</v>
      </c>
      <c r="L144">
        <f>IF(CALC_EEM!L137="","",CALC_EEM!L137)</f>
        <v>0</v>
      </c>
      <c r="M144">
        <f>IF(CALC_EEM!M137="","",CALC_EEM!M137)</f>
        <v>0</v>
      </c>
      <c r="N144">
        <f>IF(CALC_EEM!N137="","",CALC_EEM!N137)</f>
        <v>0</v>
      </c>
      <c r="O144">
        <f>IF(CALC_EEM!O137="","",CALC_EEM!O137)</f>
        <v>0</v>
      </c>
      <c r="P144">
        <f>IF(CALC_EEM!P137="","",CALC_EEM!P137)</f>
        <v>0</v>
      </c>
      <c r="Q144">
        <f>IF(CALC_EEM!Q137="","",CALC_EEM!Q137)</f>
        <v>0</v>
      </c>
      <c r="R144">
        <f>IF(CALC_EEM!R137="","",CALC_EEM!R137)</f>
        <v>0</v>
      </c>
      <c r="S144">
        <f>IF(CALC_EEM!S137="","",CALC_EEM!S137)</f>
        <v>0</v>
      </c>
      <c r="T144">
        <f>IF(CALC_EEM!T137="","",CALC_EEM!T137)</f>
        <v>0</v>
      </c>
      <c r="U144">
        <f>IF(CALC_EEM!U137="","",CALC_EEM!U137)</f>
        <v>0</v>
      </c>
    </row>
    <row r="145" spans="1:24">
      <c r="A145" t="str">
        <f>IF(CALC_EEM!A138="","",IF(CALC_EEM!A138="GLOBAL","GLOBAL",IF(CALC_EEM!C138="Total","CURSO_TOTAL",IF(CALC_EEM!C138="TotalEsp","CURSO_ESP",IF(CALC_EEM!C138="TotalNoEsp","CURSO_NOESP","CURSO_ASIG")))))</f>
        <v>GLOBAL</v>
      </c>
      <c r="B145" t="str">
        <f>IF(CALC_EEM!A138="","",CALC_EEM!A138)</f>
        <v>GLOBAL</v>
      </c>
      <c r="C145" t="str">
        <f>IF(CALC_EEM!B138="","",CALC_EEM!B138)</f>
        <v>Total</v>
      </c>
      <c r="D145">
        <f>IF(CALC_EEM!D138="","",CALC_EEM!D138)</f>
        <v>0</v>
      </c>
      <c r="E145" s="14" t="str">
        <f>IF(CALC_EEM!E138="","",CALC_EEM!E138)</f>
        <v>—</v>
      </c>
      <c r="F145" s="14" t="str">
        <f>IF(CALC_EEM!F138="","",CALC_EEM!F138)</f>
        <v>—</v>
      </c>
      <c r="G145" t="str">
        <f>IF(CALC_EEM!G138="","",CALC_EEM!G138)</f>
        <v>—</v>
      </c>
      <c r="H145" s="16" t="str">
        <f>IF(CALC_EEM!H138="","",CALC_EEM!H138)</f>
        <v>—</v>
      </c>
      <c r="I145" s="16" t="str">
        <f>IF(CALC_EEM!I138="","",CALC_EEM!I138)</f>
        <v>—</v>
      </c>
      <c r="J145" t="str">
        <f>IF(CALC_EEM!J138="","",CALC_EEM!J138)</f>
        <v>—</v>
      </c>
      <c r="K145" t="str">
        <f>IF(CALC_EEM!K138="","",CALC_EEM!K138)</f>
        <v>—</v>
      </c>
      <c r="L145">
        <f>IF(CALC_EEM!L138="","",CALC_EEM!L138)</f>
        <v>0</v>
      </c>
      <c r="M145">
        <f>IF(CALC_EEM!M138="","",CALC_EEM!M138)</f>
        <v>0</v>
      </c>
      <c r="N145">
        <f>IF(CALC_EEM!N138="","",CALC_EEM!N138)</f>
        <v>0</v>
      </c>
      <c r="O145">
        <f>IF(CALC_EEM!O138="","",CALC_EEM!O138)</f>
        <v>0</v>
      </c>
      <c r="P145">
        <f>IF(CALC_EEM!P138="","",CALC_EEM!P138)</f>
        <v>0</v>
      </c>
      <c r="Q145">
        <f>IF(CALC_EEM!Q138="","",CALC_EEM!Q138)</f>
        <v>0</v>
      </c>
      <c r="R145">
        <f>IF(CALC_EEM!R138="","",CALC_EEM!R138)</f>
        <v>0</v>
      </c>
      <c r="S145">
        <f>IF(CALC_EEM!S138="","",CALC_EEM!S138)</f>
        <v>0</v>
      </c>
      <c r="T145">
        <f>IF(CALC_EEM!T138="","",CALC_EEM!T138)</f>
        <v>0</v>
      </c>
      <c r="U145">
        <f>IF(CALC_EEM!U138="","",CALC_EEM!U138)</f>
        <v>0</v>
      </c>
    </row>
    <row r="146" spans="1:24">
      <c r="A146" t="str">
        <f>IF(CALC_EEM!A139="","",IF(CALC_EEM!A139="GLOBAL","GLOBAL",IF(CALC_EEM!C139="Total","CURSO_TOTAL",IF(CALC_EEM!C139="TotalEsp","CURSO_ESP",IF(CALC_EEM!C139="TotalNoEsp","CURSO_NOESP","CURSO_ASIG")))))</f>
        <v>GLOBAL</v>
      </c>
      <c r="B146" t="str">
        <f>IF(CALC_EEM!A139="","",CALC_EEM!A139)</f>
        <v>GLOBAL</v>
      </c>
      <c r="C146" t="str">
        <f>IF(CALC_EEM!B139="","",CALC_EEM!B139)</f>
        <v>Total</v>
      </c>
      <c r="D146">
        <f>IF(CALC_EEM!D139="","",CALC_EEM!D139)</f>
        <v>0</v>
      </c>
      <c r="E146" s="14" t="str">
        <f>IF(CALC_EEM!E139="","",CALC_EEM!E139)</f>
        <v>—</v>
      </c>
      <c r="F146" s="14" t="str">
        <f>IF(CALC_EEM!F139="","",CALC_EEM!F139)</f>
        <v>—</v>
      </c>
      <c r="G146" t="str">
        <f>IF(CALC_EEM!G139="","",CALC_EEM!G139)</f>
        <v>—</v>
      </c>
      <c r="H146" s="16" t="str">
        <f>IF(CALC_EEM!H139="","",CALC_EEM!H139)</f>
        <v>—</v>
      </c>
      <c r="I146" s="16" t="str">
        <f>IF(CALC_EEM!I139="","",CALC_EEM!I139)</f>
        <v>—</v>
      </c>
      <c r="J146" t="str">
        <f>IF(CALC_EEM!J139="","",CALC_EEM!J139)</f>
        <v>—</v>
      </c>
      <c r="K146" t="str">
        <f>IF(CALC_EEM!K139="","",CALC_EEM!K139)</f>
        <v>—</v>
      </c>
      <c r="L146">
        <f>IF(CALC_EEM!L139="","",CALC_EEM!L139)</f>
        <v>0</v>
      </c>
      <c r="M146">
        <f>IF(CALC_EEM!M139="","",CALC_EEM!M139)</f>
        <v>0</v>
      </c>
      <c r="N146">
        <f>IF(CALC_EEM!N139="","",CALC_EEM!N139)</f>
        <v>0</v>
      </c>
      <c r="O146">
        <f>IF(CALC_EEM!O139="","",CALC_EEM!O139)</f>
        <v>0</v>
      </c>
      <c r="P146">
        <f>IF(CALC_EEM!P139="","",CALC_EEM!P139)</f>
        <v>0</v>
      </c>
      <c r="Q146">
        <f>IF(CALC_EEM!Q139="","",CALC_EEM!Q139)</f>
        <v>0</v>
      </c>
      <c r="R146">
        <f>IF(CALC_EEM!R139="","",CALC_EEM!R139)</f>
        <v>0</v>
      </c>
      <c r="S146">
        <f>IF(CALC_EEM!S139="","",CALC_EEM!S139)</f>
        <v>0</v>
      </c>
      <c r="T146">
        <f>IF(CALC_EEM!T139="","",CALC_EEM!T139)</f>
        <v>0</v>
      </c>
      <c r="U146">
        <f>IF(CALC_EEM!U139="","",CALC_EEM!U139)</f>
        <v>0</v>
      </c>
    </row>
    <row r="147" spans="1:24">
      <c r="A147" t="str">
        <f>IF(CALC_EEM!A140="","",IF(CALC_EEM!A140="GLOBAL","GLOBAL",IF(CALC_EEM!C140="Total","CURSO_TOTAL",IF(CALC_EEM!C140="TotalEsp","CURSO_ESP",IF(CALC_EEM!C140="TotalNoEsp","CURSO_NOESP","CURSO_ASIG")))))</f>
        <v>GLOBAL</v>
      </c>
      <c r="B147" t="str">
        <f>IF(CALC_EEM!A140="","",CALC_EEM!A140)</f>
        <v>GLOBAL</v>
      </c>
      <c r="C147" t="str">
        <f>IF(CALC_EEM!B140="","",CALC_EEM!B140)</f>
        <v>Total</v>
      </c>
      <c r="D147">
        <f>IF(CALC_EEM!D140="","",CALC_EEM!D140)</f>
        <v>0</v>
      </c>
      <c r="E147" s="14" t="str">
        <f>IF(CALC_EEM!E140="","",CALC_EEM!E140)</f>
        <v>—</v>
      </c>
      <c r="F147" s="14" t="str">
        <f>IF(CALC_EEM!F140="","",CALC_EEM!F140)</f>
        <v>—</v>
      </c>
      <c r="G147" t="str">
        <f>IF(CALC_EEM!G140="","",CALC_EEM!G140)</f>
        <v>—</v>
      </c>
      <c r="H147" s="16" t="str">
        <f>IF(CALC_EEM!H140="","",CALC_EEM!H140)</f>
        <v>—</v>
      </c>
      <c r="I147" s="16" t="str">
        <f>IF(CALC_EEM!I140="","",CALC_EEM!I140)</f>
        <v>—</v>
      </c>
      <c r="J147" t="str">
        <f>IF(CALC_EEM!J140="","",CALC_EEM!J140)</f>
        <v>—</v>
      </c>
      <c r="K147" t="str">
        <f>IF(CALC_EEM!K140="","",CALC_EEM!K140)</f>
        <v>—</v>
      </c>
      <c r="L147">
        <f>IF(CALC_EEM!L140="","",CALC_EEM!L140)</f>
        <v>0</v>
      </c>
      <c r="M147">
        <f>IF(CALC_EEM!M140="","",CALC_EEM!M140)</f>
        <v>0</v>
      </c>
      <c r="N147">
        <f>IF(CALC_EEM!N140="","",CALC_EEM!N140)</f>
        <v>0</v>
      </c>
      <c r="O147">
        <f>IF(CALC_EEM!O140="","",CALC_EEM!O140)</f>
        <v>0</v>
      </c>
      <c r="P147">
        <f>IF(CALC_EEM!P140="","",CALC_EEM!P140)</f>
        <v>0</v>
      </c>
      <c r="Q147">
        <f>IF(CALC_EEM!Q140="","",CALC_EEM!Q140)</f>
        <v>0</v>
      </c>
      <c r="R147">
        <f>IF(CALC_EEM!R140="","",CALC_EEM!R140)</f>
        <v>0</v>
      </c>
      <c r="S147">
        <f>IF(CALC_EEM!S140="","",CALC_EEM!S140)</f>
        <v>0</v>
      </c>
      <c r="T147">
        <f>IF(CALC_EEM!T140="","",CALC_EEM!T140)</f>
        <v>0</v>
      </c>
      <c r="U147">
        <f>IF(CALC_EEM!U140="","",CALC_EEM!U140)</f>
        <v>0</v>
      </c>
    </row>
    <row r="148" spans="1:24">
      <c r="A148" t="str">
        <f>IF(CALC_EEM!A141="","",IF(CALC_EEM!A141="GLOBAL","GLOBAL",IF(CALC_EEM!C141="Total","CURSO_TOTAL",IF(CALC_EEM!C141="TotalEsp","CURSO_ESP",IF(CALC_EEM!C141="TotalNoEsp","CURSO_NOESP","CURSO_ASIG")))))</f>
        <v>GLOBAL</v>
      </c>
      <c r="B148" t="str">
        <f>IF(CALC_EEM!A141="","",CALC_EEM!A141)</f>
        <v>GLOBAL</v>
      </c>
      <c r="C148" t="str">
        <f>IF(CALC_EEM!B141="","",CALC_EEM!B141)</f>
        <v>Total</v>
      </c>
      <c r="D148">
        <f>IF(CALC_EEM!D141="","",CALC_EEM!D141)</f>
        <v>0</v>
      </c>
      <c r="E148" s="14" t="str">
        <f>IF(CALC_EEM!E141="","",CALC_EEM!E141)</f>
        <v>—</v>
      </c>
      <c r="F148" s="14" t="str">
        <f>IF(CALC_EEM!F141="","",CALC_EEM!F141)</f>
        <v>—</v>
      </c>
      <c r="G148" t="str">
        <f>IF(CALC_EEM!G141="","",CALC_EEM!G141)</f>
        <v>—</v>
      </c>
      <c r="H148" s="16" t="str">
        <f>IF(CALC_EEM!H141="","",CALC_EEM!H141)</f>
        <v>—</v>
      </c>
      <c r="I148" s="16" t="str">
        <f>IF(CALC_EEM!I141="","",CALC_EEM!I141)</f>
        <v>—</v>
      </c>
      <c r="J148" t="str">
        <f>IF(CALC_EEM!J141="","",CALC_EEM!J141)</f>
        <v>—</v>
      </c>
      <c r="K148" t="str">
        <f>IF(CALC_EEM!K141="","",CALC_EEM!K141)</f>
        <v>—</v>
      </c>
      <c r="L148">
        <f>IF(CALC_EEM!L141="","",CALC_EEM!L141)</f>
        <v>0</v>
      </c>
      <c r="M148">
        <f>IF(CALC_EEM!M141="","",CALC_EEM!M141)</f>
        <v>0</v>
      </c>
      <c r="N148">
        <f>IF(CALC_EEM!N141="","",CALC_EEM!N141)</f>
        <v>0</v>
      </c>
      <c r="O148">
        <f>IF(CALC_EEM!O141="","",CALC_EEM!O141)</f>
        <v>0</v>
      </c>
      <c r="P148">
        <f>IF(CALC_EEM!P141="","",CALC_EEM!P141)</f>
        <v>0</v>
      </c>
      <c r="Q148">
        <f>IF(CALC_EEM!Q141="","",CALC_EEM!Q141)</f>
        <v>0</v>
      </c>
      <c r="R148">
        <f>IF(CALC_EEM!R141="","",CALC_EEM!R141)</f>
        <v>0</v>
      </c>
      <c r="S148">
        <f>IF(CALC_EEM!S141="","",CALC_EEM!S141)</f>
        <v>0</v>
      </c>
      <c r="T148">
        <f>IF(CALC_EEM!T141="","",CALC_EEM!T141)</f>
        <v>0</v>
      </c>
      <c r="U148">
        <f>IF(CALC_EEM!U141="","",CALC_EEM!U141)</f>
        <v>0</v>
      </c>
    </row>
    <row r="149" spans="1:24">
      <c r="A149" t="str">
        <f>IF(CALC_EEM!A142="","",IF(CALC_EEM!A142="GLOBAL","GLOBAL",IF(CALC_EEM!C142="Total","CURSO_TOTAL",IF(CALC_EEM!C142="TotalEsp","CURSO_ESP",IF(CALC_EEM!C142="TotalNoEsp","CURSO_NOESP","CURSO_ASIG")))))</f>
        <v>GLOBAL</v>
      </c>
      <c r="B149" t="str">
        <f>IF(CALC_EEM!A142="","",CALC_EEM!A142)</f>
        <v>GLOBAL</v>
      </c>
      <c r="C149" t="str">
        <f>IF(CALC_EEM!B142="","",CALC_EEM!B142)</f>
        <v>Total</v>
      </c>
      <c r="D149">
        <f>IF(CALC_EEM!D142="","",CALC_EEM!D142)</f>
        <v>0</v>
      </c>
      <c r="E149" s="14" t="str">
        <f>IF(CALC_EEM!E142="","",CALC_EEM!E142)</f>
        <v>—</v>
      </c>
      <c r="F149" s="14" t="str">
        <f>IF(CALC_EEM!F142="","",CALC_EEM!F142)</f>
        <v>—</v>
      </c>
      <c r="G149" t="str">
        <f>IF(CALC_EEM!G142="","",CALC_EEM!G142)</f>
        <v>—</v>
      </c>
      <c r="H149" s="16" t="str">
        <f>IF(CALC_EEM!H142="","",CALC_EEM!H142)</f>
        <v>—</v>
      </c>
      <c r="I149" s="16" t="str">
        <f>IF(CALC_EEM!I142="","",CALC_EEM!I142)</f>
        <v>—</v>
      </c>
      <c r="J149" t="str">
        <f>IF(CALC_EEM!J142="","",CALC_EEM!J142)</f>
        <v>—</v>
      </c>
      <c r="K149" t="str">
        <f>IF(CALC_EEM!K142="","",CALC_EEM!K142)</f>
        <v>—</v>
      </c>
      <c r="L149">
        <f>IF(CALC_EEM!L142="","",CALC_EEM!L142)</f>
        <v>0</v>
      </c>
      <c r="M149">
        <f>IF(CALC_EEM!M142="","",CALC_EEM!M142)</f>
        <v>0</v>
      </c>
      <c r="N149">
        <f>IF(CALC_EEM!N142="","",CALC_EEM!N142)</f>
        <v>0</v>
      </c>
      <c r="O149">
        <f>IF(CALC_EEM!O142="","",CALC_EEM!O142)</f>
        <v>0</v>
      </c>
      <c r="P149">
        <f>IF(CALC_EEM!P142="","",CALC_EEM!P142)</f>
        <v>0</v>
      </c>
      <c r="Q149">
        <f>IF(CALC_EEM!Q142="","",CALC_EEM!Q142)</f>
        <v>0</v>
      </c>
      <c r="R149">
        <f>IF(CALC_EEM!R142="","",CALC_EEM!R142)</f>
        <v>0</v>
      </c>
      <c r="S149">
        <f>IF(CALC_EEM!S142="","",CALC_EEM!S142)</f>
        <v>0</v>
      </c>
      <c r="T149">
        <f>IF(CALC_EEM!T142="","",CALC_EEM!T142)</f>
        <v>0</v>
      </c>
      <c r="U149">
        <f>IF(CALC_EEM!U142="","",CALC_EEM!U142)</f>
        <v>0</v>
      </c>
    </row>
    <row r="150" spans="1:24">
      <c r="A150" t="str">
        <f>IF(CALC_EEM!A143="","",IF(CALC_EEM!A143="GLOBAL","GLOBAL",IF(CALC_EEM!C143="Total","CURSO_TOTAL",IF(CALC_EEM!C143="TotalEsp","CURSO_ESP",IF(CALC_EEM!C143="TotalNoEsp","CURSO_NOESP","CURSO_ASIG")))))</f>
        <v>GLOBAL</v>
      </c>
      <c r="B150" t="str">
        <f>IF(CALC_EEM!A143="","",CALC_EEM!A143)</f>
        <v>GLOBAL</v>
      </c>
      <c r="C150" t="str">
        <f>IF(CALC_EEM!B143="","",CALC_EEM!B143)</f>
        <v>Total</v>
      </c>
      <c r="D150">
        <f>IF(CALC_EEM!D143="","",CALC_EEM!D143)</f>
        <v>0</v>
      </c>
      <c r="E150" s="14" t="str">
        <f>IF(CALC_EEM!E143="","",CALC_EEM!E143)</f>
        <v>—</v>
      </c>
      <c r="F150" s="14" t="str">
        <f>IF(CALC_EEM!F143="","",CALC_EEM!F143)</f>
        <v>—</v>
      </c>
      <c r="G150" t="str">
        <f>IF(CALC_EEM!G143="","",CALC_EEM!G143)</f>
        <v>—</v>
      </c>
      <c r="H150" s="16" t="str">
        <f>IF(CALC_EEM!H143="","",CALC_EEM!H143)</f>
        <v>—</v>
      </c>
      <c r="I150" s="16" t="str">
        <f>IF(CALC_EEM!I143="","",CALC_EEM!I143)</f>
        <v>—</v>
      </c>
      <c r="J150" t="str">
        <f>IF(CALC_EEM!J143="","",CALC_EEM!J143)</f>
        <v>—</v>
      </c>
      <c r="K150" t="str">
        <f>IF(CALC_EEM!K143="","",CALC_EEM!K143)</f>
        <v>—</v>
      </c>
      <c r="L150">
        <f>IF(CALC_EEM!L143="","",CALC_EEM!L143)</f>
        <v>0</v>
      </c>
      <c r="M150">
        <f>IF(CALC_EEM!M143="","",CALC_EEM!M143)</f>
        <v>0</v>
      </c>
      <c r="N150">
        <f>IF(CALC_EEM!N143="","",CALC_EEM!N143)</f>
        <v>0</v>
      </c>
      <c r="O150">
        <f>IF(CALC_EEM!O143="","",CALC_EEM!O143)</f>
        <v>0</v>
      </c>
      <c r="P150">
        <f>IF(CALC_EEM!P143="","",CALC_EEM!P143)</f>
        <v>0</v>
      </c>
      <c r="Q150">
        <f>IF(CALC_EEM!Q143="","",CALC_EEM!Q143)</f>
        <v>0</v>
      </c>
      <c r="R150">
        <f>IF(CALC_EEM!R143="","",CALC_EEM!R143)</f>
        <v>0</v>
      </c>
      <c r="S150">
        <f>IF(CALC_EEM!S143="","",CALC_EEM!S143)</f>
        <v>0</v>
      </c>
      <c r="T150">
        <f>IF(CALC_EEM!T143="","",CALC_EEM!T143)</f>
        <v>0</v>
      </c>
      <c r="U150">
        <f>IF(CALC_EEM!U143="","",CALC_EEM!U143)</f>
        <v>0</v>
      </c>
    </row>
    <row r="151" spans="1:24">
      <c r="A151" t="str">
        <f>IF(CALC_EEM!A144="","",IF(CALC_EEM!A144="GLOBAL","GLOBAL",IF(CALC_EEM!C144="Total","CURSO_TOTAL",IF(CALC_EEM!C144="TotalEsp","CURSO_ESP",IF(CALC_EEM!C144="TotalNoEsp","CURSO_NOESP","CURSO_ASIG")))))</f>
        <v>GLOBAL</v>
      </c>
      <c r="B151" t="str">
        <f>IF(CALC_EEM!A144="","",CALC_EEM!A144)</f>
        <v>GLOBAL</v>
      </c>
      <c r="C151" t="str">
        <f>IF(CALC_EEM!B144="","",CALC_EEM!B144)</f>
        <v>Total</v>
      </c>
      <c r="D151">
        <f>IF(CALC_EEM!D144="","",CALC_EEM!D144)</f>
        <v>0</v>
      </c>
      <c r="E151" s="14" t="str">
        <f>IF(CALC_EEM!E144="","",CALC_EEM!E144)</f>
        <v>—</v>
      </c>
      <c r="F151" s="14" t="str">
        <f>IF(CALC_EEM!F144="","",CALC_EEM!F144)</f>
        <v>—</v>
      </c>
      <c r="G151" t="str">
        <f>IF(CALC_EEM!G144="","",CALC_EEM!G144)</f>
        <v>—</v>
      </c>
      <c r="H151" s="16" t="str">
        <f>IF(CALC_EEM!H144="","",CALC_EEM!H144)</f>
        <v>—</v>
      </c>
      <c r="I151" s="16" t="str">
        <f>IF(CALC_EEM!I144="","",CALC_EEM!I144)</f>
        <v>—</v>
      </c>
      <c r="J151" t="str">
        <f>IF(CALC_EEM!J144="","",CALC_EEM!J144)</f>
        <v>—</v>
      </c>
      <c r="K151" t="str">
        <f>IF(CALC_EEM!K144="","",CALC_EEM!K144)</f>
        <v>—</v>
      </c>
      <c r="L151">
        <f>IF(CALC_EEM!L144="","",CALC_EEM!L144)</f>
        <v>0</v>
      </c>
      <c r="M151">
        <f>IF(CALC_EEM!M144="","",CALC_EEM!M144)</f>
        <v>0</v>
      </c>
      <c r="N151">
        <f>IF(CALC_EEM!N144="","",CALC_EEM!N144)</f>
        <v>0</v>
      </c>
      <c r="O151">
        <f>IF(CALC_EEM!O144="","",CALC_EEM!O144)</f>
        <v>0</v>
      </c>
      <c r="P151">
        <f>IF(CALC_EEM!P144="","",CALC_EEM!P144)</f>
        <v>0</v>
      </c>
      <c r="Q151">
        <f>IF(CALC_EEM!Q144="","",CALC_EEM!Q144)</f>
        <v>0</v>
      </c>
      <c r="R151">
        <f>IF(CALC_EEM!R144="","",CALC_EEM!R144)</f>
        <v>0</v>
      </c>
      <c r="S151">
        <f>IF(CALC_EEM!S144="","",CALC_EEM!S144)</f>
        <v>0</v>
      </c>
      <c r="T151">
        <f>IF(CALC_EEM!T144="","",CALC_EEM!T144)</f>
        <v>0</v>
      </c>
      <c r="U151">
        <f>IF(CALC_EEM!U144="","",CALC_EEM!U144)</f>
        <v>0</v>
      </c>
    </row>
    <row r="152" spans="1:24">
      <c r="A152" t="str">
        <f>IF(CALC_EEM!A145="","",IF(CALC_EEM!A145="GLOBAL","GLOBAL",IF(CALC_EEM!C145="Total","CURSO_TOTAL",IF(CALC_EEM!C145="TotalEsp","CURSO_ESP",IF(CALC_EEM!C145="TotalNoEsp","CURSO_NOESP","CURSO_ASIG")))))</f>
        <v>GLOBAL</v>
      </c>
      <c r="B152" t="str">
        <f>IF(CALC_EEM!A145="","",CALC_EEM!A145)</f>
        <v>GLOBAL</v>
      </c>
      <c r="C152" t="str">
        <f>IF(CALC_EEM!B145="","",CALC_EEM!B145)</f>
        <v>Total</v>
      </c>
      <c r="D152">
        <f>IF(CALC_EEM!D145="","",CALC_EEM!D145)</f>
        <v>0</v>
      </c>
      <c r="E152" s="14" t="str">
        <f>IF(CALC_EEM!E145="","",CALC_EEM!E145)</f>
        <v>—</v>
      </c>
      <c r="F152" s="14" t="str">
        <f>IF(CALC_EEM!F145="","",CALC_EEM!F145)</f>
        <v>—</v>
      </c>
      <c r="G152" t="str">
        <f>IF(CALC_EEM!G145="","",CALC_EEM!G145)</f>
        <v>—</v>
      </c>
      <c r="H152" s="16" t="str">
        <f>IF(CALC_EEM!H145="","",CALC_EEM!H145)</f>
        <v>—</v>
      </c>
      <c r="I152" s="16" t="str">
        <f>IF(CALC_EEM!I145="","",CALC_EEM!I145)</f>
        <v>—</v>
      </c>
      <c r="J152" t="str">
        <f>IF(CALC_EEM!J145="","",CALC_EEM!J145)</f>
        <v>—</v>
      </c>
      <c r="K152" t="str">
        <f>IF(CALC_EEM!K145="","",CALC_EEM!K145)</f>
        <v>—</v>
      </c>
      <c r="L152">
        <f>IF(CALC_EEM!L145="","",CALC_EEM!L145)</f>
        <v>0</v>
      </c>
      <c r="M152">
        <f>IF(CALC_EEM!M145="","",CALC_EEM!M145)</f>
        <v>0</v>
      </c>
      <c r="N152">
        <f>IF(CALC_EEM!N145="","",CALC_EEM!N145)</f>
        <v>0</v>
      </c>
      <c r="O152">
        <f>IF(CALC_EEM!O145="","",CALC_EEM!O145)</f>
        <v>0</v>
      </c>
      <c r="P152">
        <f>IF(CALC_EEM!P145="","",CALC_EEM!P145)</f>
        <v>0</v>
      </c>
      <c r="Q152">
        <f>IF(CALC_EEM!Q145="","",CALC_EEM!Q145)</f>
        <v>0</v>
      </c>
      <c r="R152">
        <f>IF(CALC_EEM!R145="","",CALC_EEM!R145)</f>
        <v>0</v>
      </c>
      <c r="S152">
        <f>IF(CALC_EEM!S145="","",CALC_EEM!S145)</f>
        <v>0</v>
      </c>
      <c r="T152">
        <f>IF(CALC_EEM!T145="","",CALC_EEM!T145)</f>
        <v>0</v>
      </c>
      <c r="U152">
        <f>IF(CALC_EEM!U145="","",CALC_EEM!U145)</f>
        <v>0</v>
      </c>
    </row>
    <row r="153" spans="1:24">
      <c r="A153" t="str">
        <f>IF(CALC_EEM!A146="","",IF(CALC_EEM!A146="GLOBAL","GLOBAL",IF(CALC_EEM!C146="Total","CURSO_TOTAL",IF(CALC_EEM!C146="TotalEsp","CURSO_ESP",IF(CALC_EEM!C146="TotalNoEsp","CURSO_NOESP","CURSO_ASIG")))))</f>
        <v>GLOBAL</v>
      </c>
      <c r="B153" t="str">
        <f>IF(CALC_EEM!A146="","",CALC_EEM!A146)</f>
        <v>GLOBAL</v>
      </c>
      <c r="C153" t="str">
        <f>IF(CALC_EEM!B146="","",CALC_EEM!B146)</f>
        <v>Total</v>
      </c>
      <c r="D153">
        <f>IF(CALC_EEM!D146="","",CALC_EEM!D146)</f>
        <v>0</v>
      </c>
      <c r="E153" s="14" t="str">
        <f>IF(CALC_EEM!E146="","",CALC_EEM!E146)</f>
        <v>—</v>
      </c>
      <c r="F153" s="14" t="str">
        <f>IF(CALC_EEM!F146="","",CALC_EEM!F146)</f>
        <v>—</v>
      </c>
      <c r="G153" t="str">
        <f>IF(CALC_EEM!G146="","",CALC_EEM!G146)</f>
        <v>—</v>
      </c>
      <c r="H153" s="16" t="str">
        <f>IF(CALC_EEM!H146="","",CALC_EEM!H146)</f>
        <v>—</v>
      </c>
      <c r="I153" s="16" t="str">
        <f>IF(CALC_EEM!I146="","",CALC_EEM!I146)</f>
        <v>—</v>
      </c>
      <c r="J153" t="str">
        <f>IF(CALC_EEM!J146="","",CALC_EEM!J146)</f>
        <v>—</v>
      </c>
      <c r="K153" t="str">
        <f>IF(CALC_EEM!K146="","",CALC_EEM!K146)</f>
        <v>—</v>
      </c>
      <c r="L153">
        <f>IF(CALC_EEM!L146="","",CALC_EEM!L146)</f>
        <v>0</v>
      </c>
      <c r="M153">
        <f>IF(CALC_EEM!M146="","",CALC_EEM!M146)</f>
        <v>0</v>
      </c>
      <c r="N153">
        <f>IF(CALC_EEM!N146="","",CALC_EEM!N146)</f>
        <v>0</v>
      </c>
      <c r="O153">
        <f>IF(CALC_EEM!O146="","",CALC_EEM!O146)</f>
        <v>0</v>
      </c>
      <c r="P153">
        <f>IF(CALC_EEM!P146="","",CALC_EEM!P146)</f>
        <v>0</v>
      </c>
      <c r="Q153">
        <f>IF(CALC_EEM!Q146="","",CALC_EEM!Q146)</f>
        <v>0</v>
      </c>
      <c r="R153">
        <f>IF(CALC_EEM!R146="","",CALC_EEM!R146)</f>
        <v>0</v>
      </c>
      <c r="S153">
        <f>IF(CALC_EEM!S146="","",CALC_EEM!S146)</f>
        <v>0</v>
      </c>
      <c r="T153">
        <f>IF(CALC_EEM!T146="","",CALC_EEM!T146)</f>
        <v>0</v>
      </c>
      <c r="U153">
        <f>IF(CALC_EEM!U146="","",CALC_EEM!U146)</f>
        <v>0</v>
      </c>
    </row>
    <row r="154" spans="1:24">
      <c r="A154" t="str">
        <f>IF(CALC_EEM!A147="","",IF(CALC_EEM!A147="GLOBAL","GLOBAL",IF(CALC_EEM!C147="Total","CURSO_TOTAL",IF(CALC_EEM!C147="TotalEsp","CURSO_ESP",IF(CALC_EEM!C147="TotalNoEsp","CURSO_NOESP","CURSO_ASIG")))))</f>
        <v>GLOBAL</v>
      </c>
      <c r="B154" t="str">
        <f>IF(CALC_EEM!A147="","",CALC_EEM!A147)</f>
        <v>GLOBAL</v>
      </c>
      <c r="C154" t="str">
        <f>IF(CALC_EEM!B147="","",CALC_EEM!B147)</f>
        <v>Total</v>
      </c>
      <c r="D154">
        <f>IF(CALC_EEM!D147="","",CALC_EEM!D147)</f>
        <v>0</v>
      </c>
      <c r="E154" s="14" t="str">
        <f>IF(CALC_EEM!E147="","",CALC_EEM!E147)</f>
        <v>—</v>
      </c>
      <c r="F154" s="14" t="str">
        <f>IF(CALC_EEM!F147="","",CALC_EEM!F147)</f>
        <v>—</v>
      </c>
      <c r="G154" t="str">
        <f>IF(CALC_EEM!G147="","",CALC_EEM!G147)</f>
        <v>—</v>
      </c>
      <c r="H154" s="16" t="str">
        <f>IF(CALC_EEM!H147="","",CALC_EEM!H147)</f>
        <v>—</v>
      </c>
      <c r="I154" s="16" t="str">
        <f>IF(CALC_EEM!I147="","",CALC_EEM!I147)</f>
        <v>—</v>
      </c>
      <c r="J154" t="str">
        <f>IF(CALC_EEM!J147="","",CALC_EEM!J147)</f>
        <v>—</v>
      </c>
      <c r="K154" t="str">
        <f>IF(CALC_EEM!K147="","",CALC_EEM!K147)</f>
        <v>—</v>
      </c>
      <c r="L154">
        <f>IF(CALC_EEM!L147="","",CALC_EEM!L147)</f>
        <v>0</v>
      </c>
      <c r="M154">
        <f>IF(CALC_EEM!M147="","",CALC_EEM!M147)</f>
        <v>0</v>
      </c>
      <c r="N154">
        <f>IF(CALC_EEM!N147="","",CALC_EEM!N147)</f>
        <v>0</v>
      </c>
      <c r="O154">
        <f>IF(CALC_EEM!O147="","",CALC_EEM!O147)</f>
        <v>0</v>
      </c>
      <c r="P154">
        <f>IF(CALC_EEM!P147="","",CALC_EEM!P147)</f>
        <v>0</v>
      </c>
      <c r="Q154">
        <f>IF(CALC_EEM!Q147="","",CALC_EEM!Q147)</f>
        <v>0</v>
      </c>
      <c r="R154">
        <f>IF(CALC_EEM!R147="","",CALC_EEM!R147)</f>
        <v>0</v>
      </c>
      <c r="S154">
        <f>IF(CALC_EEM!S147="","",CALC_EEM!S147)</f>
        <v>0</v>
      </c>
      <c r="T154">
        <f>IF(CALC_EEM!T147="","",CALC_EEM!T147)</f>
        <v>0</v>
      </c>
      <c r="U154">
        <f>IF(CALC_EEM!U147="","",CALC_EEM!U147)</f>
        <v>0</v>
      </c>
    </row>
    <row r="155" spans="1:24">
      <c r="A155" t="str">
        <f>IF(CALC_EEM!A148="","",IF(CALC_EEM!A148="GLOBAL","GLOBAL",IF(CALC_EEM!C148="Total","CURSO_TOTAL",IF(CALC_EEM!C148="TotalEsp","CURSO_ESP",IF(CALC_EEM!C148="TotalNoEsp","CURSO_NOESP","CURSO_ASIG")))))</f>
        <v>GLOBAL</v>
      </c>
      <c r="B155" t="str">
        <f>IF(CALC_EEM!A148="","",CALC_EEM!A148)</f>
        <v>GLOBAL</v>
      </c>
      <c r="C155" t="str">
        <f>IF(CALC_EEM!B148="","",CALC_EEM!B148)</f>
        <v>Total</v>
      </c>
      <c r="D155">
        <f>IF(CALC_EEM!D148="","",CALC_EEM!D148)</f>
        <v>0</v>
      </c>
      <c r="E155" s="14" t="str">
        <f>IF(CALC_EEM!E148="","",CALC_EEM!E148)</f>
        <v>—</v>
      </c>
      <c r="F155" s="14" t="str">
        <f>IF(CALC_EEM!F148="","",CALC_EEM!F148)</f>
        <v>—</v>
      </c>
      <c r="G155" t="str">
        <f>IF(CALC_EEM!G148="","",CALC_EEM!G148)</f>
        <v>—</v>
      </c>
      <c r="H155" s="16" t="str">
        <f>IF(CALC_EEM!H148="","",CALC_EEM!H148)</f>
        <v>—</v>
      </c>
      <c r="I155" s="16" t="str">
        <f>IF(CALC_EEM!I148="","",CALC_EEM!I148)</f>
        <v>—</v>
      </c>
      <c r="J155" t="str">
        <f>IF(CALC_EEM!J148="","",CALC_EEM!J148)</f>
        <v>—</v>
      </c>
      <c r="K155" t="str">
        <f>IF(CALC_EEM!K148="","",CALC_EEM!K148)</f>
        <v>—</v>
      </c>
      <c r="L155">
        <f>IF(CALC_EEM!L148="","",CALC_EEM!L148)</f>
        <v>0</v>
      </c>
      <c r="M155">
        <f>IF(CALC_EEM!M148="","",CALC_EEM!M148)</f>
        <v>0</v>
      </c>
      <c r="N155">
        <f>IF(CALC_EEM!N148="","",CALC_EEM!N148)</f>
        <v>0</v>
      </c>
      <c r="O155">
        <f>IF(CALC_EEM!O148="","",CALC_EEM!O148)</f>
        <v>0</v>
      </c>
      <c r="P155">
        <f>IF(CALC_EEM!P148="","",CALC_EEM!P148)</f>
        <v>0</v>
      </c>
      <c r="Q155">
        <f>IF(CALC_EEM!Q148="","",CALC_EEM!Q148)</f>
        <v>0</v>
      </c>
      <c r="R155">
        <f>IF(CALC_EEM!R148="","",CALC_EEM!R148)</f>
        <v>0</v>
      </c>
      <c r="S155">
        <f>IF(CALC_EEM!S148="","",CALC_EEM!S148)</f>
        <v>0</v>
      </c>
      <c r="T155">
        <f>IF(CALC_EEM!T148="","",CALC_EEM!T148)</f>
        <v>0</v>
      </c>
      <c r="U155">
        <f>IF(CALC_EEM!U148="","",CALC_EEM!U148)</f>
        <v>0</v>
      </c>
    </row>
    <row r="156" spans="1:24">
      <c r="A156" t="str">
        <f>IF(CALC_EEM!A149="","",IF(CALC_EEM!A149="GLOBAL","GLOBAL",IF(CALC_EEM!C149="Total","CURSO_TOTAL",IF(CALC_EEM!C149="TotalEsp","CURSO_ESP",IF(CALC_EEM!C149="TotalNoEsp","CURSO_NOESP","CURSO_ASIG")))))</f>
        <v>GLOBAL</v>
      </c>
      <c r="B156" t="str">
        <f>IF(CALC_EEM!A149="","",CALC_EEM!A149)</f>
        <v>GLOBAL</v>
      </c>
      <c r="C156" t="str">
        <f>IF(CALC_EEM!B149="","",CALC_EEM!B149)</f>
        <v>Total</v>
      </c>
      <c r="D156">
        <f>IF(CALC_EEM!D149="","",CALC_EEM!D149)</f>
        <v>0</v>
      </c>
      <c r="E156" s="14" t="str">
        <f>IF(CALC_EEM!E149="","",CALC_EEM!E149)</f>
        <v>—</v>
      </c>
      <c r="F156" s="14" t="str">
        <f>IF(CALC_EEM!F149="","",CALC_EEM!F149)</f>
        <v>—</v>
      </c>
      <c r="G156" t="str">
        <f>IF(CALC_EEM!G149="","",CALC_EEM!G149)</f>
        <v>—</v>
      </c>
      <c r="H156" s="16" t="str">
        <f>IF(CALC_EEM!H149="","",CALC_EEM!H149)</f>
        <v>—</v>
      </c>
      <c r="I156" s="16" t="str">
        <f>IF(CALC_EEM!I149="","",CALC_EEM!I149)</f>
        <v>—</v>
      </c>
      <c r="J156" t="str">
        <f>IF(CALC_EEM!J149="","",CALC_EEM!J149)</f>
        <v>—</v>
      </c>
      <c r="K156" t="str">
        <f>IF(CALC_EEM!K149="","",CALC_EEM!K149)</f>
        <v>—</v>
      </c>
      <c r="L156">
        <f>IF(CALC_EEM!L149="","",CALC_EEM!L149)</f>
        <v>0</v>
      </c>
      <c r="M156">
        <f>IF(CALC_EEM!M149="","",CALC_EEM!M149)</f>
        <v>0</v>
      </c>
      <c r="N156">
        <f>IF(CALC_EEM!N149="","",CALC_EEM!N149)</f>
        <v>0</v>
      </c>
      <c r="O156">
        <f>IF(CALC_EEM!O149="","",CALC_EEM!O149)</f>
        <v>0</v>
      </c>
      <c r="P156">
        <f>IF(CALC_EEM!P149="","",CALC_EEM!P149)</f>
        <v>0</v>
      </c>
      <c r="Q156">
        <f>IF(CALC_EEM!Q149="","",CALC_EEM!Q149)</f>
        <v>0</v>
      </c>
      <c r="R156">
        <f>IF(CALC_EEM!R149="","",CALC_EEM!R149)</f>
        <v>0</v>
      </c>
      <c r="S156">
        <f>IF(CALC_EEM!S149="","",CALC_EEM!S149)</f>
        <v>0</v>
      </c>
      <c r="T156">
        <f>IF(CALC_EEM!T149="","",CALC_EEM!T149)</f>
        <v>0</v>
      </c>
      <c r="U156">
        <f>IF(CALC_EEM!U149="","",CALC_EEM!U149)</f>
        <v>0</v>
      </c>
    </row>
    <row r="157" spans="1:24">
      <c r="A157" t="str">
        <f>IF(CALC_EEM!A150="","",IF(CALC_EEM!A150="GLOBAL","GLOBAL",IF(CALC_EEM!C150="Total","CURSO_TOTAL",IF(CALC_EEM!C150="TotalEsp","CURSO_ESP",IF(CALC_EEM!C150="TotalNoEsp","CURSO_NOESP","CURSO_ASIG")))))</f>
        <v>GLOBAL</v>
      </c>
      <c r="B157" t="str">
        <f>IF(CALC_EEM!A150="","",CALC_EEM!A150)</f>
        <v>GLOBAL</v>
      </c>
      <c r="C157" t="str">
        <f>IF(CALC_EEM!B150="","",CALC_EEM!B150)</f>
        <v>Total</v>
      </c>
      <c r="D157">
        <f>IF(CALC_EEM!D150="","",CALC_EEM!D150)</f>
        <v>0</v>
      </c>
      <c r="E157" s="14" t="str">
        <f>IF(CALC_EEM!E150="","",CALC_EEM!E150)</f>
        <v>—</v>
      </c>
      <c r="F157" s="14" t="str">
        <f>IF(CALC_EEM!F150="","",CALC_EEM!F150)</f>
        <v>—</v>
      </c>
      <c r="G157" t="str">
        <f>IF(CALC_EEM!G150="","",CALC_EEM!G150)</f>
        <v>—</v>
      </c>
      <c r="H157" s="16" t="str">
        <f>IF(CALC_EEM!H150="","",CALC_EEM!H150)</f>
        <v>—</v>
      </c>
      <c r="I157" s="16" t="str">
        <f>IF(CALC_EEM!I150="","",CALC_EEM!I150)</f>
        <v>—</v>
      </c>
      <c r="J157" t="str">
        <f>IF(CALC_EEM!J150="","",CALC_EEM!J150)</f>
        <v>—</v>
      </c>
      <c r="K157" t="str">
        <f>IF(CALC_EEM!K150="","",CALC_EEM!K150)</f>
        <v>—</v>
      </c>
      <c r="L157">
        <f>IF(CALC_EEM!L150="","",CALC_EEM!L150)</f>
        <v>0</v>
      </c>
      <c r="M157">
        <f>IF(CALC_EEM!M150="","",CALC_EEM!M150)</f>
        <v>0</v>
      </c>
      <c r="N157">
        <f>IF(CALC_EEM!N150="","",CALC_EEM!N150)</f>
        <v>0</v>
      </c>
      <c r="O157">
        <f>IF(CALC_EEM!O150="","",CALC_EEM!O150)</f>
        <v>0</v>
      </c>
      <c r="P157">
        <f>IF(CALC_EEM!P150="","",CALC_EEM!P150)</f>
        <v>0</v>
      </c>
      <c r="Q157">
        <f>IF(CALC_EEM!Q150="","",CALC_EEM!Q150)</f>
        <v>0</v>
      </c>
      <c r="R157">
        <f>IF(CALC_EEM!R150="","",CALC_EEM!R150)</f>
        <v>0</v>
      </c>
      <c r="S157">
        <f>IF(CALC_EEM!S150="","",CALC_EEM!S150)</f>
        <v>0</v>
      </c>
      <c r="T157">
        <f>IF(CALC_EEM!T150="","",CALC_EEM!T150)</f>
        <v>0</v>
      </c>
      <c r="U157">
        <f>IF(CALC_EEM!U150="","",CALC_EEM!U150)</f>
        <v>0</v>
      </c>
    </row>
    <row r="158" spans="1:24">
      <c r="A158" t="str">
        <f>IF(CALC_EEM!A151="","",IF(CALC_EEM!A151="GLOBAL","GLOBAL",IF(CALC_EEM!C151="Total","CURSO_TOTAL",IF(CALC_EEM!C151="TotalEsp","CURSO_ESP",IF(CALC_EEM!C151="TotalNoEsp","CURSO_NOESP","CURSO_ASIG")))))</f>
        <v>GLOBAL</v>
      </c>
      <c r="B158" t="str">
        <f>IF(CALC_EEM!A151="","",CALC_EEM!A151)</f>
        <v>GLOBAL</v>
      </c>
      <c r="C158" t="str">
        <f>IF(CALC_EEM!B151="","",CALC_EEM!B151)</f>
        <v>Total</v>
      </c>
      <c r="D158">
        <f>IF(CALC_EEM!D151="","",CALC_EEM!D151)</f>
        <v>0</v>
      </c>
      <c r="E158" s="14" t="str">
        <f>IF(CALC_EEM!E151="","",CALC_EEM!E151)</f>
        <v>—</v>
      </c>
      <c r="F158" s="14" t="str">
        <f>IF(CALC_EEM!F151="","",CALC_EEM!F151)</f>
        <v>—</v>
      </c>
      <c r="G158" t="str">
        <f>IF(CALC_EEM!G151="","",CALC_EEM!G151)</f>
        <v>—</v>
      </c>
      <c r="H158" s="16" t="str">
        <f>IF(CALC_EEM!H151="","",CALC_EEM!H151)</f>
        <v>—</v>
      </c>
      <c r="I158" s="16" t="str">
        <f>IF(CALC_EEM!I151="","",CALC_EEM!I151)</f>
        <v>—</v>
      </c>
      <c r="J158" t="str">
        <f>IF(CALC_EEM!J151="","",CALC_EEM!J151)</f>
        <v>—</v>
      </c>
      <c r="K158" t="str">
        <f>IF(CALC_EEM!K151="","",CALC_EEM!K151)</f>
        <v>—</v>
      </c>
      <c r="L158">
        <f>IF(CALC_EEM!L151="","",CALC_EEM!L151)</f>
        <v>0</v>
      </c>
      <c r="M158">
        <f>IF(CALC_EEM!M151="","",CALC_EEM!M151)</f>
        <v>0</v>
      </c>
      <c r="N158">
        <f>IF(CALC_EEM!N151="","",CALC_EEM!N151)</f>
        <v>0</v>
      </c>
      <c r="O158">
        <f>IF(CALC_EEM!O151="","",CALC_EEM!O151)</f>
        <v>0</v>
      </c>
      <c r="P158">
        <f>IF(CALC_EEM!P151="","",CALC_EEM!P151)</f>
        <v>0</v>
      </c>
      <c r="Q158">
        <f>IF(CALC_EEM!Q151="","",CALC_EEM!Q151)</f>
        <v>0</v>
      </c>
      <c r="R158">
        <f>IF(CALC_EEM!R151="","",CALC_EEM!R151)</f>
        <v>0</v>
      </c>
      <c r="S158">
        <f>IF(CALC_EEM!S151="","",CALC_EEM!S151)</f>
        <v>0</v>
      </c>
      <c r="T158">
        <f>IF(CALC_EEM!T151="","",CALC_EEM!T151)</f>
        <v>0</v>
      </c>
      <c r="U158">
        <f>IF(CALC_EEM!U151="","",CALC_EEM!U151)</f>
        <v>0</v>
      </c>
    </row>
    <row r="159" spans="1:24">
      <c r="A159" t="str">
        <f>IF(CALC_EEM!A152="","",IF(CALC_EEM!A152="GLOBAL","GLOBAL",IF(CALC_EEM!C152="Total","CURSO_TOTAL",IF(CALC_EEM!C152="TotalEsp","CURSO_ESP",IF(CALC_EEM!C152="TotalNoEsp","CURSO_NOESP","CURSO_ASIG")))))</f>
        <v>GLOBAL</v>
      </c>
      <c r="B159" t="str">
        <f>IF(CALC_EEM!A152="","",CALC_EEM!A152)</f>
        <v>GLOBAL</v>
      </c>
      <c r="C159" t="str">
        <f>IF(CALC_EEM!B152="","",CALC_EEM!B152)</f>
        <v>Total</v>
      </c>
      <c r="D159">
        <f>IF(CALC_EEM!D152="","",CALC_EEM!D152)</f>
        <v>0</v>
      </c>
      <c r="E159" s="14" t="str">
        <f>IF(CALC_EEM!E152="","",CALC_EEM!E152)</f>
        <v>—</v>
      </c>
      <c r="F159" s="14" t="str">
        <f>IF(CALC_EEM!F152="","",CALC_EEM!F152)</f>
        <v>—</v>
      </c>
      <c r="G159" t="str">
        <f>IF(CALC_EEM!G152="","",CALC_EEM!G152)</f>
        <v>—</v>
      </c>
      <c r="H159" s="16" t="str">
        <f>IF(CALC_EEM!H152="","",CALC_EEM!H152)</f>
        <v>—</v>
      </c>
      <c r="I159" s="16" t="str">
        <f>IF(CALC_EEM!I152="","",CALC_EEM!I152)</f>
        <v>—</v>
      </c>
      <c r="J159" t="str">
        <f>IF(CALC_EEM!J152="","",CALC_EEM!J152)</f>
        <v>—</v>
      </c>
      <c r="K159" t="str">
        <f>IF(CALC_EEM!K152="","",CALC_EEM!K152)</f>
        <v>—</v>
      </c>
      <c r="L159">
        <f>IF(CALC_EEM!L152="","",CALC_EEM!L152)</f>
        <v>0</v>
      </c>
      <c r="M159">
        <f>IF(CALC_EEM!M152="","",CALC_EEM!M152)</f>
        <v>0</v>
      </c>
      <c r="N159">
        <f>IF(CALC_EEM!N152="","",CALC_EEM!N152)</f>
        <v>0</v>
      </c>
      <c r="O159">
        <f>IF(CALC_EEM!O152="","",CALC_EEM!O152)</f>
        <v>0</v>
      </c>
      <c r="P159">
        <f>IF(CALC_EEM!P152="","",CALC_EEM!P152)</f>
        <v>0</v>
      </c>
      <c r="Q159">
        <f>IF(CALC_EEM!Q152="","",CALC_EEM!Q152)</f>
        <v>0</v>
      </c>
      <c r="R159">
        <f>IF(CALC_EEM!R152="","",CALC_EEM!R152)</f>
        <v>0</v>
      </c>
      <c r="S159">
        <f>IF(CALC_EEM!S152="","",CALC_EEM!S152)</f>
        <v>0</v>
      </c>
      <c r="T159">
        <f>IF(CALC_EEM!T152="","",CALC_EEM!T152)</f>
        <v>0</v>
      </c>
      <c r="U159">
        <f>IF(CALC_EEM!U152="","",CALC_EEM!U152)</f>
        <v>0</v>
      </c>
    </row>
    <row r="160" spans="1:24">
      <c r="A160" t="str">
        <f>IF(CALC_EEM!A153="","",IF(CALC_EEM!A153="GLOBAL","GLOBAL",IF(CALC_EEM!C153="Total","CURSO_TOTAL",IF(CALC_EEM!C153="TotalEsp","CURSO_ESP",IF(CALC_EEM!C153="TotalNoEsp","CURSO_NOESP","CURSO_ASIG")))))</f>
        <v>GLOBAL</v>
      </c>
      <c r="B160" t="str">
        <f>IF(CALC_EEM!A153="","",CALC_EEM!A153)</f>
        <v>GLOBAL</v>
      </c>
      <c r="C160" t="str">
        <f>IF(CALC_EEM!B153="","",CALC_EEM!B153)</f>
        <v>Total</v>
      </c>
      <c r="D160">
        <f>IF(CALC_EEM!D153="","",CALC_EEM!D153)</f>
        <v>0</v>
      </c>
      <c r="E160" s="14" t="str">
        <f>IF(CALC_EEM!E153="","",CALC_EEM!E153)</f>
        <v>—</v>
      </c>
      <c r="F160" s="14" t="str">
        <f>IF(CALC_EEM!F153="","",CALC_EEM!F153)</f>
        <v>—</v>
      </c>
      <c r="G160" t="str">
        <f>IF(CALC_EEM!G153="","",CALC_EEM!G153)</f>
        <v>—</v>
      </c>
      <c r="H160" s="16" t="str">
        <f>IF(CALC_EEM!H153="","",CALC_EEM!H153)</f>
        <v>—</v>
      </c>
      <c r="I160" s="16" t="str">
        <f>IF(CALC_EEM!I153="","",CALC_EEM!I153)</f>
        <v>—</v>
      </c>
      <c r="J160" t="str">
        <f>IF(CALC_EEM!J153="","",CALC_EEM!J153)</f>
        <v>—</v>
      </c>
      <c r="K160" t="str">
        <f>IF(CALC_EEM!K153="","",CALC_EEM!K153)</f>
        <v>—</v>
      </c>
      <c r="L160">
        <f>IF(CALC_EEM!L153="","",CALC_EEM!L153)</f>
        <v>0</v>
      </c>
      <c r="M160">
        <f>IF(CALC_EEM!M153="","",CALC_EEM!M153)</f>
        <v>0</v>
      </c>
      <c r="N160">
        <f>IF(CALC_EEM!N153="","",CALC_EEM!N153)</f>
        <v>0</v>
      </c>
      <c r="O160">
        <f>IF(CALC_EEM!O153="","",CALC_EEM!O153)</f>
        <v>0</v>
      </c>
      <c r="P160">
        <f>IF(CALC_EEM!P153="","",CALC_EEM!P153)</f>
        <v>0</v>
      </c>
      <c r="Q160">
        <f>IF(CALC_EEM!Q153="","",CALC_EEM!Q153)</f>
        <v>0</v>
      </c>
      <c r="R160">
        <f>IF(CALC_EEM!R153="","",CALC_EEM!R153)</f>
        <v>0</v>
      </c>
      <c r="S160">
        <f>IF(CALC_EEM!S153="","",CALC_EEM!S153)</f>
        <v>0</v>
      </c>
      <c r="T160">
        <f>IF(CALC_EEM!T153="","",CALC_EEM!T153)</f>
        <v>0</v>
      </c>
      <c r="U160">
        <f>IF(CALC_EEM!U153="","",CALC_EEM!U153)</f>
        <v>0</v>
      </c>
    </row>
    <row r="161" spans="1:24">
      <c r="A161" t="str">
        <f>IF(CALC_EEM!A154="","",IF(CALC_EEM!A154="GLOBAL","GLOBAL",IF(CALC_EEM!C154="Total","CURSO_TOTAL",IF(CALC_EEM!C154="TotalEsp","CURSO_ESP",IF(CALC_EEM!C154="TotalNoEsp","CURSO_NOESP","CURSO_ASIG")))))</f>
        <v>GLOBAL</v>
      </c>
      <c r="B161" t="str">
        <f>IF(CALC_EEM!A154="","",CALC_EEM!A154)</f>
        <v>GLOBAL</v>
      </c>
      <c r="C161" t="str">
        <f>IF(CALC_EEM!B154="","",CALC_EEM!B154)</f>
        <v>Total</v>
      </c>
      <c r="D161">
        <f>IF(CALC_EEM!D154="","",CALC_EEM!D154)</f>
        <v>0</v>
      </c>
      <c r="E161" s="14" t="str">
        <f>IF(CALC_EEM!E154="","",CALC_EEM!E154)</f>
        <v>—</v>
      </c>
      <c r="F161" s="14" t="str">
        <f>IF(CALC_EEM!F154="","",CALC_EEM!F154)</f>
        <v>—</v>
      </c>
      <c r="G161" t="str">
        <f>IF(CALC_EEM!G154="","",CALC_EEM!G154)</f>
        <v>—</v>
      </c>
      <c r="H161" s="16" t="str">
        <f>IF(CALC_EEM!H154="","",CALC_EEM!H154)</f>
        <v>—</v>
      </c>
      <c r="I161" s="16" t="str">
        <f>IF(CALC_EEM!I154="","",CALC_EEM!I154)</f>
        <v>—</v>
      </c>
      <c r="J161" t="str">
        <f>IF(CALC_EEM!J154="","",CALC_EEM!J154)</f>
        <v>—</v>
      </c>
      <c r="K161" t="str">
        <f>IF(CALC_EEM!K154="","",CALC_EEM!K154)</f>
        <v>—</v>
      </c>
      <c r="L161">
        <f>IF(CALC_EEM!L154="","",CALC_EEM!L154)</f>
        <v>0</v>
      </c>
      <c r="M161">
        <f>IF(CALC_EEM!M154="","",CALC_EEM!M154)</f>
        <v>0</v>
      </c>
      <c r="N161">
        <f>IF(CALC_EEM!N154="","",CALC_EEM!N154)</f>
        <v>0</v>
      </c>
      <c r="O161">
        <f>IF(CALC_EEM!O154="","",CALC_EEM!O154)</f>
        <v>0</v>
      </c>
      <c r="P161">
        <f>IF(CALC_EEM!P154="","",CALC_EEM!P154)</f>
        <v>0</v>
      </c>
      <c r="Q161">
        <f>IF(CALC_EEM!Q154="","",CALC_EEM!Q154)</f>
        <v>0</v>
      </c>
      <c r="R161">
        <f>IF(CALC_EEM!R154="","",CALC_EEM!R154)</f>
        <v>0</v>
      </c>
      <c r="S161">
        <f>IF(CALC_EEM!S154="","",CALC_EEM!S154)</f>
        <v>0</v>
      </c>
      <c r="T161">
        <f>IF(CALC_EEM!T154="","",CALC_EEM!T154)</f>
        <v>0</v>
      </c>
      <c r="U161">
        <f>IF(CALC_EEM!U154="","",CALC_EEM!U154)</f>
        <v>0</v>
      </c>
    </row>
    <row r="162" spans="1:24">
      <c r="A162" t="str">
        <f>IF(CALC_EEM!A155="","",IF(CALC_EEM!A155="GLOBAL","GLOBAL",IF(CALC_EEM!C155="Total","CURSO_TOTAL",IF(CALC_EEM!C155="TotalEsp","CURSO_ESP",IF(CALC_EEM!C155="TotalNoEsp","CURSO_NOESP","CURSO_ASIG")))))</f>
        <v>GLOBAL</v>
      </c>
      <c r="B162" t="str">
        <f>IF(CALC_EEM!A155="","",CALC_EEM!A155)</f>
        <v>GLOBAL</v>
      </c>
      <c r="C162" t="str">
        <f>IF(CALC_EEM!B155="","",CALC_EEM!B155)</f>
        <v>Total</v>
      </c>
      <c r="D162">
        <f>IF(CALC_EEM!D155="","",CALC_EEM!D155)</f>
        <v>0</v>
      </c>
      <c r="E162" s="14" t="str">
        <f>IF(CALC_EEM!E155="","",CALC_EEM!E155)</f>
        <v>—</v>
      </c>
      <c r="F162" s="14" t="str">
        <f>IF(CALC_EEM!F155="","",CALC_EEM!F155)</f>
        <v>—</v>
      </c>
      <c r="G162" t="str">
        <f>IF(CALC_EEM!G155="","",CALC_EEM!G155)</f>
        <v>—</v>
      </c>
      <c r="H162" s="16" t="str">
        <f>IF(CALC_EEM!H155="","",CALC_EEM!H155)</f>
        <v>—</v>
      </c>
      <c r="I162" s="16" t="str">
        <f>IF(CALC_EEM!I155="","",CALC_EEM!I155)</f>
        <v>—</v>
      </c>
      <c r="J162" t="str">
        <f>IF(CALC_EEM!J155="","",CALC_EEM!J155)</f>
        <v>—</v>
      </c>
      <c r="K162" t="str">
        <f>IF(CALC_EEM!K155="","",CALC_EEM!K155)</f>
        <v>—</v>
      </c>
      <c r="L162">
        <f>IF(CALC_EEM!L155="","",CALC_EEM!L155)</f>
        <v>0</v>
      </c>
      <c r="M162">
        <f>IF(CALC_EEM!M155="","",CALC_EEM!M155)</f>
        <v>0</v>
      </c>
      <c r="N162">
        <f>IF(CALC_EEM!N155="","",CALC_EEM!N155)</f>
        <v>0</v>
      </c>
      <c r="O162">
        <f>IF(CALC_EEM!O155="","",CALC_EEM!O155)</f>
        <v>0</v>
      </c>
      <c r="P162">
        <f>IF(CALC_EEM!P155="","",CALC_EEM!P155)</f>
        <v>0</v>
      </c>
      <c r="Q162">
        <f>IF(CALC_EEM!Q155="","",CALC_EEM!Q155)</f>
        <v>0</v>
      </c>
      <c r="R162">
        <f>IF(CALC_EEM!R155="","",CALC_EEM!R155)</f>
        <v>0</v>
      </c>
      <c r="S162">
        <f>IF(CALC_EEM!S155="","",CALC_EEM!S155)</f>
        <v>0</v>
      </c>
      <c r="T162">
        <f>IF(CALC_EEM!T155="","",CALC_EEM!T155)</f>
        <v>0</v>
      </c>
      <c r="U162">
        <f>IF(CALC_EEM!U155="","",CALC_EEM!U155)</f>
        <v>0</v>
      </c>
    </row>
    <row r="163" spans="1:24">
      <c r="A163" t="str">
        <f>IF(CALC_EEM!A156="","",IF(CALC_EEM!A156="GLOBAL","GLOBAL",IF(CALC_EEM!C156="Total","CURSO_TOTAL",IF(CALC_EEM!C156="TotalEsp","CURSO_ESP",IF(CALC_EEM!C156="TotalNoEsp","CURSO_NOESP","CURSO_ASIG")))))</f>
        <v>GLOBAL</v>
      </c>
      <c r="B163" t="str">
        <f>IF(CALC_EEM!A156="","",CALC_EEM!A156)</f>
        <v>GLOBAL</v>
      </c>
      <c r="C163" t="str">
        <f>IF(CALC_EEM!B156="","",CALC_EEM!B156)</f>
        <v>Total</v>
      </c>
      <c r="D163">
        <f>IF(CALC_EEM!D156="","",CALC_EEM!D156)</f>
        <v>0</v>
      </c>
      <c r="E163" s="14" t="str">
        <f>IF(CALC_EEM!E156="","",CALC_EEM!E156)</f>
        <v>—</v>
      </c>
      <c r="F163" s="14" t="str">
        <f>IF(CALC_EEM!F156="","",CALC_EEM!F156)</f>
        <v>—</v>
      </c>
      <c r="G163" t="str">
        <f>IF(CALC_EEM!G156="","",CALC_EEM!G156)</f>
        <v>—</v>
      </c>
      <c r="H163" s="16" t="str">
        <f>IF(CALC_EEM!H156="","",CALC_EEM!H156)</f>
        <v>—</v>
      </c>
      <c r="I163" s="16" t="str">
        <f>IF(CALC_EEM!I156="","",CALC_EEM!I156)</f>
        <v>—</v>
      </c>
      <c r="J163" t="str">
        <f>IF(CALC_EEM!J156="","",CALC_EEM!J156)</f>
        <v>—</v>
      </c>
      <c r="K163" t="str">
        <f>IF(CALC_EEM!K156="","",CALC_EEM!K156)</f>
        <v>—</v>
      </c>
      <c r="L163">
        <f>IF(CALC_EEM!L156="","",CALC_EEM!L156)</f>
        <v>0</v>
      </c>
      <c r="M163">
        <f>IF(CALC_EEM!M156="","",CALC_EEM!M156)</f>
        <v>0</v>
      </c>
      <c r="N163">
        <f>IF(CALC_EEM!N156="","",CALC_EEM!N156)</f>
        <v>0</v>
      </c>
      <c r="O163">
        <f>IF(CALC_EEM!O156="","",CALC_EEM!O156)</f>
        <v>0</v>
      </c>
      <c r="P163">
        <f>IF(CALC_EEM!P156="","",CALC_EEM!P156)</f>
        <v>0</v>
      </c>
      <c r="Q163">
        <f>IF(CALC_EEM!Q156="","",CALC_EEM!Q156)</f>
        <v>0</v>
      </c>
      <c r="R163">
        <f>IF(CALC_EEM!R156="","",CALC_EEM!R156)</f>
        <v>0</v>
      </c>
      <c r="S163">
        <f>IF(CALC_EEM!S156="","",CALC_EEM!S156)</f>
        <v>0</v>
      </c>
      <c r="T163">
        <f>IF(CALC_EEM!T156="","",CALC_EEM!T156)</f>
        <v>0</v>
      </c>
      <c r="U163">
        <f>IF(CALC_EEM!U156="","",CALC_EEM!U156)</f>
        <v>0</v>
      </c>
    </row>
    <row r="164" spans="1:24">
      <c r="A164" t="str">
        <f>IF(CALC_EEM!A157="","",IF(CALC_EEM!A157="GLOBAL","GLOBAL",IF(CALC_EEM!C157="Total","CURSO_TOTAL",IF(CALC_EEM!C157="TotalEsp","CURSO_ESP",IF(CALC_EEM!C157="TotalNoEsp","CURSO_NOESP","CURSO_ASIG")))))</f>
        <v>GLOBAL</v>
      </c>
      <c r="B164" t="str">
        <f>IF(CALC_EEM!A157="","",CALC_EEM!A157)</f>
        <v>GLOBAL</v>
      </c>
      <c r="C164" t="str">
        <f>IF(CALC_EEM!B157="","",CALC_EEM!B157)</f>
        <v>Total</v>
      </c>
      <c r="D164">
        <f>IF(CALC_EEM!D157="","",CALC_EEM!D157)</f>
        <v>0</v>
      </c>
      <c r="E164" s="14" t="str">
        <f>IF(CALC_EEM!E157="","",CALC_EEM!E157)</f>
        <v>—</v>
      </c>
      <c r="F164" s="14" t="str">
        <f>IF(CALC_EEM!F157="","",CALC_EEM!F157)</f>
        <v>—</v>
      </c>
      <c r="G164" t="str">
        <f>IF(CALC_EEM!G157="","",CALC_EEM!G157)</f>
        <v>—</v>
      </c>
      <c r="H164" s="16" t="str">
        <f>IF(CALC_EEM!H157="","",CALC_EEM!H157)</f>
        <v>—</v>
      </c>
      <c r="I164" s="16" t="str">
        <f>IF(CALC_EEM!I157="","",CALC_EEM!I157)</f>
        <v>—</v>
      </c>
      <c r="J164" t="str">
        <f>IF(CALC_EEM!J157="","",CALC_EEM!J157)</f>
        <v>—</v>
      </c>
      <c r="K164" t="str">
        <f>IF(CALC_EEM!K157="","",CALC_EEM!K157)</f>
        <v>—</v>
      </c>
      <c r="L164">
        <f>IF(CALC_EEM!L157="","",CALC_EEM!L157)</f>
        <v>0</v>
      </c>
      <c r="M164">
        <f>IF(CALC_EEM!M157="","",CALC_EEM!M157)</f>
        <v>0</v>
      </c>
      <c r="N164">
        <f>IF(CALC_EEM!N157="","",CALC_EEM!N157)</f>
        <v>0</v>
      </c>
      <c r="O164">
        <f>IF(CALC_EEM!O157="","",CALC_EEM!O157)</f>
        <v>0</v>
      </c>
      <c r="P164">
        <f>IF(CALC_EEM!P157="","",CALC_EEM!P157)</f>
        <v>0</v>
      </c>
      <c r="Q164">
        <f>IF(CALC_EEM!Q157="","",CALC_EEM!Q157)</f>
        <v>0</v>
      </c>
      <c r="R164">
        <f>IF(CALC_EEM!R157="","",CALC_EEM!R157)</f>
        <v>0</v>
      </c>
      <c r="S164">
        <f>IF(CALC_EEM!S157="","",CALC_EEM!S157)</f>
        <v>0</v>
      </c>
      <c r="T164">
        <f>IF(CALC_EEM!T157="","",CALC_EEM!T157)</f>
        <v>0</v>
      </c>
      <c r="U164">
        <f>IF(CALC_EEM!U157="","",CALC_EEM!U157)</f>
        <v>0</v>
      </c>
    </row>
    <row r="165" spans="1:24">
      <c r="A165" t="str">
        <f>IF(CALC_EEM!A158="","",IF(CALC_EEM!A158="GLOBAL","GLOBAL",IF(CALC_EEM!C158="Total","CURSO_TOTAL",IF(CALC_EEM!C158="TotalEsp","CURSO_ESP",IF(CALC_EEM!C158="TotalNoEsp","CURSO_NOESP","CURSO_ASIG")))))</f>
        <v>GLOBAL</v>
      </c>
      <c r="B165" t="str">
        <f>IF(CALC_EEM!A158="","",CALC_EEM!A158)</f>
        <v>GLOBAL</v>
      </c>
      <c r="C165" t="str">
        <f>IF(CALC_EEM!B158="","",CALC_EEM!B158)</f>
        <v>Total</v>
      </c>
      <c r="D165">
        <f>IF(CALC_EEM!D158="","",CALC_EEM!D158)</f>
        <v>0</v>
      </c>
      <c r="E165" s="14" t="str">
        <f>IF(CALC_EEM!E158="","",CALC_EEM!E158)</f>
        <v>—</v>
      </c>
      <c r="F165" s="14" t="str">
        <f>IF(CALC_EEM!F158="","",CALC_EEM!F158)</f>
        <v>—</v>
      </c>
      <c r="G165" t="str">
        <f>IF(CALC_EEM!G158="","",CALC_EEM!G158)</f>
        <v>—</v>
      </c>
      <c r="H165" s="16" t="str">
        <f>IF(CALC_EEM!H158="","",CALC_EEM!H158)</f>
        <v>—</v>
      </c>
      <c r="I165" s="16" t="str">
        <f>IF(CALC_EEM!I158="","",CALC_EEM!I158)</f>
        <v>—</v>
      </c>
      <c r="J165" t="str">
        <f>IF(CALC_EEM!J158="","",CALC_EEM!J158)</f>
        <v>—</v>
      </c>
      <c r="K165" t="str">
        <f>IF(CALC_EEM!K158="","",CALC_EEM!K158)</f>
        <v>—</v>
      </c>
      <c r="L165">
        <f>IF(CALC_EEM!L158="","",CALC_EEM!L158)</f>
        <v>0</v>
      </c>
      <c r="M165">
        <f>IF(CALC_EEM!M158="","",CALC_EEM!M158)</f>
        <v>0</v>
      </c>
      <c r="N165">
        <f>IF(CALC_EEM!N158="","",CALC_EEM!N158)</f>
        <v>0</v>
      </c>
      <c r="O165">
        <f>IF(CALC_EEM!O158="","",CALC_EEM!O158)</f>
        <v>0</v>
      </c>
      <c r="P165">
        <f>IF(CALC_EEM!P158="","",CALC_EEM!P158)</f>
        <v>0</v>
      </c>
      <c r="Q165">
        <f>IF(CALC_EEM!Q158="","",CALC_EEM!Q158)</f>
        <v>0</v>
      </c>
      <c r="R165">
        <f>IF(CALC_EEM!R158="","",CALC_EEM!R158)</f>
        <v>0</v>
      </c>
      <c r="S165">
        <f>IF(CALC_EEM!S158="","",CALC_EEM!S158)</f>
        <v>0</v>
      </c>
      <c r="T165">
        <f>IF(CALC_EEM!T158="","",CALC_EEM!T158)</f>
        <v>0</v>
      </c>
      <c r="U165">
        <f>IF(CALC_EEM!U158="","",CALC_EEM!U158)</f>
        <v>0</v>
      </c>
    </row>
    <row r="166" spans="1:24">
      <c r="A166" t="str">
        <f>IF(CALC_EEM!A159="","",IF(CALC_EEM!A159="GLOBAL","GLOBAL",IF(CALC_EEM!C159="Total","CURSO_TOTAL",IF(CALC_EEM!C159="TotalEsp","CURSO_ESP",IF(CALC_EEM!C159="TotalNoEsp","CURSO_NOESP","CURSO_ASIG")))))</f>
        <v>GLOBAL</v>
      </c>
      <c r="B166" t="str">
        <f>IF(CALC_EEM!A159="","",CALC_EEM!A159)</f>
        <v>GLOBAL</v>
      </c>
      <c r="C166" t="str">
        <f>IF(CALC_EEM!B159="","",CALC_EEM!B159)</f>
        <v>Total</v>
      </c>
      <c r="D166">
        <f>IF(CALC_EEM!D159="","",CALC_EEM!D159)</f>
        <v>0</v>
      </c>
      <c r="E166" s="14" t="str">
        <f>IF(CALC_EEM!E159="","",CALC_EEM!E159)</f>
        <v>—</v>
      </c>
      <c r="F166" s="14" t="str">
        <f>IF(CALC_EEM!F159="","",CALC_EEM!F159)</f>
        <v>—</v>
      </c>
      <c r="G166" t="str">
        <f>IF(CALC_EEM!G159="","",CALC_EEM!G159)</f>
        <v>—</v>
      </c>
      <c r="H166" s="16" t="str">
        <f>IF(CALC_EEM!H159="","",CALC_EEM!H159)</f>
        <v>—</v>
      </c>
      <c r="I166" s="16" t="str">
        <f>IF(CALC_EEM!I159="","",CALC_EEM!I159)</f>
        <v>—</v>
      </c>
      <c r="J166" t="str">
        <f>IF(CALC_EEM!J159="","",CALC_EEM!J159)</f>
        <v>—</v>
      </c>
      <c r="K166" t="str">
        <f>IF(CALC_EEM!K159="","",CALC_EEM!K159)</f>
        <v>—</v>
      </c>
      <c r="L166">
        <f>IF(CALC_EEM!L159="","",CALC_EEM!L159)</f>
        <v>0</v>
      </c>
      <c r="M166">
        <f>IF(CALC_EEM!M159="","",CALC_EEM!M159)</f>
        <v>0</v>
      </c>
      <c r="N166">
        <f>IF(CALC_EEM!N159="","",CALC_EEM!N159)</f>
        <v>0</v>
      </c>
      <c r="O166">
        <f>IF(CALC_EEM!O159="","",CALC_EEM!O159)</f>
        <v>0</v>
      </c>
      <c r="P166">
        <f>IF(CALC_EEM!P159="","",CALC_EEM!P159)</f>
        <v>0</v>
      </c>
      <c r="Q166">
        <f>IF(CALC_EEM!Q159="","",CALC_EEM!Q159)</f>
        <v>0</v>
      </c>
      <c r="R166">
        <f>IF(CALC_EEM!R159="","",CALC_EEM!R159)</f>
        <v>0</v>
      </c>
      <c r="S166">
        <f>IF(CALC_EEM!S159="","",CALC_EEM!S159)</f>
        <v>0</v>
      </c>
      <c r="T166">
        <f>IF(CALC_EEM!T159="","",CALC_EEM!T159)</f>
        <v>0</v>
      </c>
      <c r="U166">
        <f>IF(CALC_EEM!U159="","",CALC_EEM!U159)</f>
        <v>0</v>
      </c>
    </row>
    <row r="167" spans="1:24">
      <c r="A167" t="str">
        <f>IF(CALC_EEM!A160="","",IF(CALC_EEM!A160="GLOBAL","GLOBAL",IF(CALC_EEM!C160="Total","CURSO_TOTAL",IF(CALC_EEM!C160="TotalEsp","CURSO_ESP",IF(CALC_EEM!C160="TotalNoEsp","CURSO_NOESP","CURSO_ASIG")))))</f>
        <v>GLOBAL</v>
      </c>
      <c r="B167" t="str">
        <f>IF(CALC_EEM!A160="","",CALC_EEM!A160)</f>
        <v>GLOBAL</v>
      </c>
      <c r="C167" t="str">
        <f>IF(CALC_EEM!B160="","",CALC_EEM!B160)</f>
        <v>Total</v>
      </c>
      <c r="D167">
        <f>IF(CALC_EEM!D160="","",CALC_EEM!D160)</f>
        <v>0</v>
      </c>
      <c r="E167" s="14" t="str">
        <f>IF(CALC_EEM!E160="","",CALC_EEM!E160)</f>
        <v>—</v>
      </c>
      <c r="F167" s="14" t="str">
        <f>IF(CALC_EEM!F160="","",CALC_EEM!F160)</f>
        <v>—</v>
      </c>
      <c r="G167" t="str">
        <f>IF(CALC_EEM!G160="","",CALC_EEM!G160)</f>
        <v>—</v>
      </c>
      <c r="H167" s="16" t="str">
        <f>IF(CALC_EEM!H160="","",CALC_EEM!H160)</f>
        <v>—</v>
      </c>
      <c r="I167" s="16" t="str">
        <f>IF(CALC_EEM!I160="","",CALC_EEM!I160)</f>
        <v>—</v>
      </c>
      <c r="J167" t="str">
        <f>IF(CALC_EEM!J160="","",CALC_EEM!J160)</f>
        <v>—</v>
      </c>
      <c r="K167" t="str">
        <f>IF(CALC_EEM!K160="","",CALC_EEM!K160)</f>
        <v>—</v>
      </c>
      <c r="L167">
        <f>IF(CALC_EEM!L160="","",CALC_EEM!L160)</f>
        <v>0</v>
      </c>
      <c r="M167">
        <f>IF(CALC_EEM!M160="","",CALC_EEM!M160)</f>
        <v>0</v>
      </c>
      <c r="N167">
        <f>IF(CALC_EEM!N160="","",CALC_EEM!N160)</f>
        <v>0</v>
      </c>
      <c r="O167">
        <f>IF(CALC_EEM!O160="","",CALC_EEM!O160)</f>
        <v>0</v>
      </c>
      <c r="P167">
        <f>IF(CALC_EEM!P160="","",CALC_EEM!P160)</f>
        <v>0</v>
      </c>
      <c r="Q167">
        <f>IF(CALC_EEM!Q160="","",CALC_EEM!Q160)</f>
        <v>0</v>
      </c>
      <c r="R167">
        <f>IF(CALC_EEM!R160="","",CALC_EEM!R160)</f>
        <v>0</v>
      </c>
      <c r="S167">
        <f>IF(CALC_EEM!S160="","",CALC_EEM!S160)</f>
        <v>0</v>
      </c>
      <c r="T167">
        <f>IF(CALC_EEM!T160="","",CALC_EEM!T160)</f>
        <v>0</v>
      </c>
      <c r="U167">
        <f>IF(CALC_EEM!U160="","",CALC_EEM!U160)</f>
        <v>0</v>
      </c>
    </row>
    <row r="168" spans="1:24">
      <c r="A168" t="str">
        <f>IF(CALC_EEM!A161="","",IF(CALC_EEM!A161="GLOBAL","GLOBAL",IF(CALC_EEM!C161="Total","CURSO_TOTAL",IF(CALC_EEM!C161="TotalEsp","CURSO_ESP",IF(CALC_EEM!C161="TotalNoEsp","CURSO_NOESP","CURSO_ASIG")))))</f>
        <v>GLOBAL</v>
      </c>
      <c r="B168" t="str">
        <f>IF(CALC_EEM!A161="","",CALC_EEM!A161)</f>
        <v>GLOBAL</v>
      </c>
      <c r="C168" t="str">
        <f>IF(CALC_EEM!B161="","",CALC_EEM!B161)</f>
        <v>Total</v>
      </c>
      <c r="D168">
        <f>IF(CALC_EEM!D161="","",CALC_EEM!D161)</f>
        <v>0</v>
      </c>
      <c r="E168" s="14" t="str">
        <f>IF(CALC_EEM!E161="","",CALC_EEM!E161)</f>
        <v>—</v>
      </c>
      <c r="F168" s="14" t="str">
        <f>IF(CALC_EEM!F161="","",CALC_EEM!F161)</f>
        <v>—</v>
      </c>
      <c r="G168" t="str">
        <f>IF(CALC_EEM!G161="","",CALC_EEM!G161)</f>
        <v>—</v>
      </c>
      <c r="H168" s="16" t="str">
        <f>IF(CALC_EEM!H161="","",CALC_EEM!H161)</f>
        <v>—</v>
      </c>
      <c r="I168" s="16" t="str">
        <f>IF(CALC_EEM!I161="","",CALC_EEM!I161)</f>
        <v>—</v>
      </c>
      <c r="J168" t="str">
        <f>IF(CALC_EEM!J161="","",CALC_EEM!J161)</f>
        <v>—</v>
      </c>
      <c r="K168" t="str">
        <f>IF(CALC_EEM!K161="","",CALC_EEM!K161)</f>
        <v>—</v>
      </c>
      <c r="L168">
        <f>IF(CALC_EEM!L161="","",CALC_EEM!L161)</f>
        <v>0</v>
      </c>
      <c r="M168">
        <f>IF(CALC_EEM!M161="","",CALC_EEM!M161)</f>
        <v>0</v>
      </c>
      <c r="N168">
        <f>IF(CALC_EEM!N161="","",CALC_EEM!N161)</f>
        <v>0</v>
      </c>
      <c r="O168">
        <f>IF(CALC_EEM!O161="","",CALC_EEM!O161)</f>
        <v>0</v>
      </c>
      <c r="P168">
        <f>IF(CALC_EEM!P161="","",CALC_EEM!P161)</f>
        <v>0</v>
      </c>
      <c r="Q168">
        <f>IF(CALC_EEM!Q161="","",CALC_EEM!Q161)</f>
        <v>0</v>
      </c>
      <c r="R168">
        <f>IF(CALC_EEM!R161="","",CALC_EEM!R161)</f>
        <v>0</v>
      </c>
      <c r="S168">
        <f>IF(CALC_EEM!S161="","",CALC_EEM!S161)</f>
        <v>0</v>
      </c>
      <c r="T168">
        <f>IF(CALC_EEM!T161="","",CALC_EEM!T161)</f>
        <v>0</v>
      </c>
      <c r="U168">
        <f>IF(CALC_EEM!U161="","",CALC_EEM!U161)</f>
        <v>0</v>
      </c>
    </row>
    <row r="169" spans="1:24">
      <c r="A169" t="str">
        <f>IF(CALC_EEM!A162="","",IF(CALC_EEM!A162="GLOBAL","GLOBAL",IF(CALC_EEM!C162="Total","CURSO_TOTAL",IF(CALC_EEM!C162="TotalEsp","CURSO_ESP",IF(CALC_EEM!C162="TotalNoEsp","CURSO_NOESP","CURSO_ASIG")))))</f>
        <v>GLOBAL</v>
      </c>
      <c r="B169" t="str">
        <f>IF(CALC_EEM!A162="","",CALC_EEM!A162)</f>
        <v>GLOBAL</v>
      </c>
      <c r="C169" t="str">
        <f>IF(CALC_EEM!B162="","",CALC_EEM!B162)</f>
        <v>Total</v>
      </c>
      <c r="D169">
        <f>IF(CALC_EEM!D162="","",CALC_EEM!D162)</f>
        <v>0</v>
      </c>
      <c r="E169" s="14" t="str">
        <f>IF(CALC_EEM!E162="","",CALC_EEM!E162)</f>
        <v>—</v>
      </c>
      <c r="F169" s="14" t="str">
        <f>IF(CALC_EEM!F162="","",CALC_EEM!F162)</f>
        <v>—</v>
      </c>
      <c r="G169" t="str">
        <f>IF(CALC_EEM!G162="","",CALC_EEM!G162)</f>
        <v>—</v>
      </c>
      <c r="H169" s="16" t="str">
        <f>IF(CALC_EEM!H162="","",CALC_EEM!H162)</f>
        <v>—</v>
      </c>
      <c r="I169" s="16" t="str">
        <f>IF(CALC_EEM!I162="","",CALC_EEM!I162)</f>
        <v>—</v>
      </c>
      <c r="J169" t="str">
        <f>IF(CALC_EEM!J162="","",CALC_EEM!J162)</f>
        <v>—</v>
      </c>
      <c r="K169" t="str">
        <f>IF(CALC_EEM!K162="","",CALC_EEM!K162)</f>
        <v>—</v>
      </c>
      <c r="L169">
        <f>IF(CALC_EEM!L162="","",CALC_EEM!L162)</f>
        <v>0</v>
      </c>
      <c r="M169">
        <f>IF(CALC_EEM!M162="","",CALC_EEM!M162)</f>
        <v>0</v>
      </c>
      <c r="N169">
        <f>IF(CALC_EEM!N162="","",CALC_EEM!N162)</f>
        <v>0</v>
      </c>
      <c r="O169">
        <f>IF(CALC_EEM!O162="","",CALC_EEM!O162)</f>
        <v>0</v>
      </c>
      <c r="P169">
        <f>IF(CALC_EEM!P162="","",CALC_EEM!P162)</f>
        <v>0</v>
      </c>
      <c r="Q169">
        <f>IF(CALC_EEM!Q162="","",CALC_EEM!Q162)</f>
        <v>0</v>
      </c>
      <c r="R169">
        <f>IF(CALC_EEM!R162="","",CALC_EEM!R162)</f>
        <v>0</v>
      </c>
      <c r="S169">
        <f>IF(CALC_EEM!S162="","",CALC_EEM!S162)</f>
        <v>0</v>
      </c>
      <c r="T169">
        <f>IF(CALC_EEM!T162="","",CALC_EEM!T162)</f>
        <v>0</v>
      </c>
      <c r="U169">
        <f>IF(CALC_EEM!U162="","",CALC_EEM!U162)</f>
        <v>0</v>
      </c>
    </row>
    <row r="170" spans="1:24">
      <c r="A170" t="str">
        <f>IF(CALC_EEM!A163="","",IF(CALC_EEM!A163="GLOBAL","GLOBAL",IF(CALC_EEM!C163="Total","CURSO_TOTAL",IF(CALC_EEM!C163="TotalEsp","CURSO_ESP",IF(CALC_EEM!C163="TotalNoEsp","CURSO_NOESP","CURSO_ASIG")))))</f>
        <v>GLOBAL</v>
      </c>
      <c r="B170" t="str">
        <f>IF(CALC_EEM!A163="","",CALC_EEM!A163)</f>
        <v>GLOBAL</v>
      </c>
      <c r="C170" t="str">
        <f>IF(CALC_EEM!B163="","",CALC_EEM!B163)</f>
        <v>Total</v>
      </c>
      <c r="D170">
        <f>IF(CALC_EEM!D163="","",CALC_EEM!D163)</f>
        <v>0</v>
      </c>
      <c r="E170" s="14" t="str">
        <f>IF(CALC_EEM!E163="","",CALC_EEM!E163)</f>
        <v>—</v>
      </c>
      <c r="F170" s="14" t="str">
        <f>IF(CALC_EEM!F163="","",CALC_EEM!F163)</f>
        <v>—</v>
      </c>
      <c r="G170" t="str">
        <f>IF(CALC_EEM!G163="","",CALC_EEM!G163)</f>
        <v>—</v>
      </c>
      <c r="H170" s="16" t="str">
        <f>IF(CALC_EEM!H163="","",CALC_EEM!H163)</f>
        <v>—</v>
      </c>
      <c r="I170" s="16" t="str">
        <f>IF(CALC_EEM!I163="","",CALC_EEM!I163)</f>
        <v>—</v>
      </c>
      <c r="J170" t="str">
        <f>IF(CALC_EEM!J163="","",CALC_EEM!J163)</f>
        <v>—</v>
      </c>
      <c r="K170" t="str">
        <f>IF(CALC_EEM!K163="","",CALC_EEM!K163)</f>
        <v>—</v>
      </c>
      <c r="L170">
        <f>IF(CALC_EEM!L163="","",CALC_EEM!L163)</f>
        <v>0</v>
      </c>
      <c r="M170">
        <f>IF(CALC_EEM!M163="","",CALC_EEM!M163)</f>
        <v>0</v>
      </c>
      <c r="N170">
        <f>IF(CALC_EEM!N163="","",CALC_EEM!N163)</f>
        <v>0</v>
      </c>
      <c r="O170">
        <f>IF(CALC_EEM!O163="","",CALC_EEM!O163)</f>
        <v>0</v>
      </c>
      <c r="P170">
        <f>IF(CALC_EEM!P163="","",CALC_EEM!P163)</f>
        <v>0</v>
      </c>
      <c r="Q170">
        <f>IF(CALC_EEM!Q163="","",CALC_EEM!Q163)</f>
        <v>0</v>
      </c>
      <c r="R170">
        <f>IF(CALC_EEM!R163="","",CALC_EEM!R163)</f>
        <v>0</v>
      </c>
      <c r="S170">
        <f>IF(CALC_EEM!S163="","",CALC_EEM!S163)</f>
        <v>0</v>
      </c>
      <c r="T170">
        <f>IF(CALC_EEM!T163="","",CALC_EEM!T163)</f>
        <v>0</v>
      </c>
      <c r="U170">
        <f>IF(CALC_EEM!U163="","",CALC_EEM!U163)</f>
        <v>0</v>
      </c>
    </row>
    <row r="171" spans="1:24">
      <c r="A171" t="str">
        <f>IF(CALC_EEM!A164="","",IF(CALC_EEM!A164="GLOBAL","GLOBAL",IF(CALC_EEM!C164="Total","CURSO_TOTAL",IF(CALC_EEM!C164="TotalEsp","CURSO_ESP",IF(CALC_EEM!C164="TotalNoEsp","CURSO_NOESP","CURSO_ASIG")))))</f>
        <v>GLOBAL</v>
      </c>
      <c r="B171" t="str">
        <f>IF(CALC_EEM!A164="","",CALC_EEM!A164)</f>
        <v>GLOBAL</v>
      </c>
      <c r="C171" t="str">
        <f>IF(CALC_EEM!B164="","",CALC_EEM!B164)</f>
        <v>Total</v>
      </c>
      <c r="D171">
        <f>IF(CALC_EEM!D164="","",CALC_EEM!D164)</f>
        <v>0</v>
      </c>
      <c r="E171" s="14" t="str">
        <f>IF(CALC_EEM!E164="","",CALC_EEM!E164)</f>
        <v>—</v>
      </c>
      <c r="F171" s="14" t="str">
        <f>IF(CALC_EEM!F164="","",CALC_EEM!F164)</f>
        <v>—</v>
      </c>
      <c r="G171" t="str">
        <f>IF(CALC_EEM!G164="","",CALC_EEM!G164)</f>
        <v>—</v>
      </c>
      <c r="H171" s="16" t="str">
        <f>IF(CALC_EEM!H164="","",CALC_EEM!H164)</f>
        <v>—</v>
      </c>
      <c r="I171" s="16" t="str">
        <f>IF(CALC_EEM!I164="","",CALC_EEM!I164)</f>
        <v>—</v>
      </c>
      <c r="J171" t="str">
        <f>IF(CALC_EEM!J164="","",CALC_EEM!J164)</f>
        <v>—</v>
      </c>
      <c r="K171" t="str">
        <f>IF(CALC_EEM!K164="","",CALC_EEM!K164)</f>
        <v>—</v>
      </c>
      <c r="L171">
        <f>IF(CALC_EEM!L164="","",CALC_EEM!L164)</f>
        <v>0</v>
      </c>
      <c r="M171">
        <f>IF(CALC_EEM!M164="","",CALC_EEM!M164)</f>
        <v>0</v>
      </c>
      <c r="N171">
        <f>IF(CALC_EEM!N164="","",CALC_EEM!N164)</f>
        <v>0</v>
      </c>
      <c r="O171">
        <f>IF(CALC_EEM!O164="","",CALC_EEM!O164)</f>
        <v>0</v>
      </c>
      <c r="P171">
        <f>IF(CALC_EEM!P164="","",CALC_EEM!P164)</f>
        <v>0</v>
      </c>
      <c r="Q171">
        <f>IF(CALC_EEM!Q164="","",CALC_EEM!Q164)</f>
        <v>0</v>
      </c>
      <c r="R171">
        <f>IF(CALC_EEM!R164="","",CALC_EEM!R164)</f>
        <v>0</v>
      </c>
      <c r="S171">
        <f>IF(CALC_EEM!S164="","",CALC_EEM!S164)</f>
        <v>0</v>
      </c>
      <c r="T171">
        <f>IF(CALC_EEM!T164="","",CALC_EEM!T164)</f>
        <v>0</v>
      </c>
      <c r="U171">
        <f>IF(CALC_EEM!U164="","",CALC_EEM!U164)</f>
        <v>0</v>
      </c>
    </row>
    <row r="172" spans="1:24">
      <c r="A172" t="str">
        <f>IF(CALC_EEM!A165="","",IF(CALC_EEM!A165="GLOBAL","GLOBAL",IF(CALC_EEM!C165="Total","CURSO_TOTAL",IF(CALC_EEM!C165="TotalEsp","CURSO_ESP",IF(CALC_EEM!C165="TotalNoEsp","CURSO_NOESP","CURSO_ASIG")))))</f>
        <v>GLOBAL</v>
      </c>
      <c r="B172" t="str">
        <f>IF(CALC_EEM!A165="","",CALC_EEM!A165)</f>
        <v>GLOBAL</v>
      </c>
      <c r="C172" t="str">
        <f>IF(CALC_EEM!B165="","",CALC_EEM!B165)</f>
        <v>Total</v>
      </c>
      <c r="D172">
        <f>IF(CALC_EEM!D165="","",CALC_EEM!D165)</f>
        <v>0</v>
      </c>
      <c r="E172" s="14" t="str">
        <f>IF(CALC_EEM!E165="","",CALC_EEM!E165)</f>
        <v>—</v>
      </c>
      <c r="F172" s="14" t="str">
        <f>IF(CALC_EEM!F165="","",CALC_EEM!F165)</f>
        <v>—</v>
      </c>
      <c r="G172" t="str">
        <f>IF(CALC_EEM!G165="","",CALC_EEM!G165)</f>
        <v>—</v>
      </c>
      <c r="H172" s="16" t="str">
        <f>IF(CALC_EEM!H165="","",CALC_EEM!H165)</f>
        <v>—</v>
      </c>
      <c r="I172" s="16" t="str">
        <f>IF(CALC_EEM!I165="","",CALC_EEM!I165)</f>
        <v>—</v>
      </c>
      <c r="J172" t="str">
        <f>IF(CALC_EEM!J165="","",CALC_EEM!J165)</f>
        <v>—</v>
      </c>
      <c r="K172" t="str">
        <f>IF(CALC_EEM!K165="","",CALC_EEM!K165)</f>
        <v>—</v>
      </c>
      <c r="L172">
        <f>IF(CALC_EEM!L165="","",CALC_EEM!L165)</f>
        <v>0</v>
      </c>
      <c r="M172">
        <f>IF(CALC_EEM!M165="","",CALC_EEM!M165)</f>
        <v>0</v>
      </c>
      <c r="N172">
        <f>IF(CALC_EEM!N165="","",CALC_EEM!N165)</f>
        <v>0</v>
      </c>
      <c r="O172">
        <f>IF(CALC_EEM!O165="","",CALC_EEM!O165)</f>
        <v>0</v>
      </c>
      <c r="P172">
        <f>IF(CALC_EEM!P165="","",CALC_EEM!P165)</f>
        <v>0</v>
      </c>
      <c r="Q172">
        <f>IF(CALC_EEM!Q165="","",CALC_EEM!Q165)</f>
        <v>0</v>
      </c>
      <c r="R172">
        <f>IF(CALC_EEM!R165="","",CALC_EEM!R165)</f>
        <v>0</v>
      </c>
      <c r="S172">
        <f>IF(CALC_EEM!S165="","",CALC_EEM!S165)</f>
        <v>0</v>
      </c>
      <c r="T172">
        <f>IF(CALC_EEM!T165="","",CALC_EEM!T165)</f>
        <v>0</v>
      </c>
      <c r="U172">
        <f>IF(CALC_EEM!U165="","",CALC_EEM!U165)</f>
        <v>0</v>
      </c>
    </row>
    <row r="173" spans="1:24">
      <c r="A173" t="str">
        <f>IF(CALC_EEM!A166="","",IF(CALC_EEM!A166="GLOBAL","GLOBAL",IF(CALC_EEM!C166="Total","CURSO_TOTAL",IF(CALC_EEM!C166="TotalEsp","CURSO_ESP",IF(CALC_EEM!C166="TotalNoEsp","CURSO_NOESP","CURSO_ASIG")))))</f>
        <v>GLOBAL</v>
      </c>
      <c r="B173" t="str">
        <f>IF(CALC_EEM!A166="","",CALC_EEM!A166)</f>
        <v>GLOBAL</v>
      </c>
      <c r="C173" t="str">
        <f>IF(CALC_EEM!B166="","",CALC_EEM!B166)</f>
        <v>Total</v>
      </c>
      <c r="D173">
        <f>IF(CALC_EEM!D166="","",CALC_EEM!D166)</f>
        <v>0</v>
      </c>
      <c r="E173" s="14" t="str">
        <f>IF(CALC_EEM!E166="","",CALC_EEM!E166)</f>
        <v>—</v>
      </c>
      <c r="F173" s="14" t="str">
        <f>IF(CALC_EEM!F166="","",CALC_EEM!F166)</f>
        <v>—</v>
      </c>
      <c r="G173" t="str">
        <f>IF(CALC_EEM!G166="","",CALC_EEM!G166)</f>
        <v>—</v>
      </c>
      <c r="H173" s="16" t="str">
        <f>IF(CALC_EEM!H166="","",CALC_EEM!H166)</f>
        <v>—</v>
      </c>
      <c r="I173" s="16" t="str">
        <f>IF(CALC_EEM!I166="","",CALC_EEM!I166)</f>
        <v>—</v>
      </c>
      <c r="J173" t="str">
        <f>IF(CALC_EEM!J166="","",CALC_EEM!J166)</f>
        <v>—</v>
      </c>
      <c r="K173" t="str">
        <f>IF(CALC_EEM!K166="","",CALC_EEM!K166)</f>
        <v>—</v>
      </c>
      <c r="L173">
        <f>IF(CALC_EEM!L166="","",CALC_EEM!L166)</f>
        <v>0</v>
      </c>
      <c r="M173">
        <f>IF(CALC_EEM!M166="","",CALC_EEM!M166)</f>
        <v>0</v>
      </c>
      <c r="N173">
        <f>IF(CALC_EEM!N166="","",CALC_EEM!N166)</f>
        <v>0</v>
      </c>
      <c r="O173">
        <f>IF(CALC_EEM!O166="","",CALC_EEM!O166)</f>
        <v>0</v>
      </c>
      <c r="P173">
        <f>IF(CALC_EEM!P166="","",CALC_EEM!P166)</f>
        <v>0</v>
      </c>
      <c r="Q173">
        <f>IF(CALC_EEM!Q166="","",CALC_EEM!Q166)</f>
        <v>0</v>
      </c>
      <c r="R173">
        <f>IF(CALC_EEM!R166="","",CALC_EEM!R166)</f>
        <v>0</v>
      </c>
      <c r="S173">
        <f>IF(CALC_EEM!S166="","",CALC_EEM!S166)</f>
        <v>0</v>
      </c>
      <c r="T173">
        <f>IF(CALC_EEM!T166="","",CALC_EEM!T166)</f>
        <v>0</v>
      </c>
      <c r="U173">
        <f>IF(CALC_EEM!U166="","",CALC_EEM!U166)</f>
        <v>0</v>
      </c>
    </row>
    <row r="174" spans="1:24">
      <c r="A174" t="str">
        <f>IF(CALC_EEM!A167="","",IF(CALC_EEM!A167="GLOBAL","GLOBAL",IF(CALC_EEM!C167="Total","CURSO_TOTAL",IF(CALC_EEM!C167="TotalEsp","CURSO_ESP",IF(CALC_EEM!C167="TotalNoEsp","CURSO_NOESP","CURSO_ASIG")))))</f>
        <v>GLOBAL</v>
      </c>
      <c r="B174" t="str">
        <f>IF(CALC_EEM!A167="","",CALC_EEM!A167)</f>
        <v>GLOBAL</v>
      </c>
      <c r="C174" t="str">
        <f>IF(CALC_EEM!B167="","",CALC_EEM!B167)</f>
        <v>Total</v>
      </c>
      <c r="D174">
        <f>IF(CALC_EEM!D167="","",CALC_EEM!D167)</f>
        <v>0</v>
      </c>
      <c r="E174" s="14" t="str">
        <f>IF(CALC_EEM!E167="","",CALC_EEM!E167)</f>
        <v>—</v>
      </c>
      <c r="F174" s="14" t="str">
        <f>IF(CALC_EEM!F167="","",CALC_EEM!F167)</f>
        <v>—</v>
      </c>
      <c r="G174" t="str">
        <f>IF(CALC_EEM!G167="","",CALC_EEM!G167)</f>
        <v>—</v>
      </c>
      <c r="H174" s="16" t="str">
        <f>IF(CALC_EEM!H167="","",CALC_EEM!H167)</f>
        <v>—</v>
      </c>
      <c r="I174" s="16" t="str">
        <f>IF(CALC_EEM!I167="","",CALC_EEM!I167)</f>
        <v>—</v>
      </c>
      <c r="J174" t="str">
        <f>IF(CALC_EEM!J167="","",CALC_EEM!J167)</f>
        <v>—</v>
      </c>
      <c r="K174" t="str">
        <f>IF(CALC_EEM!K167="","",CALC_EEM!K167)</f>
        <v>—</v>
      </c>
      <c r="L174">
        <f>IF(CALC_EEM!L167="","",CALC_EEM!L167)</f>
        <v>0</v>
      </c>
      <c r="M174">
        <f>IF(CALC_EEM!M167="","",CALC_EEM!M167)</f>
        <v>0</v>
      </c>
      <c r="N174">
        <f>IF(CALC_EEM!N167="","",CALC_EEM!N167)</f>
        <v>0</v>
      </c>
      <c r="O174">
        <f>IF(CALC_EEM!O167="","",CALC_EEM!O167)</f>
        <v>0</v>
      </c>
      <c r="P174">
        <f>IF(CALC_EEM!P167="","",CALC_EEM!P167)</f>
        <v>0</v>
      </c>
      <c r="Q174">
        <f>IF(CALC_EEM!Q167="","",CALC_EEM!Q167)</f>
        <v>0</v>
      </c>
      <c r="R174">
        <f>IF(CALC_EEM!R167="","",CALC_EEM!R167)</f>
        <v>0</v>
      </c>
      <c r="S174">
        <f>IF(CALC_EEM!S167="","",CALC_EEM!S167)</f>
        <v>0</v>
      </c>
      <c r="T174">
        <f>IF(CALC_EEM!T167="","",CALC_EEM!T167)</f>
        <v>0</v>
      </c>
      <c r="U174">
        <f>IF(CALC_EEM!U167="","",CALC_EEM!U167)</f>
        <v>0</v>
      </c>
    </row>
    <row r="175" spans="1:24">
      <c r="A175" t="str">
        <f>IF(CALC_EEM!A168="","",IF(CALC_EEM!A168="GLOBAL","GLOBAL",IF(CALC_EEM!C168="Total","CURSO_TOTAL",IF(CALC_EEM!C168="TotalEsp","CURSO_ESP",IF(CALC_EEM!C168="TotalNoEsp","CURSO_NOESP","CURSO_ASIG")))))</f>
        <v>GLOBAL</v>
      </c>
      <c r="B175" t="str">
        <f>IF(CALC_EEM!A168="","",CALC_EEM!A168)</f>
        <v>GLOBAL</v>
      </c>
      <c r="C175" t="str">
        <f>IF(CALC_EEM!B168="","",CALC_EEM!B168)</f>
        <v>Total</v>
      </c>
      <c r="D175">
        <f>IF(CALC_EEM!D168="","",CALC_EEM!D168)</f>
        <v>0</v>
      </c>
      <c r="E175" s="14" t="str">
        <f>IF(CALC_EEM!E168="","",CALC_EEM!E168)</f>
        <v>—</v>
      </c>
      <c r="F175" s="14" t="str">
        <f>IF(CALC_EEM!F168="","",CALC_EEM!F168)</f>
        <v>—</v>
      </c>
      <c r="G175" t="str">
        <f>IF(CALC_EEM!G168="","",CALC_EEM!G168)</f>
        <v>—</v>
      </c>
      <c r="H175" s="16" t="str">
        <f>IF(CALC_EEM!H168="","",CALC_EEM!H168)</f>
        <v>—</v>
      </c>
      <c r="I175" s="16" t="str">
        <f>IF(CALC_EEM!I168="","",CALC_EEM!I168)</f>
        <v>—</v>
      </c>
      <c r="J175" t="str">
        <f>IF(CALC_EEM!J168="","",CALC_EEM!J168)</f>
        <v>—</v>
      </c>
      <c r="K175" t="str">
        <f>IF(CALC_EEM!K168="","",CALC_EEM!K168)</f>
        <v>—</v>
      </c>
      <c r="L175">
        <f>IF(CALC_EEM!L168="","",CALC_EEM!L168)</f>
        <v>0</v>
      </c>
      <c r="M175">
        <f>IF(CALC_EEM!M168="","",CALC_EEM!M168)</f>
        <v>0</v>
      </c>
      <c r="N175">
        <f>IF(CALC_EEM!N168="","",CALC_EEM!N168)</f>
        <v>0</v>
      </c>
      <c r="O175">
        <f>IF(CALC_EEM!O168="","",CALC_EEM!O168)</f>
        <v>0</v>
      </c>
      <c r="P175">
        <f>IF(CALC_EEM!P168="","",CALC_EEM!P168)</f>
        <v>0</v>
      </c>
      <c r="Q175">
        <f>IF(CALC_EEM!Q168="","",CALC_EEM!Q168)</f>
        <v>0</v>
      </c>
      <c r="R175">
        <f>IF(CALC_EEM!R168="","",CALC_EEM!R168)</f>
        <v>0</v>
      </c>
      <c r="S175">
        <f>IF(CALC_EEM!S168="","",CALC_EEM!S168)</f>
        <v>0</v>
      </c>
      <c r="T175">
        <f>IF(CALC_EEM!T168="","",CALC_EEM!T168)</f>
        <v>0</v>
      </c>
      <c r="U175">
        <f>IF(CALC_EEM!U168="","",CALC_EEM!U168)</f>
        <v>0</v>
      </c>
    </row>
    <row r="176" spans="1:24">
      <c r="A176" t="str">
        <f>IF(CALC_EEM!A169="","",IF(CALC_EEM!A169="GLOBAL","GLOBAL",IF(CALC_EEM!C169="Total","CURSO_TOTAL",IF(CALC_EEM!C169="TotalEsp","CURSO_ESP",IF(CALC_EEM!C169="TotalNoEsp","CURSO_NOESP","CURSO_ASIG")))))</f>
        <v>GLOBAL</v>
      </c>
      <c r="B176" t="str">
        <f>IF(CALC_EEM!A169="","",CALC_EEM!A169)</f>
        <v>GLOBAL</v>
      </c>
      <c r="C176" t="str">
        <f>IF(CALC_EEM!B169="","",CALC_EEM!B169)</f>
        <v>Total</v>
      </c>
      <c r="D176">
        <f>IF(CALC_EEM!D169="","",CALC_EEM!D169)</f>
        <v>0</v>
      </c>
      <c r="E176" s="14" t="str">
        <f>IF(CALC_EEM!E169="","",CALC_EEM!E169)</f>
        <v>—</v>
      </c>
      <c r="F176" s="14" t="str">
        <f>IF(CALC_EEM!F169="","",CALC_EEM!F169)</f>
        <v>—</v>
      </c>
      <c r="G176" t="str">
        <f>IF(CALC_EEM!G169="","",CALC_EEM!G169)</f>
        <v>—</v>
      </c>
      <c r="H176" s="16" t="str">
        <f>IF(CALC_EEM!H169="","",CALC_EEM!H169)</f>
        <v>—</v>
      </c>
      <c r="I176" s="16" t="str">
        <f>IF(CALC_EEM!I169="","",CALC_EEM!I169)</f>
        <v>—</v>
      </c>
      <c r="J176" t="str">
        <f>IF(CALC_EEM!J169="","",CALC_EEM!J169)</f>
        <v>—</v>
      </c>
      <c r="K176" t="str">
        <f>IF(CALC_EEM!K169="","",CALC_EEM!K169)</f>
        <v>—</v>
      </c>
      <c r="L176">
        <f>IF(CALC_EEM!L169="","",CALC_EEM!L169)</f>
        <v>0</v>
      </c>
      <c r="M176">
        <f>IF(CALC_EEM!M169="","",CALC_EEM!M169)</f>
        <v>0</v>
      </c>
      <c r="N176">
        <f>IF(CALC_EEM!N169="","",CALC_EEM!N169)</f>
        <v>0</v>
      </c>
      <c r="O176">
        <f>IF(CALC_EEM!O169="","",CALC_EEM!O169)</f>
        <v>0</v>
      </c>
      <c r="P176">
        <f>IF(CALC_EEM!P169="","",CALC_EEM!P169)</f>
        <v>0</v>
      </c>
      <c r="Q176">
        <f>IF(CALC_EEM!Q169="","",CALC_EEM!Q169)</f>
        <v>0</v>
      </c>
      <c r="R176">
        <f>IF(CALC_EEM!R169="","",CALC_EEM!R169)</f>
        <v>0</v>
      </c>
      <c r="S176">
        <f>IF(CALC_EEM!S169="","",CALC_EEM!S169)</f>
        <v>0</v>
      </c>
      <c r="T176">
        <f>IF(CALC_EEM!T169="","",CALC_EEM!T169)</f>
        <v>0</v>
      </c>
      <c r="U176">
        <f>IF(CALC_EEM!U169="","",CALC_EEM!U169)</f>
        <v>0</v>
      </c>
    </row>
    <row r="177" spans="1:24">
      <c r="A177" t="str">
        <f>IF(CALC_EEM!A170="","",IF(CALC_EEM!A170="GLOBAL","GLOBAL",IF(CALC_EEM!C170="Total","CURSO_TOTAL",IF(CALC_EEM!C170="TotalEsp","CURSO_ESP",IF(CALC_EEM!C170="TotalNoEsp","CURSO_NOESP","CURSO_ASIG")))))</f>
        <v>GLOBAL</v>
      </c>
      <c r="B177" t="str">
        <f>IF(CALC_EEM!A170="","",CALC_EEM!A170)</f>
        <v>GLOBAL</v>
      </c>
      <c r="C177" t="str">
        <f>IF(CALC_EEM!B170="","",CALC_EEM!B170)</f>
        <v>Total</v>
      </c>
      <c r="D177">
        <f>IF(CALC_EEM!D170="","",CALC_EEM!D170)</f>
        <v>0</v>
      </c>
      <c r="E177" s="14" t="str">
        <f>IF(CALC_EEM!E170="","",CALC_EEM!E170)</f>
        <v>—</v>
      </c>
      <c r="F177" s="14" t="str">
        <f>IF(CALC_EEM!F170="","",CALC_EEM!F170)</f>
        <v>—</v>
      </c>
      <c r="G177" t="str">
        <f>IF(CALC_EEM!G170="","",CALC_EEM!G170)</f>
        <v>—</v>
      </c>
      <c r="H177" s="16" t="str">
        <f>IF(CALC_EEM!H170="","",CALC_EEM!H170)</f>
        <v>—</v>
      </c>
      <c r="I177" s="16" t="str">
        <f>IF(CALC_EEM!I170="","",CALC_EEM!I170)</f>
        <v>—</v>
      </c>
      <c r="J177" t="str">
        <f>IF(CALC_EEM!J170="","",CALC_EEM!J170)</f>
        <v>—</v>
      </c>
      <c r="K177" t="str">
        <f>IF(CALC_EEM!K170="","",CALC_EEM!K170)</f>
        <v>—</v>
      </c>
      <c r="L177">
        <f>IF(CALC_EEM!L170="","",CALC_EEM!L170)</f>
        <v>0</v>
      </c>
      <c r="M177">
        <f>IF(CALC_EEM!M170="","",CALC_EEM!M170)</f>
        <v>0</v>
      </c>
      <c r="N177">
        <f>IF(CALC_EEM!N170="","",CALC_EEM!N170)</f>
        <v>0</v>
      </c>
      <c r="O177">
        <f>IF(CALC_EEM!O170="","",CALC_EEM!O170)</f>
        <v>0</v>
      </c>
      <c r="P177">
        <f>IF(CALC_EEM!P170="","",CALC_EEM!P170)</f>
        <v>0</v>
      </c>
      <c r="Q177">
        <f>IF(CALC_EEM!Q170="","",CALC_EEM!Q170)</f>
        <v>0</v>
      </c>
      <c r="R177">
        <f>IF(CALC_EEM!R170="","",CALC_EEM!R170)</f>
        <v>0</v>
      </c>
      <c r="S177">
        <f>IF(CALC_EEM!S170="","",CALC_EEM!S170)</f>
        <v>0</v>
      </c>
      <c r="T177">
        <f>IF(CALC_EEM!T170="","",CALC_EEM!T170)</f>
        <v>0</v>
      </c>
      <c r="U177">
        <f>IF(CALC_EEM!U170="","",CALC_EEM!U170)</f>
        <v>0</v>
      </c>
    </row>
    <row r="178" spans="1:24">
      <c r="A178" t="str">
        <f>IF(CALC_EEM!A171="","",IF(CALC_EEM!A171="GLOBAL","GLOBAL",IF(CALC_EEM!C171="Total","CURSO_TOTAL",IF(CALC_EEM!C171="TotalEsp","CURSO_ESP",IF(CALC_EEM!C171="TotalNoEsp","CURSO_NOESP","CURSO_ASIG")))))</f>
        <v>GLOBAL</v>
      </c>
      <c r="B178" t="str">
        <f>IF(CALC_EEM!A171="","",CALC_EEM!A171)</f>
        <v>GLOBAL</v>
      </c>
      <c r="C178" t="str">
        <f>IF(CALC_EEM!B171="","",CALC_EEM!B171)</f>
        <v>Total</v>
      </c>
      <c r="D178">
        <f>IF(CALC_EEM!D171="","",CALC_EEM!D171)</f>
        <v>0</v>
      </c>
      <c r="E178" s="14" t="str">
        <f>IF(CALC_EEM!E171="","",CALC_EEM!E171)</f>
        <v>—</v>
      </c>
      <c r="F178" s="14" t="str">
        <f>IF(CALC_EEM!F171="","",CALC_EEM!F171)</f>
        <v>—</v>
      </c>
      <c r="G178" t="str">
        <f>IF(CALC_EEM!G171="","",CALC_EEM!G171)</f>
        <v>—</v>
      </c>
      <c r="H178" s="16" t="str">
        <f>IF(CALC_EEM!H171="","",CALC_EEM!H171)</f>
        <v>—</v>
      </c>
      <c r="I178" s="16" t="str">
        <f>IF(CALC_EEM!I171="","",CALC_EEM!I171)</f>
        <v>—</v>
      </c>
      <c r="J178" t="str">
        <f>IF(CALC_EEM!J171="","",CALC_EEM!J171)</f>
        <v>—</v>
      </c>
      <c r="K178" t="str">
        <f>IF(CALC_EEM!K171="","",CALC_EEM!K171)</f>
        <v>—</v>
      </c>
      <c r="L178">
        <f>IF(CALC_EEM!L171="","",CALC_EEM!L171)</f>
        <v>0</v>
      </c>
      <c r="M178">
        <f>IF(CALC_EEM!M171="","",CALC_EEM!M171)</f>
        <v>0</v>
      </c>
      <c r="N178">
        <f>IF(CALC_EEM!N171="","",CALC_EEM!N171)</f>
        <v>0</v>
      </c>
      <c r="O178">
        <f>IF(CALC_EEM!O171="","",CALC_EEM!O171)</f>
        <v>0</v>
      </c>
      <c r="P178">
        <f>IF(CALC_EEM!P171="","",CALC_EEM!P171)</f>
        <v>0</v>
      </c>
      <c r="Q178">
        <f>IF(CALC_EEM!Q171="","",CALC_EEM!Q171)</f>
        <v>0</v>
      </c>
      <c r="R178">
        <f>IF(CALC_EEM!R171="","",CALC_EEM!R171)</f>
        <v>0</v>
      </c>
      <c r="S178">
        <f>IF(CALC_EEM!S171="","",CALC_EEM!S171)</f>
        <v>0</v>
      </c>
      <c r="T178">
        <f>IF(CALC_EEM!T171="","",CALC_EEM!T171)</f>
        <v>0</v>
      </c>
      <c r="U178">
        <f>IF(CALC_EEM!U171="","",CALC_EEM!U171)</f>
        <v>0</v>
      </c>
    </row>
    <row r="179" spans="1:24">
      <c r="A179" t="str">
        <f>IF(CALC_EEM!A172="","",IF(CALC_EEM!A172="GLOBAL","GLOBAL",IF(CALC_EEM!C172="Total","CURSO_TOTAL",IF(CALC_EEM!C172="TotalEsp","CURSO_ESP",IF(CALC_EEM!C172="TotalNoEsp","CURSO_NOESP","CURSO_ASIG")))))</f>
        <v>GLOBAL</v>
      </c>
      <c r="B179" t="str">
        <f>IF(CALC_EEM!A172="","",CALC_EEM!A172)</f>
        <v>GLOBAL</v>
      </c>
      <c r="C179" t="str">
        <f>IF(CALC_EEM!B172="","",CALC_EEM!B172)</f>
        <v>Total</v>
      </c>
      <c r="D179">
        <f>IF(CALC_EEM!D172="","",CALC_EEM!D172)</f>
        <v>0</v>
      </c>
      <c r="E179" s="14" t="str">
        <f>IF(CALC_EEM!E172="","",CALC_EEM!E172)</f>
        <v>—</v>
      </c>
      <c r="F179" s="14" t="str">
        <f>IF(CALC_EEM!F172="","",CALC_EEM!F172)</f>
        <v>—</v>
      </c>
      <c r="G179" t="str">
        <f>IF(CALC_EEM!G172="","",CALC_EEM!G172)</f>
        <v>—</v>
      </c>
      <c r="H179" s="16" t="str">
        <f>IF(CALC_EEM!H172="","",CALC_EEM!H172)</f>
        <v>—</v>
      </c>
      <c r="I179" s="16" t="str">
        <f>IF(CALC_EEM!I172="","",CALC_EEM!I172)</f>
        <v>—</v>
      </c>
      <c r="J179" t="str">
        <f>IF(CALC_EEM!J172="","",CALC_EEM!J172)</f>
        <v>—</v>
      </c>
      <c r="K179" t="str">
        <f>IF(CALC_EEM!K172="","",CALC_EEM!K172)</f>
        <v>—</v>
      </c>
      <c r="L179">
        <f>IF(CALC_EEM!L172="","",CALC_EEM!L172)</f>
        <v>0</v>
      </c>
      <c r="M179">
        <f>IF(CALC_EEM!M172="","",CALC_EEM!M172)</f>
        <v>0</v>
      </c>
      <c r="N179">
        <f>IF(CALC_EEM!N172="","",CALC_EEM!N172)</f>
        <v>0</v>
      </c>
      <c r="O179">
        <f>IF(CALC_EEM!O172="","",CALC_EEM!O172)</f>
        <v>0</v>
      </c>
      <c r="P179">
        <f>IF(CALC_EEM!P172="","",CALC_EEM!P172)</f>
        <v>0</v>
      </c>
      <c r="Q179">
        <f>IF(CALC_EEM!Q172="","",CALC_EEM!Q172)</f>
        <v>0</v>
      </c>
      <c r="R179">
        <f>IF(CALC_EEM!R172="","",CALC_EEM!R172)</f>
        <v>0</v>
      </c>
      <c r="S179">
        <f>IF(CALC_EEM!S172="","",CALC_EEM!S172)</f>
        <v>0</v>
      </c>
      <c r="T179">
        <f>IF(CALC_EEM!T172="","",CALC_EEM!T172)</f>
        <v>0</v>
      </c>
      <c r="U179">
        <f>IF(CALC_EEM!U172="","",CALC_EEM!U172)</f>
        <v>0</v>
      </c>
    </row>
    <row r="180" spans="1:24">
      <c r="A180" t="str">
        <f>IF(CALC_EEM!A173="","",IF(CALC_EEM!A173="GLOBAL","GLOBAL",IF(CALC_EEM!C173="Total","CURSO_TOTAL",IF(CALC_EEM!C173="TotalEsp","CURSO_ESP",IF(CALC_EEM!C173="TotalNoEsp","CURSO_NOESP","CURSO_ASIG")))))</f>
        <v>GLOBAL</v>
      </c>
      <c r="B180" t="str">
        <f>IF(CALC_EEM!A173="","",CALC_EEM!A173)</f>
        <v>GLOBAL</v>
      </c>
      <c r="C180" t="str">
        <f>IF(CALC_EEM!B173="","",CALC_EEM!B173)</f>
        <v>Total</v>
      </c>
      <c r="D180">
        <f>IF(CALC_EEM!D173="","",CALC_EEM!D173)</f>
        <v>0</v>
      </c>
      <c r="E180" s="14" t="str">
        <f>IF(CALC_EEM!E173="","",CALC_EEM!E173)</f>
        <v>—</v>
      </c>
      <c r="F180" s="14" t="str">
        <f>IF(CALC_EEM!F173="","",CALC_EEM!F173)</f>
        <v>—</v>
      </c>
      <c r="G180" t="str">
        <f>IF(CALC_EEM!G173="","",CALC_EEM!G173)</f>
        <v>—</v>
      </c>
      <c r="H180" s="16" t="str">
        <f>IF(CALC_EEM!H173="","",CALC_EEM!H173)</f>
        <v>—</v>
      </c>
      <c r="I180" s="16" t="str">
        <f>IF(CALC_EEM!I173="","",CALC_EEM!I173)</f>
        <v>—</v>
      </c>
      <c r="J180" t="str">
        <f>IF(CALC_EEM!J173="","",CALC_EEM!J173)</f>
        <v>—</v>
      </c>
      <c r="K180" t="str">
        <f>IF(CALC_EEM!K173="","",CALC_EEM!K173)</f>
        <v>—</v>
      </c>
      <c r="L180">
        <f>IF(CALC_EEM!L173="","",CALC_EEM!L173)</f>
        <v>0</v>
      </c>
      <c r="M180">
        <f>IF(CALC_EEM!M173="","",CALC_EEM!M173)</f>
        <v>0</v>
      </c>
      <c r="N180">
        <f>IF(CALC_EEM!N173="","",CALC_EEM!N173)</f>
        <v>0</v>
      </c>
      <c r="O180">
        <f>IF(CALC_EEM!O173="","",CALC_EEM!O173)</f>
        <v>0</v>
      </c>
      <c r="P180">
        <f>IF(CALC_EEM!P173="","",CALC_EEM!P173)</f>
        <v>0</v>
      </c>
      <c r="Q180">
        <f>IF(CALC_EEM!Q173="","",CALC_EEM!Q173)</f>
        <v>0</v>
      </c>
      <c r="R180">
        <f>IF(CALC_EEM!R173="","",CALC_EEM!R173)</f>
        <v>0</v>
      </c>
      <c r="S180">
        <f>IF(CALC_EEM!S173="","",CALC_EEM!S173)</f>
        <v>0</v>
      </c>
      <c r="T180">
        <f>IF(CALC_EEM!T173="","",CALC_EEM!T173)</f>
        <v>0</v>
      </c>
      <c r="U180">
        <f>IF(CALC_EEM!U173="","",CALC_EEM!U173)</f>
        <v>0</v>
      </c>
    </row>
    <row r="181" spans="1:24">
      <c r="A181" t="str">
        <f>IF(CALC_EEM!A174="","",IF(CALC_EEM!A174="GLOBAL","GLOBAL",IF(CALC_EEM!C174="Total","CURSO_TOTAL",IF(CALC_EEM!C174="TotalEsp","CURSO_ESP",IF(CALC_EEM!C174="TotalNoEsp","CURSO_NOESP","CURSO_ASIG")))))</f>
        <v>GLOBAL</v>
      </c>
      <c r="B181" t="str">
        <f>IF(CALC_EEM!A174="","",CALC_EEM!A174)</f>
        <v>GLOBAL</v>
      </c>
      <c r="C181" t="str">
        <f>IF(CALC_EEM!B174="","",CALC_EEM!B174)</f>
        <v>Total</v>
      </c>
      <c r="D181">
        <f>IF(CALC_EEM!D174="","",CALC_EEM!D174)</f>
        <v>0</v>
      </c>
      <c r="E181" s="14" t="str">
        <f>IF(CALC_EEM!E174="","",CALC_EEM!E174)</f>
        <v>—</v>
      </c>
      <c r="F181" s="14" t="str">
        <f>IF(CALC_EEM!F174="","",CALC_EEM!F174)</f>
        <v>—</v>
      </c>
      <c r="G181" t="str">
        <f>IF(CALC_EEM!G174="","",CALC_EEM!G174)</f>
        <v>—</v>
      </c>
      <c r="H181" s="16" t="str">
        <f>IF(CALC_EEM!H174="","",CALC_EEM!H174)</f>
        <v>—</v>
      </c>
      <c r="I181" s="16" t="str">
        <f>IF(CALC_EEM!I174="","",CALC_EEM!I174)</f>
        <v>—</v>
      </c>
      <c r="J181" t="str">
        <f>IF(CALC_EEM!J174="","",CALC_EEM!J174)</f>
        <v>—</v>
      </c>
      <c r="K181" t="str">
        <f>IF(CALC_EEM!K174="","",CALC_EEM!K174)</f>
        <v>—</v>
      </c>
      <c r="L181">
        <f>IF(CALC_EEM!L174="","",CALC_EEM!L174)</f>
        <v>0</v>
      </c>
      <c r="M181">
        <f>IF(CALC_EEM!M174="","",CALC_EEM!M174)</f>
        <v>0</v>
      </c>
      <c r="N181">
        <f>IF(CALC_EEM!N174="","",CALC_EEM!N174)</f>
        <v>0</v>
      </c>
      <c r="O181">
        <f>IF(CALC_EEM!O174="","",CALC_EEM!O174)</f>
        <v>0</v>
      </c>
      <c r="P181">
        <f>IF(CALC_EEM!P174="","",CALC_EEM!P174)</f>
        <v>0</v>
      </c>
      <c r="Q181">
        <f>IF(CALC_EEM!Q174="","",CALC_EEM!Q174)</f>
        <v>0</v>
      </c>
      <c r="R181">
        <f>IF(CALC_EEM!R174="","",CALC_EEM!R174)</f>
        <v>0</v>
      </c>
      <c r="S181">
        <f>IF(CALC_EEM!S174="","",CALC_EEM!S174)</f>
        <v>0</v>
      </c>
      <c r="T181">
        <f>IF(CALC_EEM!T174="","",CALC_EEM!T174)</f>
        <v>0</v>
      </c>
      <c r="U181">
        <f>IF(CALC_EEM!U174="","",CALC_EEM!U174)</f>
        <v>0</v>
      </c>
    </row>
    <row r="182" spans="1:24">
      <c r="A182" t="str">
        <f>IF(CALC_EEM!A175="","",IF(CALC_EEM!A175="GLOBAL","GLOBAL",IF(CALC_EEM!C175="Total","CURSO_TOTAL",IF(CALC_EEM!C175="TotalEsp","CURSO_ESP",IF(CALC_EEM!C175="TotalNoEsp","CURSO_NOESP","CURSO_ASIG")))))</f>
        <v>GLOBAL</v>
      </c>
      <c r="B182" t="str">
        <f>IF(CALC_EEM!A175="","",CALC_EEM!A175)</f>
        <v>GLOBAL</v>
      </c>
      <c r="C182" t="str">
        <f>IF(CALC_EEM!B175="","",CALC_EEM!B175)</f>
        <v>Total</v>
      </c>
      <c r="D182">
        <f>IF(CALC_EEM!D175="","",CALC_EEM!D175)</f>
        <v>0</v>
      </c>
      <c r="E182" s="14" t="str">
        <f>IF(CALC_EEM!E175="","",CALC_EEM!E175)</f>
        <v>—</v>
      </c>
      <c r="F182" s="14" t="str">
        <f>IF(CALC_EEM!F175="","",CALC_EEM!F175)</f>
        <v>—</v>
      </c>
      <c r="G182" t="str">
        <f>IF(CALC_EEM!G175="","",CALC_EEM!G175)</f>
        <v>—</v>
      </c>
      <c r="H182" s="16" t="str">
        <f>IF(CALC_EEM!H175="","",CALC_EEM!H175)</f>
        <v>—</v>
      </c>
      <c r="I182" s="16" t="str">
        <f>IF(CALC_EEM!I175="","",CALC_EEM!I175)</f>
        <v>—</v>
      </c>
      <c r="J182" t="str">
        <f>IF(CALC_EEM!J175="","",CALC_EEM!J175)</f>
        <v>—</v>
      </c>
      <c r="K182" t="str">
        <f>IF(CALC_EEM!K175="","",CALC_EEM!K175)</f>
        <v>—</v>
      </c>
      <c r="L182">
        <f>IF(CALC_EEM!L175="","",CALC_EEM!L175)</f>
        <v>0</v>
      </c>
      <c r="M182">
        <f>IF(CALC_EEM!M175="","",CALC_EEM!M175)</f>
        <v>0</v>
      </c>
      <c r="N182">
        <f>IF(CALC_EEM!N175="","",CALC_EEM!N175)</f>
        <v>0</v>
      </c>
      <c r="O182">
        <f>IF(CALC_EEM!O175="","",CALC_EEM!O175)</f>
        <v>0</v>
      </c>
      <c r="P182">
        <f>IF(CALC_EEM!P175="","",CALC_EEM!P175)</f>
        <v>0</v>
      </c>
      <c r="Q182">
        <f>IF(CALC_EEM!Q175="","",CALC_EEM!Q175)</f>
        <v>0</v>
      </c>
      <c r="R182">
        <f>IF(CALC_EEM!R175="","",CALC_EEM!R175)</f>
        <v>0</v>
      </c>
      <c r="S182">
        <f>IF(CALC_EEM!S175="","",CALC_EEM!S175)</f>
        <v>0</v>
      </c>
      <c r="T182">
        <f>IF(CALC_EEM!T175="","",CALC_EEM!T175)</f>
        <v>0</v>
      </c>
      <c r="U182">
        <f>IF(CALC_EEM!U175="","",CALC_EEM!U175)</f>
        <v>0</v>
      </c>
    </row>
    <row r="183" spans="1:24">
      <c r="A183" t="str">
        <f>IF(CALC_EEM!A176="","",IF(CALC_EEM!A176="GLOBAL","GLOBAL",IF(CALC_EEM!C176="Total","CURSO_TOTAL",IF(CALC_EEM!C176="TotalEsp","CURSO_ESP",IF(CALC_EEM!C176="TotalNoEsp","CURSO_NOESP","CURSO_ASIG")))))</f>
        <v>GLOBAL</v>
      </c>
      <c r="B183" t="str">
        <f>IF(CALC_EEM!A176="","",CALC_EEM!A176)</f>
        <v>GLOBAL</v>
      </c>
      <c r="C183" t="str">
        <f>IF(CALC_EEM!B176="","",CALC_EEM!B176)</f>
        <v>Total</v>
      </c>
      <c r="D183">
        <f>IF(CALC_EEM!D176="","",CALC_EEM!D176)</f>
        <v>0</v>
      </c>
      <c r="E183" s="14" t="str">
        <f>IF(CALC_EEM!E176="","",CALC_EEM!E176)</f>
        <v>—</v>
      </c>
      <c r="F183" s="14" t="str">
        <f>IF(CALC_EEM!F176="","",CALC_EEM!F176)</f>
        <v>—</v>
      </c>
      <c r="G183" t="str">
        <f>IF(CALC_EEM!G176="","",CALC_EEM!G176)</f>
        <v>—</v>
      </c>
      <c r="H183" s="16" t="str">
        <f>IF(CALC_EEM!H176="","",CALC_EEM!H176)</f>
        <v>—</v>
      </c>
      <c r="I183" s="16" t="str">
        <f>IF(CALC_EEM!I176="","",CALC_EEM!I176)</f>
        <v>—</v>
      </c>
      <c r="J183" t="str">
        <f>IF(CALC_EEM!J176="","",CALC_EEM!J176)</f>
        <v>—</v>
      </c>
      <c r="K183" t="str">
        <f>IF(CALC_EEM!K176="","",CALC_EEM!K176)</f>
        <v>—</v>
      </c>
      <c r="L183">
        <f>IF(CALC_EEM!L176="","",CALC_EEM!L176)</f>
        <v>0</v>
      </c>
      <c r="M183">
        <f>IF(CALC_EEM!M176="","",CALC_EEM!M176)</f>
        <v>0</v>
      </c>
      <c r="N183">
        <f>IF(CALC_EEM!N176="","",CALC_EEM!N176)</f>
        <v>0</v>
      </c>
      <c r="O183">
        <f>IF(CALC_EEM!O176="","",CALC_EEM!O176)</f>
        <v>0</v>
      </c>
      <c r="P183">
        <f>IF(CALC_EEM!P176="","",CALC_EEM!P176)</f>
        <v>0</v>
      </c>
      <c r="Q183">
        <f>IF(CALC_EEM!Q176="","",CALC_EEM!Q176)</f>
        <v>0</v>
      </c>
      <c r="R183">
        <f>IF(CALC_EEM!R176="","",CALC_EEM!R176)</f>
        <v>0</v>
      </c>
      <c r="S183">
        <f>IF(CALC_EEM!S176="","",CALC_EEM!S176)</f>
        <v>0</v>
      </c>
      <c r="T183">
        <f>IF(CALC_EEM!T176="","",CALC_EEM!T176)</f>
        <v>0</v>
      </c>
      <c r="U183">
        <f>IF(CALC_EEM!U176="","",CALC_EEM!U176)</f>
        <v>0</v>
      </c>
    </row>
    <row r="184" spans="1:24">
      <c r="A184" t="str">
        <f>IF(CALC_EEM!A177="","",IF(CALC_EEM!A177="GLOBAL","GLOBAL",IF(CALC_EEM!C177="Total","CURSO_TOTAL",IF(CALC_EEM!C177="TotalEsp","CURSO_ESP",IF(CALC_EEM!C177="TotalNoEsp","CURSO_NOESP","CURSO_ASIG")))))</f>
        <v>GLOBAL</v>
      </c>
      <c r="B184" t="str">
        <f>IF(CALC_EEM!A177="","",CALC_EEM!A177)</f>
        <v>GLOBAL</v>
      </c>
      <c r="C184" t="str">
        <f>IF(CALC_EEM!B177="","",CALC_EEM!B177)</f>
        <v>Total</v>
      </c>
      <c r="D184">
        <f>IF(CALC_EEM!D177="","",CALC_EEM!D177)</f>
        <v>0</v>
      </c>
      <c r="E184" s="14" t="str">
        <f>IF(CALC_EEM!E177="","",CALC_EEM!E177)</f>
        <v>—</v>
      </c>
      <c r="F184" s="14" t="str">
        <f>IF(CALC_EEM!F177="","",CALC_EEM!F177)</f>
        <v>—</v>
      </c>
      <c r="G184" t="str">
        <f>IF(CALC_EEM!G177="","",CALC_EEM!G177)</f>
        <v>—</v>
      </c>
      <c r="H184" s="16" t="str">
        <f>IF(CALC_EEM!H177="","",CALC_EEM!H177)</f>
        <v>—</v>
      </c>
      <c r="I184" s="16" t="str">
        <f>IF(CALC_EEM!I177="","",CALC_EEM!I177)</f>
        <v>—</v>
      </c>
      <c r="J184" t="str">
        <f>IF(CALC_EEM!J177="","",CALC_EEM!J177)</f>
        <v>—</v>
      </c>
      <c r="K184" t="str">
        <f>IF(CALC_EEM!K177="","",CALC_EEM!K177)</f>
        <v>—</v>
      </c>
      <c r="L184">
        <f>IF(CALC_EEM!L177="","",CALC_EEM!L177)</f>
        <v>0</v>
      </c>
      <c r="M184">
        <f>IF(CALC_EEM!M177="","",CALC_EEM!M177)</f>
        <v>0</v>
      </c>
      <c r="N184">
        <f>IF(CALC_EEM!N177="","",CALC_EEM!N177)</f>
        <v>0</v>
      </c>
      <c r="O184">
        <f>IF(CALC_EEM!O177="","",CALC_EEM!O177)</f>
        <v>0</v>
      </c>
      <c r="P184">
        <f>IF(CALC_EEM!P177="","",CALC_EEM!P177)</f>
        <v>0</v>
      </c>
      <c r="Q184">
        <f>IF(CALC_EEM!Q177="","",CALC_EEM!Q177)</f>
        <v>0</v>
      </c>
      <c r="R184">
        <f>IF(CALC_EEM!R177="","",CALC_EEM!R177)</f>
        <v>0</v>
      </c>
      <c r="S184">
        <f>IF(CALC_EEM!S177="","",CALC_EEM!S177)</f>
        <v>0</v>
      </c>
      <c r="T184">
        <f>IF(CALC_EEM!T177="","",CALC_EEM!T177)</f>
        <v>0</v>
      </c>
      <c r="U184">
        <f>IF(CALC_EEM!U177="","",CALC_EEM!U177)</f>
        <v>0</v>
      </c>
    </row>
    <row r="185" spans="1:24">
      <c r="A185" t="str">
        <f>IF(CALC_EEM!A178="","",IF(CALC_EEM!A178="GLOBAL","GLOBAL",IF(CALC_EEM!C178="Total","CURSO_TOTAL",IF(CALC_EEM!C178="TotalEsp","CURSO_ESP",IF(CALC_EEM!C178="TotalNoEsp","CURSO_NOESP","CURSO_ASIG")))))</f>
        <v>GLOBAL</v>
      </c>
      <c r="B185" t="str">
        <f>IF(CALC_EEM!A178="","",CALC_EEM!A178)</f>
        <v>GLOBAL</v>
      </c>
      <c r="C185" t="str">
        <f>IF(CALC_EEM!B178="","",CALC_EEM!B178)</f>
        <v>Total</v>
      </c>
      <c r="D185">
        <f>IF(CALC_EEM!D178="","",CALC_EEM!D178)</f>
        <v>0</v>
      </c>
      <c r="E185" s="14" t="str">
        <f>IF(CALC_EEM!E178="","",CALC_EEM!E178)</f>
        <v>—</v>
      </c>
      <c r="F185" s="14" t="str">
        <f>IF(CALC_EEM!F178="","",CALC_EEM!F178)</f>
        <v>—</v>
      </c>
      <c r="G185" t="str">
        <f>IF(CALC_EEM!G178="","",CALC_EEM!G178)</f>
        <v>—</v>
      </c>
      <c r="H185" s="16" t="str">
        <f>IF(CALC_EEM!H178="","",CALC_EEM!H178)</f>
        <v>—</v>
      </c>
      <c r="I185" s="16" t="str">
        <f>IF(CALC_EEM!I178="","",CALC_EEM!I178)</f>
        <v>—</v>
      </c>
      <c r="J185" t="str">
        <f>IF(CALC_EEM!J178="","",CALC_EEM!J178)</f>
        <v>—</v>
      </c>
      <c r="K185" t="str">
        <f>IF(CALC_EEM!K178="","",CALC_EEM!K178)</f>
        <v>—</v>
      </c>
      <c r="L185">
        <f>IF(CALC_EEM!L178="","",CALC_EEM!L178)</f>
        <v>0</v>
      </c>
      <c r="M185">
        <f>IF(CALC_EEM!M178="","",CALC_EEM!M178)</f>
        <v>0</v>
      </c>
      <c r="N185">
        <f>IF(CALC_EEM!N178="","",CALC_EEM!N178)</f>
        <v>0</v>
      </c>
      <c r="O185">
        <f>IF(CALC_EEM!O178="","",CALC_EEM!O178)</f>
        <v>0</v>
      </c>
      <c r="P185">
        <f>IF(CALC_EEM!P178="","",CALC_EEM!P178)</f>
        <v>0</v>
      </c>
      <c r="Q185">
        <f>IF(CALC_EEM!Q178="","",CALC_EEM!Q178)</f>
        <v>0</v>
      </c>
      <c r="R185">
        <f>IF(CALC_EEM!R178="","",CALC_EEM!R178)</f>
        <v>0</v>
      </c>
      <c r="S185">
        <f>IF(CALC_EEM!S178="","",CALC_EEM!S178)</f>
        <v>0</v>
      </c>
      <c r="T185">
        <f>IF(CALC_EEM!T178="","",CALC_EEM!T178)</f>
        <v>0</v>
      </c>
      <c r="U185">
        <f>IF(CALC_EEM!U178="","",CALC_EEM!U178)</f>
        <v>0</v>
      </c>
    </row>
    <row r="186" spans="1:24">
      <c r="A186" t="str">
        <f>IF(CALC_EEM!A179="","",IF(CALC_EEM!A179="GLOBAL","GLOBAL",IF(CALC_EEM!C179="Total","CURSO_TOTAL",IF(CALC_EEM!C179="TotalEsp","CURSO_ESP",IF(CALC_EEM!C179="TotalNoEsp","CURSO_NOESP","CURSO_ASIG")))))</f>
        <v>GLOBAL</v>
      </c>
      <c r="B186" t="str">
        <f>IF(CALC_EEM!A179="","",CALC_EEM!A179)</f>
        <v>GLOBAL</v>
      </c>
      <c r="C186" t="str">
        <f>IF(CALC_EEM!B179="","",CALC_EEM!B179)</f>
        <v>Total</v>
      </c>
      <c r="D186">
        <f>IF(CALC_EEM!D179="","",CALC_EEM!D179)</f>
        <v>0</v>
      </c>
      <c r="E186" s="14" t="str">
        <f>IF(CALC_EEM!E179="","",CALC_EEM!E179)</f>
        <v>—</v>
      </c>
      <c r="F186" s="14" t="str">
        <f>IF(CALC_EEM!F179="","",CALC_EEM!F179)</f>
        <v>—</v>
      </c>
      <c r="G186" t="str">
        <f>IF(CALC_EEM!G179="","",CALC_EEM!G179)</f>
        <v>—</v>
      </c>
      <c r="H186" s="16" t="str">
        <f>IF(CALC_EEM!H179="","",CALC_EEM!H179)</f>
        <v>—</v>
      </c>
      <c r="I186" s="16" t="str">
        <f>IF(CALC_EEM!I179="","",CALC_EEM!I179)</f>
        <v>—</v>
      </c>
      <c r="J186" t="str">
        <f>IF(CALC_EEM!J179="","",CALC_EEM!J179)</f>
        <v>—</v>
      </c>
      <c r="K186" t="str">
        <f>IF(CALC_EEM!K179="","",CALC_EEM!K179)</f>
        <v>—</v>
      </c>
      <c r="L186">
        <f>IF(CALC_EEM!L179="","",CALC_EEM!L179)</f>
        <v>0</v>
      </c>
      <c r="M186">
        <f>IF(CALC_EEM!M179="","",CALC_EEM!M179)</f>
        <v>0</v>
      </c>
      <c r="N186">
        <f>IF(CALC_EEM!N179="","",CALC_EEM!N179)</f>
        <v>0</v>
      </c>
      <c r="O186">
        <f>IF(CALC_EEM!O179="","",CALC_EEM!O179)</f>
        <v>0</v>
      </c>
      <c r="P186">
        <f>IF(CALC_EEM!P179="","",CALC_EEM!P179)</f>
        <v>0</v>
      </c>
      <c r="Q186">
        <f>IF(CALC_EEM!Q179="","",CALC_EEM!Q179)</f>
        <v>0</v>
      </c>
      <c r="R186">
        <f>IF(CALC_EEM!R179="","",CALC_EEM!R179)</f>
        <v>0</v>
      </c>
      <c r="S186">
        <f>IF(CALC_EEM!S179="","",CALC_EEM!S179)</f>
        <v>0</v>
      </c>
      <c r="T186">
        <f>IF(CALC_EEM!T179="","",CALC_EEM!T179)</f>
        <v>0</v>
      </c>
      <c r="U186">
        <f>IF(CALC_EEM!U179="","",CALC_EEM!U179)</f>
        <v>0</v>
      </c>
    </row>
    <row r="187" spans="1:24">
      <c r="A187" t="str">
        <f>IF(CALC_EEM!A180="","",IF(CALC_EEM!A180="GLOBAL","GLOBAL",IF(CALC_EEM!C180="Total","CURSO_TOTAL",IF(CALC_EEM!C180="TotalEsp","CURSO_ESP",IF(CALC_EEM!C180="TotalNoEsp","CURSO_NOESP","CURSO_ASIG")))))</f>
        <v>GLOBAL</v>
      </c>
      <c r="B187" t="str">
        <f>IF(CALC_EEM!A180="","",CALC_EEM!A180)</f>
        <v>GLOBAL</v>
      </c>
      <c r="C187" t="str">
        <f>IF(CALC_EEM!B180="","",CALC_EEM!B180)</f>
        <v>Total</v>
      </c>
      <c r="D187">
        <f>IF(CALC_EEM!D180="","",CALC_EEM!D180)</f>
        <v>0</v>
      </c>
      <c r="E187" s="14" t="str">
        <f>IF(CALC_EEM!E180="","",CALC_EEM!E180)</f>
        <v>—</v>
      </c>
      <c r="F187" s="14" t="str">
        <f>IF(CALC_EEM!F180="","",CALC_EEM!F180)</f>
        <v>—</v>
      </c>
      <c r="G187" t="str">
        <f>IF(CALC_EEM!G180="","",CALC_EEM!G180)</f>
        <v>—</v>
      </c>
      <c r="H187" s="16" t="str">
        <f>IF(CALC_EEM!H180="","",CALC_EEM!H180)</f>
        <v>—</v>
      </c>
      <c r="I187" s="16" t="str">
        <f>IF(CALC_EEM!I180="","",CALC_EEM!I180)</f>
        <v>—</v>
      </c>
      <c r="J187" t="str">
        <f>IF(CALC_EEM!J180="","",CALC_EEM!J180)</f>
        <v>—</v>
      </c>
      <c r="K187" t="str">
        <f>IF(CALC_EEM!K180="","",CALC_EEM!K180)</f>
        <v>—</v>
      </c>
      <c r="L187">
        <f>IF(CALC_EEM!L180="","",CALC_EEM!L180)</f>
        <v>0</v>
      </c>
      <c r="M187">
        <f>IF(CALC_EEM!M180="","",CALC_EEM!M180)</f>
        <v>0</v>
      </c>
      <c r="N187">
        <f>IF(CALC_EEM!N180="","",CALC_EEM!N180)</f>
        <v>0</v>
      </c>
      <c r="O187">
        <f>IF(CALC_EEM!O180="","",CALC_EEM!O180)</f>
        <v>0</v>
      </c>
      <c r="P187">
        <f>IF(CALC_EEM!P180="","",CALC_EEM!P180)</f>
        <v>0</v>
      </c>
      <c r="Q187">
        <f>IF(CALC_EEM!Q180="","",CALC_EEM!Q180)</f>
        <v>0</v>
      </c>
      <c r="R187">
        <f>IF(CALC_EEM!R180="","",CALC_EEM!R180)</f>
        <v>0</v>
      </c>
      <c r="S187">
        <f>IF(CALC_EEM!S180="","",CALC_EEM!S180)</f>
        <v>0</v>
      </c>
      <c r="T187">
        <f>IF(CALC_EEM!T180="","",CALC_EEM!T180)</f>
        <v>0</v>
      </c>
      <c r="U187">
        <f>IF(CALC_EEM!U180="","",CALC_EEM!U180)</f>
        <v>0</v>
      </c>
    </row>
    <row r="188" spans="1:24">
      <c r="A188" t="str">
        <f>IF(CALC_EEM!A181="","",IF(CALC_EEM!A181="GLOBAL","GLOBAL",IF(CALC_EEM!C181="Total","CURSO_TOTAL",IF(CALC_EEM!C181="TotalEsp","CURSO_ESP",IF(CALC_EEM!C181="TotalNoEsp","CURSO_NOESP","CURSO_ASIG")))))</f>
        <v>GLOBAL</v>
      </c>
      <c r="B188" t="str">
        <f>IF(CALC_EEM!A181="","",CALC_EEM!A181)</f>
        <v>GLOBAL</v>
      </c>
      <c r="C188" t="str">
        <f>IF(CALC_EEM!B181="","",CALC_EEM!B181)</f>
        <v>Total</v>
      </c>
      <c r="D188">
        <f>IF(CALC_EEM!D181="","",CALC_EEM!D181)</f>
        <v>0</v>
      </c>
      <c r="E188" s="14" t="str">
        <f>IF(CALC_EEM!E181="","",CALC_EEM!E181)</f>
        <v>—</v>
      </c>
      <c r="F188" s="14" t="str">
        <f>IF(CALC_EEM!F181="","",CALC_EEM!F181)</f>
        <v>—</v>
      </c>
      <c r="G188" t="str">
        <f>IF(CALC_EEM!G181="","",CALC_EEM!G181)</f>
        <v>—</v>
      </c>
      <c r="H188" s="16" t="str">
        <f>IF(CALC_EEM!H181="","",CALC_EEM!H181)</f>
        <v>—</v>
      </c>
      <c r="I188" s="16" t="str">
        <f>IF(CALC_EEM!I181="","",CALC_EEM!I181)</f>
        <v>—</v>
      </c>
      <c r="J188" t="str">
        <f>IF(CALC_EEM!J181="","",CALC_EEM!J181)</f>
        <v>—</v>
      </c>
      <c r="K188" t="str">
        <f>IF(CALC_EEM!K181="","",CALC_EEM!K181)</f>
        <v>—</v>
      </c>
      <c r="L188">
        <f>IF(CALC_EEM!L181="","",CALC_EEM!L181)</f>
        <v>0</v>
      </c>
      <c r="M188">
        <f>IF(CALC_EEM!M181="","",CALC_EEM!M181)</f>
        <v>0</v>
      </c>
      <c r="N188">
        <f>IF(CALC_EEM!N181="","",CALC_EEM!N181)</f>
        <v>0</v>
      </c>
      <c r="O188">
        <f>IF(CALC_EEM!O181="","",CALC_EEM!O181)</f>
        <v>0</v>
      </c>
      <c r="P188">
        <f>IF(CALC_EEM!P181="","",CALC_EEM!P181)</f>
        <v>0</v>
      </c>
      <c r="Q188">
        <f>IF(CALC_EEM!Q181="","",CALC_EEM!Q181)</f>
        <v>0</v>
      </c>
      <c r="R188">
        <f>IF(CALC_EEM!R181="","",CALC_EEM!R181)</f>
        <v>0</v>
      </c>
      <c r="S188">
        <f>IF(CALC_EEM!S181="","",CALC_EEM!S181)</f>
        <v>0</v>
      </c>
      <c r="T188">
        <f>IF(CALC_EEM!T181="","",CALC_EEM!T181)</f>
        <v>0</v>
      </c>
      <c r="U188">
        <f>IF(CALC_EEM!U181="","",CALC_EEM!U181)</f>
        <v>0</v>
      </c>
    </row>
    <row r="189" spans="1:24">
      <c r="A189" t="str">
        <f>IF(CALC_EEM!A182="","",IF(CALC_EEM!A182="GLOBAL","GLOBAL",IF(CALC_EEM!C182="Total","CURSO_TOTAL",IF(CALC_EEM!C182="TotalEsp","CURSO_ESP",IF(CALC_EEM!C182="TotalNoEsp","CURSO_NOESP","CURSO_ASIG")))))</f>
        <v>GLOBAL</v>
      </c>
      <c r="B189" t="str">
        <f>IF(CALC_EEM!A182="","",CALC_EEM!A182)</f>
        <v>GLOBAL</v>
      </c>
      <c r="C189" t="str">
        <f>IF(CALC_EEM!B182="","",CALC_EEM!B182)</f>
        <v>Total</v>
      </c>
      <c r="D189">
        <f>IF(CALC_EEM!D182="","",CALC_EEM!D182)</f>
        <v>0</v>
      </c>
      <c r="E189" s="14" t="str">
        <f>IF(CALC_EEM!E182="","",CALC_EEM!E182)</f>
        <v>—</v>
      </c>
      <c r="F189" s="14" t="str">
        <f>IF(CALC_EEM!F182="","",CALC_EEM!F182)</f>
        <v>—</v>
      </c>
      <c r="G189" t="str">
        <f>IF(CALC_EEM!G182="","",CALC_EEM!G182)</f>
        <v>—</v>
      </c>
      <c r="H189" s="16" t="str">
        <f>IF(CALC_EEM!H182="","",CALC_EEM!H182)</f>
        <v>—</v>
      </c>
      <c r="I189" s="16" t="str">
        <f>IF(CALC_EEM!I182="","",CALC_EEM!I182)</f>
        <v>—</v>
      </c>
      <c r="J189" t="str">
        <f>IF(CALC_EEM!J182="","",CALC_EEM!J182)</f>
        <v>—</v>
      </c>
      <c r="K189" t="str">
        <f>IF(CALC_EEM!K182="","",CALC_EEM!K182)</f>
        <v>—</v>
      </c>
      <c r="L189">
        <f>IF(CALC_EEM!L182="","",CALC_EEM!L182)</f>
        <v>0</v>
      </c>
      <c r="M189">
        <f>IF(CALC_EEM!M182="","",CALC_EEM!M182)</f>
        <v>0</v>
      </c>
      <c r="N189">
        <f>IF(CALC_EEM!N182="","",CALC_EEM!N182)</f>
        <v>0</v>
      </c>
      <c r="O189">
        <f>IF(CALC_EEM!O182="","",CALC_EEM!O182)</f>
        <v>0</v>
      </c>
      <c r="P189">
        <f>IF(CALC_EEM!P182="","",CALC_EEM!P182)</f>
        <v>0</v>
      </c>
      <c r="Q189">
        <f>IF(CALC_EEM!Q182="","",CALC_EEM!Q182)</f>
        <v>0</v>
      </c>
      <c r="R189">
        <f>IF(CALC_EEM!R182="","",CALC_EEM!R182)</f>
        <v>0</v>
      </c>
      <c r="S189">
        <f>IF(CALC_EEM!S182="","",CALC_EEM!S182)</f>
        <v>0</v>
      </c>
      <c r="T189">
        <f>IF(CALC_EEM!T182="","",CALC_EEM!T182)</f>
        <v>0</v>
      </c>
      <c r="U189">
        <f>IF(CALC_EEM!U182="","",CALC_EEM!U182)</f>
        <v>0</v>
      </c>
    </row>
    <row r="190" spans="1:24">
      <c r="A190" t="str">
        <f>IF(CALC_EEM!A183="","",IF(CALC_EEM!A183="GLOBAL","GLOBAL",IF(CALC_EEM!C183="Total","CURSO_TOTAL",IF(CALC_EEM!C183="TotalEsp","CURSO_ESP",IF(CALC_EEM!C183="TotalNoEsp","CURSO_NOESP","CURSO_ASIG")))))</f>
        <v>GLOBAL</v>
      </c>
      <c r="B190" t="str">
        <f>IF(CALC_EEM!A183="","",CALC_EEM!A183)</f>
        <v>GLOBAL</v>
      </c>
      <c r="C190" t="str">
        <f>IF(CALC_EEM!B183="","",CALC_EEM!B183)</f>
        <v>Total</v>
      </c>
      <c r="D190">
        <f>IF(CALC_EEM!D183="","",CALC_EEM!D183)</f>
        <v>0</v>
      </c>
      <c r="E190" s="14" t="str">
        <f>IF(CALC_EEM!E183="","",CALC_EEM!E183)</f>
        <v>—</v>
      </c>
      <c r="F190" s="14" t="str">
        <f>IF(CALC_EEM!F183="","",CALC_EEM!F183)</f>
        <v>—</v>
      </c>
      <c r="G190" t="str">
        <f>IF(CALC_EEM!G183="","",CALC_EEM!G183)</f>
        <v>—</v>
      </c>
      <c r="H190" s="16" t="str">
        <f>IF(CALC_EEM!H183="","",CALC_EEM!H183)</f>
        <v>—</v>
      </c>
      <c r="I190" s="16" t="str">
        <f>IF(CALC_EEM!I183="","",CALC_EEM!I183)</f>
        <v>—</v>
      </c>
      <c r="J190" t="str">
        <f>IF(CALC_EEM!J183="","",CALC_EEM!J183)</f>
        <v>—</v>
      </c>
      <c r="K190" t="str">
        <f>IF(CALC_EEM!K183="","",CALC_EEM!K183)</f>
        <v>—</v>
      </c>
      <c r="L190">
        <f>IF(CALC_EEM!L183="","",CALC_EEM!L183)</f>
        <v>0</v>
      </c>
      <c r="M190">
        <f>IF(CALC_EEM!M183="","",CALC_EEM!M183)</f>
        <v>0</v>
      </c>
      <c r="N190">
        <f>IF(CALC_EEM!N183="","",CALC_EEM!N183)</f>
        <v>0</v>
      </c>
      <c r="O190">
        <f>IF(CALC_EEM!O183="","",CALC_EEM!O183)</f>
        <v>0</v>
      </c>
      <c r="P190">
        <f>IF(CALC_EEM!P183="","",CALC_EEM!P183)</f>
        <v>0</v>
      </c>
      <c r="Q190">
        <f>IF(CALC_EEM!Q183="","",CALC_EEM!Q183)</f>
        <v>0</v>
      </c>
      <c r="R190">
        <f>IF(CALC_EEM!R183="","",CALC_EEM!R183)</f>
        <v>0</v>
      </c>
      <c r="S190">
        <f>IF(CALC_EEM!S183="","",CALC_EEM!S183)</f>
        <v>0</v>
      </c>
      <c r="T190">
        <f>IF(CALC_EEM!T183="","",CALC_EEM!T183)</f>
        <v>0</v>
      </c>
      <c r="U190">
        <f>IF(CALC_EEM!U183="","",CALC_EEM!U183)</f>
        <v>0</v>
      </c>
    </row>
    <row r="191" spans="1:24">
      <c r="A191" t="str">
        <f>IF(CALC_EEM!A184="","",IF(CALC_EEM!A184="GLOBAL","GLOBAL",IF(CALC_EEM!C184="Total","CURSO_TOTAL",IF(CALC_EEM!C184="TotalEsp","CURSO_ESP",IF(CALC_EEM!C184="TotalNoEsp","CURSO_NOESP","CURSO_ASIG")))))</f>
        <v>GLOBAL</v>
      </c>
      <c r="B191" t="str">
        <f>IF(CALC_EEM!A184="","",CALC_EEM!A184)</f>
        <v>GLOBAL</v>
      </c>
      <c r="C191" t="str">
        <f>IF(CALC_EEM!B184="","",CALC_EEM!B184)</f>
        <v>Total</v>
      </c>
      <c r="D191">
        <f>IF(CALC_EEM!D184="","",CALC_EEM!D184)</f>
        <v>0</v>
      </c>
      <c r="E191" s="14" t="str">
        <f>IF(CALC_EEM!E184="","",CALC_EEM!E184)</f>
        <v>—</v>
      </c>
      <c r="F191" s="14" t="str">
        <f>IF(CALC_EEM!F184="","",CALC_EEM!F184)</f>
        <v>—</v>
      </c>
      <c r="G191" t="str">
        <f>IF(CALC_EEM!G184="","",CALC_EEM!G184)</f>
        <v>—</v>
      </c>
      <c r="H191" s="16" t="str">
        <f>IF(CALC_EEM!H184="","",CALC_EEM!H184)</f>
        <v>—</v>
      </c>
      <c r="I191" s="16" t="str">
        <f>IF(CALC_EEM!I184="","",CALC_EEM!I184)</f>
        <v>—</v>
      </c>
      <c r="J191" t="str">
        <f>IF(CALC_EEM!J184="","",CALC_EEM!J184)</f>
        <v>—</v>
      </c>
      <c r="K191" t="str">
        <f>IF(CALC_EEM!K184="","",CALC_EEM!K184)</f>
        <v>—</v>
      </c>
      <c r="L191">
        <f>IF(CALC_EEM!L184="","",CALC_EEM!L184)</f>
        <v>0</v>
      </c>
      <c r="M191">
        <f>IF(CALC_EEM!M184="","",CALC_EEM!M184)</f>
        <v>0</v>
      </c>
      <c r="N191">
        <f>IF(CALC_EEM!N184="","",CALC_EEM!N184)</f>
        <v>0</v>
      </c>
      <c r="O191">
        <f>IF(CALC_EEM!O184="","",CALC_EEM!O184)</f>
        <v>0</v>
      </c>
      <c r="P191">
        <f>IF(CALC_EEM!P184="","",CALC_EEM!P184)</f>
        <v>0</v>
      </c>
      <c r="Q191">
        <f>IF(CALC_EEM!Q184="","",CALC_EEM!Q184)</f>
        <v>0</v>
      </c>
      <c r="R191">
        <f>IF(CALC_EEM!R184="","",CALC_EEM!R184)</f>
        <v>0</v>
      </c>
      <c r="S191">
        <f>IF(CALC_EEM!S184="","",CALC_EEM!S184)</f>
        <v>0</v>
      </c>
      <c r="T191">
        <f>IF(CALC_EEM!T184="","",CALC_EEM!T184)</f>
        <v>0</v>
      </c>
      <c r="U191">
        <f>IF(CALC_EEM!U184="","",CALC_EEM!U184)</f>
        <v>0</v>
      </c>
    </row>
    <row r="192" spans="1:24">
      <c r="A192" t="str">
        <f>IF(CALC_EEM!A185="","",IF(CALC_EEM!A185="GLOBAL","GLOBAL",IF(CALC_EEM!C185="Total","CURSO_TOTAL",IF(CALC_EEM!C185="TotalEsp","CURSO_ESP",IF(CALC_EEM!C185="TotalNoEsp","CURSO_NOESP","CURSO_ASIG")))))</f>
        <v>GLOBAL</v>
      </c>
      <c r="B192" t="str">
        <f>IF(CALC_EEM!A185="","",CALC_EEM!A185)</f>
        <v>GLOBAL</v>
      </c>
      <c r="C192" t="str">
        <f>IF(CALC_EEM!B185="","",CALC_EEM!B185)</f>
        <v>Total</v>
      </c>
      <c r="D192">
        <f>IF(CALC_EEM!D185="","",CALC_EEM!D185)</f>
        <v>0</v>
      </c>
      <c r="E192" s="14" t="str">
        <f>IF(CALC_EEM!E185="","",CALC_EEM!E185)</f>
        <v>—</v>
      </c>
      <c r="F192" s="14" t="str">
        <f>IF(CALC_EEM!F185="","",CALC_EEM!F185)</f>
        <v>—</v>
      </c>
      <c r="G192" t="str">
        <f>IF(CALC_EEM!G185="","",CALC_EEM!G185)</f>
        <v>—</v>
      </c>
      <c r="H192" s="16" t="str">
        <f>IF(CALC_EEM!H185="","",CALC_EEM!H185)</f>
        <v>—</v>
      </c>
      <c r="I192" s="16" t="str">
        <f>IF(CALC_EEM!I185="","",CALC_EEM!I185)</f>
        <v>—</v>
      </c>
      <c r="J192" t="str">
        <f>IF(CALC_EEM!J185="","",CALC_EEM!J185)</f>
        <v>—</v>
      </c>
      <c r="K192" t="str">
        <f>IF(CALC_EEM!K185="","",CALC_EEM!K185)</f>
        <v>—</v>
      </c>
      <c r="L192">
        <f>IF(CALC_EEM!L185="","",CALC_EEM!L185)</f>
        <v>0</v>
      </c>
      <c r="M192">
        <f>IF(CALC_EEM!M185="","",CALC_EEM!M185)</f>
        <v>0</v>
      </c>
      <c r="N192">
        <f>IF(CALC_EEM!N185="","",CALC_EEM!N185)</f>
        <v>0</v>
      </c>
      <c r="O192">
        <f>IF(CALC_EEM!O185="","",CALC_EEM!O185)</f>
        <v>0</v>
      </c>
      <c r="P192">
        <f>IF(CALC_EEM!P185="","",CALC_EEM!P185)</f>
        <v>0</v>
      </c>
      <c r="Q192">
        <f>IF(CALC_EEM!Q185="","",CALC_EEM!Q185)</f>
        <v>0</v>
      </c>
      <c r="R192">
        <f>IF(CALC_EEM!R185="","",CALC_EEM!R185)</f>
        <v>0</v>
      </c>
      <c r="S192">
        <f>IF(CALC_EEM!S185="","",CALC_EEM!S185)</f>
        <v>0</v>
      </c>
      <c r="T192">
        <f>IF(CALC_EEM!T185="","",CALC_EEM!T185)</f>
        <v>0</v>
      </c>
      <c r="U192">
        <f>IF(CALC_EEM!U185="","",CALC_EEM!U185)</f>
        <v>0</v>
      </c>
    </row>
    <row r="193" spans="1:24">
      <c r="A193" t="str">
        <f>IF(CALC_EEM!A186="","",IF(CALC_EEM!A186="GLOBAL","GLOBAL",IF(CALC_EEM!C186="Total","CURSO_TOTAL",IF(CALC_EEM!C186="TotalEsp","CURSO_ESP",IF(CALC_EEM!C186="TotalNoEsp","CURSO_NOESP","CURSO_ASIG")))))</f>
        <v>GLOBAL</v>
      </c>
      <c r="B193" t="str">
        <f>IF(CALC_EEM!A186="","",CALC_EEM!A186)</f>
        <v>GLOBAL</v>
      </c>
      <c r="C193" t="str">
        <f>IF(CALC_EEM!B186="","",CALC_EEM!B186)</f>
        <v>Total</v>
      </c>
      <c r="D193">
        <f>IF(CALC_EEM!D186="","",CALC_EEM!D186)</f>
        <v>0</v>
      </c>
      <c r="E193" s="14" t="str">
        <f>IF(CALC_EEM!E186="","",CALC_EEM!E186)</f>
        <v>—</v>
      </c>
      <c r="F193" s="14" t="str">
        <f>IF(CALC_EEM!F186="","",CALC_EEM!F186)</f>
        <v>—</v>
      </c>
      <c r="G193" t="str">
        <f>IF(CALC_EEM!G186="","",CALC_EEM!G186)</f>
        <v>—</v>
      </c>
      <c r="H193" s="16" t="str">
        <f>IF(CALC_EEM!H186="","",CALC_EEM!H186)</f>
        <v>—</v>
      </c>
      <c r="I193" s="16" t="str">
        <f>IF(CALC_EEM!I186="","",CALC_EEM!I186)</f>
        <v>—</v>
      </c>
      <c r="J193" t="str">
        <f>IF(CALC_EEM!J186="","",CALC_EEM!J186)</f>
        <v>—</v>
      </c>
      <c r="K193" t="str">
        <f>IF(CALC_EEM!K186="","",CALC_EEM!K186)</f>
        <v>—</v>
      </c>
      <c r="L193">
        <f>IF(CALC_EEM!L186="","",CALC_EEM!L186)</f>
        <v>0</v>
      </c>
      <c r="M193">
        <f>IF(CALC_EEM!M186="","",CALC_EEM!M186)</f>
        <v>0</v>
      </c>
      <c r="N193">
        <f>IF(CALC_EEM!N186="","",CALC_EEM!N186)</f>
        <v>0</v>
      </c>
      <c r="O193">
        <f>IF(CALC_EEM!O186="","",CALC_EEM!O186)</f>
        <v>0</v>
      </c>
      <c r="P193">
        <f>IF(CALC_EEM!P186="","",CALC_EEM!P186)</f>
        <v>0</v>
      </c>
      <c r="Q193">
        <f>IF(CALC_EEM!Q186="","",CALC_EEM!Q186)</f>
        <v>0</v>
      </c>
      <c r="R193">
        <f>IF(CALC_EEM!R186="","",CALC_EEM!R186)</f>
        <v>0</v>
      </c>
      <c r="S193">
        <f>IF(CALC_EEM!S186="","",CALC_EEM!S186)</f>
        <v>0</v>
      </c>
      <c r="T193">
        <f>IF(CALC_EEM!T186="","",CALC_EEM!T186)</f>
        <v>0</v>
      </c>
      <c r="U193">
        <f>IF(CALC_EEM!U186="","",CALC_EEM!U186)</f>
        <v>0</v>
      </c>
    </row>
    <row r="195">
      <c r="A195" t="inlineStr">
        <is>
          <t>#AGRUPACIONES</t>
        </is>
      </c>
    </row>
    <row r="196">
      <c r="A196" t="str">
        <f>IF(CALC_EEM!A114="","",IF(CALC_EEM!A114="GLOBAL","GLOBAL",IF(CALC_EEM!C114="Total","CURSO_TOTAL",IF(CALC_EEM!C114="TotalEsp","CURSO_ESP",IF(CALC_EEM!C114="TotalNoEsp","CURSO_NOESP","CURSO_ASIG")))))</f>
        <v>GLOBAL</v>
      </c>
      <c r="B196" t="str">
        <f>IF(CALC_EEM!A114="","",CALC_EEM!A114)</f>
        <v>GLOBAL</v>
      </c>
      <c r="C196" t="str">
        <f>IF(CALC_EEM!B114="","",CALC_EEM!B114)</f>
        <v>Total</v>
      </c>
      <c r="D196">
        <f>IF(CALC_EEM!D114="","",CALC_EEM!D114)</f>
        <v>0</v>
      </c>
      <c r="E196" s="14" t="str">
        <f>IF(CALC_EEM!E114="","",CALC_EEM!E114)</f>
        <v>—</v>
      </c>
      <c r="F196" s="14" t="str">
        <f>IF(CALC_EEM!F114="","",CALC_EEM!F114)</f>
        <v>—</v>
      </c>
      <c r="G196" t="str">
        <f>IF(CALC_EEM!G114="","",CALC_EEM!G114)</f>
        <v>—</v>
      </c>
      <c r="H196" s="16" t="str">
        <f>IF(CALC_EEM!H114="","",CALC_EEM!H114)</f>
        <v>—</v>
      </c>
      <c r="I196" s="16" t="str">
        <f>IF(CALC_EEM!I114="","",CALC_EEM!I114)</f>
        <v>—</v>
      </c>
      <c r="J196" t="str">
        <f>IF(CALC_EEM!J114="","",CALC_EEM!J114)</f>
        <v>—</v>
      </c>
      <c r="K196" t="str">
        <f>IF(CALC_EEM!K114="","",CALC_EEM!K114)</f>
        <v>—</v>
      </c>
      <c r="L196">
        <f>IF(CALC_EEM!L114="","",CALC_EEM!L114)</f>
        <v>0</v>
      </c>
      <c r="M196">
        <f>IF(CALC_EEM!M114="","",CALC_EEM!M114)</f>
        <v>0</v>
      </c>
      <c r="N196">
        <f>IF(CALC_EEM!N114="","",CALC_EEM!N114)</f>
        <v>0</v>
      </c>
      <c r="O196">
        <f>IF(CALC_EEM!O114="","",CALC_EEM!O114)</f>
        <v>0</v>
      </c>
      <c r="P196">
        <f>IF(CALC_EEM!P114="","",CALC_EEM!P114)</f>
        <v>0</v>
      </c>
      <c r="Q196">
        <f>IF(CALC_EEM!Q114="","",CALC_EEM!Q114)</f>
        <v>0</v>
      </c>
      <c r="R196">
        <f>IF(CALC_EEM!R114="","",CALC_EEM!R114)</f>
        <v>0</v>
      </c>
      <c r="S196">
        <f>IF(CALC_EEM!S114="","",CALC_EEM!S114)</f>
        <v>0</v>
      </c>
      <c r="T196">
        <f>IF(CALC_EEM!T114="","",CALC_EEM!T114)</f>
        <v>0</v>
      </c>
      <c r="U196">
        <f>IF(CALC_EEM!U114="","",CALC_EEM!U114)</f>
        <v>0</v>
      </c>
    </row>
    <row r="197">
      <c r="A197" t="str">
        <f>IF(CALC_EEM!A115="","",IF(CALC_EEM!A115="GLOBAL","GLOBAL",IF(CALC_EEM!C115="Total","CURSO_TOTAL",IF(CALC_EEM!C115="TotalEsp","CURSO_ESP",IF(CALC_EEM!C115="TotalNoEsp","CURSO_NOESP","CURSO_ASIG")))))</f>
        <v>GLOBAL</v>
      </c>
      <c r="B197" t="str">
        <f>IF(CALC_EEM!A115="","",CALC_EEM!A115)</f>
        <v>GLOBAL</v>
      </c>
      <c r="C197" t="str">
        <f>IF(CALC_EEM!B115="","",CALC_EEM!B115)</f>
        <v>Total</v>
      </c>
      <c r="D197">
        <f>IF(CALC_EEM!D115="","",CALC_EEM!D115)</f>
        <v>0</v>
      </c>
      <c r="E197" s="14" t="str">
        <f>IF(CALC_EEM!E115="","",CALC_EEM!E115)</f>
        <v>—</v>
      </c>
      <c r="F197" s="14" t="str">
        <f>IF(CALC_EEM!F115="","",CALC_EEM!F115)</f>
        <v>—</v>
      </c>
      <c r="G197" t="str">
        <f>IF(CALC_EEM!G115="","",CALC_EEM!G115)</f>
        <v>—</v>
      </c>
      <c r="H197" s="16" t="str">
        <f>IF(CALC_EEM!H115="","",CALC_EEM!H115)</f>
        <v>—</v>
      </c>
      <c r="I197" s="16" t="str">
        <f>IF(CALC_EEM!I115="","",CALC_EEM!I115)</f>
        <v>—</v>
      </c>
      <c r="J197" t="str">
        <f>IF(CALC_EEM!J115="","",CALC_EEM!J115)</f>
        <v>—</v>
      </c>
      <c r="K197" t="str">
        <f>IF(CALC_EEM!K115="","",CALC_EEM!K115)</f>
        <v>—</v>
      </c>
      <c r="L197">
        <f>IF(CALC_EEM!L115="","",CALC_EEM!L115)</f>
        <v>0</v>
      </c>
      <c r="M197">
        <f>IF(CALC_EEM!M115="","",CALC_EEM!M115)</f>
        <v>0</v>
      </c>
      <c r="N197">
        <f>IF(CALC_EEM!N115="","",CALC_EEM!N115)</f>
        <v>0</v>
      </c>
      <c r="O197">
        <f>IF(CALC_EEM!O115="","",CALC_EEM!O115)</f>
        <v>0</v>
      </c>
      <c r="P197">
        <f>IF(CALC_EEM!P115="","",CALC_EEM!P115)</f>
        <v>0</v>
      </c>
      <c r="Q197">
        <f>IF(CALC_EEM!Q115="","",CALC_EEM!Q115)</f>
        <v>0</v>
      </c>
      <c r="R197">
        <f>IF(CALC_EEM!R115="","",CALC_EEM!R115)</f>
        <v>0</v>
      </c>
      <c r="S197">
        <f>IF(CALC_EEM!S115="","",CALC_EEM!S115)</f>
        <v>0</v>
      </c>
      <c r="T197">
        <f>IF(CALC_EEM!T115="","",CALC_EEM!T115)</f>
        <v>0</v>
      </c>
      <c r="U197">
        <f>IF(CALC_EEM!U115="","",CALC_EEM!U115)</f>
        <v>0</v>
      </c>
    </row>
    <row r="198">
      <c r="A198" t="str">
        <f>IF(CALC_EEM!A115="","",IF(CALC_EEM!A115="GLOBAL","GLOBAL",IF(CALC_EEM!C115="Total","CURSO_TOTAL",IF(CALC_EEM!C115="TotalEsp","CURSO_ESP",IF(CALC_EEM!C115="TotalNoEsp","CURSO_NOESP","CURSO_ASIG")))))</f>
        <v>GLOBAL</v>
      </c>
      <c r="B198" t="str">
        <f>IF(CALC_EEM!A115="","",CALC_EEM!A115)</f>
        <v>GLOBAL</v>
      </c>
      <c r="C198" t="str">
        <f>IF(CALC_EEM!B115="","",CALC_EEM!B115)</f>
        <v>Total</v>
      </c>
      <c r="D198">
        <f>IF(CALC_EEM!D115="","",CALC_EEM!D115)</f>
        <v>0</v>
      </c>
      <c r="E198" s="14" t="str">
        <f>IF(CALC_EEM!E115="","",CALC_EEM!E115)</f>
        <v>—</v>
      </c>
      <c r="F198" s="14" t="str">
        <f>IF(CALC_EEM!F115="","",CALC_EEM!F115)</f>
        <v>—</v>
      </c>
      <c r="G198" t="str">
        <f>IF(CALC_EEM!G115="","",CALC_EEM!G115)</f>
        <v>—</v>
      </c>
      <c r="H198" s="16" t="str">
        <f>IF(CALC_EEM!H115="","",CALC_EEM!H115)</f>
        <v>—</v>
      </c>
      <c r="I198" s="16" t="str">
        <f>IF(CALC_EEM!I115="","",CALC_EEM!I115)</f>
        <v>—</v>
      </c>
      <c r="J198" t="str">
        <f>IF(CALC_EEM!J115="","",CALC_EEM!J115)</f>
        <v>—</v>
      </c>
      <c r="K198" t="str">
        <f>IF(CALC_EEM!K115="","",CALC_EEM!K115)</f>
        <v>—</v>
      </c>
      <c r="L198">
        <f>IF(CALC_EEM!L115="","",CALC_EEM!L115)</f>
        <v>0</v>
      </c>
      <c r="M198">
        <f>IF(CALC_EEM!M115="","",CALC_EEM!M115)</f>
        <v>0</v>
      </c>
      <c r="N198">
        <f>IF(CALC_EEM!N115="","",CALC_EEM!N115)</f>
        <v>0</v>
      </c>
      <c r="O198">
        <f>IF(CALC_EEM!O115="","",CALC_EEM!O115)</f>
        <v>0</v>
      </c>
      <c r="P198">
        <f>IF(CALC_EEM!P115="","",CALC_EEM!P115)</f>
        <v>0</v>
      </c>
      <c r="Q198">
        <f>IF(CALC_EEM!Q115="","",CALC_EEM!Q115)</f>
        <v>0</v>
      </c>
      <c r="R198">
        <f>IF(CALC_EEM!R115="","",CALC_EEM!R115)</f>
        <v>0</v>
      </c>
      <c r="S198">
        <f>IF(CALC_EEM!S115="","",CALC_EEM!S115)</f>
        <v>0</v>
      </c>
      <c r="T198">
        <f>IF(CALC_EEM!T115="","",CALC_EEM!T115)</f>
        <v>0</v>
      </c>
      <c r="U198">
        <f>IF(CALC_EEM!U115="","",CALC_EEM!U115)</f>
        <v>0</v>
      </c>
    </row>
    <row r="199">
      <c r="A199" t="str">
        <f>IF(CALC_EEM!A115="","",IF(CALC_EEM!A115="GLOBAL","GLOBAL",IF(CALC_EEM!C115="Total","CURSO_TOTAL",IF(CALC_EEM!C115="TotalEsp","CURSO_ESP",IF(CALC_EEM!C115="TotalNoEsp","CURSO_NOESP","CURSO_ASIG")))))</f>
        <v>GLOBAL</v>
      </c>
      <c r="B199" t="str">
        <f>IF(CALC_EEM!A115="","",CALC_EEM!A115)</f>
        <v>GLOBAL</v>
      </c>
      <c r="C199" t="str">
        <f>IF(CALC_EEM!B115="","",CALC_EEM!B115)</f>
        <v>Total</v>
      </c>
      <c r="D199">
        <f>IF(CALC_EEM!D115="","",CALC_EEM!D115)</f>
        <v>0</v>
      </c>
      <c r="E199" s="14" t="str">
        <f>IF(CALC_EEM!E115="","",CALC_EEM!E115)</f>
        <v>—</v>
      </c>
      <c r="F199" s="14" t="str">
        <f>IF(CALC_EEM!F115="","",CALC_EEM!F115)</f>
        <v>—</v>
      </c>
      <c r="G199" t="str">
        <f>IF(CALC_EEM!G115="","",CALC_EEM!G115)</f>
        <v>—</v>
      </c>
      <c r="H199" s="16" t="str">
        <f>IF(CALC_EEM!H115="","",CALC_EEM!H115)</f>
        <v>—</v>
      </c>
      <c r="I199" s="16" t="str">
        <f>IF(CALC_EEM!I115="","",CALC_EEM!I115)</f>
        <v>—</v>
      </c>
      <c r="J199" t="str">
        <f>IF(CALC_EEM!J115="","",CALC_EEM!J115)</f>
        <v>—</v>
      </c>
      <c r="K199" t="str">
        <f>IF(CALC_EEM!K115="","",CALC_EEM!K115)</f>
        <v>—</v>
      </c>
      <c r="L199">
        <f>IF(CALC_EEM!L115="","",CALC_EEM!L115)</f>
        <v>0</v>
      </c>
      <c r="M199">
        <f>IF(CALC_EEM!M115="","",CALC_EEM!M115)</f>
        <v>0</v>
      </c>
      <c r="N199">
        <f>IF(CALC_EEM!N115="","",CALC_EEM!N115)</f>
        <v>0</v>
      </c>
      <c r="O199">
        <f>IF(CALC_EEM!O115="","",CALC_EEM!O115)</f>
        <v>0</v>
      </c>
      <c r="P199">
        <f>IF(CALC_EEM!P115="","",CALC_EEM!P115)</f>
        <v>0</v>
      </c>
      <c r="Q199">
        <f>IF(CALC_EEM!Q115="","",CALC_EEM!Q115)</f>
        <v>0</v>
      </c>
      <c r="R199">
        <f>IF(CALC_EEM!R115="","",CALC_EEM!R115)</f>
        <v>0</v>
      </c>
      <c r="S199">
        <f>IF(CALC_EEM!S115="","",CALC_EEM!S115)</f>
        <v>0</v>
      </c>
      <c r="T199">
        <f>IF(CALC_EEM!T115="","",CALC_EEM!T115)</f>
        <v>0</v>
      </c>
      <c r="U199">
        <f>IF(CALC_EEM!U115="","",CALC_EEM!U115)</f>
        <v>0</v>
      </c>
    </row>
    <row r="200">
      <c r="A200" t="str">
        <f>IF(CALC_EEM!A115="","",IF(CALC_EEM!A115="GLOBAL","GLOBAL",IF(CALC_EEM!C115="Total","CURSO_TOTAL",IF(CALC_EEM!C115="TotalEsp","CURSO_ESP",IF(CALC_EEM!C115="TotalNoEsp","CURSO_NOESP","CURSO_ASIG")))))</f>
        <v>GLOBAL</v>
      </c>
      <c r="B200" t="str">
        <f>IF(CALC_EEM!A115="","",CALC_EEM!A115)</f>
        <v>GLOBAL</v>
      </c>
      <c r="C200" t="str">
        <f>IF(CALC_EEM!B115="","",CALC_EEM!B115)</f>
        <v>Total</v>
      </c>
      <c r="D200">
        <f>IF(CALC_EEM!D115="","",CALC_EEM!D115)</f>
        <v>0</v>
      </c>
      <c r="E200" s="14" t="str">
        <f>IF(CALC_EEM!E115="","",CALC_EEM!E115)</f>
        <v>—</v>
      </c>
      <c r="F200" s="14" t="str">
        <f>IF(CALC_EEM!F115="","",CALC_EEM!F115)</f>
        <v>—</v>
      </c>
      <c r="G200" t="str">
        <f>IF(CALC_EEM!G115="","",CALC_EEM!G115)</f>
        <v>—</v>
      </c>
      <c r="H200" s="16" t="str">
        <f>IF(CALC_EEM!H115="","",CALC_EEM!H115)</f>
        <v>—</v>
      </c>
      <c r="I200" s="16" t="str">
        <f>IF(CALC_EEM!I115="","",CALC_EEM!I115)</f>
        <v>—</v>
      </c>
      <c r="J200" t="str">
        <f>IF(CALC_EEM!J115="","",CALC_EEM!J115)</f>
        <v>—</v>
      </c>
      <c r="K200" t="str">
        <f>IF(CALC_EEM!K115="","",CALC_EEM!K115)</f>
        <v>—</v>
      </c>
      <c r="L200">
        <f>IF(CALC_EEM!L115="","",CALC_EEM!L115)</f>
        <v>0</v>
      </c>
      <c r="M200">
        <f>IF(CALC_EEM!M115="","",CALC_EEM!M115)</f>
        <v>0</v>
      </c>
      <c r="N200">
        <f>IF(CALC_EEM!N115="","",CALC_EEM!N115)</f>
        <v>0</v>
      </c>
      <c r="O200">
        <f>IF(CALC_EEM!O115="","",CALC_EEM!O115)</f>
        <v>0</v>
      </c>
      <c r="P200">
        <f>IF(CALC_EEM!P115="","",CALC_EEM!P115)</f>
        <v>0</v>
      </c>
      <c r="Q200">
        <f>IF(CALC_EEM!Q115="","",CALC_EEM!Q115)</f>
        <v>0</v>
      </c>
      <c r="R200">
        <f>IF(CALC_EEM!R115="","",CALC_EEM!R115)</f>
        <v>0</v>
      </c>
      <c r="S200">
        <f>IF(CALC_EEM!S115="","",CALC_EEM!S115)</f>
        <v>0</v>
      </c>
      <c r="T200">
        <f>IF(CALC_EEM!T115="","",CALC_EEM!T115)</f>
        <v>0</v>
      </c>
      <c r="U200">
        <f>IF(CALC_EEM!U115="","",CALC_EEM!U115)</f>
        <v>0</v>
      </c>
    </row>
    <row r="201">
      <c r="A201" t="str">
        <f>IF(CALC_EEM!A115="","",IF(CALC_EEM!A115="GLOBAL","GLOBAL",IF(CALC_EEM!C115="Total","CURSO_TOTAL",IF(CALC_EEM!C115="TotalEsp","CURSO_ESP",IF(CALC_EEM!C115="TotalNoEsp","CURSO_NOESP","CURSO_ASIG")))))</f>
        <v>GLOBAL</v>
      </c>
      <c r="B201" t="str">
        <f>IF(CALC_EEM!A115="","",CALC_EEM!A115)</f>
        <v>GLOBAL</v>
      </c>
      <c r="C201" t="str">
        <f>IF(CALC_EEM!B115="","",CALC_EEM!B115)</f>
        <v>Total</v>
      </c>
      <c r="D201">
        <f>IF(CALC_EEM!D115="","",CALC_EEM!D115)</f>
        <v>0</v>
      </c>
      <c r="E201" s="14" t="str">
        <f>IF(CALC_EEM!E115="","",CALC_EEM!E115)</f>
        <v>—</v>
      </c>
      <c r="F201" s="14" t="str">
        <f>IF(CALC_EEM!F115="","",CALC_EEM!F115)</f>
        <v>—</v>
      </c>
      <c r="G201" t="str">
        <f>IF(CALC_EEM!G115="","",CALC_EEM!G115)</f>
        <v>—</v>
      </c>
      <c r="H201" s="16" t="str">
        <f>IF(CALC_EEM!H115="","",CALC_EEM!H115)</f>
        <v>—</v>
      </c>
      <c r="I201" s="16" t="str">
        <f>IF(CALC_EEM!I115="","",CALC_EEM!I115)</f>
        <v>—</v>
      </c>
      <c r="J201" t="str">
        <f>IF(CALC_EEM!J115="","",CALC_EEM!J115)</f>
        <v>—</v>
      </c>
      <c r="K201" t="str">
        <f>IF(CALC_EEM!K115="","",CALC_EEM!K115)</f>
        <v>—</v>
      </c>
      <c r="L201">
        <f>IF(CALC_EEM!L115="","",CALC_EEM!L115)</f>
        <v>0</v>
      </c>
      <c r="M201">
        <f>IF(CALC_EEM!M115="","",CALC_EEM!M115)</f>
        <v>0</v>
      </c>
      <c r="N201">
        <f>IF(CALC_EEM!N115="","",CALC_EEM!N115)</f>
        <v>0</v>
      </c>
      <c r="O201">
        <f>IF(CALC_EEM!O115="","",CALC_EEM!O115)</f>
        <v>0</v>
      </c>
      <c r="P201">
        <f>IF(CALC_EEM!P115="","",CALC_EEM!P115)</f>
        <v>0</v>
      </c>
      <c r="Q201">
        <f>IF(CALC_EEM!Q115="","",CALC_EEM!Q115)</f>
        <v>0</v>
      </c>
      <c r="R201">
        <f>IF(CALC_EEM!R115="","",CALC_EEM!R115)</f>
        <v>0</v>
      </c>
      <c r="S201">
        <f>IF(CALC_EEM!S115="","",CALC_EEM!S115)</f>
        <v>0</v>
      </c>
      <c r="T201">
        <f>IF(CALC_EEM!T115="","",CALC_EEM!T115)</f>
        <v>0</v>
      </c>
      <c r="U201">
        <f>IF(CALC_EEM!U115="","",CALC_EEM!U115)</f>
        <v>0</v>
      </c>
    </row>
    <row r="202">
      <c r="A202" t="str">
        <f>IF(CALC_EEM!A115="","",IF(CALC_EEM!A115="GLOBAL","GLOBAL",IF(CALC_EEM!C115="Total","CURSO_TOTAL",IF(CALC_EEM!C115="TotalEsp","CURSO_ESP",IF(CALC_EEM!C115="TotalNoEsp","CURSO_NOESP","CURSO_ASIG")))))</f>
        <v>GLOBAL</v>
      </c>
      <c r="B202" t="str">
        <f>IF(CALC_EEM!A115="","",CALC_EEM!A115)</f>
        <v>GLOBAL</v>
      </c>
      <c r="C202" t="str">
        <f>IF(CALC_EEM!B115="","",CALC_EEM!B115)</f>
        <v>Total</v>
      </c>
      <c r="D202">
        <f>IF(CALC_EEM!D115="","",CALC_EEM!D115)</f>
        <v>0</v>
      </c>
      <c r="E202" s="14" t="str">
        <f>IF(CALC_EEM!E115="","",CALC_EEM!E115)</f>
        <v>—</v>
      </c>
      <c r="F202" s="14" t="str">
        <f>IF(CALC_EEM!F115="","",CALC_EEM!F115)</f>
        <v>—</v>
      </c>
      <c r="G202" t="str">
        <f>IF(CALC_EEM!G115="","",CALC_EEM!G115)</f>
        <v>—</v>
      </c>
      <c r="H202" s="16" t="str">
        <f>IF(CALC_EEM!H115="","",CALC_EEM!H115)</f>
        <v>—</v>
      </c>
      <c r="I202" s="16" t="str">
        <f>IF(CALC_EEM!I115="","",CALC_EEM!I115)</f>
        <v>—</v>
      </c>
      <c r="J202" t="str">
        <f>IF(CALC_EEM!J115="","",CALC_EEM!J115)</f>
        <v>—</v>
      </c>
      <c r="K202" t="str">
        <f>IF(CALC_EEM!K115="","",CALC_EEM!K115)</f>
        <v>—</v>
      </c>
      <c r="L202">
        <f>IF(CALC_EEM!L115="","",CALC_EEM!L115)</f>
        <v>0</v>
      </c>
      <c r="M202">
        <f>IF(CALC_EEM!M115="","",CALC_EEM!M115)</f>
        <v>0</v>
      </c>
      <c r="N202">
        <f>IF(CALC_EEM!N115="","",CALC_EEM!N115)</f>
        <v>0</v>
      </c>
      <c r="O202">
        <f>IF(CALC_EEM!O115="","",CALC_EEM!O115)</f>
        <v>0</v>
      </c>
      <c r="P202">
        <f>IF(CALC_EEM!P115="","",CALC_EEM!P115)</f>
        <v>0</v>
      </c>
      <c r="Q202">
        <f>IF(CALC_EEM!Q115="","",CALC_EEM!Q115)</f>
        <v>0</v>
      </c>
      <c r="R202">
        <f>IF(CALC_EEM!R115="","",CALC_EEM!R115)</f>
        <v>0</v>
      </c>
      <c r="S202">
        <f>IF(CALC_EEM!S115="","",CALC_EEM!S115)</f>
        <v>0</v>
      </c>
      <c r="T202">
        <f>IF(CALC_EEM!T115="","",CALC_EEM!T115)</f>
        <v>0</v>
      </c>
      <c r="U202">
        <f>IF(CALC_EEM!U115="","",CALC_EEM!U115)</f>
        <v>0</v>
      </c>
    </row>
    <row r="203">
      <c r="A203" t="str">
        <f>IF(CALC_EEM!A115="","",IF(CALC_EEM!A115="GLOBAL","GLOBAL",IF(CALC_EEM!C115="Total","CURSO_TOTAL",IF(CALC_EEM!C115="TotalEsp","CURSO_ESP",IF(CALC_EEM!C115="TotalNoEsp","CURSO_NOESP","CURSO_ASIG")))))</f>
        <v>GLOBAL</v>
      </c>
      <c r="B203" t="str">
        <f>IF(CALC_EEM!A115="","",CALC_EEM!A115)</f>
        <v>GLOBAL</v>
      </c>
      <c r="C203" t="str">
        <f>IF(CALC_EEM!B115="","",CALC_EEM!B115)</f>
        <v>Total</v>
      </c>
      <c r="D203">
        <f>IF(CALC_EEM!D115="","",CALC_EEM!D115)</f>
        <v>0</v>
      </c>
      <c r="E203" s="14" t="str">
        <f>IF(CALC_EEM!E115="","",CALC_EEM!E115)</f>
        <v>—</v>
      </c>
      <c r="F203" s="14" t="str">
        <f>IF(CALC_EEM!F115="","",CALC_EEM!F115)</f>
        <v>—</v>
      </c>
      <c r="G203" t="str">
        <f>IF(CALC_EEM!G115="","",CALC_EEM!G115)</f>
        <v>—</v>
      </c>
      <c r="H203" s="16" t="str">
        <f>IF(CALC_EEM!H115="","",CALC_EEM!H115)</f>
        <v>—</v>
      </c>
      <c r="I203" s="16" t="str">
        <f>IF(CALC_EEM!I115="","",CALC_EEM!I115)</f>
        <v>—</v>
      </c>
      <c r="J203" t="str">
        <f>IF(CALC_EEM!J115="","",CALC_EEM!J115)</f>
        <v>—</v>
      </c>
      <c r="K203" t="str">
        <f>IF(CALC_EEM!K115="","",CALC_EEM!K115)</f>
        <v>—</v>
      </c>
      <c r="L203">
        <f>IF(CALC_EEM!L115="","",CALC_EEM!L115)</f>
        <v>0</v>
      </c>
      <c r="M203">
        <f>IF(CALC_EEM!M115="","",CALC_EEM!M115)</f>
        <v>0</v>
      </c>
      <c r="N203">
        <f>IF(CALC_EEM!N115="","",CALC_EEM!N115)</f>
        <v>0</v>
      </c>
      <c r="O203">
        <f>IF(CALC_EEM!O115="","",CALC_EEM!O115)</f>
        <v>0</v>
      </c>
      <c r="P203">
        <f>IF(CALC_EEM!P115="","",CALC_EEM!P115)</f>
        <v>0</v>
      </c>
      <c r="Q203">
        <f>IF(CALC_EEM!Q115="","",CALC_EEM!Q115)</f>
        <v>0</v>
      </c>
      <c r="R203">
        <f>IF(CALC_EEM!R115="","",CALC_EEM!R115)</f>
        <v>0</v>
      </c>
      <c r="S203">
        <f>IF(CALC_EEM!S115="","",CALC_EEM!S115)</f>
        <v>0</v>
      </c>
      <c r="T203">
        <f>IF(CALC_EEM!T115="","",CALC_EEM!T115)</f>
        <v>0</v>
      </c>
      <c r="U203">
        <f>IF(CALC_EEM!U115="","",CALC_EEM!U115)</f>
        <v>0</v>
      </c>
    </row>
    <row r="204">
      <c r="A204" t="str">
        <f>IF(CALC_EEM!A115="","",IF(CALC_EEM!A115="GLOBAL","GLOBAL",IF(CALC_EEM!C115="Total","CURSO_TOTAL",IF(CALC_EEM!C115="TotalEsp","CURSO_ESP",IF(CALC_EEM!C115="TotalNoEsp","CURSO_NOESP","CURSO_ASIG")))))</f>
        <v>GLOBAL</v>
      </c>
      <c r="B204" t="str">
        <f>IF(CALC_EEM!A115="","",CALC_EEM!A115)</f>
        <v>GLOBAL</v>
      </c>
      <c r="C204" t="str">
        <f>IF(CALC_EEM!B115="","",CALC_EEM!B115)</f>
        <v>Total</v>
      </c>
      <c r="D204">
        <f>IF(CALC_EEM!D115="","",CALC_EEM!D115)</f>
        <v>0</v>
      </c>
      <c r="E204" s="14" t="str">
        <f>IF(CALC_EEM!E115="","",CALC_EEM!E115)</f>
        <v>—</v>
      </c>
      <c r="F204" s="14" t="str">
        <f>IF(CALC_EEM!F115="","",CALC_EEM!F115)</f>
        <v>—</v>
      </c>
      <c r="G204" t="str">
        <f>IF(CALC_EEM!G115="","",CALC_EEM!G115)</f>
        <v>—</v>
      </c>
      <c r="H204" s="16" t="str">
        <f>IF(CALC_EEM!H115="","",CALC_EEM!H115)</f>
        <v>—</v>
      </c>
      <c r="I204" s="16" t="str">
        <f>IF(CALC_EEM!I115="","",CALC_EEM!I115)</f>
        <v>—</v>
      </c>
      <c r="J204" t="str">
        <f>IF(CALC_EEM!J115="","",CALC_EEM!J115)</f>
        <v>—</v>
      </c>
      <c r="K204" t="str">
        <f>IF(CALC_EEM!K115="","",CALC_EEM!K115)</f>
        <v>—</v>
      </c>
      <c r="L204">
        <f>IF(CALC_EEM!L115="","",CALC_EEM!L115)</f>
        <v>0</v>
      </c>
      <c r="M204">
        <f>IF(CALC_EEM!M115="","",CALC_EEM!M115)</f>
        <v>0</v>
      </c>
      <c r="N204">
        <f>IF(CALC_EEM!N115="","",CALC_EEM!N115)</f>
        <v>0</v>
      </c>
      <c r="O204">
        <f>IF(CALC_EEM!O115="","",CALC_EEM!O115)</f>
        <v>0</v>
      </c>
      <c r="P204">
        <f>IF(CALC_EEM!P115="","",CALC_EEM!P115)</f>
        <v>0</v>
      </c>
      <c r="Q204">
        <f>IF(CALC_EEM!Q115="","",CALC_EEM!Q115)</f>
        <v>0</v>
      </c>
      <c r="R204">
        <f>IF(CALC_EEM!R115="","",CALC_EEM!R115)</f>
        <v>0</v>
      </c>
      <c r="S204">
        <f>IF(CALC_EEM!S115="","",CALC_EEM!S115)</f>
        <v>0</v>
      </c>
      <c r="T204">
        <f>IF(CALC_EEM!T115="","",CALC_EEM!T115)</f>
        <v>0</v>
      </c>
      <c r="U204">
        <f>IF(CALC_EEM!U115="","",CALC_EEM!U115)</f>
        <v>0</v>
      </c>
    </row>
    <row r="205">
      <c r="A205" t="str">
        <f>IF(CALC_EEM!A115="","",IF(CALC_EEM!A115="GLOBAL","GLOBAL",IF(CALC_EEM!C115="Total","CURSO_TOTAL",IF(CALC_EEM!C115="TotalEsp","CURSO_ESP",IF(CALC_EEM!C115="TotalNoEsp","CURSO_NOESP","CURSO_ASIG")))))</f>
        <v>GLOBAL</v>
      </c>
      <c r="B205" t="str">
        <f>IF(CALC_EEM!A115="","",CALC_EEM!A115)</f>
        <v>GLOBAL</v>
      </c>
      <c r="C205" t="str">
        <f>IF(CALC_EEM!B115="","",CALC_EEM!B115)</f>
        <v>Total</v>
      </c>
      <c r="D205">
        <f>IF(CALC_EEM!D115="","",CALC_EEM!D115)</f>
        <v>0</v>
      </c>
      <c r="E205" s="14" t="str">
        <f>IF(CALC_EEM!E115="","",CALC_EEM!E115)</f>
        <v>—</v>
      </c>
      <c r="F205" s="14" t="str">
        <f>IF(CALC_EEM!F115="","",CALC_EEM!F115)</f>
        <v>—</v>
      </c>
      <c r="G205" t="str">
        <f>IF(CALC_EEM!G115="","",CALC_EEM!G115)</f>
        <v>—</v>
      </c>
      <c r="H205" s="16" t="str">
        <f>IF(CALC_EEM!H115="","",CALC_EEM!H115)</f>
        <v>—</v>
      </c>
      <c r="I205" s="16" t="str">
        <f>IF(CALC_EEM!I115="","",CALC_EEM!I115)</f>
        <v>—</v>
      </c>
      <c r="J205" t="str">
        <f>IF(CALC_EEM!J115="","",CALC_EEM!J115)</f>
        <v>—</v>
      </c>
      <c r="K205" t="str">
        <f>IF(CALC_EEM!K115="","",CALC_EEM!K115)</f>
        <v>—</v>
      </c>
      <c r="L205">
        <f>IF(CALC_EEM!L115="","",CALC_EEM!L115)</f>
        <v>0</v>
      </c>
      <c r="M205">
        <f>IF(CALC_EEM!M115="","",CALC_EEM!M115)</f>
        <v>0</v>
      </c>
      <c r="N205">
        <f>IF(CALC_EEM!N115="","",CALC_EEM!N115)</f>
        <v>0</v>
      </c>
      <c r="O205">
        <f>IF(CALC_EEM!O115="","",CALC_EEM!O115)</f>
        <v>0</v>
      </c>
      <c r="P205">
        <f>IF(CALC_EEM!P115="","",CALC_EEM!P115)</f>
        <v>0</v>
      </c>
      <c r="Q205">
        <f>IF(CALC_EEM!Q115="","",CALC_EEM!Q115)</f>
        <v>0</v>
      </c>
      <c r="R205">
        <f>IF(CALC_EEM!R115="","",CALC_EEM!R115)</f>
        <v>0</v>
      </c>
      <c r="S205">
        <f>IF(CALC_EEM!S115="","",CALC_EEM!S115)</f>
        <v>0</v>
      </c>
      <c r="T205">
        <f>IF(CALC_EEM!T115="","",CALC_EEM!T115)</f>
        <v>0</v>
      </c>
      <c r="U205">
        <f>IF(CALC_EEM!U115="","",CALC_EEM!U115)</f>
        <v>0</v>
      </c>
    </row>
    <row r="206">
      <c r="A206" t="str">
        <f>IF(CALC_EEM!A115="","",IF(CALC_EEM!A115="GLOBAL","GLOBAL",IF(CALC_EEM!C115="Total","CURSO_TOTAL",IF(CALC_EEM!C115="TotalEsp","CURSO_ESP",IF(CALC_EEM!C115="TotalNoEsp","CURSO_NOESP","CURSO_ASIG")))))</f>
        <v>GLOBAL</v>
      </c>
      <c r="B206" t="str">
        <f>IF(CALC_EEM!A115="","",CALC_EEM!A115)</f>
        <v>GLOBAL</v>
      </c>
      <c r="C206" t="str">
        <f>IF(CALC_EEM!B115="","",CALC_EEM!B115)</f>
        <v>Total</v>
      </c>
      <c r="D206">
        <f>IF(CALC_EEM!D115="","",CALC_EEM!D115)</f>
        <v>0</v>
      </c>
      <c r="E206" s="14" t="str">
        <f>IF(CALC_EEM!E115="","",CALC_EEM!E115)</f>
        <v>—</v>
      </c>
      <c r="F206" s="14" t="str">
        <f>IF(CALC_EEM!F115="","",CALC_EEM!F115)</f>
        <v>—</v>
      </c>
      <c r="G206" t="str">
        <f>IF(CALC_EEM!G115="","",CALC_EEM!G115)</f>
        <v>—</v>
      </c>
      <c r="H206" s="16" t="str">
        <f>IF(CALC_EEM!H115="","",CALC_EEM!H115)</f>
        <v>—</v>
      </c>
      <c r="I206" s="16" t="str">
        <f>IF(CALC_EEM!I115="","",CALC_EEM!I115)</f>
        <v>—</v>
      </c>
      <c r="J206" t="str">
        <f>IF(CALC_EEM!J115="","",CALC_EEM!J115)</f>
        <v>—</v>
      </c>
      <c r="K206" t="str">
        <f>IF(CALC_EEM!K115="","",CALC_EEM!K115)</f>
        <v>—</v>
      </c>
      <c r="L206">
        <f>IF(CALC_EEM!L115="","",CALC_EEM!L115)</f>
        <v>0</v>
      </c>
      <c r="M206">
        <f>IF(CALC_EEM!M115="","",CALC_EEM!M115)</f>
        <v>0</v>
      </c>
      <c r="N206">
        <f>IF(CALC_EEM!N115="","",CALC_EEM!N115)</f>
        <v>0</v>
      </c>
      <c r="O206">
        <f>IF(CALC_EEM!O115="","",CALC_EEM!O115)</f>
        <v>0</v>
      </c>
      <c r="P206">
        <f>IF(CALC_EEM!P115="","",CALC_EEM!P115)</f>
        <v>0</v>
      </c>
      <c r="Q206">
        <f>IF(CALC_EEM!Q115="","",CALC_EEM!Q115)</f>
        <v>0</v>
      </c>
      <c r="R206">
        <f>IF(CALC_EEM!R115="","",CALC_EEM!R115)</f>
        <v>0</v>
      </c>
      <c r="S206">
        <f>IF(CALC_EEM!S115="","",CALC_EEM!S115)</f>
        <v>0</v>
      </c>
      <c r="T206">
        <f>IF(CALC_EEM!T115="","",CALC_EEM!T115)</f>
        <v>0</v>
      </c>
      <c r="U206">
        <f>IF(CALC_EEM!U115="","",CALC_EEM!U115)</f>
        <v>0</v>
      </c>
    </row>
    <row r="207">
      <c r="A207" t="str">
        <f>IF(CALC_EEM!A115="","",IF(CALC_EEM!A115="GLOBAL","GLOBAL",IF(CALC_EEM!C115="Total","CURSO_TOTAL",IF(CALC_EEM!C115="TotalEsp","CURSO_ESP",IF(CALC_EEM!C115="TotalNoEsp","CURSO_NOESP","CURSO_ASIG")))))</f>
        <v>GLOBAL</v>
      </c>
      <c r="B207" t="str">
        <f>IF(CALC_EEM!A115="","",CALC_EEM!A115)</f>
        <v>GLOBAL</v>
      </c>
      <c r="C207" t="str">
        <f>IF(CALC_EEM!B115="","",CALC_EEM!B115)</f>
        <v>Total</v>
      </c>
      <c r="D207">
        <f>IF(CALC_EEM!D115="","",CALC_EEM!D115)</f>
        <v>0</v>
      </c>
      <c r="E207" s="14" t="str">
        <f>IF(CALC_EEM!E115="","",CALC_EEM!E115)</f>
        <v>—</v>
      </c>
      <c r="F207" s="14" t="str">
        <f>IF(CALC_EEM!F115="","",CALC_EEM!F115)</f>
        <v>—</v>
      </c>
      <c r="G207" t="str">
        <f>IF(CALC_EEM!G115="","",CALC_EEM!G115)</f>
        <v>—</v>
      </c>
      <c r="H207" s="16" t="str">
        <f>IF(CALC_EEM!H115="","",CALC_EEM!H115)</f>
        <v>—</v>
      </c>
      <c r="I207" s="16" t="str">
        <f>IF(CALC_EEM!I115="","",CALC_EEM!I115)</f>
        <v>—</v>
      </c>
      <c r="J207" t="str">
        <f>IF(CALC_EEM!J115="","",CALC_EEM!J115)</f>
        <v>—</v>
      </c>
      <c r="K207" t="str">
        <f>IF(CALC_EEM!K115="","",CALC_EEM!K115)</f>
        <v>—</v>
      </c>
      <c r="L207">
        <f>IF(CALC_EEM!L115="","",CALC_EEM!L115)</f>
        <v>0</v>
      </c>
      <c r="M207">
        <f>IF(CALC_EEM!M115="","",CALC_EEM!M115)</f>
        <v>0</v>
      </c>
      <c r="N207">
        <f>IF(CALC_EEM!N115="","",CALC_EEM!N115)</f>
        <v>0</v>
      </c>
      <c r="O207">
        <f>IF(CALC_EEM!O115="","",CALC_EEM!O115)</f>
        <v>0</v>
      </c>
      <c r="P207">
        <f>IF(CALC_EEM!P115="","",CALC_EEM!P115)</f>
        <v>0</v>
      </c>
      <c r="Q207">
        <f>IF(CALC_EEM!Q115="","",CALC_EEM!Q115)</f>
        <v>0</v>
      </c>
      <c r="R207">
        <f>IF(CALC_EEM!R115="","",CALC_EEM!R115)</f>
        <v>0</v>
      </c>
      <c r="S207">
        <f>IF(CALC_EEM!S115="","",CALC_EEM!S115)</f>
        <v>0</v>
      </c>
      <c r="T207">
        <f>IF(CALC_EEM!T115="","",CALC_EEM!T115)</f>
        <v>0</v>
      </c>
      <c r="U207">
        <f>IF(CALC_EEM!U115="","",CALC_EEM!U115)</f>
        <v>0</v>
      </c>
    </row>
    <row r="208">
      <c r="A208" t="str">
        <f>IF(CALC_EEM!A115="","",IF(CALC_EEM!A115="GLOBAL","GLOBAL",IF(CALC_EEM!C115="Total","CURSO_TOTAL",IF(CALC_EEM!C115="TotalEsp","CURSO_ESP",IF(CALC_EEM!C115="TotalNoEsp","CURSO_NOESP","CURSO_ASIG")))))</f>
        <v>GLOBAL</v>
      </c>
      <c r="B208" t="str">
        <f>IF(CALC_EEM!A115="","",CALC_EEM!A115)</f>
        <v>GLOBAL</v>
      </c>
      <c r="C208" t="str">
        <f>IF(CALC_EEM!B115="","",CALC_EEM!B115)</f>
        <v>Total</v>
      </c>
      <c r="D208">
        <f>IF(CALC_EEM!D115="","",CALC_EEM!D115)</f>
        <v>0</v>
      </c>
      <c r="E208" s="14" t="str">
        <f>IF(CALC_EEM!E115="","",CALC_EEM!E115)</f>
        <v>—</v>
      </c>
      <c r="F208" s="14" t="str">
        <f>IF(CALC_EEM!F115="","",CALC_EEM!F115)</f>
        <v>—</v>
      </c>
      <c r="G208" t="str">
        <f>IF(CALC_EEM!G115="","",CALC_EEM!G115)</f>
        <v>—</v>
      </c>
      <c r="H208" s="16" t="str">
        <f>IF(CALC_EEM!H115="","",CALC_EEM!H115)</f>
        <v>—</v>
      </c>
      <c r="I208" s="16" t="str">
        <f>IF(CALC_EEM!I115="","",CALC_EEM!I115)</f>
        <v>—</v>
      </c>
      <c r="J208" t="str">
        <f>IF(CALC_EEM!J115="","",CALC_EEM!J115)</f>
        <v>—</v>
      </c>
      <c r="K208" t="str">
        <f>IF(CALC_EEM!K115="","",CALC_EEM!K115)</f>
        <v>—</v>
      </c>
      <c r="L208">
        <f>IF(CALC_EEM!L115="","",CALC_EEM!L115)</f>
        <v>0</v>
      </c>
      <c r="M208">
        <f>IF(CALC_EEM!M115="","",CALC_EEM!M115)</f>
        <v>0</v>
      </c>
      <c r="N208">
        <f>IF(CALC_EEM!N115="","",CALC_EEM!N115)</f>
        <v>0</v>
      </c>
      <c r="O208">
        <f>IF(CALC_EEM!O115="","",CALC_EEM!O115)</f>
        <v>0</v>
      </c>
      <c r="P208">
        <f>IF(CALC_EEM!P115="","",CALC_EEM!P115)</f>
        <v>0</v>
      </c>
      <c r="Q208">
        <f>IF(CALC_EEM!Q115="","",CALC_EEM!Q115)</f>
        <v>0</v>
      </c>
      <c r="R208">
        <f>IF(CALC_EEM!R115="","",CALC_EEM!R115)</f>
        <v>0</v>
      </c>
      <c r="S208">
        <f>IF(CALC_EEM!S115="","",CALC_EEM!S115)</f>
        <v>0</v>
      </c>
      <c r="T208">
        <f>IF(CALC_EEM!T115="","",CALC_EEM!T115)</f>
        <v>0</v>
      </c>
      <c r="U208">
        <f>IF(CALC_EEM!U115="","",CALC_EEM!U115)</f>
        <v>0</v>
      </c>
    </row>
    <row r="209">
      <c r="A209" t="str">
        <f>IF(CALC_EEM!A115="","",IF(CALC_EEM!A115="GLOBAL","GLOBAL",IF(CALC_EEM!C115="Total","CURSO_TOTAL",IF(CALC_EEM!C115="TotalEsp","CURSO_ESP",IF(CALC_EEM!C115="TotalNoEsp","CURSO_NOESP","CURSO_ASIG")))))</f>
        <v>GLOBAL</v>
      </c>
      <c r="B209" t="str">
        <f>IF(CALC_EEM!A115="","",CALC_EEM!A115)</f>
        <v>GLOBAL</v>
      </c>
      <c r="C209" t="str">
        <f>IF(CALC_EEM!B115="","",CALC_EEM!B115)</f>
        <v>Total</v>
      </c>
      <c r="D209">
        <f>IF(CALC_EEM!D115="","",CALC_EEM!D115)</f>
        <v>0</v>
      </c>
      <c r="E209" s="14" t="str">
        <f>IF(CALC_EEM!E115="","",CALC_EEM!E115)</f>
        <v>—</v>
      </c>
      <c r="F209" s="14" t="str">
        <f>IF(CALC_EEM!F115="","",CALC_EEM!F115)</f>
        <v>—</v>
      </c>
      <c r="G209" t="str">
        <f>IF(CALC_EEM!G115="","",CALC_EEM!G115)</f>
        <v>—</v>
      </c>
      <c r="H209" s="16" t="str">
        <f>IF(CALC_EEM!H115="","",CALC_EEM!H115)</f>
        <v>—</v>
      </c>
      <c r="I209" s="16" t="str">
        <f>IF(CALC_EEM!I115="","",CALC_EEM!I115)</f>
        <v>—</v>
      </c>
      <c r="J209" t="str">
        <f>IF(CALC_EEM!J115="","",CALC_EEM!J115)</f>
        <v>—</v>
      </c>
      <c r="K209" t="str">
        <f>IF(CALC_EEM!K115="","",CALC_EEM!K115)</f>
        <v>—</v>
      </c>
      <c r="L209">
        <f>IF(CALC_EEM!L115="","",CALC_EEM!L115)</f>
        <v>0</v>
      </c>
      <c r="M209">
        <f>IF(CALC_EEM!M115="","",CALC_EEM!M115)</f>
        <v>0</v>
      </c>
      <c r="N209">
        <f>IF(CALC_EEM!N115="","",CALC_EEM!N115)</f>
        <v>0</v>
      </c>
      <c r="O209">
        <f>IF(CALC_EEM!O115="","",CALC_EEM!O115)</f>
        <v>0</v>
      </c>
      <c r="P209">
        <f>IF(CALC_EEM!P115="","",CALC_EEM!P115)</f>
        <v>0</v>
      </c>
      <c r="Q209">
        <f>IF(CALC_EEM!Q115="","",CALC_EEM!Q115)</f>
        <v>0</v>
      </c>
      <c r="R209">
        <f>IF(CALC_EEM!R115="","",CALC_EEM!R115)</f>
        <v>0</v>
      </c>
      <c r="S209">
        <f>IF(CALC_EEM!S115="","",CALC_EEM!S115)</f>
        <v>0</v>
      </c>
      <c r="T209">
        <f>IF(CALC_EEM!T115="","",CALC_EEM!T115)</f>
        <v>0</v>
      </c>
      <c r="U209">
        <f>IF(CALC_EEM!U115="","",CALC_EEM!U115)</f>
        <v>0</v>
      </c>
    </row>
    <row r="210">
      <c r="A210" t="str">
        <f>IF(CALC_EEM!A115="","",IF(CALC_EEM!A115="GLOBAL","GLOBAL",IF(CALC_EEM!C115="Total","CURSO_TOTAL",IF(CALC_EEM!C115="TotalEsp","CURSO_ESP",IF(CALC_EEM!C115="TotalNoEsp","CURSO_NOESP","CURSO_ASIG")))))</f>
        <v>GLOBAL</v>
      </c>
      <c r="B210" t="str">
        <f>IF(CALC_EEM!A115="","",CALC_EEM!A115)</f>
        <v>GLOBAL</v>
      </c>
      <c r="C210" t="str">
        <f>IF(CALC_EEM!B115="","",CALC_EEM!B115)</f>
        <v>Total</v>
      </c>
      <c r="D210">
        <f>IF(CALC_EEM!D115="","",CALC_EEM!D115)</f>
        <v>0</v>
      </c>
      <c r="E210" s="14" t="str">
        <f>IF(CALC_EEM!E115="","",CALC_EEM!E115)</f>
        <v>—</v>
      </c>
      <c r="F210" s="14" t="str">
        <f>IF(CALC_EEM!F115="","",CALC_EEM!F115)</f>
        <v>—</v>
      </c>
      <c r="G210" t="str">
        <f>IF(CALC_EEM!G115="","",CALC_EEM!G115)</f>
        <v>—</v>
      </c>
      <c r="H210" s="16" t="str">
        <f>IF(CALC_EEM!H115="","",CALC_EEM!H115)</f>
        <v>—</v>
      </c>
      <c r="I210" s="16" t="str">
        <f>IF(CALC_EEM!I115="","",CALC_EEM!I115)</f>
        <v>—</v>
      </c>
      <c r="J210" t="str">
        <f>IF(CALC_EEM!J115="","",CALC_EEM!J115)</f>
        <v>—</v>
      </c>
      <c r="K210" t="str">
        <f>IF(CALC_EEM!K115="","",CALC_EEM!K115)</f>
        <v>—</v>
      </c>
      <c r="L210">
        <f>IF(CALC_EEM!L115="","",CALC_EEM!L115)</f>
        <v>0</v>
      </c>
      <c r="M210">
        <f>IF(CALC_EEM!M115="","",CALC_EEM!M115)</f>
        <v>0</v>
      </c>
      <c r="N210">
        <f>IF(CALC_EEM!N115="","",CALC_EEM!N115)</f>
        <v>0</v>
      </c>
      <c r="O210">
        <f>IF(CALC_EEM!O115="","",CALC_EEM!O115)</f>
        <v>0</v>
      </c>
      <c r="P210">
        <f>IF(CALC_EEM!P115="","",CALC_EEM!P115)</f>
        <v>0</v>
      </c>
      <c r="Q210">
        <f>IF(CALC_EEM!Q115="","",CALC_EEM!Q115)</f>
        <v>0</v>
      </c>
      <c r="R210">
        <f>IF(CALC_EEM!R115="","",CALC_EEM!R115)</f>
        <v>0</v>
      </c>
      <c r="S210">
        <f>IF(CALC_EEM!S115="","",CALC_EEM!S115)</f>
        <v>0</v>
      </c>
      <c r="T210">
        <f>IF(CALC_EEM!T115="","",CALC_EEM!T115)</f>
        <v>0</v>
      </c>
      <c r="U210">
        <f>IF(CALC_EEM!U115="","",CALC_EEM!U115)</f>
        <v>0</v>
      </c>
    </row>
    <row r="211">
      <c r="A211" t="str">
        <f>IF(CALC_EEM!A115="","",IF(CALC_EEM!A115="GLOBAL","GLOBAL",IF(CALC_EEM!C115="Total","CURSO_TOTAL",IF(CALC_EEM!C115="TotalEsp","CURSO_ESP",IF(CALC_EEM!C115="TotalNoEsp","CURSO_NOESP","CURSO_ASIG")))))</f>
        <v>GLOBAL</v>
      </c>
      <c r="B211" t="str">
        <f>IF(CALC_EEM!A115="","",CALC_EEM!A115)</f>
        <v>GLOBAL</v>
      </c>
      <c r="C211" t="str">
        <f>IF(CALC_EEM!B115="","",CALC_EEM!B115)</f>
        <v>Total</v>
      </c>
      <c r="D211">
        <f>IF(CALC_EEM!D115="","",CALC_EEM!D115)</f>
        <v>0</v>
      </c>
      <c r="E211" s="14" t="str">
        <f>IF(CALC_EEM!E115="","",CALC_EEM!E115)</f>
        <v>—</v>
      </c>
      <c r="F211" s="14" t="str">
        <f>IF(CALC_EEM!F115="","",CALC_EEM!F115)</f>
        <v>—</v>
      </c>
      <c r="G211" t="str">
        <f>IF(CALC_EEM!G115="","",CALC_EEM!G115)</f>
        <v>—</v>
      </c>
      <c r="H211" s="16" t="str">
        <f>IF(CALC_EEM!H115="","",CALC_EEM!H115)</f>
        <v>—</v>
      </c>
      <c r="I211" s="16" t="str">
        <f>IF(CALC_EEM!I115="","",CALC_EEM!I115)</f>
        <v>—</v>
      </c>
      <c r="J211" t="str">
        <f>IF(CALC_EEM!J115="","",CALC_EEM!J115)</f>
        <v>—</v>
      </c>
      <c r="K211" t="str">
        <f>IF(CALC_EEM!K115="","",CALC_EEM!K115)</f>
        <v>—</v>
      </c>
      <c r="L211">
        <f>IF(CALC_EEM!L115="","",CALC_EEM!L115)</f>
        <v>0</v>
      </c>
      <c r="M211">
        <f>IF(CALC_EEM!M115="","",CALC_EEM!M115)</f>
        <v>0</v>
      </c>
      <c r="N211">
        <f>IF(CALC_EEM!N115="","",CALC_EEM!N115)</f>
        <v>0</v>
      </c>
      <c r="O211">
        <f>IF(CALC_EEM!O115="","",CALC_EEM!O115)</f>
        <v>0</v>
      </c>
      <c r="P211">
        <f>IF(CALC_EEM!P115="","",CALC_EEM!P115)</f>
        <v>0</v>
      </c>
      <c r="Q211">
        <f>IF(CALC_EEM!Q115="","",CALC_EEM!Q115)</f>
        <v>0</v>
      </c>
      <c r="R211">
        <f>IF(CALC_EEM!R115="","",CALC_EEM!R115)</f>
        <v>0</v>
      </c>
      <c r="S211">
        <f>IF(CALC_EEM!S115="","",CALC_EEM!S115)</f>
        <v>0</v>
      </c>
      <c r="T211">
        <f>IF(CALC_EEM!T115="","",CALC_EEM!T115)</f>
        <v>0</v>
      </c>
      <c r="U211">
        <f>IF(CALC_EEM!U115="","",CALC_EEM!U115)</f>
        <v>0</v>
      </c>
    </row>
    <row r="212">
      <c r="A212" t="str">
        <f>IF(CALC_EEM!A115="","",IF(CALC_EEM!A115="GLOBAL","GLOBAL",IF(CALC_EEM!C115="Total","CURSO_TOTAL",IF(CALC_EEM!C115="TotalEsp","CURSO_ESP",IF(CALC_EEM!C115="TotalNoEsp","CURSO_NOESP","CURSO_ASIG")))))</f>
        <v>GLOBAL</v>
      </c>
      <c r="B212" t="str">
        <f>IF(CALC_EEM!A115="","",CALC_EEM!A115)</f>
        <v>GLOBAL</v>
      </c>
      <c r="C212" t="str">
        <f>IF(CALC_EEM!B115="","",CALC_EEM!B115)</f>
        <v>Total</v>
      </c>
      <c r="D212">
        <f>IF(CALC_EEM!D115="","",CALC_EEM!D115)</f>
        <v>0</v>
      </c>
      <c r="E212" s="14" t="str">
        <f>IF(CALC_EEM!E115="","",CALC_EEM!E115)</f>
        <v>—</v>
      </c>
      <c r="F212" s="14" t="str">
        <f>IF(CALC_EEM!F115="","",CALC_EEM!F115)</f>
        <v>—</v>
      </c>
      <c r="G212" t="str">
        <f>IF(CALC_EEM!G115="","",CALC_EEM!G115)</f>
        <v>—</v>
      </c>
      <c r="H212" s="16" t="str">
        <f>IF(CALC_EEM!H115="","",CALC_EEM!H115)</f>
        <v>—</v>
      </c>
      <c r="I212" s="16" t="str">
        <f>IF(CALC_EEM!I115="","",CALC_EEM!I115)</f>
        <v>—</v>
      </c>
      <c r="J212" t="str">
        <f>IF(CALC_EEM!J115="","",CALC_EEM!J115)</f>
        <v>—</v>
      </c>
      <c r="K212" t="str">
        <f>IF(CALC_EEM!K115="","",CALC_EEM!K115)</f>
        <v>—</v>
      </c>
      <c r="L212">
        <f>IF(CALC_EEM!L115="","",CALC_EEM!L115)</f>
        <v>0</v>
      </c>
      <c r="M212">
        <f>IF(CALC_EEM!M115="","",CALC_EEM!M115)</f>
        <v>0</v>
      </c>
      <c r="N212">
        <f>IF(CALC_EEM!N115="","",CALC_EEM!N115)</f>
        <v>0</v>
      </c>
      <c r="O212">
        <f>IF(CALC_EEM!O115="","",CALC_EEM!O115)</f>
        <v>0</v>
      </c>
      <c r="P212">
        <f>IF(CALC_EEM!P115="","",CALC_EEM!P115)</f>
        <v>0</v>
      </c>
      <c r="Q212">
        <f>IF(CALC_EEM!Q115="","",CALC_EEM!Q115)</f>
        <v>0</v>
      </c>
      <c r="R212">
        <f>IF(CALC_EEM!R115="","",CALC_EEM!R115)</f>
        <v>0</v>
      </c>
      <c r="S212">
        <f>IF(CALC_EEM!S115="","",CALC_EEM!S115)</f>
        <v>0</v>
      </c>
      <c r="T212">
        <f>IF(CALC_EEM!T115="","",CALC_EEM!T115)</f>
        <v>0</v>
      </c>
      <c r="U212">
        <f>IF(CALC_EEM!U115="","",CALC_EEM!U115)</f>
        <v>0</v>
      </c>
    </row>
    <row r="213">
      <c r="A213" t="str">
        <f>IF(CALC_EEM!A115="","",IF(CALC_EEM!A115="GLOBAL","GLOBAL",IF(CALC_EEM!C115="Total","CURSO_TOTAL",IF(CALC_EEM!C115="TotalEsp","CURSO_ESP",IF(CALC_EEM!C115="TotalNoEsp","CURSO_NOESP","CURSO_ASIG")))))</f>
        <v>GLOBAL</v>
      </c>
      <c r="B213" t="str">
        <f>IF(CALC_EEM!A115="","",CALC_EEM!A115)</f>
        <v>GLOBAL</v>
      </c>
      <c r="C213" t="str">
        <f>IF(CALC_EEM!B115="","",CALC_EEM!B115)</f>
        <v>Total</v>
      </c>
      <c r="D213">
        <f>IF(CALC_EEM!D115="","",CALC_EEM!D115)</f>
        <v>0</v>
      </c>
      <c r="E213" s="14" t="str">
        <f>IF(CALC_EEM!E115="","",CALC_EEM!E115)</f>
        <v>—</v>
      </c>
      <c r="F213" s="14" t="str">
        <f>IF(CALC_EEM!F115="","",CALC_EEM!F115)</f>
        <v>—</v>
      </c>
      <c r="G213" t="str">
        <f>IF(CALC_EEM!G115="","",CALC_EEM!G115)</f>
        <v>—</v>
      </c>
      <c r="H213" s="16" t="str">
        <f>IF(CALC_EEM!H115="","",CALC_EEM!H115)</f>
        <v>—</v>
      </c>
      <c r="I213" s="16" t="str">
        <f>IF(CALC_EEM!I115="","",CALC_EEM!I115)</f>
        <v>—</v>
      </c>
      <c r="J213" t="str">
        <f>IF(CALC_EEM!J115="","",CALC_EEM!J115)</f>
        <v>—</v>
      </c>
      <c r="K213" t="str">
        <f>IF(CALC_EEM!K115="","",CALC_EEM!K115)</f>
        <v>—</v>
      </c>
      <c r="L213">
        <f>IF(CALC_EEM!L115="","",CALC_EEM!L115)</f>
        <v>0</v>
      </c>
      <c r="M213">
        <f>IF(CALC_EEM!M115="","",CALC_EEM!M115)</f>
        <v>0</v>
      </c>
      <c r="N213">
        <f>IF(CALC_EEM!N115="","",CALC_EEM!N115)</f>
        <v>0</v>
      </c>
      <c r="O213">
        <f>IF(CALC_EEM!O115="","",CALC_EEM!O115)</f>
        <v>0</v>
      </c>
      <c r="P213">
        <f>IF(CALC_EEM!P115="","",CALC_EEM!P115)</f>
        <v>0</v>
      </c>
      <c r="Q213">
        <f>IF(CALC_EEM!Q115="","",CALC_EEM!Q115)</f>
        <v>0</v>
      </c>
      <c r="R213">
        <f>IF(CALC_EEM!R115="","",CALC_EEM!R115)</f>
        <v>0</v>
      </c>
      <c r="S213">
        <f>IF(CALC_EEM!S115="","",CALC_EEM!S115)</f>
        <v>0</v>
      </c>
      <c r="T213">
        <f>IF(CALC_EEM!T115="","",CALC_EEM!T115)</f>
        <v>0</v>
      </c>
      <c r="U213">
        <f>IF(CALC_EEM!U115="","",CALC_EEM!U115)</f>
        <v>0</v>
      </c>
    </row>
    <row r="214">
      <c r="A214" t="str">
        <f>IF(CALC_EEM!A115="","",IF(CALC_EEM!A115="GLOBAL","GLOBAL",IF(CALC_EEM!C115="Total","CURSO_TOTAL",IF(CALC_EEM!C115="TotalEsp","CURSO_ESP",IF(CALC_EEM!C115="TotalNoEsp","CURSO_NOESP","CURSO_ASIG")))))</f>
        <v>GLOBAL</v>
      </c>
      <c r="B214" t="str">
        <f>IF(CALC_EEM!A115="","",CALC_EEM!A115)</f>
        <v>GLOBAL</v>
      </c>
      <c r="C214" t="str">
        <f>IF(CALC_EEM!B115="","",CALC_EEM!B115)</f>
        <v>Total</v>
      </c>
      <c r="D214">
        <f>IF(CALC_EEM!D115="","",CALC_EEM!D115)</f>
        <v>0</v>
      </c>
      <c r="E214" s="14" t="str">
        <f>IF(CALC_EEM!E115="","",CALC_EEM!E115)</f>
        <v>—</v>
      </c>
      <c r="F214" s="14" t="str">
        <f>IF(CALC_EEM!F115="","",CALC_EEM!F115)</f>
        <v>—</v>
      </c>
      <c r="G214" t="str">
        <f>IF(CALC_EEM!G115="","",CALC_EEM!G115)</f>
        <v>—</v>
      </c>
      <c r="H214" s="16" t="str">
        <f>IF(CALC_EEM!H115="","",CALC_EEM!H115)</f>
        <v>—</v>
      </c>
      <c r="I214" s="16" t="str">
        <f>IF(CALC_EEM!I115="","",CALC_EEM!I115)</f>
        <v>—</v>
      </c>
      <c r="J214" t="str">
        <f>IF(CALC_EEM!J115="","",CALC_EEM!J115)</f>
        <v>—</v>
      </c>
      <c r="K214" t="str">
        <f>IF(CALC_EEM!K115="","",CALC_EEM!K115)</f>
        <v>—</v>
      </c>
      <c r="L214">
        <f>IF(CALC_EEM!L115="","",CALC_EEM!L115)</f>
        <v>0</v>
      </c>
      <c r="M214">
        <f>IF(CALC_EEM!M115="","",CALC_EEM!M115)</f>
        <v>0</v>
      </c>
      <c r="N214">
        <f>IF(CALC_EEM!N115="","",CALC_EEM!N115)</f>
        <v>0</v>
      </c>
      <c r="O214">
        <f>IF(CALC_EEM!O115="","",CALC_EEM!O115)</f>
        <v>0</v>
      </c>
      <c r="P214">
        <f>IF(CALC_EEM!P115="","",CALC_EEM!P115)</f>
        <v>0</v>
      </c>
      <c r="Q214">
        <f>IF(CALC_EEM!Q115="","",CALC_EEM!Q115)</f>
        <v>0</v>
      </c>
      <c r="R214">
        <f>IF(CALC_EEM!R115="","",CALC_EEM!R115)</f>
        <v>0</v>
      </c>
      <c r="S214">
        <f>IF(CALC_EEM!S115="","",CALC_EEM!S115)</f>
        <v>0</v>
      </c>
      <c r="T214">
        <f>IF(CALC_EEM!T115="","",CALC_EEM!T115)</f>
        <v>0</v>
      </c>
      <c r="U214">
        <f>IF(CALC_EEM!U115="","",CALC_EEM!U115)</f>
        <v>0</v>
      </c>
    </row>
    <row r="215">
      <c r="A215" t="str">
        <f>IF(CALC_EEM!A115="","",IF(CALC_EEM!A115="GLOBAL","GLOBAL",IF(CALC_EEM!C115="Total","CURSO_TOTAL",IF(CALC_EEM!C115="TotalEsp","CURSO_ESP",IF(CALC_EEM!C115="TotalNoEsp","CURSO_NOESP","CURSO_ASIG")))))</f>
        <v>GLOBAL</v>
      </c>
      <c r="B215" t="str">
        <f>IF(CALC_EEM!A115="","",CALC_EEM!A115)</f>
        <v>GLOBAL</v>
      </c>
      <c r="C215" t="str">
        <f>IF(CALC_EEM!B115="","",CALC_EEM!B115)</f>
        <v>Total</v>
      </c>
      <c r="D215">
        <f>IF(CALC_EEM!D115="","",CALC_EEM!D115)</f>
        <v>0</v>
      </c>
      <c r="E215" s="14" t="str">
        <f>IF(CALC_EEM!E115="","",CALC_EEM!E115)</f>
        <v>—</v>
      </c>
      <c r="F215" s="14" t="str">
        <f>IF(CALC_EEM!F115="","",CALC_EEM!F115)</f>
        <v>—</v>
      </c>
      <c r="G215" t="str">
        <f>IF(CALC_EEM!G115="","",CALC_EEM!G115)</f>
        <v>—</v>
      </c>
      <c r="H215" s="16" t="str">
        <f>IF(CALC_EEM!H115="","",CALC_EEM!H115)</f>
        <v>—</v>
      </c>
      <c r="I215" s="16" t="str">
        <f>IF(CALC_EEM!I115="","",CALC_EEM!I115)</f>
        <v>—</v>
      </c>
      <c r="J215" t="str">
        <f>IF(CALC_EEM!J115="","",CALC_EEM!J115)</f>
        <v>—</v>
      </c>
      <c r="K215" t="str">
        <f>IF(CALC_EEM!K115="","",CALC_EEM!K115)</f>
        <v>—</v>
      </c>
      <c r="L215">
        <f>IF(CALC_EEM!L115="","",CALC_EEM!L115)</f>
        <v>0</v>
      </c>
      <c r="M215">
        <f>IF(CALC_EEM!M115="","",CALC_EEM!M115)</f>
        <v>0</v>
      </c>
      <c r="N215">
        <f>IF(CALC_EEM!N115="","",CALC_EEM!N115)</f>
        <v>0</v>
      </c>
      <c r="O215">
        <f>IF(CALC_EEM!O115="","",CALC_EEM!O115)</f>
        <v>0</v>
      </c>
      <c r="P215">
        <f>IF(CALC_EEM!P115="","",CALC_EEM!P115)</f>
        <v>0</v>
      </c>
      <c r="Q215">
        <f>IF(CALC_EEM!Q115="","",CALC_EEM!Q115)</f>
        <v>0</v>
      </c>
      <c r="R215">
        <f>IF(CALC_EEM!R115="","",CALC_EEM!R115)</f>
        <v>0</v>
      </c>
      <c r="S215">
        <f>IF(CALC_EEM!S115="","",CALC_EEM!S115)</f>
        <v>0</v>
      </c>
      <c r="T215">
        <f>IF(CALC_EEM!T115="","",CALC_EEM!T115)</f>
        <v>0</v>
      </c>
      <c r="U215">
        <f>IF(CALC_EEM!U115="","",CALC_EEM!U115)</f>
        <v>0</v>
      </c>
    </row>
    <row r="216">
      <c r="A216" t="str">
        <f>IF(CALC_EEM!A115="","",IF(CALC_EEM!A115="GLOBAL","GLOBAL",IF(CALC_EEM!C115="Total","CURSO_TOTAL",IF(CALC_EEM!C115="TotalEsp","CURSO_ESP",IF(CALC_EEM!C115="TotalNoEsp","CURSO_NOESP","CURSO_ASIG")))))</f>
        <v>GLOBAL</v>
      </c>
      <c r="B216" t="str">
        <f>IF(CALC_EEM!A115="","",CALC_EEM!A115)</f>
        <v>GLOBAL</v>
      </c>
      <c r="C216" t="str">
        <f>IF(CALC_EEM!B115="","",CALC_EEM!B115)</f>
        <v>Total</v>
      </c>
      <c r="D216">
        <f>IF(CALC_EEM!D115="","",CALC_EEM!D115)</f>
        <v>0</v>
      </c>
      <c r="E216" s="14" t="str">
        <f>IF(CALC_EEM!E115="","",CALC_EEM!E115)</f>
        <v>—</v>
      </c>
      <c r="F216" s="14" t="str">
        <f>IF(CALC_EEM!F115="","",CALC_EEM!F115)</f>
        <v>—</v>
      </c>
      <c r="G216" t="str">
        <f>IF(CALC_EEM!G115="","",CALC_EEM!G115)</f>
        <v>—</v>
      </c>
      <c r="H216" s="16" t="str">
        <f>IF(CALC_EEM!H115="","",CALC_EEM!H115)</f>
        <v>—</v>
      </c>
      <c r="I216" s="16" t="str">
        <f>IF(CALC_EEM!I115="","",CALC_EEM!I115)</f>
        <v>—</v>
      </c>
      <c r="J216" t="str">
        <f>IF(CALC_EEM!J115="","",CALC_EEM!J115)</f>
        <v>—</v>
      </c>
      <c r="K216" t="str">
        <f>IF(CALC_EEM!K115="","",CALC_EEM!K115)</f>
        <v>—</v>
      </c>
      <c r="L216">
        <f>IF(CALC_EEM!L115="","",CALC_EEM!L115)</f>
        <v>0</v>
      </c>
      <c r="M216">
        <f>IF(CALC_EEM!M115="","",CALC_EEM!M115)</f>
        <v>0</v>
      </c>
      <c r="N216">
        <f>IF(CALC_EEM!N115="","",CALC_EEM!N115)</f>
        <v>0</v>
      </c>
      <c r="O216">
        <f>IF(CALC_EEM!O115="","",CALC_EEM!O115)</f>
        <v>0</v>
      </c>
      <c r="P216">
        <f>IF(CALC_EEM!P115="","",CALC_EEM!P115)</f>
        <v>0</v>
      </c>
      <c r="Q216">
        <f>IF(CALC_EEM!Q115="","",CALC_EEM!Q115)</f>
        <v>0</v>
      </c>
      <c r="R216">
        <f>IF(CALC_EEM!R115="","",CALC_EEM!R115)</f>
        <v>0</v>
      </c>
      <c r="S216">
        <f>IF(CALC_EEM!S115="","",CALC_EEM!S115)</f>
        <v>0</v>
      </c>
      <c r="T216">
        <f>IF(CALC_EEM!T115="","",CALC_EEM!T115)</f>
        <v>0</v>
      </c>
      <c r="U216">
        <f>IF(CALC_EEM!U115="","",CALC_EEM!U115)</f>
        <v>0</v>
      </c>
    </row>
    <row r="217">
      <c r="A217" t="str">
        <f>IF(CALC_EEM!A115="","",IF(CALC_EEM!A115="GLOBAL","GLOBAL",IF(CALC_EEM!C115="Total","CURSO_TOTAL",IF(CALC_EEM!C115="TotalEsp","CURSO_ESP",IF(CALC_EEM!C115="TotalNoEsp","CURSO_NOESP","CURSO_ASIG")))))</f>
        <v>GLOBAL</v>
      </c>
      <c r="B217" t="str">
        <f>IF(CALC_EEM!A115="","",CALC_EEM!A115)</f>
        <v>GLOBAL</v>
      </c>
      <c r="C217" t="str">
        <f>IF(CALC_EEM!B115="","",CALC_EEM!B115)</f>
        <v>Total</v>
      </c>
      <c r="D217">
        <f>IF(CALC_EEM!D115="","",CALC_EEM!D115)</f>
        <v>0</v>
      </c>
      <c r="E217" s="14" t="str">
        <f>IF(CALC_EEM!E115="","",CALC_EEM!E115)</f>
        <v>—</v>
      </c>
      <c r="F217" s="14" t="str">
        <f>IF(CALC_EEM!F115="","",CALC_EEM!F115)</f>
        <v>—</v>
      </c>
      <c r="G217" t="str">
        <f>IF(CALC_EEM!G115="","",CALC_EEM!G115)</f>
        <v>—</v>
      </c>
      <c r="H217" s="16" t="str">
        <f>IF(CALC_EEM!H115="","",CALC_EEM!H115)</f>
        <v>—</v>
      </c>
      <c r="I217" s="16" t="str">
        <f>IF(CALC_EEM!I115="","",CALC_EEM!I115)</f>
        <v>—</v>
      </c>
      <c r="J217" t="str">
        <f>IF(CALC_EEM!J115="","",CALC_EEM!J115)</f>
        <v>—</v>
      </c>
      <c r="K217" t="str">
        <f>IF(CALC_EEM!K115="","",CALC_EEM!K115)</f>
        <v>—</v>
      </c>
      <c r="L217">
        <f>IF(CALC_EEM!L115="","",CALC_EEM!L115)</f>
        <v>0</v>
      </c>
      <c r="M217">
        <f>IF(CALC_EEM!M115="","",CALC_EEM!M115)</f>
        <v>0</v>
      </c>
      <c r="N217">
        <f>IF(CALC_EEM!N115="","",CALC_EEM!N115)</f>
        <v>0</v>
      </c>
      <c r="O217">
        <f>IF(CALC_EEM!O115="","",CALC_EEM!O115)</f>
        <v>0</v>
      </c>
      <c r="P217">
        <f>IF(CALC_EEM!P115="","",CALC_EEM!P115)</f>
        <v>0</v>
      </c>
      <c r="Q217">
        <f>IF(CALC_EEM!Q115="","",CALC_EEM!Q115)</f>
        <v>0</v>
      </c>
      <c r="R217">
        <f>IF(CALC_EEM!R115="","",CALC_EEM!R115)</f>
        <v>0</v>
      </c>
      <c r="S217">
        <f>IF(CALC_EEM!S115="","",CALC_EEM!S115)</f>
        <v>0</v>
      </c>
      <c r="T217">
        <f>IF(CALC_EEM!T115="","",CALC_EEM!T115)</f>
        <v>0</v>
      </c>
      <c r="U217">
        <f>IF(CALC_EEM!U115="","",CALC_EEM!U115)</f>
        <v>0</v>
      </c>
    </row>
    <row r="218">
      <c r="A218" t="str">
        <f>IF(CALC_EEM!A115="","",IF(CALC_EEM!A115="GLOBAL","GLOBAL",IF(CALC_EEM!C115="Total","CURSO_TOTAL",IF(CALC_EEM!C115="TotalEsp","CURSO_ESP",IF(CALC_EEM!C115="TotalNoEsp","CURSO_NOESP","CURSO_ASIG")))))</f>
        <v>GLOBAL</v>
      </c>
      <c r="B218" t="str">
        <f>IF(CALC_EEM!A115="","",CALC_EEM!A115)</f>
        <v>GLOBAL</v>
      </c>
      <c r="C218" t="str">
        <f>IF(CALC_EEM!B115="","",CALC_EEM!B115)</f>
        <v>Total</v>
      </c>
      <c r="D218">
        <f>IF(CALC_EEM!D115="","",CALC_EEM!D115)</f>
        <v>0</v>
      </c>
      <c r="E218" s="14" t="str">
        <f>IF(CALC_EEM!E115="","",CALC_EEM!E115)</f>
        <v>—</v>
      </c>
      <c r="F218" s="14" t="str">
        <f>IF(CALC_EEM!F115="","",CALC_EEM!F115)</f>
        <v>—</v>
      </c>
      <c r="G218" t="str">
        <f>IF(CALC_EEM!G115="","",CALC_EEM!G115)</f>
        <v>—</v>
      </c>
      <c r="H218" s="16" t="str">
        <f>IF(CALC_EEM!H115="","",CALC_EEM!H115)</f>
        <v>—</v>
      </c>
      <c r="I218" s="16" t="str">
        <f>IF(CALC_EEM!I115="","",CALC_EEM!I115)</f>
        <v>—</v>
      </c>
      <c r="J218" t="str">
        <f>IF(CALC_EEM!J115="","",CALC_EEM!J115)</f>
        <v>—</v>
      </c>
      <c r="K218" t="str">
        <f>IF(CALC_EEM!K115="","",CALC_EEM!K115)</f>
        <v>—</v>
      </c>
      <c r="L218">
        <f>IF(CALC_EEM!L115="","",CALC_EEM!L115)</f>
        <v>0</v>
      </c>
      <c r="M218">
        <f>IF(CALC_EEM!M115="","",CALC_EEM!M115)</f>
        <v>0</v>
      </c>
      <c r="N218">
        <f>IF(CALC_EEM!N115="","",CALC_EEM!N115)</f>
        <v>0</v>
      </c>
      <c r="O218">
        <f>IF(CALC_EEM!O115="","",CALC_EEM!O115)</f>
        <v>0</v>
      </c>
      <c r="P218">
        <f>IF(CALC_EEM!P115="","",CALC_EEM!P115)</f>
        <v>0</v>
      </c>
      <c r="Q218">
        <f>IF(CALC_EEM!Q115="","",CALC_EEM!Q115)</f>
        <v>0</v>
      </c>
      <c r="R218">
        <f>IF(CALC_EEM!R115="","",CALC_EEM!R115)</f>
        <v>0</v>
      </c>
      <c r="S218">
        <f>IF(CALC_EEM!S115="","",CALC_EEM!S115)</f>
        <v>0</v>
      </c>
      <c r="T218">
        <f>IF(CALC_EEM!T115="","",CALC_EEM!T115)</f>
        <v>0</v>
      </c>
      <c r="U218">
        <f>IF(CALC_EEM!U115="","",CALC_EEM!U115)</f>
        <v>0</v>
      </c>
    </row>
    <row r="219">
      <c r="A219" t="str">
        <f>IF(CALC_EEM!A115="","",IF(CALC_EEM!A115="GLOBAL","GLOBAL",IF(CALC_EEM!C115="Total","CURSO_TOTAL",IF(CALC_EEM!C115="TotalEsp","CURSO_ESP",IF(CALC_EEM!C115="TotalNoEsp","CURSO_NOESP","CURSO_ASIG")))))</f>
        <v>GLOBAL</v>
      </c>
      <c r="B219" t="str">
        <f>IF(CALC_EEM!A115="","",CALC_EEM!A115)</f>
        <v>GLOBAL</v>
      </c>
      <c r="C219" t="str">
        <f>IF(CALC_EEM!B115="","",CALC_EEM!B115)</f>
        <v>Total</v>
      </c>
      <c r="D219">
        <f>IF(CALC_EEM!D115="","",CALC_EEM!D115)</f>
        <v>0</v>
      </c>
      <c r="E219" s="14" t="str">
        <f>IF(CALC_EEM!E115="","",CALC_EEM!E115)</f>
        <v>—</v>
      </c>
      <c r="F219" s="14" t="str">
        <f>IF(CALC_EEM!F115="","",CALC_EEM!F115)</f>
        <v>—</v>
      </c>
      <c r="G219" t="str">
        <f>IF(CALC_EEM!G115="","",CALC_EEM!G115)</f>
        <v>—</v>
      </c>
      <c r="H219" s="16" t="str">
        <f>IF(CALC_EEM!H115="","",CALC_EEM!H115)</f>
        <v>—</v>
      </c>
      <c r="I219" s="16" t="str">
        <f>IF(CALC_EEM!I115="","",CALC_EEM!I115)</f>
        <v>—</v>
      </c>
      <c r="J219" t="str">
        <f>IF(CALC_EEM!J115="","",CALC_EEM!J115)</f>
        <v>—</v>
      </c>
      <c r="K219" t="str">
        <f>IF(CALC_EEM!K115="","",CALC_EEM!K115)</f>
        <v>—</v>
      </c>
      <c r="L219">
        <f>IF(CALC_EEM!L115="","",CALC_EEM!L115)</f>
        <v>0</v>
      </c>
      <c r="M219">
        <f>IF(CALC_EEM!M115="","",CALC_EEM!M115)</f>
        <v>0</v>
      </c>
      <c r="N219">
        <f>IF(CALC_EEM!N115="","",CALC_EEM!N115)</f>
        <v>0</v>
      </c>
      <c r="O219">
        <f>IF(CALC_EEM!O115="","",CALC_EEM!O115)</f>
        <v>0</v>
      </c>
      <c r="P219">
        <f>IF(CALC_EEM!P115="","",CALC_EEM!P115)</f>
        <v>0</v>
      </c>
      <c r="Q219">
        <f>IF(CALC_EEM!Q115="","",CALC_EEM!Q115)</f>
        <v>0</v>
      </c>
      <c r="R219">
        <f>IF(CALC_EEM!R115="","",CALC_EEM!R115)</f>
        <v>0</v>
      </c>
      <c r="S219">
        <f>IF(CALC_EEM!S115="","",CALC_EEM!S115)</f>
        <v>0</v>
      </c>
      <c r="T219">
        <f>IF(CALC_EEM!T115="","",CALC_EEM!T115)</f>
        <v>0</v>
      </c>
      <c r="U219">
        <f>IF(CALC_EEM!U115="","",CALC_EEM!U115)</f>
        <v>0</v>
      </c>
    </row>
    <row r="220">
      <c r="A220" t="str">
        <f>IF(CALC_EEM!A115="","",IF(CALC_EEM!A115="GLOBAL","GLOBAL",IF(CALC_EEM!C115="Total","CURSO_TOTAL",IF(CALC_EEM!C115="TotalEsp","CURSO_ESP",IF(CALC_EEM!C115="TotalNoEsp","CURSO_NOESP","CURSO_ASIG")))))</f>
        <v>GLOBAL</v>
      </c>
      <c r="B220" t="str">
        <f>IF(CALC_EEM!A115="","",CALC_EEM!A115)</f>
        <v>GLOBAL</v>
      </c>
      <c r="C220" t="str">
        <f>IF(CALC_EEM!B115="","",CALC_EEM!B115)</f>
        <v>Total</v>
      </c>
      <c r="D220">
        <f>IF(CALC_EEM!D115="","",CALC_EEM!D115)</f>
        <v>0</v>
      </c>
      <c r="E220" s="14" t="str">
        <f>IF(CALC_EEM!E115="","",CALC_EEM!E115)</f>
        <v>—</v>
      </c>
      <c r="F220" s="14" t="str">
        <f>IF(CALC_EEM!F115="","",CALC_EEM!F115)</f>
        <v>—</v>
      </c>
      <c r="G220" t="str">
        <f>IF(CALC_EEM!G115="","",CALC_EEM!G115)</f>
        <v>—</v>
      </c>
      <c r="H220" s="16" t="str">
        <f>IF(CALC_EEM!H115="","",CALC_EEM!H115)</f>
        <v>—</v>
      </c>
      <c r="I220" s="16" t="str">
        <f>IF(CALC_EEM!I115="","",CALC_EEM!I115)</f>
        <v>—</v>
      </c>
      <c r="J220" t="str">
        <f>IF(CALC_EEM!J115="","",CALC_EEM!J115)</f>
        <v>—</v>
      </c>
      <c r="K220" t="str">
        <f>IF(CALC_EEM!K115="","",CALC_EEM!K115)</f>
        <v>—</v>
      </c>
      <c r="L220">
        <f>IF(CALC_EEM!L115="","",CALC_EEM!L115)</f>
        <v>0</v>
      </c>
      <c r="M220">
        <f>IF(CALC_EEM!M115="","",CALC_EEM!M115)</f>
        <v>0</v>
      </c>
      <c r="N220">
        <f>IF(CALC_EEM!N115="","",CALC_EEM!N115)</f>
        <v>0</v>
      </c>
      <c r="O220">
        <f>IF(CALC_EEM!O115="","",CALC_EEM!O115)</f>
        <v>0</v>
      </c>
      <c r="P220">
        <f>IF(CALC_EEM!P115="","",CALC_EEM!P115)</f>
        <v>0</v>
      </c>
      <c r="Q220">
        <f>IF(CALC_EEM!Q115="","",CALC_EEM!Q115)</f>
        <v>0</v>
      </c>
      <c r="R220">
        <f>IF(CALC_EEM!R115="","",CALC_EEM!R115)</f>
        <v>0</v>
      </c>
      <c r="S220">
        <f>IF(CALC_EEM!S115="","",CALC_EEM!S115)</f>
        <v>0</v>
      </c>
      <c r="T220">
        <f>IF(CALC_EEM!T115="","",CALC_EEM!T115)</f>
        <v>0</v>
      </c>
      <c r="U220">
        <f>IF(CALC_EEM!U115="","",CALC_EEM!U115)</f>
        <v>0</v>
      </c>
    </row>
    <row r="221">
      <c r="A221" t="str">
        <f>IF(CALC_EEM!A115="","",IF(CALC_EEM!A115="GLOBAL","GLOBAL",IF(CALC_EEM!C115="Total","CURSO_TOTAL",IF(CALC_EEM!C115="TotalEsp","CURSO_ESP",IF(CALC_EEM!C115="TotalNoEsp","CURSO_NOESP","CURSO_ASIG")))))</f>
        <v>GLOBAL</v>
      </c>
      <c r="B221" t="str">
        <f>IF(CALC_EEM!A115="","",CALC_EEM!A115)</f>
        <v>GLOBAL</v>
      </c>
      <c r="C221" t="str">
        <f>IF(CALC_EEM!B115="","",CALC_EEM!B115)</f>
        <v>Total</v>
      </c>
      <c r="D221">
        <f>IF(CALC_EEM!D115="","",CALC_EEM!D115)</f>
        <v>0</v>
      </c>
      <c r="E221" s="14" t="str">
        <f>IF(CALC_EEM!E115="","",CALC_EEM!E115)</f>
        <v>—</v>
      </c>
      <c r="F221" s="14" t="str">
        <f>IF(CALC_EEM!F115="","",CALC_EEM!F115)</f>
        <v>—</v>
      </c>
      <c r="G221" t="str">
        <f>IF(CALC_EEM!G115="","",CALC_EEM!G115)</f>
        <v>—</v>
      </c>
      <c r="H221" s="16" t="str">
        <f>IF(CALC_EEM!H115="","",CALC_EEM!H115)</f>
        <v>—</v>
      </c>
      <c r="I221" s="16" t="str">
        <f>IF(CALC_EEM!I115="","",CALC_EEM!I115)</f>
        <v>—</v>
      </c>
      <c r="J221" t="str">
        <f>IF(CALC_EEM!J115="","",CALC_EEM!J115)</f>
        <v>—</v>
      </c>
      <c r="K221" t="str">
        <f>IF(CALC_EEM!K115="","",CALC_EEM!K115)</f>
        <v>—</v>
      </c>
      <c r="L221">
        <f>IF(CALC_EEM!L115="","",CALC_EEM!L115)</f>
        <v>0</v>
      </c>
      <c r="M221">
        <f>IF(CALC_EEM!M115="","",CALC_EEM!M115)</f>
        <v>0</v>
      </c>
      <c r="N221">
        <f>IF(CALC_EEM!N115="","",CALC_EEM!N115)</f>
        <v>0</v>
      </c>
      <c r="O221">
        <f>IF(CALC_EEM!O115="","",CALC_EEM!O115)</f>
        <v>0</v>
      </c>
      <c r="P221">
        <f>IF(CALC_EEM!P115="","",CALC_EEM!P115)</f>
        <v>0</v>
      </c>
      <c r="Q221">
        <f>IF(CALC_EEM!Q115="","",CALC_EEM!Q115)</f>
        <v>0</v>
      </c>
      <c r="R221">
        <f>IF(CALC_EEM!R115="","",CALC_EEM!R115)</f>
        <v>0</v>
      </c>
      <c r="S221">
        <f>IF(CALC_EEM!S115="","",CALC_EEM!S115)</f>
        <v>0</v>
      </c>
      <c r="T221">
        <f>IF(CALC_EEM!T115="","",CALC_EEM!T115)</f>
        <v>0</v>
      </c>
      <c r="U221">
        <f>IF(CALC_EEM!U115="","",CALC_EEM!U115)</f>
        <v>0</v>
      </c>
    </row>
    <row r="222">
      <c r="A222" t="str">
        <f>IF(CALC_EEM!A115="","",IF(CALC_EEM!A115="GLOBAL","GLOBAL",IF(CALC_EEM!C115="Total","CURSO_TOTAL",IF(CALC_EEM!C115="TotalEsp","CURSO_ESP",IF(CALC_EEM!C115="TotalNoEsp","CURSO_NOESP","CURSO_ASIG")))))</f>
        <v>GLOBAL</v>
      </c>
      <c r="B222" t="str">
        <f>IF(CALC_EEM!A115="","",CALC_EEM!A115)</f>
        <v>GLOBAL</v>
      </c>
      <c r="C222" t="str">
        <f>IF(CALC_EEM!B115="","",CALC_EEM!B115)</f>
        <v>Total</v>
      </c>
      <c r="D222">
        <f>IF(CALC_EEM!D115="","",CALC_EEM!D115)</f>
        <v>0</v>
      </c>
      <c r="E222" s="14" t="str">
        <f>IF(CALC_EEM!E115="","",CALC_EEM!E115)</f>
        <v>—</v>
      </c>
      <c r="F222" s="14" t="str">
        <f>IF(CALC_EEM!F115="","",CALC_EEM!F115)</f>
        <v>—</v>
      </c>
      <c r="G222" t="str">
        <f>IF(CALC_EEM!G115="","",CALC_EEM!G115)</f>
        <v>—</v>
      </c>
      <c r="H222" s="16" t="str">
        <f>IF(CALC_EEM!H115="","",CALC_EEM!H115)</f>
        <v>—</v>
      </c>
      <c r="I222" s="16" t="str">
        <f>IF(CALC_EEM!I115="","",CALC_EEM!I115)</f>
        <v>—</v>
      </c>
      <c r="J222" t="str">
        <f>IF(CALC_EEM!J115="","",CALC_EEM!J115)</f>
        <v>—</v>
      </c>
      <c r="K222" t="str">
        <f>IF(CALC_EEM!K115="","",CALC_EEM!K115)</f>
        <v>—</v>
      </c>
      <c r="L222">
        <f>IF(CALC_EEM!L115="","",CALC_EEM!L115)</f>
        <v>0</v>
      </c>
      <c r="M222">
        <f>IF(CALC_EEM!M115="","",CALC_EEM!M115)</f>
        <v>0</v>
      </c>
      <c r="N222">
        <f>IF(CALC_EEM!N115="","",CALC_EEM!N115)</f>
        <v>0</v>
      </c>
      <c r="O222">
        <f>IF(CALC_EEM!O115="","",CALC_EEM!O115)</f>
        <v>0</v>
      </c>
      <c r="P222">
        <f>IF(CALC_EEM!P115="","",CALC_EEM!P115)</f>
        <v>0</v>
      </c>
      <c r="Q222">
        <f>IF(CALC_EEM!Q115="","",CALC_EEM!Q115)</f>
        <v>0</v>
      </c>
      <c r="R222">
        <f>IF(CALC_EEM!R115="","",CALC_EEM!R115)</f>
        <v>0</v>
      </c>
      <c r="S222">
        <f>IF(CALC_EEM!S115="","",CALC_EEM!S115)</f>
        <v>0</v>
      </c>
      <c r="T222">
        <f>IF(CALC_EEM!T115="","",CALC_EEM!T115)</f>
        <v>0</v>
      </c>
      <c r="U222">
        <f>IF(CALC_EEM!U115="","",CALC_EEM!U115)</f>
        <v>0</v>
      </c>
    </row>
    <row r="223">
      <c r="A223" t="str">
        <f>IF(CALC_EEM!A135="","",IF(CALC_EEM!A135="GLOBAL","GLOBAL",IF(CALC_EEM!C135="Total","CURSO_TOTAL",IF(CALC_EEM!C135="TotalEsp","CURSO_ESP",IF(CALC_EEM!C135="TotalNoEsp","CURSO_NOESP","CURSO_ASIG")))))</f>
        <v>GLOBAL</v>
      </c>
      <c r="B223" t="str">
        <f>IF(CALC_EEM!A135="","",CALC_EEM!A135)</f>
        <v>GLOBAL</v>
      </c>
      <c r="C223" t="str">
        <f>IF(CALC_EEM!B135="","",CALC_EEM!B135)</f>
        <v>Total</v>
      </c>
      <c r="D223">
        <f>IF(CALC_EEM!D135="","",CALC_EEM!D135)</f>
        <v>0</v>
      </c>
      <c r="E223" s="14" t="str">
        <f>IF(CALC_EEM!E135="","",CALC_EEM!E135)</f>
        <v>—</v>
      </c>
      <c r="F223" s="14" t="str">
        <f>IF(CALC_EEM!F135="","",CALC_EEM!F135)</f>
        <v>—</v>
      </c>
      <c r="G223" t="str">
        <f>IF(CALC_EEM!G135="","",CALC_EEM!G135)</f>
        <v>—</v>
      </c>
      <c r="H223" s="16" t="str">
        <f>IF(CALC_EEM!H135="","",CALC_EEM!H135)</f>
        <v>—</v>
      </c>
      <c r="I223" s="16" t="str">
        <f>IF(CALC_EEM!I135="","",CALC_EEM!I135)</f>
        <v>—</v>
      </c>
      <c r="J223" t="str">
        <f>IF(CALC_EEM!J135="","",CALC_EEM!J135)</f>
        <v>—</v>
      </c>
      <c r="K223" t="str">
        <f>IF(CALC_EEM!K135="","",CALC_EEM!K135)</f>
        <v>—</v>
      </c>
      <c r="L223">
        <f>IF(CALC_EEM!L135="","",CALC_EEM!L135)</f>
        <v>0</v>
      </c>
      <c r="M223">
        <f>IF(CALC_EEM!M135="","",CALC_EEM!M135)</f>
        <v>0</v>
      </c>
      <c r="N223">
        <f>IF(CALC_EEM!N135="","",CALC_EEM!N135)</f>
        <v>0</v>
      </c>
      <c r="O223">
        <f>IF(CALC_EEM!O135="","",CALC_EEM!O135)</f>
        <v>0</v>
      </c>
      <c r="P223">
        <f>IF(CALC_EEM!P135="","",CALC_EEM!P135)</f>
        <v>0</v>
      </c>
      <c r="Q223">
        <f>IF(CALC_EEM!Q135="","",CALC_EEM!Q135)</f>
        <v>0</v>
      </c>
      <c r="R223">
        <f>IF(CALC_EEM!R135="","",CALC_EEM!R135)</f>
        <v>0</v>
      </c>
      <c r="S223">
        <f>IF(CALC_EEM!S135="","",CALC_EEM!S135)</f>
        <v>0</v>
      </c>
      <c r="T223">
        <f>IF(CALC_EEM!T135="","",CALC_EEM!T135)</f>
        <v>0</v>
      </c>
      <c r="U223">
        <f>IF(CALC_EEM!U135="","",CALC_EEM!U135)</f>
        <v>0</v>
      </c>
    </row>
    <row r="224">
      <c r="A224" t="str">
        <f>IF(CALC_EEM!A136="","",IF(CALC_EEM!A136="GLOBAL","GLOBAL",IF(CALC_EEM!C136="Total","CURSO_TOTAL",IF(CALC_EEM!C136="TotalEsp","CURSO_ESP",IF(CALC_EEM!C136="TotalNoEsp","CURSO_NOESP","CURSO_ASIG")))))</f>
        <v>GLOBAL</v>
      </c>
      <c r="B224" t="str">
        <f>IF(CALC_EEM!A136="","",CALC_EEM!A136)</f>
        <v>GLOBAL</v>
      </c>
      <c r="C224" t="str">
        <f>IF(CALC_EEM!B136="","",CALC_EEM!B136)</f>
        <v>Total</v>
      </c>
      <c r="D224">
        <f>IF(CALC_EEM!D136="","",CALC_EEM!D136)</f>
        <v>0</v>
      </c>
      <c r="E224" s="14" t="str">
        <f>IF(CALC_EEM!E136="","",CALC_EEM!E136)</f>
        <v>—</v>
      </c>
      <c r="F224" s="14" t="str">
        <f>IF(CALC_EEM!F136="","",CALC_EEM!F136)</f>
        <v>—</v>
      </c>
      <c r="G224" t="str">
        <f>IF(CALC_EEM!G136="","",CALC_EEM!G136)</f>
        <v>—</v>
      </c>
      <c r="H224" s="16" t="str">
        <f>IF(CALC_EEM!H136="","",CALC_EEM!H136)</f>
        <v>—</v>
      </c>
      <c r="I224" s="16" t="str">
        <f>IF(CALC_EEM!I136="","",CALC_EEM!I136)</f>
        <v>—</v>
      </c>
      <c r="J224" t="str">
        <f>IF(CALC_EEM!J136="","",CALC_EEM!J136)</f>
        <v>—</v>
      </c>
      <c r="K224" t="str">
        <f>IF(CALC_EEM!K136="","",CALC_EEM!K136)</f>
        <v>—</v>
      </c>
      <c r="L224">
        <f>IF(CALC_EEM!L136="","",CALC_EEM!L136)</f>
        <v>0</v>
      </c>
      <c r="M224">
        <f>IF(CALC_EEM!M136="","",CALC_EEM!M136)</f>
        <v>0</v>
      </c>
      <c r="N224">
        <f>IF(CALC_EEM!N136="","",CALC_EEM!N136)</f>
        <v>0</v>
      </c>
      <c r="O224">
        <f>IF(CALC_EEM!O136="","",CALC_EEM!O136)</f>
        <v>0</v>
      </c>
      <c r="P224">
        <f>IF(CALC_EEM!P136="","",CALC_EEM!P136)</f>
        <v>0</v>
      </c>
      <c r="Q224">
        <f>IF(CALC_EEM!Q136="","",CALC_EEM!Q136)</f>
        <v>0</v>
      </c>
      <c r="R224">
        <f>IF(CALC_EEM!R136="","",CALC_EEM!R136)</f>
        <v>0</v>
      </c>
      <c r="S224">
        <f>IF(CALC_EEM!S136="","",CALC_EEM!S136)</f>
        <v>0</v>
      </c>
      <c r="T224">
        <f>IF(CALC_EEM!T136="","",CALC_EEM!T136)</f>
        <v>0</v>
      </c>
      <c r="U224">
        <f>IF(CALC_EEM!U136="","",CALC_EEM!U136)</f>
        <v>0</v>
      </c>
    </row>
    <row r="225">
      <c r="A225" t="str">
        <f>IF(CALC_EEM!A137="","",IF(CALC_EEM!A137="GLOBAL","GLOBAL",IF(CALC_EEM!C137="Total","CURSO_TOTAL",IF(CALC_EEM!C137="TotalEsp","CURSO_ESP",IF(CALC_EEM!C137="TotalNoEsp","CURSO_NOESP","CURSO_ASIG")))))</f>
        <v>GLOBAL</v>
      </c>
      <c r="B225" t="str">
        <f>IF(CALC_EEM!A137="","",CALC_EEM!A137)</f>
        <v>GLOBAL</v>
      </c>
      <c r="C225" t="str">
        <f>IF(CALC_EEM!B137="","",CALC_EEM!B137)</f>
        <v>Total</v>
      </c>
      <c r="D225">
        <f>IF(CALC_EEM!D137="","",CALC_EEM!D137)</f>
        <v>0</v>
      </c>
      <c r="E225" s="14" t="str">
        <f>IF(CALC_EEM!E137="","",CALC_EEM!E137)</f>
        <v>—</v>
      </c>
      <c r="F225" s="14" t="str">
        <f>IF(CALC_EEM!F137="","",CALC_EEM!F137)</f>
        <v>—</v>
      </c>
      <c r="G225" t="str">
        <f>IF(CALC_EEM!G137="","",CALC_EEM!G137)</f>
        <v>—</v>
      </c>
      <c r="H225" s="16" t="str">
        <f>IF(CALC_EEM!H137="","",CALC_EEM!H137)</f>
        <v>—</v>
      </c>
      <c r="I225" s="16" t="str">
        <f>IF(CALC_EEM!I137="","",CALC_EEM!I137)</f>
        <v>—</v>
      </c>
      <c r="J225" t="str">
        <f>IF(CALC_EEM!J137="","",CALC_EEM!J137)</f>
        <v>—</v>
      </c>
      <c r="K225" t="str">
        <f>IF(CALC_EEM!K137="","",CALC_EEM!K137)</f>
        <v>—</v>
      </c>
      <c r="L225">
        <f>IF(CALC_EEM!L137="","",CALC_EEM!L137)</f>
        <v>0</v>
      </c>
      <c r="M225">
        <f>IF(CALC_EEM!M137="","",CALC_EEM!M137)</f>
        <v>0</v>
      </c>
      <c r="N225">
        <f>IF(CALC_EEM!N137="","",CALC_EEM!N137)</f>
        <v>0</v>
      </c>
      <c r="O225">
        <f>IF(CALC_EEM!O137="","",CALC_EEM!O137)</f>
        <v>0</v>
      </c>
      <c r="P225">
        <f>IF(CALC_EEM!P137="","",CALC_EEM!P137)</f>
        <v>0</v>
      </c>
      <c r="Q225">
        <f>IF(CALC_EEM!Q137="","",CALC_EEM!Q137)</f>
        <v>0</v>
      </c>
      <c r="R225">
        <f>IF(CALC_EEM!R137="","",CALC_EEM!R137)</f>
        <v>0</v>
      </c>
      <c r="S225">
        <f>IF(CALC_EEM!S137="","",CALC_EEM!S137)</f>
        <v>0</v>
      </c>
      <c r="T225">
        <f>IF(CALC_EEM!T137="","",CALC_EEM!T137)</f>
        <v>0</v>
      </c>
      <c r="U225">
        <f>IF(CALC_EEM!U137="","",CALC_EEM!U137)</f>
        <v>0</v>
      </c>
    </row>
    <row r="226">
      <c r="A226" t="str">
        <f>IF(CALC_EEM!A138="","",IF(CALC_EEM!A138="GLOBAL","GLOBAL",IF(CALC_EEM!C138="Total","CURSO_TOTAL",IF(CALC_EEM!C138="TotalEsp","CURSO_ESP",IF(CALC_EEM!C138="TotalNoEsp","CURSO_NOESP","CURSO_ASIG")))))</f>
        <v>GLOBAL</v>
      </c>
      <c r="B226" t="str">
        <f>IF(CALC_EEM!A138="","",CALC_EEM!A138)</f>
        <v>GLOBAL</v>
      </c>
      <c r="C226" t="str">
        <f>IF(CALC_EEM!B138="","",CALC_EEM!B138)</f>
        <v>Total</v>
      </c>
      <c r="D226">
        <f>IF(CALC_EEM!D138="","",CALC_EEM!D138)</f>
        <v>0</v>
      </c>
      <c r="E226" s="14" t="str">
        <f>IF(CALC_EEM!E138="","",CALC_EEM!E138)</f>
        <v>—</v>
      </c>
      <c r="F226" s="14" t="str">
        <f>IF(CALC_EEM!F138="","",CALC_EEM!F138)</f>
        <v>—</v>
      </c>
      <c r="G226" t="str">
        <f>IF(CALC_EEM!G138="","",CALC_EEM!G138)</f>
        <v>—</v>
      </c>
      <c r="H226" s="16" t="str">
        <f>IF(CALC_EEM!H138="","",CALC_EEM!H138)</f>
        <v>—</v>
      </c>
      <c r="I226" s="16" t="str">
        <f>IF(CALC_EEM!I138="","",CALC_EEM!I138)</f>
        <v>—</v>
      </c>
      <c r="J226" t="str">
        <f>IF(CALC_EEM!J138="","",CALC_EEM!J138)</f>
        <v>—</v>
      </c>
      <c r="K226" t="str">
        <f>IF(CALC_EEM!K138="","",CALC_EEM!K138)</f>
        <v>—</v>
      </c>
      <c r="L226">
        <f>IF(CALC_EEM!L138="","",CALC_EEM!L138)</f>
        <v>0</v>
      </c>
      <c r="M226">
        <f>IF(CALC_EEM!M138="","",CALC_EEM!M138)</f>
        <v>0</v>
      </c>
      <c r="N226">
        <f>IF(CALC_EEM!N138="","",CALC_EEM!N138)</f>
        <v>0</v>
      </c>
      <c r="O226">
        <f>IF(CALC_EEM!O138="","",CALC_EEM!O138)</f>
        <v>0</v>
      </c>
      <c r="P226">
        <f>IF(CALC_EEM!P138="","",CALC_EEM!P138)</f>
        <v>0</v>
      </c>
      <c r="Q226">
        <f>IF(CALC_EEM!Q138="","",CALC_EEM!Q138)</f>
        <v>0</v>
      </c>
      <c r="R226">
        <f>IF(CALC_EEM!R138="","",CALC_EEM!R138)</f>
        <v>0</v>
      </c>
      <c r="S226">
        <f>IF(CALC_EEM!S138="","",CALC_EEM!S138)</f>
        <v>0</v>
      </c>
      <c r="T226">
        <f>IF(CALC_EEM!T138="","",CALC_EEM!T138)</f>
        <v>0</v>
      </c>
      <c r="U226">
        <f>IF(CALC_EEM!U138="","",CALC_EEM!U138)</f>
        <v>0</v>
      </c>
    </row>
    <row r="227">
      <c r="A227" t="str">
        <f>IF(CALC_EEM!A139="","",IF(CALC_EEM!A139="GLOBAL","GLOBAL",IF(CALC_EEM!C139="Total","CURSO_TOTAL",IF(CALC_EEM!C139="TotalEsp","CURSO_ESP",IF(CALC_EEM!C139="TotalNoEsp","CURSO_NOESP","CURSO_ASIG")))))</f>
        <v>GLOBAL</v>
      </c>
      <c r="B227" t="str">
        <f>IF(CALC_EEM!A139="","",CALC_EEM!A139)</f>
        <v>GLOBAL</v>
      </c>
      <c r="C227" t="str">
        <f>IF(CALC_EEM!B139="","",CALC_EEM!B139)</f>
        <v>Total</v>
      </c>
      <c r="D227">
        <f>IF(CALC_EEM!D139="","",CALC_EEM!D139)</f>
        <v>0</v>
      </c>
      <c r="E227" s="14" t="str">
        <f>IF(CALC_EEM!E139="","",CALC_EEM!E139)</f>
        <v>—</v>
      </c>
      <c r="F227" s="14" t="str">
        <f>IF(CALC_EEM!F139="","",CALC_EEM!F139)</f>
        <v>—</v>
      </c>
      <c r="G227" t="str">
        <f>IF(CALC_EEM!G139="","",CALC_EEM!G139)</f>
        <v>—</v>
      </c>
      <c r="H227" s="16" t="str">
        <f>IF(CALC_EEM!H139="","",CALC_EEM!H139)</f>
        <v>—</v>
      </c>
      <c r="I227" s="16" t="str">
        <f>IF(CALC_EEM!I139="","",CALC_EEM!I139)</f>
        <v>—</v>
      </c>
      <c r="J227" t="str">
        <f>IF(CALC_EEM!J139="","",CALC_EEM!J139)</f>
        <v>—</v>
      </c>
      <c r="K227" t="str">
        <f>IF(CALC_EEM!K139="","",CALC_EEM!K139)</f>
        <v>—</v>
      </c>
      <c r="L227">
        <f>IF(CALC_EEM!L139="","",CALC_EEM!L139)</f>
        <v>0</v>
      </c>
      <c r="M227">
        <f>IF(CALC_EEM!M139="","",CALC_EEM!M139)</f>
        <v>0</v>
      </c>
      <c r="N227">
        <f>IF(CALC_EEM!N139="","",CALC_EEM!N139)</f>
        <v>0</v>
      </c>
      <c r="O227">
        <f>IF(CALC_EEM!O139="","",CALC_EEM!O139)</f>
        <v>0</v>
      </c>
      <c r="P227">
        <f>IF(CALC_EEM!P139="","",CALC_EEM!P139)</f>
        <v>0</v>
      </c>
      <c r="Q227">
        <f>IF(CALC_EEM!Q139="","",CALC_EEM!Q139)</f>
        <v>0</v>
      </c>
      <c r="R227">
        <f>IF(CALC_EEM!R139="","",CALC_EEM!R139)</f>
        <v>0</v>
      </c>
      <c r="S227">
        <f>IF(CALC_EEM!S139="","",CALC_EEM!S139)</f>
        <v>0</v>
      </c>
      <c r="T227">
        <f>IF(CALC_EEM!T139="","",CALC_EEM!T139)</f>
        <v>0</v>
      </c>
      <c r="U227">
        <f>IF(CALC_EEM!U139="","",CALC_EEM!U139)</f>
        <v>0</v>
      </c>
    </row>
    <row r="228">
      <c r="A228" t="str">
        <f>IF(CALC_EEM!A140="","",IF(CALC_EEM!A140="GLOBAL","GLOBAL",IF(CALC_EEM!C140="Total","CURSO_TOTAL",IF(CALC_EEM!C140="TotalEsp","CURSO_ESP",IF(CALC_EEM!C140="TotalNoEsp","CURSO_NOESP","CURSO_ASIG")))))</f>
        <v>GLOBAL</v>
      </c>
      <c r="B228" t="str">
        <f>IF(CALC_EEM!A140="","",CALC_EEM!A140)</f>
        <v>GLOBAL</v>
      </c>
      <c r="C228" t="str">
        <f>IF(CALC_EEM!B140="","",CALC_EEM!B140)</f>
        <v>Total</v>
      </c>
      <c r="D228">
        <f>IF(CALC_EEM!D140="","",CALC_EEM!D140)</f>
        <v>0</v>
      </c>
      <c r="E228" s="14" t="str">
        <f>IF(CALC_EEM!E140="","",CALC_EEM!E140)</f>
        <v>—</v>
      </c>
      <c r="F228" s="14" t="str">
        <f>IF(CALC_EEM!F140="","",CALC_EEM!F140)</f>
        <v>—</v>
      </c>
      <c r="G228" t="str">
        <f>IF(CALC_EEM!G140="","",CALC_EEM!G140)</f>
        <v>—</v>
      </c>
      <c r="H228" s="16" t="str">
        <f>IF(CALC_EEM!H140="","",CALC_EEM!H140)</f>
        <v>—</v>
      </c>
      <c r="I228" s="16" t="str">
        <f>IF(CALC_EEM!I140="","",CALC_EEM!I140)</f>
        <v>—</v>
      </c>
      <c r="J228" t="str">
        <f>IF(CALC_EEM!J140="","",CALC_EEM!J140)</f>
        <v>—</v>
      </c>
      <c r="K228" t="str">
        <f>IF(CALC_EEM!K140="","",CALC_EEM!K140)</f>
        <v>—</v>
      </c>
      <c r="L228">
        <f>IF(CALC_EEM!L140="","",CALC_EEM!L140)</f>
        <v>0</v>
      </c>
      <c r="M228">
        <f>IF(CALC_EEM!M140="","",CALC_EEM!M140)</f>
        <v>0</v>
      </c>
      <c r="N228">
        <f>IF(CALC_EEM!N140="","",CALC_EEM!N140)</f>
        <v>0</v>
      </c>
      <c r="O228">
        <f>IF(CALC_EEM!O140="","",CALC_EEM!O140)</f>
        <v>0</v>
      </c>
      <c r="P228">
        <f>IF(CALC_EEM!P140="","",CALC_EEM!P140)</f>
        <v>0</v>
      </c>
      <c r="Q228">
        <f>IF(CALC_EEM!Q140="","",CALC_EEM!Q140)</f>
        <v>0</v>
      </c>
      <c r="R228">
        <f>IF(CALC_EEM!R140="","",CALC_EEM!R140)</f>
        <v>0</v>
      </c>
      <c r="S228">
        <f>IF(CALC_EEM!S140="","",CALC_EEM!S140)</f>
        <v>0</v>
      </c>
      <c r="T228">
        <f>IF(CALC_EEM!T140="","",CALC_EEM!T140)</f>
        <v>0</v>
      </c>
      <c r="U228">
        <f>IF(CALC_EEM!U140="","",CALC_EEM!U140)</f>
        <v>0</v>
      </c>
    </row>
    <row r="229">
      <c r="A229" t="str">
        <f>IF(CALC_EEM!A141="","",IF(CALC_EEM!A141="GLOBAL","GLOBAL",IF(CALC_EEM!C141="Total","CURSO_TOTAL",IF(CALC_EEM!C141="TotalEsp","CURSO_ESP",IF(CALC_EEM!C141="TotalNoEsp","CURSO_NOESP","CURSO_ASIG")))))</f>
        <v>GLOBAL</v>
      </c>
      <c r="B229" t="str">
        <f>IF(CALC_EEM!A141="","",CALC_EEM!A141)</f>
        <v>GLOBAL</v>
      </c>
      <c r="C229" t="str">
        <f>IF(CALC_EEM!B141="","",CALC_EEM!B141)</f>
        <v>Total</v>
      </c>
      <c r="D229">
        <f>IF(CALC_EEM!D141="","",CALC_EEM!D141)</f>
        <v>0</v>
      </c>
      <c r="E229" s="14" t="str">
        <f>IF(CALC_EEM!E141="","",CALC_EEM!E141)</f>
        <v>—</v>
      </c>
      <c r="F229" s="14" t="str">
        <f>IF(CALC_EEM!F141="","",CALC_EEM!F141)</f>
        <v>—</v>
      </c>
      <c r="G229" t="str">
        <f>IF(CALC_EEM!G141="","",CALC_EEM!G141)</f>
        <v>—</v>
      </c>
      <c r="H229" s="16" t="str">
        <f>IF(CALC_EEM!H141="","",CALC_EEM!H141)</f>
        <v>—</v>
      </c>
      <c r="I229" s="16" t="str">
        <f>IF(CALC_EEM!I141="","",CALC_EEM!I141)</f>
        <v>—</v>
      </c>
      <c r="J229" t="str">
        <f>IF(CALC_EEM!J141="","",CALC_EEM!J141)</f>
        <v>—</v>
      </c>
      <c r="K229" t="str">
        <f>IF(CALC_EEM!K141="","",CALC_EEM!K141)</f>
        <v>—</v>
      </c>
      <c r="L229">
        <f>IF(CALC_EEM!L141="","",CALC_EEM!L141)</f>
        <v>0</v>
      </c>
      <c r="M229">
        <f>IF(CALC_EEM!M141="","",CALC_EEM!M141)</f>
        <v>0</v>
      </c>
      <c r="N229">
        <f>IF(CALC_EEM!N141="","",CALC_EEM!N141)</f>
        <v>0</v>
      </c>
      <c r="O229">
        <f>IF(CALC_EEM!O141="","",CALC_EEM!O141)</f>
        <v>0</v>
      </c>
      <c r="P229">
        <f>IF(CALC_EEM!P141="","",CALC_EEM!P141)</f>
        <v>0</v>
      </c>
      <c r="Q229">
        <f>IF(CALC_EEM!Q141="","",CALC_EEM!Q141)</f>
        <v>0</v>
      </c>
      <c r="R229">
        <f>IF(CALC_EEM!R141="","",CALC_EEM!R141)</f>
        <v>0</v>
      </c>
      <c r="S229">
        <f>IF(CALC_EEM!S141="","",CALC_EEM!S141)</f>
        <v>0</v>
      </c>
      <c r="T229">
        <f>IF(CALC_EEM!T141="","",CALC_EEM!T141)</f>
        <v>0</v>
      </c>
      <c r="U229">
        <f>IF(CALC_EEM!U141="","",CALC_EEM!U141)</f>
        <v>0</v>
      </c>
    </row>
    <row r="230">
      <c r="A230" t="str">
        <f>IF(CALC_EEM!A142="","",IF(CALC_EEM!A142="GLOBAL","GLOBAL",IF(CALC_EEM!C142="Total","CURSO_TOTAL",IF(CALC_EEM!C142="TotalEsp","CURSO_ESP",IF(CALC_EEM!C142="TotalNoEsp","CURSO_NOESP","CURSO_ASIG")))))</f>
        <v>GLOBAL</v>
      </c>
      <c r="B230" t="str">
        <f>IF(CALC_EEM!A142="","",CALC_EEM!A142)</f>
        <v>GLOBAL</v>
      </c>
      <c r="C230" t="str">
        <f>IF(CALC_EEM!B142="","",CALC_EEM!B142)</f>
        <v>Total</v>
      </c>
      <c r="D230">
        <f>IF(CALC_EEM!D142="","",CALC_EEM!D142)</f>
        <v>0</v>
      </c>
      <c r="E230" s="14" t="str">
        <f>IF(CALC_EEM!E142="","",CALC_EEM!E142)</f>
        <v>—</v>
      </c>
      <c r="F230" s="14" t="str">
        <f>IF(CALC_EEM!F142="","",CALC_EEM!F142)</f>
        <v>—</v>
      </c>
      <c r="G230" t="str">
        <f>IF(CALC_EEM!G142="","",CALC_EEM!G142)</f>
        <v>—</v>
      </c>
      <c r="H230" s="16" t="str">
        <f>IF(CALC_EEM!H142="","",CALC_EEM!H142)</f>
        <v>—</v>
      </c>
      <c r="I230" s="16" t="str">
        <f>IF(CALC_EEM!I142="","",CALC_EEM!I142)</f>
        <v>—</v>
      </c>
      <c r="J230" t="str">
        <f>IF(CALC_EEM!J142="","",CALC_EEM!J142)</f>
        <v>—</v>
      </c>
      <c r="K230" t="str">
        <f>IF(CALC_EEM!K142="","",CALC_EEM!K142)</f>
        <v>—</v>
      </c>
      <c r="L230">
        <f>IF(CALC_EEM!L142="","",CALC_EEM!L142)</f>
        <v>0</v>
      </c>
      <c r="M230">
        <f>IF(CALC_EEM!M142="","",CALC_EEM!M142)</f>
        <v>0</v>
      </c>
      <c r="N230">
        <f>IF(CALC_EEM!N142="","",CALC_EEM!N142)</f>
        <v>0</v>
      </c>
      <c r="O230">
        <f>IF(CALC_EEM!O142="","",CALC_EEM!O142)</f>
        <v>0</v>
      </c>
      <c r="P230">
        <f>IF(CALC_EEM!P142="","",CALC_EEM!P142)</f>
        <v>0</v>
      </c>
      <c r="Q230">
        <f>IF(CALC_EEM!Q142="","",CALC_EEM!Q142)</f>
        <v>0</v>
      </c>
      <c r="R230">
        <f>IF(CALC_EEM!R142="","",CALC_EEM!R142)</f>
        <v>0</v>
      </c>
      <c r="S230">
        <f>IF(CALC_EEM!S142="","",CALC_EEM!S142)</f>
        <v>0</v>
      </c>
      <c r="T230">
        <f>IF(CALC_EEM!T142="","",CALC_EEM!T142)</f>
        <v>0</v>
      </c>
      <c r="U230">
        <f>IF(CALC_EEM!U142="","",CALC_EEM!U142)</f>
        <v>0</v>
      </c>
    </row>
    <row r="231">
      <c r="A231" t="str">
        <f>IF(CALC_EEM!A143="","",IF(CALC_EEM!A143="GLOBAL","GLOBAL",IF(CALC_EEM!C143="Total","CURSO_TOTAL",IF(CALC_EEM!C143="TotalEsp","CURSO_ESP",IF(CALC_EEM!C143="TotalNoEsp","CURSO_NOESP","CURSO_ASIG")))))</f>
        <v>GLOBAL</v>
      </c>
      <c r="B231" t="str">
        <f>IF(CALC_EEM!A143="","",CALC_EEM!A143)</f>
        <v>GLOBAL</v>
      </c>
      <c r="C231" t="str">
        <f>IF(CALC_EEM!B143="","",CALC_EEM!B143)</f>
        <v>Total</v>
      </c>
      <c r="D231">
        <f>IF(CALC_EEM!D143="","",CALC_EEM!D143)</f>
        <v>0</v>
      </c>
      <c r="E231" s="14" t="str">
        <f>IF(CALC_EEM!E143="","",CALC_EEM!E143)</f>
        <v>—</v>
      </c>
      <c r="F231" s="14" t="str">
        <f>IF(CALC_EEM!F143="","",CALC_EEM!F143)</f>
        <v>—</v>
      </c>
      <c r="G231" t="str">
        <f>IF(CALC_EEM!G143="","",CALC_EEM!G143)</f>
        <v>—</v>
      </c>
      <c r="H231" s="16" t="str">
        <f>IF(CALC_EEM!H143="","",CALC_EEM!H143)</f>
        <v>—</v>
      </c>
      <c r="I231" s="16" t="str">
        <f>IF(CALC_EEM!I143="","",CALC_EEM!I143)</f>
        <v>—</v>
      </c>
      <c r="J231" t="str">
        <f>IF(CALC_EEM!J143="","",CALC_EEM!J143)</f>
        <v>—</v>
      </c>
      <c r="K231" t="str">
        <f>IF(CALC_EEM!K143="","",CALC_EEM!K143)</f>
        <v>—</v>
      </c>
      <c r="L231">
        <f>IF(CALC_EEM!L143="","",CALC_EEM!L143)</f>
        <v>0</v>
      </c>
      <c r="M231">
        <f>IF(CALC_EEM!M143="","",CALC_EEM!M143)</f>
        <v>0</v>
      </c>
      <c r="N231">
        <f>IF(CALC_EEM!N143="","",CALC_EEM!N143)</f>
        <v>0</v>
      </c>
      <c r="O231">
        <f>IF(CALC_EEM!O143="","",CALC_EEM!O143)</f>
        <v>0</v>
      </c>
      <c r="P231">
        <f>IF(CALC_EEM!P143="","",CALC_EEM!P143)</f>
        <v>0</v>
      </c>
      <c r="Q231">
        <f>IF(CALC_EEM!Q143="","",CALC_EEM!Q143)</f>
        <v>0</v>
      </c>
      <c r="R231">
        <f>IF(CALC_EEM!R143="","",CALC_EEM!R143)</f>
        <v>0</v>
      </c>
      <c r="S231">
        <f>IF(CALC_EEM!S143="","",CALC_EEM!S143)</f>
        <v>0</v>
      </c>
      <c r="T231">
        <f>IF(CALC_EEM!T143="","",CALC_EEM!T143)</f>
        <v>0</v>
      </c>
      <c r="U231">
        <f>IF(CALC_EEM!U143="","",CALC_EEM!U143)</f>
        <v>0</v>
      </c>
    </row>
    <row r="232">
      <c r="A232" t="str">
        <f>IF(CALC_EEM!A144="","",IF(CALC_EEM!A144="GLOBAL","GLOBAL",IF(CALC_EEM!C144="Total","CURSO_TOTAL",IF(CALC_EEM!C144="TotalEsp","CURSO_ESP",IF(CALC_EEM!C144="TotalNoEsp","CURSO_NOESP","CURSO_ASIG")))))</f>
        <v>GLOBAL</v>
      </c>
      <c r="B232" t="str">
        <f>IF(CALC_EEM!A144="","",CALC_EEM!A144)</f>
        <v>GLOBAL</v>
      </c>
      <c r="C232" t="str">
        <f>IF(CALC_EEM!B144="","",CALC_EEM!B144)</f>
        <v>Total</v>
      </c>
      <c r="D232">
        <f>IF(CALC_EEM!D144="","",CALC_EEM!D144)</f>
        <v>0</v>
      </c>
      <c r="E232" s="14" t="str">
        <f>IF(CALC_EEM!E144="","",CALC_EEM!E144)</f>
        <v>—</v>
      </c>
      <c r="F232" s="14" t="str">
        <f>IF(CALC_EEM!F144="","",CALC_EEM!F144)</f>
        <v>—</v>
      </c>
      <c r="G232" t="str">
        <f>IF(CALC_EEM!G144="","",CALC_EEM!G144)</f>
        <v>—</v>
      </c>
      <c r="H232" s="16" t="str">
        <f>IF(CALC_EEM!H144="","",CALC_EEM!H144)</f>
        <v>—</v>
      </c>
      <c r="I232" s="16" t="str">
        <f>IF(CALC_EEM!I144="","",CALC_EEM!I144)</f>
        <v>—</v>
      </c>
      <c r="J232" t="str">
        <f>IF(CALC_EEM!J144="","",CALC_EEM!J144)</f>
        <v>—</v>
      </c>
      <c r="K232" t="str">
        <f>IF(CALC_EEM!K144="","",CALC_EEM!K144)</f>
        <v>—</v>
      </c>
      <c r="L232">
        <f>IF(CALC_EEM!L144="","",CALC_EEM!L144)</f>
        <v>0</v>
      </c>
      <c r="M232">
        <f>IF(CALC_EEM!M144="","",CALC_EEM!M144)</f>
        <v>0</v>
      </c>
      <c r="N232">
        <f>IF(CALC_EEM!N144="","",CALC_EEM!N144)</f>
        <v>0</v>
      </c>
      <c r="O232">
        <f>IF(CALC_EEM!O144="","",CALC_EEM!O144)</f>
        <v>0</v>
      </c>
      <c r="P232">
        <f>IF(CALC_EEM!P144="","",CALC_EEM!P144)</f>
        <v>0</v>
      </c>
      <c r="Q232">
        <f>IF(CALC_EEM!Q144="","",CALC_EEM!Q144)</f>
        <v>0</v>
      </c>
      <c r="R232">
        <f>IF(CALC_EEM!R144="","",CALC_EEM!R144)</f>
        <v>0</v>
      </c>
      <c r="S232">
        <f>IF(CALC_EEM!S144="","",CALC_EEM!S144)</f>
        <v>0</v>
      </c>
      <c r="T232">
        <f>IF(CALC_EEM!T144="","",CALC_EEM!T144)</f>
        <v>0</v>
      </c>
      <c r="U232">
        <f>IF(CALC_EEM!U144="","",CALC_EEM!U144)</f>
        <v>0</v>
      </c>
    </row>
    <row r="233">
      <c r="A233" t="str">
        <f>IF(CALC_EEM!A145="","",IF(CALC_EEM!A145="GLOBAL","GLOBAL",IF(CALC_EEM!C145="Total","CURSO_TOTAL",IF(CALC_EEM!C145="TotalEsp","CURSO_ESP",IF(CALC_EEM!C145="TotalNoEsp","CURSO_NOESP","CURSO_ASIG")))))</f>
        <v>GLOBAL</v>
      </c>
      <c r="B233" t="str">
        <f>IF(CALC_EEM!A145="","",CALC_EEM!A145)</f>
        <v>GLOBAL</v>
      </c>
      <c r="C233" t="str">
        <f>IF(CALC_EEM!B145="","",CALC_EEM!B145)</f>
        <v>Total</v>
      </c>
      <c r="D233">
        <f>IF(CALC_EEM!D145="","",CALC_EEM!D145)</f>
        <v>0</v>
      </c>
      <c r="E233" s="14" t="str">
        <f>IF(CALC_EEM!E145="","",CALC_EEM!E145)</f>
        <v>—</v>
      </c>
      <c r="F233" s="14" t="str">
        <f>IF(CALC_EEM!F145="","",CALC_EEM!F145)</f>
        <v>—</v>
      </c>
      <c r="G233" t="str">
        <f>IF(CALC_EEM!G145="","",CALC_EEM!G145)</f>
        <v>—</v>
      </c>
      <c r="H233" s="16" t="str">
        <f>IF(CALC_EEM!H145="","",CALC_EEM!H145)</f>
        <v>—</v>
      </c>
      <c r="I233" s="16" t="str">
        <f>IF(CALC_EEM!I145="","",CALC_EEM!I145)</f>
        <v>—</v>
      </c>
      <c r="J233" t="str">
        <f>IF(CALC_EEM!J145="","",CALC_EEM!J145)</f>
        <v>—</v>
      </c>
      <c r="K233" t="str">
        <f>IF(CALC_EEM!K145="","",CALC_EEM!K145)</f>
        <v>—</v>
      </c>
      <c r="L233">
        <f>IF(CALC_EEM!L145="","",CALC_EEM!L145)</f>
        <v>0</v>
      </c>
      <c r="M233">
        <f>IF(CALC_EEM!M145="","",CALC_EEM!M145)</f>
        <v>0</v>
      </c>
      <c r="N233">
        <f>IF(CALC_EEM!N145="","",CALC_EEM!N145)</f>
        <v>0</v>
      </c>
      <c r="O233">
        <f>IF(CALC_EEM!O145="","",CALC_EEM!O145)</f>
        <v>0</v>
      </c>
      <c r="P233">
        <f>IF(CALC_EEM!P145="","",CALC_EEM!P145)</f>
        <v>0</v>
      </c>
      <c r="Q233">
        <f>IF(CALC_EEM!Q145="","",CALC_EEM!Q145)</f>
        <v>0</v>
      </c>
      <c r="R233">
        <f>IF(CALC_EEM!R145="","",CALC_EEM!R145)</f>
        <v>0</v>
      </c>
      <c r="S233">
        <f>IF(CALC_EEM!S145="","",CALC_EEM!S145)</f>
        <v>0</v>
      </c>
      <c r="T233">
        <f>IF(CALC_EEM!T145="","",CALC_EEM!T145)</f>
        <v>0</v>
      </c>
      <c r="U233">
        <f>IF(CALC_EEM!U145="","",CALC_EEM!U145)</f>
        <v>0</v>
      </c>
    </row>
    <row r="234">
      <c r="A234" t="str">
        <f>IF(CALC_EEM!A146="","",IF(CALC_EEM!A146="GLOBAL","GLOBAL",IF(CALC_EEM!C146="Total","CURSO_TOTAL",IF(CALC_EEM!C146="TotalEsp","CURSO_ESP",IF(CALC_EEM!C146="TotalNoEsp","CURSO_NOESP","CURSO_ASIG")))))</f>
        <v>GLOBAL</v>
      </c>
      <c r="B234" t="str">
        <f>IF(CALC_EEM!A146="","",CALC_EEM!A146)</f>
        <v>GLOBAL</v>
      </c>
      <c r="C234" t="str">
        <f>IF(CALC_EEM!B146="","",CALC_EEM!B146)</f>
        <v>Total</v>
      </c>
      <c r="D234">
        <f>IF(CALC_EEM!D146="","",CALC_EEM!D146)</f>
        <v>0</v>
      </c>
      <c r="E234" s="14" t="str">
        <f>IF(CALC_EEM!E146="","",CALC_EEM!E146)</f>
        <v>—</v>
      </c>
      <c r="F234" s="14" t="str">
        <f>IF(CALC_EEM!F146="","",CALC_EEM!F146)</f>
        <v>—</v>
      </c>
      <c r="G234" t="str">
        <f>IF(CALC_EEM!G146="","",CALC_EEM!G146)</f>
        <v>—</v>
      </c>
      <c r="H234" s="16" t="str">
        <f>IF(CALC_EEM!H146="","",CALC_EEM!H146)</f>
        <v>—</v>
      </c>
      <c r="I234" s="16" t="str">
        <f>IF(CALC_EEM!I146="","",CALC_EEM!I146)</f>
        <v>—</v>
      </c>
      <c r="J234" t="str">
        <f>IF(CALC_EEM!J146="","",CALC_EEM!J146)</f>
        <v>—</v>
      </c>
      <c r="K234" t="str">
        <f>IF(CALC_EEM!K146="","",CALC_EEM!K146)</f>
        <v>—</v>
      </c>
      <c r="L234">
        <f>IF(CALC_EEM!L146="","",CALC_EEM!L146)</f>
        <v>0</v>
      </c>
      <c r="M234">
        <f>IF(CALC_EEM!M146="","",CALC_EEM!M146)</f>
        <v>0</v>
      </c>
      <c r="N234">
        <f>IF(CALC_EEM!N146="","",CALC_EEM!N146)</f>
        <v>0</v>
      </c>
      <c r="O234">
        <f>IF(CALC_EEM!O146="","",CALC_EEM!O146)</f>
        <v>0</v>
      </c>
      <c r="P234">
        <f>IF(CALC_EEM!P146="","",CALC_EEM!P146)</f>
        <v>0</v>
      </c>
      <c r="Q234">
        <f>IF(CALC_EEM!Q146="","",CALC_EEM!Q146)</f>
        <v>0</v>
      </c>
      <c r="R234">
        <f>IF(CALC_EEM!R146="","",CALC_EEM!R146)</f>
        <v>0</v>
      </c>
      <c r="S234">
        <f>IF(CALC_EEM!S146="","",CALC_EEM!S146)</f>
        <v>0</v>
      </c>
      <c r="T234">
        <f>IF(CALC_EEM!T146="","",CALC_EEM!T146)</f>
        <v>0</v>
      </c>
      <c r="U234">
        <f>IF(CALC_EEM!U146="","",CALC_EEM!U146)</f>
        <v>0</v>
      </c>
    </row>
    <row r="235">
      <c r="A235" t="str">
        <f>IF(CALC_EEM!A147="","",IF(CALC_EEM!A147="GLOBAL","GLOBAL",IF(CALC_EEM!C147="Total","CURSO_TOTAL",IF(CALC_EEM!C147="TotalEsp","CURSO_ESP",IF(CALC_EEM!C147="TotalNoEsp","CURSO_NOESP","CURSO_ASIG")))))</f>
        <v>GLOBAL</v>
      </c>
      <c r="B235" t="str">
        <f>IF(CALC_EEM!A147="","",CALC_EEM!A147)</f>
        <v>GLOBAL</v>
      </c>
      <c r="C235" t="str">
        <f>IF(CALC_EEM!B147="","",CALC_EEM!B147)</f>
        <v>Total</v>
      </c>
      <c r="D235">
        <f>IF(CALC_EEM!D147="","",CALC_EEM!D147)</f>
        <v>0</v>
      </c>
      <c r="E235" s="14" t="str">
        <f>IF(CALC_EEM!E147="","",CALC_EEM!E147)</f>
        <v>—</v>
      </c>
      <c r="F235" s="14" t="str">
        <f>IF(CALC_EEM!F147="","",CALC_EEM!F147)</f>
        <v>—</v>
      </c>
      <c r="G235" t="str">
        <f>IF(CALC_EEM!G147="","",CALC_EEM!G147)</f>
        <v>—</v>
      </c>
      <c r="H235" s="16" t="str">
        <f>IF(CALC_EEM!H147="","",CALC_EEM!H147)</f>
        <v>—</v>
      </c>
      <c r="I235" s="16" t="str">
        <f>IF(CALC_EEM!I147="","",CALC_EEM!I147)</f>
        <v>—</v>
      </c>
      <c r="J235" t="str">
        <f>IF(CALC_EEM!J147="","",CALC_EEM!J147)</f>
        <v>—</v>
      </c>
      <c r="K235" t="str">
        <f>IF(CALC_EEM!K147="","",CALC_EEM!K147)</f>
        <v>—</v>
      </c>
      <c r="L235">
        <f>IF(CALC_EEM!L147="","",CALC_EEM!L147)</f>
        <v>0</v>
      </c>
      <c r="M235">
        <f>IF(CALC_EEM!M147="","",CALC_EEM!M147)</f>
        <v>0</v>
      </c>
      <c r="N235">
        <f>IF(CALC_EEM!N147="","",CALC_EEM!N147)</f>
        <v>0</v>
      </c>
      <c r="O235">
        <f>IF(CALC_EEM!O147="","",CALC_EEM!O147)</f>
        <v>0</v>
      </c>
      <c r="P235">
        <f>IF(CALC_EEM!P147="","",CALC_EEM!P147)</f>
        <v>0</v>
      </c>
      <c r="Q235">
        <f>IF(CALC_EEM!Q147="","",CALC_EEM!Q147)</f>
        <v>0</v>
      </c>
      <c r="R235">
        <f>IF(CALC_EEM!R147="","",CALC_EEM!R147)</f>
        <v>0</v>
      </c>
      <c r="S235">
        <f>IF(CALC_EEM!S147="","",CALC_EEM!S147)</f>
        <v>0</v>
      </c>
      <c r="T235">
        <f>IF(CALC_EEM!T147="","",CALC_EEM!T147)</f>
        <v>0</v>
      </c>
      <c r="U235">
        <f>IF(CALC_EEM!U147="","",CALC_EEM!U147)</f>
        <v>0</v>
      </c>
    </row>
    <row r="236">
      <c r="A236" t="str">
        <f>IF(CALC_EEM!A148="","",IF(CALC_EEM!A148="GLOBAL","GLOBAL",IF(CALC_EEM!C148="Total","CURSO_TOTAL",IF(CALC_EEM!C148="TotalEsp","CURSO_ESP",IF(CALC_EEM!C148="TotalNoEsp","CURSO_NOESP","CURSO_ASIG")))))</f>
        <v>GLOBAL</v>
      </c>
      <c r="B236" t="str">
        <f>IF(CALC_EEM!A148="","",CALC_EEM!A148)</f>
        <v>GLOBAL</v>
      </c>
      <c r="C236" t="str">
        <f>IF(CALC_EEM!B148="","",CALC_EEM!B148)</f>
        <v>Total</v>
      </c>
      <c r="D236">
        <f>IF(CALC_EEM!D148="","",CALC_EEM!D148)</f>
        <v>0</v>
      </c>
      <c r="E236" s="14" t="str">
        <f>IF(CALC_EEM!E148="","",CALC_EEM!E148)</f>
        <v>—</v>
      </c>
      <c r="F236" s="14" t="str">
        <f>IF(CALC_EEM!F148="","",CALC_EEM!F148)</f>
        <v>—</v>
      </c>
      <c r="G236" t="str">
        <f>IF(CALC_EEM!G148="","",CALC_EEM!G148)</f>
        <v>—</v>
      </c>
      <c r="H236" s="16" t="str">
        <f>IF(CALC_EEM!H148="","",CALC_EEM!H148)</f>
        <v>—</v>
      </c>
      <c r="I236" s="16" t="str">
        <f>IF(CALC_EEM!I148="","",CALC_EEM!I148)</f>
        <v>—</v>
      </c>
      <c r="J236" t="str">
        <f>IF(CALC_EEM!J148="","",CALC_EEM!J148)</f>
        <v>—</v>
      </c>
      <c r="K236" t="str">
        <f>IF(CALC_EEM!K148="","",CALC_EEM!K148)</f>
        <v>—</v>
      </c>
      <c r="L236">
        <f>IF(CALC_EEM!L148="","",CALC_EEM!L148)</f>
        <v>0</v>
      </c>
      <c r="M236">
        <f>IF(CALC_EEM!M148="","",CALC_EEM!M148)</f>
        <v>0</v>
      </c>
      <c r="N236">
        <f>IF(CALC_EEM!N148="","",CALC_EEM!N148)</f>
        <v>0</v>
      </c>
      <c r="O236">
        <f>IF(CALC_EEM!O148="","",CALC_EEM!O148)</f>
        <v>0</v>
      </c>
      <c r="P236">
        <f>IF(CALC_EEM!P148="","",CALC_EEM!P148)</f>
        <v>0</v>
      </c>
      <c r="Q236">
        <f>IF(CALC_EEM!Q148="","",CALC_EEM!Q148)</f>
        <v>0</v>
      </c>
      <c r="R236">
        <f>IF(CALC_EEM!R148="","",CALC_EEM!R148)</f>
        <v>0</v>
      </c>
      <c r="S236">
        <f>IF(CALC_EEM!S148="","",CALC_EEM!S148)</f>
        <v>0</v>
      </c>
      <c r="T236">
        <f>IF(CALC_EEM!T148="","",CALC_EEM!T148)</f>
        <v>0</v>
      </c>
      <c r="U236">
        <f>IF(CALC_EEM!U148="","",CALC_EEM!U148)</f>
        <v>0</v>
      </c>
    </row>
    <row r="237">
      <c r="A237" t="str">
        <f>IF(CALC_EEM!A149="","",IF(CALC_EEM!A149="GLOBAL","GLOBAL",IF(CALC_EEM!C149="Total","CURSO_TOTAL",IF(CALC_EEM!C149="TotalEsp","CURSO_ESP",IF(CALC_EEM!C149="TotalNoEsp","CURSO_NOESP","CURSO_ASIG")))))</f>
        <v>GLOBAL</v>
      </c>
      <c r="B237" t="str">
        <f>IF(CALC_EEM!A149="","",CALC_EEM!A149)</f>
        <v>GLOBAL</v>
      </c>
      <c r="C237" t="str">
        <f>IF(CALC_EEM!B149="","",CALC_EEM!B149)</f>
        <v>Total</v>
      </c>
      <c r="D237">
        <f>IF(CALC_EEM!D149="","",CALC_EEM!D149)</f>
        <v>0</v>
      </c>
      <c r="E237" s="14" t="str">
        <f>IF(CALC_EEM!E149="","",CALC_EEM!E149)</f>
        <v>—</v>
      </c>
      <c r="F237" s="14" t="str">
        <f>IF(CALC_EEM!F149="","",CALC_EEM!F149)</f>
        <v>—</v>
      </c>
      <c r="G237" t="str">
        <f>IF(CALC_EEM!G149="","",CALC_EEM!G149)</f>
        <v>—</v>
      </c>
      <c r="H237" s="16" t="str">
        <f>IF(CALC_EEM!H149="","",CALC_EEM!H149)</f>
        <v>—</v>
      </c>
      <c r="I237" s="16" t="str">
        <f>IF(CALC_EEM!I149="","",CALC_EEM!I149)</f>
        <v>—</v>
      </c>
      <c r="J237" t="str">
        <f>IF(CALC_EEM!J149="","",CALC_EEM!J149)</f>
        <v>—</v>
      </c>
      <c r="K237" t="str">
        <f>IF(CALC_EEM!K149="","",CALC_EEM!K149)</f>
        <v>—</v>
      </c>
      <c r="L237">
        <f>IF(CALC_EEM!L149="","",CALC_EEM!L149)</f>
        <v>0</v>
      </c>
      <c r="M237">
        <f>IF(CALC_EEM!M149="","",CALC_EEM!M149)</f>
        <v>0</v>
      </c>
      <c r="N237">
        <f>IF(CALC_EEM!N149="","",CALC_EEM!N149)</f>
        <v>0</v>
      </c>
      <c r="O237">
        <f>IF(CALC_EEM!O149="","",CALC_EEM!O149)</f>
        <v>0</v>
      </c>
      <c r="P237">
        <f>IF(CALC_EEM!P149="","",CALC_EEM!P149)</f>
        <v>0</v>
      </c>
      <c r="Q237">
        <f>IF(CALC_EEM!Q149="","",CALC_EEM!Q149)</f>
        <v>0</v>
      </c>
      <c r="R237">
        <f>IF(CALC_EEM!R149="","",CALC_EEM!R149)</f>
        <v>0</v>
      </c>
      <c r="S237">
        <f>IF(CALC_EEM!S149="","",CALC_EEM!S149)</f>
        <v>0</v>
      </c>
      <c r="T237">
        <f>IF(CALC_EEM!T149="","",CALC_EEM!T149)</f>
        <v>0</v>
      </c>
      <c r="U237">
        <f>IF(CALC_EEM!U149="","",CALC_EEM!U149)</f>
        <v>0</v>
      </c>
    </row>
    <row r="238">
      <c r="A238" t="str">
        <f>IF(CALC_EEM!A150="","",IF(CALC_EEM!A150="GLOBAL","GLOBAL",IF(CALC_EEM!C150="Total","CURSO_TOTAL",IF(CALC_EEM!C150="TotalEsp","CURSO_ESP",IF(CALC_EEM!C150="TotalNoEsp","CURSO_NOESP","CURSO_ASIG")))))</f>
        <v>GLOBAL</v>
      </c>
      <c r="B238" t="str">
        <f>IF(CALC_EEM!A150="","",CALC_EEM!A150)</f>
        <v>GLOBAL</v>
      </c>
      <c r="C238" t="str">
        <f>IF(CALC_EEM!B150="","",CALC_EEM!B150)</f>
        <v>Total</v>
      </c>
      <c r="D238">
        <f>IF(CALC_EEM!D150="","",CALC_EEM!D150)</f>
        <v>0</v>
      </c>
      <c r="E238" s="14" t="str">
        <f>IF(CALC_EEM!E150="","",CALC_EEM!E150)</f>
        <v>—</v>
      </c>
      <c r="F238" s="14" t="str">
        <f>IF(CALC_EEM!F150="","",CALC_EEM!F150)</f>
        <v>—</v>
      </c>
      <c r="G238" t="str">
        <f>IF(CALC_EEM!G150="","",CALC_EEM!G150)</f>
        <v>—</v>
      </c>
      <c r="H238" s="16" t="str">
        <f>IF(CALC_EEM!H150="","",CALC_EEM!H150)</f>
        <v>—</v>
      </c>
      <c r="I238" s="16" t="str">
        <f>IF(CALC_EEM!I150="","",CALC_EEM!I150)</f>
        <v>—</v>
      </c>
      <c r="J238" t="str">
        <f>IF(CALC_EEM!J150="","",CALC_EEM!J150)</f>
        <v>—</v>
      </c>
      <c r="K238" t="str">
        <f>IF(CALC_EEM!K150="","",CALC_EEM!K150)</f>
        <v>—</v>
      </c>
      <c r="L238">
        <f>IF(CALC_EEM!L150="","",CALC_EEM!L150)</f>
        <v>0</v>
      </c>
      <c r="M238">
        <f>IF(CALC_EEM!M150="","",CALC_EEM!M150)</f>
        <v>0</v>
      </c>
      <c r="N238">
        <f>IF(CALC_EEM!N150="","",CALC_EEM!N150)</f>
        <v>0</v>
      </c>
      <c r="O238">
        <f>IF(CALC_EEM!O150="","",CALC_EEM!O150)</f>
        <v>0</v>
      </c>
      <c r="P238">
        <f>IF(CALC_EEM!P150="","",CALC_EEM!P150)</f>
        <v>0</v>
      </c>
      <c r="Q238">
        <f>IF(CALC_EEM!Q150="","",CALC_EEM!Q150)</f>
        <v>0</v>
      </c>
      <c r="R238">
        <f>IF(CALC_EEM!R150="","",CALC_EEM!R150)</f>
        <v>0</v>
      </c>
      <c r="S238">
        <f>IF(CALC_EEM!S150="","",CALC_EEM!S150)</f>
        <v>0</v>
      </c>
      <c r="T238">
        <f>IF(CALC_EEM!T150="","",CALC_EEM!T150)</f>
        <v>0</v>
      </c>
      <c r="U238">
        <f>IF(CALC_EEM!U150="","",CALC_EEM!U150)</f>
        <v>0</v>
      </c>
    </row>
    <row r="239">
      <c r="A239" t="str">
        <f>IF(CALC_EEM!A151="","",IF(CALC_EEM!A151="GLOBAL","GLOBAL",IF(CALC_EEM!C151="Total","CURSO_TOTAL",IF(CALC_EEM!C151="TotalEsp","CURSO_ESP",IF(CALC_EEM!C151="TotalNoEsp","CURSO_NOESP","CURSO_ASIG")))))</f>
        <v>GLOBAL</v>
      </c>
      <c r="B239" t="str">
        <f>IF(CALC_EEM!A151="","",CALC_EEM!A151)</f>
        <v>GLOBAL</v>
      </c>
      <c r="C239" t="str">
        <f>IF(CALC_EEM!B151="","",CALC_EEM!B151)</f>
        <v>Total</v>
      </c>
      <c r="D239">
        <f>IF(CALC_EEM!D151="","",CALC_EEM!D151)</f>
        <v>0</v>
      </c>
      <c r="E239" s="14" t="str">
        <f>IF(CALC_EEM!E151="","",CALC_EEM!E151)</f>
        <v>—</v>
      </c>
      <c r="F239" s="14" t="str">
        <f>IF(CALC_EEM!F151="","",CALC_EEM!F151)</f>
        <v>—</v>
      </c>
      <c r="G239" t="str">
        <f>IF(CALC_EEM!G151="","",CALC_EEM!G151)</f>
        <v>—</v>
      </c>
      <c r="H239" s="16" t="str">
        <f>IF(CALC_EEM!H151="","",CALC_EEM!H151)</f>
        <v>—</v>
      </c>
      <c r="I239" s="16" t="str">
        <f>IF(CALC_EEM!I151="","",CALC_EEM!I151)</f>
        <v>—</v>
      </c>
      <c r="J239" t="str">
        <f>IF(CALC_EEM!J151="","",CALC_EEM!J151)</f>
        <v>—</v>
      </c>
      <c r="K239" t="str">
        <f>IF(CALC_EEM!K151="","",CALC_EEM!K151)</f>
        <v>—</v>
      </c>
      <c r="L239">
        <f>IF(CALC_EEM!L151="","",CALC_EEM!L151)</f>
        <v>0</v>
      </c>
      <c r="M239">
        <f>IF(CALC_EEM!M151="","",CALC_EEM!M151)</f>
        <v>0</v>
      </c>
      <c r="N239">
        <f>IF(CALC_EEM!N151="","",CALC_EEM!N151)</f>
        <v>0</v>
      </c>
      <c r="O239">
        <f>IF(CALC_EEM!O151="","",CALC_EEM!O151)</f>
        <v>0</v>
      </c>
      <c r="P239">
        <f>IF(CALC_EEM!P151="","",CALC_EEM!P151)</f>
        <v>0</v>
      </c>
      <c r="Q239">
        <f>IF(CALC_EEM!Q151="","",CALC_EEM!Q151)</f>
        <v>0</v>
      </c>
      <c r="R239">
        <f>IF(CALC_EEM!R151="","",CALC_EEM!R151)</f>
        <v>0</v>
      </c>
      <c r="S239">
        <f>IF(CALC_EEM!S151="","",CALC_EEM!S151)</f>
        <v>0</v>
      </c>
      <c r="T239">
        <f>IF(CALC_EEM!T151="","",CALC_EEM!T151)</f>
        <v>0</v>
      </c>
      <c r="U239">
        <f>IF(CALC_EEM!U151="","",CALC_EEM!U151)</f>
        <v>0</v>
      </c>
    </row>
    <row r="240">
      <c r="A240" t="str">
        <f>IF(CALC_EEM!A152="","",IF(CALC_EEM!A152="GLOBAL","GLOBAL",IF(CALC_EEM!C152="Total","CURSO_TOTAL",IF(CALC_EEM!C152="TotalEsp","CURSO_ESP",IF(CALC_EEM!C152="TotalNoEsp","CURSO_NOESP","CURSO_ASIG")))))</f>
        <v>GLOBAL</v>
      </c>
      <c r="B240" t="str">
        <f>IF(CALC_EEM!A152="","",CALC_EEM!A152)</f>
        <v>GLOBAL</v>
      </c>
      <c r="C240" t="str">
        <f>IF(CALC_EEM!B152="","",CALC_EEM!B152)</f>
        <v>Total</v>
      </c>
      <c r="D240">
        <f>IF(CALC_EEM!D152="","",CALC_EEM!D152)</f>
        <v>0</v>
      </c>
      <c r="E240" s="14" t="str">
        <f>IF(CALC_EEM!E152="","",CALC_EEM!E152)</f>
        <v>—</v>
      </c>
      <c r="F240" s="14" t="str">
        <f>IF(CALC_EEM!F152="","",CALC_EEM!F152)</f>
        <v>—</v>
      </c>
      <c r="G240" t="str">
        <f>IF(CALC_EEM!G152="","",CALC_EEM!G152)</f>
        <v>—</v>
      </c>
      <c r="H240" s="16" t="str">
        <f>IF(CALC_EEM!H152="","",CALC_EEM!H152)</f>
        <v>—</v>
      </c>
      <c r="I240" s="16" t="str">
        <f>IF(CALC_EEM!I152="","",CALC_EEM!I152)</f>
        <v>—</v>
      </c>
      <c r="J240" t="str">
        <f>IF(CALC_EEM!J152="","",CALC_EEM!J152)</f>
        <v>—</v>
      </c>
      <c r="K240" t="str">
        <f>IF(CALC_EEM!K152="","",CALC_EEM!K152)</f>
        <v>—</v>
      </c>
      <c r="L240">
        <f>IF(CALC_EEM!L152="","",CALC_EEM!L152)</f>
        <v>0</v>
      </c>
      <c r="M240">
        <f>IF(CALC_EEM!M152="","",CALC_EEM!M152)</f>
        <v>0</v>
      </c>
      <c r="N240">
        <f>IF(CALC_EEM!N152="","",CALC_EEM!N152)</f>
        <v>0</v>
      </c>
      <c r="O240">
        <f>IF(CALC_EEM!O152="","",CALC_EEM!O152)</f>
        <v>0</v>
      </c>
      <c r="P240">
        <f>IF(CALC_EEM!P152="","",CALC_EEM!P152)</f>
        <v>0</v>
      </c>
      <c r="Q240">
        <f>IF(CALC_EEM!Q152="","",CALC_EEM!Q152)</f>
        <v>0</v>
      </c>
      <c r="R240">
        <f>IF(CALC_EEM!R152="","",CALC_EEM!R152)</f>
        <v>0</v>
      </c>
      <c r="S240">
        <f>IF(CALC_EEM!S152="","",CALC_EEM!S152)</f>
        <v>0</v>
      </c>
      <c r="T240">
        <f>IF(CALC_EEM!T152="","",CALC_EEM!T152)</f>
        <v>0</v>
      </c>
      <c r="U240">
        <f>IF(CALC_EEM!U152="","",CALC_EEM!U152)</f>
        <v>0</v>
      </c>
    </row>
    <row r="241">
      <c r="A241" t="str">
        <f>IF(CALC_EEM!A153="","",IF(CALC_EEM!A153="GLOBAL","GLOBAL",IF(CALC_EEM!C153="Total","CURSO_TOTAL",IF(CALC_EEM!C153="TotalEsp","CURSO_ESP",IF(CALC_EEM!C153="TotalNoEsp","CURSO_NOESP","CURSO_ASIG")))))</f>
        <v>GLOBAL</v>
      </c>
      <c r="B241" t="str">
        <f>IF(CALC_EEM!A153="","",CALC_EEM!A153)</f>
        <v>GLOBAL</v>
      </c>
      <c r="C241" t="str">
        <f>IF(CALC_EEM!B153="","",CALC_EEM!B153)</f>
        <v>Total</v>
      </c>
      <c r="D241">
        <f>IF(CALC_EEM!D153="","",CALC_EEM!D153)</f>
        <v>0</v>
      </c>
      <c r="E241" s="14" t="str">
        <f>IF(CALC_EEM!E153="","",CALC_EEM!E153)</f>
        <v>—</v>
      </c>
      <c r="F241" s="14" t="str">
        <f>IF(CALC_EEM!F153="","",CALC_EEM!F153)</f>
        <v>—</v>
      </c>
      <c r="G241" t="str">
        <f>IF(CALC_EEM!G153="","",CALC_EEM!G153)</f>
        <v>—</v>
      </c>
      <c r="H241" s="16" t="str">
        <f>IF(CALC_EEM!H153="","",CALC_EEM!H153)</f>
        <v>—</v>
      </c>
      <c r="I241" s="16" t="str">
        <f>IF(CALC_EEM!I153="","",CALC_EEM!I153)</f>
        <v>—</v>
      </c>
      <c r="J241" t="str">
        <f>IF(CALC_EEM!J153="","",CALC_EEM!J153)</f>
        <v>—</v>
      </c>
      <c r="K241" t="str">
        <f>IF(CALC_EEM!K153="","",CALC_EEM!K153)</f>
        <v>—</v>
      </c>
      <c r="L241">
        <f>IF(CALC_EEM!L153="","",CALC_EEM!L153)</f>
        <v>0</v>
      </c>
      <c r="M241">
        <f>IF(CALC_EEM!M153="","",CALC_EEM!M153)</f>
        <v>0</v>
      </c>
      <c r="N241">
        <f>IF(CALC_EEM!N153="","",CALC_EEM!N153)</f>
        <v>0</v>
      </c>
      <c r="O241">
        <f>IF(CALC_EEM!O153="","",CALC_EEM!O153)</f>
        <v>0</v>
      </c>
      <c r="P241">
        <f>IF(CALC_EEM!P153="","",CALC_EEM!P153)</f>
        <v>0</v>
      </c>
      <c r="Q241">
        <f>IF(CALC_EEM!Q153="","",CALC_EEM!Q153)</f>
        <v>0</v>
      </c>
      <c r="R241">
        <f>IF(CALC_EEM!R153="","",CALC_EEM!R153)</f>
        <v>0</v>
      </c>
      <c r="S241">
        <f>IF(CALC_EEM!S153="","",CALC_EEM!S153)</f>
        <v>0</v>
      </c>
      <c r="T241">
        <f>IF(CALC_EEM!T153="","",CALC_EEM!T153)</f>
        <v>0</v>
      </c>
      <c r="U241">
        <f>IF(CALC_EEM!U153="","",CALC_EEM!U153)</f>
        <v>0</v>
      </c>
    </row>
    <row r="242">
      <c r="A242" t="str">
        <f>IF(CALC_EEM!A154="","",IF(CALC_EEM!A154="GLOBAL","GLOBAL",IF(CALC_EEM!C154="Total","CURSO_TOTAL",IF(CALC_EEM!C154="TotalEsp","CURSO_ESP",IF(CALC_EEM!C154="TotalNoEsp","CURSO_NOESP","CURSO_ASIG")))))</f>
        <v>GLOBAL</v>
      </c>
      <c r="B242" t="str">
        <f>IF(CALC_EEM!A154="","",CALC_EEM!A154)</f>
        <v>GLOBAL</v>
      </c>
      <c r="C242" t="str">
        <f>IF(CALC_EEM!B154="","",CALC_EEM!B154)</f>
        <v>Total</v>
      </c>
      <c r="D242">
        <f>IF(CALC_EEM!D154="","",CALC_EEM!D154)</f>
        <v>0</v>
      </c>
      <c r="E242" s="14" t="str">
        <f>IF(CALC_EEM!E154="","",CALC_EEM!E154)</f>
        <v>—</v>
      </c>
      <c r="F242" s="14" t="str">
        <f>IF(CALC_EEM!F154="","",CALC_EEM!F154)</f>
        <v>—</v>
      </c>
      <c r="G242" t="str">
        <f>IF(CALC_EEM!G154="","",CALC_EEM!G154)</f>
        <v>—</v>
      </c>
      <c r="H242" s="16" t="str">
        <f>IF(CALC_EEM!H154="","",CALC_EEM!H154)</f>
        <v>—</v>
      </c>
      <c r="I242" s="16" t="str">
        <f>IF(CALC_EEM!I154="","",CALC_EEM!I154)</f>
        <v>—</v>
      </c>
      <c r="J242" t="str">
        <f>IF(CALC_EEM!J154="","",CALC_EEM!J154)</f>
        <v>—</v>
      </c>
      <c r="K242" t="str">
        <f>IF(CALC_EEM!K154="","",CALC_EEM!K154)</f>
        <v>—</v>
      </c>
      <c r="L242">
        <f>IF(CALC_EEM!L154="","",CALC_EEM!L154)</f>
        <v>0</v>
      </c>
      <c r="M242">
        <f>IF(CALC_EEM!M154="","",CALC_EEM!M154)</f>
        <v>0</v>
      </c>
      <c r="N242">
        <f>IF(CALC_EEM!N154="","",CALC_EEM!N154)</f>
        <v>0</v>
      </c>
      <c r="O242">
        <f>IF(CALC_EEM!O154="","",CALC_EEM!O154)</f>
        <v>0</v>
      </c>
      <c r="P242">
        <f>IF(CALC_EEM!P154="","",CALC_EEM!P154)</f>
        <v>0</v>
      </c>
      <c r="Q242">
        <f>IF(CALC_EEM!Q154="","",CALC_EEM!Q154)</f>
        <v>0</v>
      </c>
      <c r="R242">
        <f>IF(CALC_EEM!R154="","",CALC_EEM!R154)</f>
        <v>0</v>
      </c>
      <c r="S242">
        <f>IF(CALC_EEM!S154="","",CALC_EEM!S154)</f>
        <v>0</v>
      </c>
      <c r="T242">
        <f>IF(CALC_EEM!T154="","",CALC_EEM!T154)</f>
        <v>0</v>
      </c>
      <c r="U242">
        <f>IF(CALC_EEM!U154="","",CALC_EEM!U154)</f>
        <v>0</v>
      </c>
    </row>
    <row r="243">
      <c r="A243" t="str">
        <f>IF(CALC_EEM!A155="","",IF(CALC_EEM!A155="GLOBAL","GLOBAL",IF(CALC_EEM!C155="Total","CURSO_TOTAL",IF(CALC_EEM!C155="TotalEsp","CURSO_ESP",IF(CALC_EEM!C155="TotalNoEsp","CURSO_NOESP","CURSO_ASIG")))))</f>
        <v>GLOBAL</v>
      </c>
      <c r="B243" t="str">
        <f>IF(CALC_EEM!A155="","",CALC_EEM!A155)</f>
        <v>GLOBAL</v>
      </c>
      <c r="C243" t="str">
        <f>IF(CALC_EEM!B155="","",CALC_EEM!B155)</f>
        <v>Total</v>
      </c>
      <c r="D243">
        <f>IF(CALC_EEM!D155="","",CALC_EEM!D155)</f>
        <v>0</v>
      </c>
      <c r="E243" s="14" t="str">
        <f>IF(CALC_EEM!E155="","",CALC_EEM!E155)</f>
        <v>—</v>
      </c>
      <c r="F243" s="14" t="str">
        <f>IF(CALC_EEM!F155="","",CALC_EEM!F155)</f>
        <v>—</v>
      </c>
      <c r="G243" t="str">
        <f>IF(CALC_EEM!G155="","",CALC_EEM!G155)</f>
        <v>—</v>
      </c>
      <c r="H243" s="16" t="str">
        <f>IF(CALC_EEM!H155="","",CALC_EEM!H155)</f>
        <v>—</v>
      </c>
      <c r="I243" s="16" t="str">
        <f>IF(CALC_EEM!I155="","",CALC_EEM!I155)</f>
        <v>—</v>
      </c>
      <c r="J243" t="str">
        <f>IF(CALC_EEM!J155="","",CALC_EEM!J155)</f>
        <v>—</v>
      </c>
      <c r="K243" t="str">
        <f>IF(CALC_EEM!K155="","",CALC_EEM!K155)</f>
        <v>—</v>
      </c>
      <c r="L243">
        <f>IF(CALC_EEM!L155="","",CALC_EEM!L155)</f>
        <v>0</v>
      </c>
      <c r="M243">
        <f>IF(CALC_EEM!M155="","",CALC_EEM!M155)</f>
        <v>0</v>
      </c>
      <c r="N243">
        <f>IF(CALC_EEM!N155="","",CALC_EEM!N155)</f>
        <v>0</v>
      </c>
      <c r="O243">
        <f>IF(CALC_EEM!O155="","",CALC_EEM!O155)</f>
        <v>0</v>
      </c>
      <c r="P243">
        <f>IF(CALC_EEM!P155="","",CALC_EEM!P155)</f>
        <v>0</v>
      </c>
      <c r="Q243">
        <f>IF(CALC_EEM!Q155="","",CALC_EEM!Q155)</f>
        <v>0</v>
      </c>
      <c r="R243">
        <f>IF(CALC_EEM!R155="","",CALC_EEM!R155)</f>
        <v>0</v>
      </c>
      <c r="S243">
        <f>IF(CALC_EEM!S155="","",CALC_EEM!S155)</f>
        <v>0</v>
      </c>
      <c r="T243">
        <f>IF(CALC_EEM!T155="","",CALC_EEM!T155)</f>
        <v>0</v>
      </c>
      <c r="U243">
        <f>IF(CALC_EEM!U155="","",CALC_EEM!U155)</f>
        <v>0</v>
      </c>
    </row>
    <row r="244">
      <c r="A244" t="str">
        <f>IF(CALC_EEM!A156="","",IF(CALC_EEM!A156="GLOBAL","GLOBAL",IF(CALC_EEM!C156="Total","CURSO_TOTAL",IF(CALC_EEM!C156="TotalEsp","CURSO_ESP",IF(CALC_EEM!C156="TotalNoEsp","CURSO_NOESP","CURSO_ASIG")))))</f>
        <v>GLOBAL</v>
      </c>
      <c r="B244" t="str">
        <f>IF(CALC_EEM!A156="","",CALC_EEM!A156)</f>
        <v>GLOBAL</v>
      </c>
      <c r="C244" t="str">
        <f>IF(CALC_EEM!B156="","",CALC_EEM!B156)</f>
        <v>Total</v>
      </c>
      <c r="D244">
        <f>IF(CALC_EEM!D156="","",CALC_EEM!D156)</f>
        <v>0</v>
      </c>
      <c r="E244" s="14" t="str">
        <f>IF(CALC_EEM!E156="","",CALC_EEM!E156)</f>
        <v>—</v>
      </c>
      <c r="F244" s="14" t="str">
        <f>IF(CALC_EEM!F156="","",CALC_EEM!F156)</f>
        <v>—</v>
      </c>
      <c r="G244" t="str">
        <f>IF(CALC_EEM!G156="","",CALC_EEM!G156)</f>
        <v>—</v>
      </c>
      <c r="H244" s="16" t="str">
        <f>IF(CALC_EEM!H156="","",CALC_EEM!H156)</f>
        <v>—</v>
      </c>
      <c r="I244" s="16" t="str">
        <f>IF(CALC_EEM!I156="","",CALC_EEM!I156)</f>
        <v>—</v>
      </c>
      <c r="J244" t="str">
        <f>IF(CALC_EEM!J156="","",CALC_EEM!J156)</f>
        <v>—</v>
      </c>
      <c r="K244" t="str">
        <f>IF(CALC_EEM!K156="","",CALC_EEM!K156)</f>
        <v>—</v>
      </c>
      <c r="L244">
        <f>IF(CALC_EEM!L156="","",CALC_EEM!L156)</f>
        <v>0</v>
      </c>
      <c r="M244">
        <f>IF(CALC_EEM!M156="","",CALC_EEM!M156)</f>
        <v>0</v>
      </c>
      <c r="N244">
        <f>IF(CALC_EEM!N156="","",CALC_EEM!N156)</f>
        <v>0</v>
      </c>
      <c r="O244">
        <f>IF(CALC_EEM!O156="","",CALC_EEM!O156)</f>
        <v>0</v>
      </c>
      <c r="P244">
        <f>IF(CALC_EEM!P156="","",CALC_EEM!P156)</f>
        <v>0</v>
      </c>
      <c r="Q244">
        <f>IF(CALC_EEM!Q156="","",CALC_EEM!Q156)</f>
        <v>0</v>
      </c>
      <c r="R244">
        <f>IF(CALC_EEM!R156="","",CALC_EEM!R156)</f>
        <v>0</v>
      </c>
      <c r="S244">
        <f>IF(CALC_EEM!S156="","",CALC_EEM!S156)</f>
        <v>0</v>
      </c>
      <c r="T244">
        <f>IF(CALC_EEM!T156="","",CALC_EEM!T156)</f>
        <v>0</v>
      </c>
      <c r="U244">
        <f>IF(CALC_EEM!U156="","",CALC_EEM!U156)</f>
        <v>0</v>
      </c>
    </row>
    <row r="245">
      <c r="A245" t="str">
        <f>IF(CALC_EEM!A157="","",IF(CALC_EEM!A157="GLOBAL","GLOBAL",IF(CALC_EEM!C157="Total","CURSO_TOTAL",IF(CALC_EEM!C157="TotalEsp","CURSO_ESP",IF(CALC_EEM!C157="TotalNoEsp","CURSO_NOESP","CURSO_ASIG")))))</f>
        <v>GLOBAL</v>
      </c>
      <c r="B245" t="str">
        <f>IF(CALC_EEM!A157="","",CALC_EEM!A157)</f>
        <v>GLOBAL</v>
      </c>
      <c r="C245" t="str">
        <f>IF(CALC_EEM!B157="","",CALC_EEM!B157)</f>
        <v>Total</v>
      </c>
      <c r="D245">
        <f>IF(CALC_EEM!D157="","",CALC_EEM!D157)</f>
        <v>0</v>
      </c>
      <c r="E245" s="14" t="str">
        <f>IF(CALC_EEM!E157="","",CALC_EEM!E157)</f>
        <v>—</v>
      </c>
      <c r="F245" s="14" t="str">
        <f>IF(CALC_EEM!F157="","",CALC_EEM!F157)</f>
        <v>—</v>
      </c>
      <c r="G245" t="str">
        <f>IF(CALC_EEM!G157="","",CALC_EEM!G157)</f>
        <v>—</v>
      </c>
      <c r="H245" s="16" t="str">
        <f>IF(CALC_EEM!H157="","",CALC_EEM!H157)</f>
        <v>—</v>
      </c>
      <c r="I245" s="16" t="str">
        <f>IF(CALC_EEM!I157="","",CALC_EEM!I157)</f>
        <v>—</v>
      </c>
      <c r="J245" t="str">
        <f>IF(CALC_EEM!J157="","",CALC_EEM!J157)</f>
        <v>—</v>
      </c>
      <c r="K245" t="str">
        <f>IF(CALC_EEM!K157="","",CALC_EEM!K157)</f>
        <v>—</v>
      </c>
      <c r="L245">
        <f>IF(CALC_EEM!L157="","",CALC_EEM!L157)</f>
        <v>0</v>
      </c>
      <c r="M245">
        <f>IF(CALC_EEM!M157="","",CALC_EEM!M157)</f>
        <v>0</v>
      </c>
      <c r="N245">
        <f>IF(CALC_EEM!N157="","",CALC_EEM!N157)</f>
        <v>0</v>
      </c>
      <c r="O245">
        <f>IF(CALC_EEM!O157="","",CALC_EEM!O157)</f>
        <v>0</v>
      </c>
      <c r="P245">
        <f>IF(CALC_EEM!P157="","",CALC_EEM!P157)</f>
        <v>0</v>
      </c>
      <c r="Q245">
        <f>IF(CALC_EEM!Q157="","",CALC_EEM!Q157)</f>
        <v>0</v>
      </c>
      <c r="R245">
        <f>IF(CALC_EEM!R157="","",CALC_EEM!R157)</f>
        <v>0</v>
      </c>
      <c r="S245">
        <f>IF(CALC_EEM!S157="","",CALC_EEM!S157)</f>
        <v>0</v>
      </c>
      <c r="T245">
        <f>IF(CALC_EEM!T157="","",CALC_EEM!T157)</f>
        <v>0</v>
      </c>
      <c r="U245">
        <f>IF(CALC_EEM!U157="","",CALC_EEM!U157)</f>
        <v>0</v>
      </c>
    </row>
    <row r="246">
      <c r="A246" t="str">
        <f>IF(CALC_EEM!A158="","",IF(CALC_EEM!A158="GLOBAL","GLOBAL",IF(CALC_EEM!C158="Total","CURSO_TOTAL",IF(CALC_EEM!C158="TotalEsp","CURSO_ESP",IF(CALC_EEM!C158="TotalNoEsp","CURSO_NOESP","CURSO_ASIG")))))</f>
        <v>GLOBAL</v>
      </c>
      <c r="B246" t="str">
        <f>IF(CALC_EEM!A158="","",CALC_EEM!A158)</f>
        <v>GLOBAL</v>
      </c>
      <c r="C246" t="str">
        <f>IF(CALC_EEM!B158="","",CALC_EEM!B158)</f>
        <v>Total</v>
      </c>
      <c r="D246">
        <f>IF(CALC_EEM!D158="","",CALC_EEM!D158)</f>
        <v>0</v>
      </c>
      <c r="E246" s="14" t="str">
        <f>IF(CALC_EEM!E158="","",CALC_EEM!E158)</f>
        <v>—</v>
      </c>
      <c r="F246" s="14" t="str">
        <f>IF(CALC_EEM!F158="","",CALC_EEM!F158)</f>
        <v>—</v>
      </c>
      <c r="G246" t="str">
        <f>IF(CALC_EEM!G158="","",CALC_EEM!G158)</f>
        <v>—</v>
      </c>
      <c r="H246" s="16" t="str">
        <f>IF(CALC_EEM!H158="","",CALC_EEM!H158)</f>
        <v>—</v>
      </c>
      <c r="I246" s="16" t="str">
        <f>IF(CALC_EEM!I158="","",CALC_EEM!I158)</f>
        <v>—</v>
      </c>
      <c r="J246" t="str">
        <f>IF(CALC_EEM!J158="","",CALC_EEM!J158)</f>
        <v>—</v>
      </c>
      <c r="K246" t="str">
        <f>IF(CALC_EEM!K158="","",CALC_EEM!K158)</f>
        <v>—</v>
      </c>
      <c r="L246">
        <f>IF(CALC_EEM!L158="","",CALC_EEM!L158)</f>
        <v>0</v>
      </c>
      <c r="M246">
        <f>IF(CALC_EEM!M158="","",CALC_EEM!M158)</f>
        <v>0</v>
      </c>
      <c r="N246">
        <f>IF(CALC_EEM!N158="","",CALC_EEM!N158)</f>
        <v>0</v>
      </c>
      <c r="O246">
        <f>IF(CALC_EEM!O158="","",CALC_EEM!O158)</f>
        <v>0</v>
      </c>
      <c r="P246">
        <f>IF(CALC_EEM!P158="","",CALC_EEM!P158)</f>
        <v>0</v>
      </c>
      <c r="Q246">
        <f>IF(CALC_EEM!Q158="","",CALC_EEM!Q158)</f>
        <v>0</v>
      </c>
      <c r="R246">
        <f>IF(CALC_EEM!R158="","",CALC_EEM!R158)</f>
        <v>0</v>
      </c>
      <c r="S246">
        <f>IF(CALC_EEM!S158="","",CALC_EEM!S158)</f>
        <v>0</v>
      </c>
      <c r="T246">
        <f>IF(CALC_EEM!T158="","",CALC_EEM!T158)</f>
        <v>0</v>
      </c>
      <c r="U246">
        <f>IF(CALC_EEM!U158="","",CALC_EEM!U158)</f>
        <v>0</v>
      </c>
    </row>
    <row r="247">
      <c r="A247" t="str">
        <f>IF(CALC_EEM!A159="","",IF(CALC_EEM!A159="GLOBAL","GLOBAL",IF(CALC_EEM!C159="Total","CURSO_TOTAL",IF(CALC_EEM!C159="TotalEsp","CURSO_ESP",IF(CALC_EEM!C159="TotalNoEsp","CURSO_NOESP","CURSO_ASIG")))))</f>
        <v>GLOBAL</v>
      </c>
      <c r="B247" t="str">
        <f>IF(CALC_EEM!A159="","",CALC_EEM!A159)</f>
        <v>GLOBAL</v>
      </c>
      <c r="C247" t="str">
        <f>IF(CALC_EEM!B159="","",CALC_EEM!B159)</f>
        <v>Total</v>
      </c>
      <c r="D247">
        <f>IF(CALC_EEM!D159="","",CALC_EEM!D159)</f>
        <v>0</v>
      </c>
      <c r="E247" s="14" t="str">
        <f>IF(CALC_EEM!E159="","",CALC_EEM!E159)</f>
        <v>—</v>
      </c>
      <c r="F247" s="14" t="str">
        <f>IF(CALC_EEM!F159="","",CALC_EEM!F159)</f>
        <v>—</v>
      </c>
      <c r="G247" t="str">
        <f>IF(CALC_EEM!G159="","",CALC_EEM!G159)</f>
        <v>—</v>
      </c>
      <c r="H247" s="16" t="str">
        <f>IF(CALC_EEM!H159="","",CALC_EEM!H159)</f>
        <v>—</v>
      </c>
      <c r="I247" s="16" t="str">
        <f>IF(CALC_EEM!I159="","",CALC_EEM!I159)</f>
        <v>—</v>
      </c>
      <c r="J247" t="str">
        <f>IF(CALC_EEM!J159="","",CALC_EEM!J159)</f>
        <v>—</v>
      </c>
      <c r="K247" t="str">
        <f>IF(CALC_EEM!K159="","",CALC_EEM!K159)</f>
        <v>—</v>
      </c>
      <c r="L247">
        <f>IF(CALC_EEM!L159="","",CALC_EEM!L159)</f>
        <v>0</v>
      </c>
      <c r="M247">
        <f>IF(CALC_EEM!M159="","",CALC_EEM!M159)</f>
        <v>0</v>
      </c>
      <c r="N247">
        <f>IF(CALC_EEM!N159="","",CALC_EEM!N159)</f>
        <v>0</v>
      </c>
      <c r="O247">
        <f>IF(CALC_EEM!O159="","",CALC_EEM!O159)</f>
        <v>0</v>
      </c>
      <c r="P247">
        <f>IF(CALC_EEM!P159="","",CALC_EEM!P159)</f>
        <v>0</v>
      </c>
      <c r="Q247">
        <f>IF(CALC_EEM!Q159="","",CALC_EEM!Q159)</f>
        <v>0</v>
      </c>
      <c r="R247">
        <f>IF(CALC_EEM!R159="","",CALC_EEM!R159)</f>
        <v>0</v>
      </c>
      <c r="S247">
        <f>IF(CALC_EEM!S159="","",CALC_EEM!S159)</f>
        <v>0</v>
      </c>
      <c r="T247">
        <f>IF(CALC_EEM!T159="","",CALC_EEM!T159)</f>
        <v>0</v>
      </c>
      <c r="U247">
        <f>IF(CALC_EEM!U159="","",CALC_EEM!U159)</f>
        <v>0</v>
      </c>
    </row>
    <row r="248">
      <c r="A248" t="str">
        <f>IF(CALC_EEM!A160="","",IF(CALC_EEM!A160="GLOBAL","GLOBAL",IF(CALC_EEM!C160="Total","CURSO_TOTAL",IF(CALC_EEM!C160="TotalEsp","CURSO_ESP",IF(CALC_EEM!C160="TotalNoEsp","CURSO_NOESP","CURSO_ASIG")))))</f>
        <v>GLOBAL</v>
      </c>
      <c r="B248" t="str">
        <f>IF(CALC_EEM!A160="","",CALC_EEM!A160)</f>
        <v>GLOBAL</v>
      </c>
      <c r="C248" t="str">
        <f>IF(CALC_EEM!B160="","",CALC_EEM!B160)</f>
        <v>Total</v>
      </c>
      <c r="D248">
        <f>IF(CALC_EEM!D160="","",CALC_EEM!D160)</f>
        <v>0</v>
      </c>
      <c r="E248" s="14" t="str">
        <f>IF(CALC_EEM!E160="","",CALC_EEM!E160)</f>
        <v>—</v>
      </c>
      <c r="F248" s="14" t="str">
        <f>IF(CALC_EEM!F160="","",CALC_EEM!F160)</f>
        <v>—</v>
      </c>
      <c r="G248" t="str">
        <f>IF(CALC_EEM!G160="","",CALC_EEM!G160)</f>
        <v>—</v>
      </c>
      <c r="H248" s="16" t="str">
        <f>IF(CALC_EEM!H160="","",CALC_EEM!H160)</f>
        <v>—</v>
      </c>
      <c r="I248" s="16" t="str">
        <f>IF(CALC_EEM!I160="","",CALC_EEM!I160)</f>
        <v>—</v>
      </c>
      <c r="J248" t="str">
        <f>IF(CALC_EEM!J160="","",CALC_EEM!J160)</f>
        <v>—</v>
      </c>
      <c r="K248" t="str">
        <f>IF(CALC_EEM!K160="","",CALC_EEM!K160)</f>
        <v>—</v>
      </c>
      <c r="L248">
        <f>IF(CALC_EEM!L160="","",CALC_EEM!L160)</f>
        <v>0</v>
      </c>
      <c r="M248">
        <f>IF(CALC_EEM!M160="","",CALC_EEM!M160)</f>
        <v>0</v>
      </c>
      <c r="N248">
        <f>IF(CALC_EEM!N160="","",CALC_EEM!N160)</f>
        <v>0</v>
      </c>
      <c r="O248">
        <f>IF(CALC_EEM!O160="","",CALC_EEM!O160)</f>
        <v>0</v>
      </c>
      <c r="P248">
        <f>IF(CALC_EEM!P160="","",CALC_EEM!P160)</f>
        <v>0</v>
      </c>
      <c r="Q248">
        <f>IF(CALC_EEM!Q160="","",CALC_EEM!Q160)</f>
        <v>0</v>
      </c>
      <c r="R248">
        <f>IF(CALC_EEM!R160="","",CALC_EEM!R160)</f>
        <v>0</v>
      </c>
      <c r="S248">
        <f>IF(CALC_EEM!S160="","",CALC_EEM!S160)</f>
        <v>0</v>
      </c>
      <c r="T248">
        <f>IF(CALC_EEM!T160="","",CALC_EEM!T160)</f>
        <v>0</v>
      </c>
      <c r="U248">
        <f>IF(CALC_EEM!U160="","",CALC_EEM!U160)</f>
        <v>0</v>
      </c>
    </row>
    <row r="249">
      <c r="A249" t="str">
        <f>IF(CALC_EEM!A161="","",IF(CALC_EEM!A161="GLOBAL","GLOBAL",IF(CALC_EEM!C161="Total","CURSO_TOTAL",IF(CALC_EEM!C161="TotalEsp","CURSO_ESP",IF(CALC_EEM!C161="TotalNoEsp","CURSO_NOESP","CURSO_ASIG")))))</f>
        <v>GLOBAL</v>
      </c>
      <c r="B249" t="str">
        <f>IF(CALC_EEM!A161="","",CALC_EEM!A161)</f>
        <v>GLOBAL</v>
      </c>
      <c r="C249" t="str">
        <f>IF(CALC_EEM!B161="","",CALC_EEM!B161)</f>
        <v>Total</v>
      </c>
      <c r="D249">
        <f>IF(CALC_EEM!D161="","",CALC_EEM!D161)</f>
        <v>0</v>
      </c>
      <c r="E249" s="14" t="str">
        <f>IF(CALC_EEM!E161="","",CALC_EEM!E161)</f>
        <v>—</v>
      </c>
      <c r="F249" s="14" t="str">
        <f>IF(CALC_EEM!F161="","",CALC_EEM!F161)</f>
        <v>—</v>
      </c>
      <c r="G249" t="str">
        <f>IF(CALC_EEM!G161="","",CALC_EEM!G161)</f>
        <v>—</v>
      </c>
      <c r="H249" s="16" t="str">
        <f>IF(CALC_EEM!H161="","",CALC_EEM!H161)</f>
        <v>—</v>
      </c>
      <c r="I249" s="16" t="str">
        <f>IF(CALC_EEM!I161="","",CALC_EEM!I161)</f>
        <v>—</v>
      </c>
      <c r="J249" t="str">
        <f>IF(CALC_EEM!J161="","",CALC_EEM!J161)</f>
        <v>—</v>
      </c>
      <c r="K249" t="str">
        <f>IF(CALC_EEM!K161="","",CALC_EEM!K161)</f>
        <v>—</v>
      </c>
      <c r="L249">
        <f>IF(CALC_EEM!L161="","",CALC_EEM!L161)</f>
        <v>0</v>
      </c>
      <c r="M249">
        <f>IF(CALC_EEM!M161="","",CALC_EEM!M161)</f>
        <v>0</v>
      </c>
      <c r="N249">
        <f>IF(CALC_EEM!N161="","",CALC_EEM!N161)</f>
        <v>0</v>
      </c>
      <c r="O249">
        <f>IF(CALC_EEM!O161="","",CALC_EEM!O161)</f>
        <v>0</v>
      </c>
      <c r="P249">
        <f>IF(CALC_EEM!P161="","",CALC_EEM!P161)</f>
        <v>0</v>
      </c>
      <c r="Q249">
        <f>IF(CALC_EEM!Q161="","",CALC_EEM!Q161)</f>
        <v>0</v>
      </c>
      <c r="R249">
        <f>IF(CALC_EEM!R161="","",CALC_EEM!R161)</f>
        <v>0</v>
      </c>
      <c r="S249">
        <f>IF(CALC_EEM!S161="","",CALC_EEM!S161)</f>
        <v>0</v>
      </c>
      <c r="T249">
        <f>IF(CALC_EEM!T161="","",CALC_EEM!T161)</f>
        <v>0</v>
      </c>
      <c r="U249">
        <f>IF(CALC_EEM!U161="","",CALC_EEM!U161)</f>
        <v>0</v>
      </c>
    </row>
    <row r="250">
      <c r="A250" t="str">
        <f>IF(CALC_EEM!A162="","",IF(CALC_EEM!A162="GLOBAL","GLOBAL",IF(CALC_EEM!C162="Total","CURSO_TOTAL",IF(CALC_EEM!C162="TotalEsp","CURSO_ESP",IF(CALC_EEM!C162="TotalNoEsp","CURSO_NOESP","CURSO_ASIG")))))</f>
        <v>GLOBAL</v>
      </c>
      <c r="B250" t="str">
        <f>IF(CALC_EEM!A162="","",CALC_EEM!A162)</f>
        <v>GLOBAL</v>
      </c>
      <c r="C250" t="str">
        <f>IF(CALC_EEM!B162="","",CALC_EEM!B162)</f>
        <v>Total</v>
      </c>
      <c r="D250">
        <f>IF(CALC_EEM!D162="","",CALC_EEM!D162)</f>
        <v>0</v>
      </c>
      <c r="E250" s="14" t="str">
        <f>IF(CALC_EEM!E162="","",CALC_EEM!E162)</f>
        <v>—</v>
      </c>
      <c r="F250" s="14" t="str">
        <f>IF(CALC_EEM!F162="","",CALC_EEM!F162)</f>
        <v>—</v>
      </c>
      <c r="G250" t="str">
        <f>IF(CALC_EEM!G162="","",CALC_EEM!G162)</f>
        <v>—</v>
      </c>
      <c r="H250" s="16" t="str">
        <f>IF(CALC_EEM!H162="","",CALC_EEM!H162)</f>
        <v>—</v>
      </c>
      <c r="I250" s="16" t="str">
        <f>IF(CALC_EEM!I162="","",CALC_EEM!I162)</f>
        <v>—</v>
      </c>
      <c r="J250" t="str">
        <f>IF(CALC_EEM!J162="","",CALC_EEM!J162)</f>
        <v>—</v>
      </c>
      <c r="K250" t="str">
        <f>IF(CALC_EEM!K162="","",CALC_EEM!K162)</f>
        <v>—</v>
      </c>
      <c r="L250">
        <f>IF(CALC_EEM!L162="","",CALC_EEM!L162)</f>
        <v>0</v>
      </c>
      <c r="M250">
        <f>IF(CALC_EEM!M162="","",CALC_EEM!M162)</f>
        <v>0</v>
      </c>
      <c r="N250">
        <f>IF(CALC_EEM!N162="","",CALC_EEM!N162)</f>
        <v>0</v>
      </c>
      <c r="O250">
        <f>IF(CALC_EEM!O162="","",CALC_EEM!O162)</f>
        <v>0</v>
      </c>
      <c r="P250">
        <f>IF(CALC_EEM!P162="","",CALC_EEM!P162)</f>
        <v>0</v>
      </c>
      <c r="Q250">
        <f>IF(CALC_EEM!Q162="","",CALC_EEM!Q162)</f>
        <v>0</v>
      </c>
      <c r="R250">
        <f>IF(CALC_EEM!R162="","",CALC_EEM!R162)</f>
        <v>0</v>
      </c>
      <c r="S250">
        <f>IF(CALC_EEM!S162="","",CALC_EEM!S162)</f>
        <v>0</v>
      </c>
      <c r="T250">
        <f>IF(CALC_EEM!T162="","",CALC_EEM!T162)</f>
        <v>0</v>
      </c>
      <c r="U250">
        <f>IF(CALC_EEM!U162="","",CALC_EEM!U162)</f>
        <v>0</v>
      </c>
    </row>
    <row r="251">
      <c r="A251" t="str">
        <f>IF(CALC_EEM!A163="","",IF(CALC_EEM!A163="GLOBAL","GLOBAL",IF(CALC_EEM!C163="Total","CURSO_TOTAL",IF(CALC_EEM!C163="TotalEsp","CURSO_ESP",IF(CALC_EEM!C163="TotalNoEsp","CURSO_NOESP","CURSO_ASIG")))))</f>
        <v>GLOBAL</v>
      </c>
      <c r="B251" t="str">
        <f>IF(CALC_EEM!A163="","",CALC_EEM!A163)</f>
        <v>GLOBAL</v>
      </c>
      <c r="C251" t="str">
        <f>IF(CALC_EEM!B163="","",CALC_EEM!B163)</f>
        <v>Total</v>
      </c>
      <c r="D251">
        <f>IF(CALC_EEM!D163="","",CALC_EEM!D163)</f>
        <v>0</v>
      </c>
      <c r="E251" s="14" t="str">
        <f>IF(CALC_EEM!E163="","",CALC_EEM!E163)</f>
        <v>—</v>
      </c>
      <c r="F251" s="14" t="str">
        <f>IF(CALC_EEM!F163="","",CALC_EEM!F163)</f>
        <v>—</v>
      </c>
      <c r="G251" t="str">
        <f>IF(CALC_EEM!G163="","",CALC_EEM!G163)</f>
        <v>—</v>
      </c>
      <c r="H251" s="16" t="str">
        <f>IF(CALC_EEM!H163="","",CALC_EEM!H163)</f>
        <v>—</v>
      </c>
      <c r="I251" s="16" t="str">
        <f>IF(CALC_EEM!I163="","",CALC_EEM!I163)</f>
        <v>—</v>
      </c>
      <c r="J251" t="str">
        <f>IF(CALC_EEM!J163="","",CALC_EEM!J163)</f>
        <v>—</v>
      </c>
      <c r="K251" t="str">
        <f>IF(CALC_EEM!K163="","",CALC_EEM!K163)</f>
        <v>—</v>
      </c>
      <c r="L251">
        <f>IF(CALC_EEM!L163="","",CALC_EEM!L163)</f>
        <v>0</v>
      </c>
      <c r="M251">
        <f>IF(CALC_EEM!M163="","",CALC_EEM!M163)</f>
        <v>0</v>
      </c>
      <c r="N251">
        <f>IF(CALC_EEM!N163="","",CALC_EEM!N163)</f>
        <v>0</v>
      </c>
      <c r="O251">
        <f>IF(CALC_EEM!O163="","",CALC_EEM!O163)</f>
        <v>0</v>
      </c>
      <c r="P251">
        <f>IF(CALC_EEM!P163="","",CALC_EEM!P163)</f>
        <v>0</v>
      </c>
      <c r="Q251">
        <f>IF(CALC_EEM!Q163="","",CALC_EEM!Q163)</f>
        <v>0</v>
      </c>
      <c r="R251">
        <f>IF(CALC_EEM!R163="","",CALC_EEM!R163)</f>
        <v>0</v>
      </c>
      <c r="S251">
        <f>IF(CALC_EEM!S163="","",CALC_EEM!S163)</f>
        <v>0</v>
      </c>
      <c r="T251">
        <f>IF(CALC_EEM!T163="","",CALC_EEM!T163)</f>
        <v>0</v>
      </c>
      <c r="U251">
        <f>IF(CALC_EEM!U163="","",CALC_EEM!U163)</f>
        <v>0</v>
      </c>
    </row>
    <row r="252">
      <c r="A252" t="str">
        <f>IF(CALC_EEM!A164="","",IF(CALC_EEM!A164="GLOBAL","GLOBAL",IF(CALC_EEM!C164="Total","CURSO_TOTAL",IF(CALC_EEM!C164="TotalEsp","CURSO_ESP",IF(CALC_EEM!C164="TotalNoEsp","CURSO_NOESP","CURSO_ASIG")))))</f>
        <v>GLOBAL</v>
      </c>
      <c r="B252" t="str">
        <f>IF(CALC_EEM!A164="","",CALC_EEM!A164)</f>
        <v>GLOBAL</v>
      </c>
      <c r="C252" t="str">
        <f>IF(CALC_EEM!B164="","",CALC_EEM!B164)</f>
        <v>Total</v>
      </c>
      <c r="D252">
        <f>IF(CALC_EEM!D164="","",CALC_EEM!D164)</f>
        <v>0</v>
      </c>
      <c r="E252" s="14" t="str">
        <f>IF(CALC_EEM!E164="","",CALC_EEM!E164)</f>
        <v>—</v>
      </c>
      <c r="F252" s="14" t="str">
        <f>IF(CALC_EEM!F164="","",CALC_EEM!F164)</f>
        <v>—</v>
      </c>
      <c r="G252" t="str">
        <f>IF(CALC_EEM!G164="","",CALC_EEM!G164)</f>
        <v>—</v>
      </c>
      <c r="H252" s="16" t="str">
        <f>IF(CALC_EEM!H164="","",CALC_EEM!H164)</f>
        <v>—</v>
      </c>
      <c r="I252" s="16" t="str">
        <f>IF(CALC_EEM!I164="","",CALC_EEM!I164)</f>
        <v>—</v>
      </c>
      <c r="J252" t="str">
        <f>IF(CALC_EEM!J164="","",CALC_EEM!J164)</f>
        <v>—</v>
      </c>
      <c r="K252" t="str">
        <f>IF(CALC_EEM!K164="","",CALC_EEM!K164)</f>
        <v>—</v>
      </c>
      <c r="L252">
        <f>IF(CALC_EEM!L164="","",CALC_EEM!L164)</f>
        <v>0</v>
      </c>
      <c r="M252">
        <f>IF(CALC_EEM!M164="","",CALC_EEM!M164)</f>
        <v>0</v>
      </c>
      <c r="N252">
        <f>IF(CALC_EEM!N164="","",CALC_EEM!N164)</f>
        <v>0</v>
      </c>
      <c r="O252">
        <f>IF(CALC_EEM!O164="","",CALC_EEM!O164)</f>
        <v>0</v>
      </c>
      <c r="P252">
        <f>IF(CALC_EEM!P164="","",CALC_EEM!P164)</f>
        <v>0</v>
      </c>
      <c r="Q252">
        <f>IF(CALC_EEM!Q164="","",CALC_EEM!Q164)</f>
        <v>0</v>
      </c>
      <c r="R252">
        <f>IF(CALC_EEM!R164="","",CALC_EEM!R164)</f>
        <v>0</v>
      </c>
      <c r="S252">
        <f>IF(CALC_EEM!S164="","",CALC_EEM!S164)</f>
        <v>0</v>
      </c>
      <c r="T252">
        <f>IF(CALC_EEM!T164="","",CALC_EEM!T164)</f>
        <v>0</v>
      </c>
      <c r="U252">
        <f>IF(CALC_EEM!U164="","",CALC_EEM!U164)</f>
        <v>0</v>
      </c>
    </row>
    <row r="253">
      <c r="A253" t="str">
        <f>IF(CALC_EEM!A165="","",IF(CALC_EEM!A165="GLOBAL","GLOBAL",IF(CALC_EEM!C165="Total","CURSO_TOTAL",IF(CALC_EEM!C165="TotalEsp","CURSO_ESP",IF(CALC_EEM!C165="TotalNoEsp","CURSO_NOESP","CURSO_ASIG")))))</f>
        <v>GLOBAL</v>
      </c>
      <c r="B253" t="str">
        <f>IF(CALC_EEM!A165="","",CALC_EEM!A165)</f>
        <v>GLOBAL</v>
      </c>
      <c r="C253" t="str">
        <f>IF(CALC_EEM!B165="","",CALC_EEM!B165)</f>
        <v>Total</v>
      </c>
      <c r="D253">
        <f>IF(CALC_EEM!D165="","",CALC_EEM!D165)</f>
        <v>0</v>
      </c>
      <c r="E253" s="14" t="str">
        <f>IF(CALC_EEM!E165="","",CALC_EEM!E165)</f>
        <v>—</v>
      </c>
      <c r="F253" s="14" t="str">
        <f>IF(CALC_EEM!F165="","",CALC_EEM!F165)</f>
        <v>—</v>
      </c>
      <c r="G253" t="str">
        <f>IF(CALC_EEM!G165="","",CALC_EEM!G165)</f>
        <v>—</v>
      </c>
      <c r="H253" s="16" t="str">
        <f>IF(CALC_EEM!H165="","",CALC_EEM!H165)</f>
        <v>—</v>
      </c>
      <c r="I253" s="16" t="str">
        <f>IF(CALC_EEM!I165="","",CALC_EEM!I165)</f>
        <v>—</v>
      </c>
      <c r="J253" t="str">
        <f>IF(CALC_EEM!J165="","",CALC_EEM!J165)</f>
        <v>—</v>
      </c>
      <c r="K253" t="str">
        <f>IF(CALC_EEM!K165="","",CALC_EEM!K165)</f>
        <v>—</v>
      </c>
      <c r="L253">
        <f>IF(CALC_EEM!L165="","",CALC_EEM!L165)</f>
        <v>0</v>
      </c>
      <c r="M253">
        <f>IF(CALC_EEM!M165="","",CALC_EEM!M165)</f>
        <v>0</v>
      </c>
      <c r="N253">
        <f>IF(CALC_EEM!N165="","",CALC_EEM!N165)</f>
        <v>0</v>
      </c>
      <c r="O253">
        <f>IF(CALC_EEM!O165="","",CALC_EEM!O165)</f>
        <v>0</v>
      </c>
      <c r="P253">
        <f>IF(CALC_EEM!P165="","",CALC_EEM!P165)</f>
        <v>0</v>
      </c>
      <c r="Q253">
        <f>IF(CALC_EEM!Q165="","",CALC_EEM!Q165)</f>
        <v>0</v>
      </c>
      <c r="R253">
        <f>IF(CALC_EEM!R165="","",CALC_EEM!R165)</f>
        <v>0</v>
      </c>
      <c r="S253">
        <f>IF(CALC_EEM!S165="","",CALC_EEM!S165)</f>
        <v>0</v>
      </c>
      <c r="T253">
        <f>IF(CALC_EEM!T165="","",CALC_EEM!T165)</f>
        <v>0</v>
      </c>
      <c r="U253">
        <f>IF(CALC_EEM!U165="","",CALC_EEM!U165)</f>
        <v>0</v>
      </c>
    </row>
    <row r="254">
      <c r="A254" t="str">
        <f>IF(CALC_EEM!A166="","",IF(CALC_EEM!A166="GLOBAL","GLOBAL",IF(CALC_EEM!C166="Total","CURSO_TOTAL",IF(CALC_EEM!C166="TotalEsp","CURSO_ESP",IF(CALC_EEM!C166="TotalNoEsp","CURSO_NOESP","CURSO_ASIG")))))</f>
        <v>GLOBAL</v>
      </c>
      <c r="B254" t="str">
        <f>IF(CALC_EEM!A166="","",CALC_EEM!A166)</f>
        <v>GLOBAL</v>
      </c>
      <c r="C254" t="str">
        <f>IF(CALC_EEM!B166="","",CALC_EEM!B166)</f>
        <v>Total</v>
      </c>
      <c r="D254">
        <f>IF(CALC_EEM!D166="","",CALC_EEM!D166)</f>
        <v>0</v>
      </c>
      <c r="E254" s="14" t="str">
        <f>IF(CALC_EEM!E166="","",CALC_EEM!E166)</f>
        <v>—</v>
      </c>
      <c r="F254" s="14" t="str">
        <f>IF(CALC_EEM!F166="","",CALC_EEM!F166)</f>
        <v>—</v>
      </c>
      <c r="G254" t="str">
        <f>IF(CALC_EEM!G166="","",CALC_EEM!G166)</f>
        <v>—</v>
      </c>
      <c r="H254" s="16" t="str">
        <f>IF(CALC_EEM!H166="","",CALC_EEM!H166)</f>
        <v>—</v>
      </c>
      <c r="I254" s="16" t="str">
        <f>IF(CALC_EEM!I166="","",CALC_EEM!I166)</f>
        <v>—</v>
      </c>
      <c r="J254" t="str">
        <f>IF(CALC_EEM!J166="","",CALC_EEM!J166)</f>
        <v>—</v>
      </c>
      <c r="K254" t="str">
        <f>IF(CALC_EEM!K166="","",CALC_EEM!K166)</f>
        <v>—</v>
      </c>
      <c r="L254">
        <f>IF(CALC_EEM!L166="","",CALC_EEM!L166)</f>
        <v>0</v>
      </c>
      <c r="M254">
        <f>IF(CALC_EEM!M166="","",CALC_EEM!M166)</f>
        <v>0</v>
      </c>
      <c r="N254">
        <f>IF(CALC_EEM!N166="","",CALC_EEM!N166)</f>
        <v>0</v>
      </c>
      <c r="O254">
        <f>IF(CALC_EEM!O166="","",CALC_EEM!O166)</f>
        <v>0</v>
      </c>
      <c r="P254">
        <f>IF(CALC_EEM!P166="","",CALC_EEM!P166)</f>
        <v>0</v>
      </c>
      <c r="Q254">
        <f>IF(CALC_EEM!Q166="","",CALC_EEM!Q166)</f>
        <v>0</v>
      </c>
      <c r="R254">
        <f>IF(CALC_EEM!R166="","",CALC_EEM!R166)</f>
        <v>0</v>
      </c>
      <c r="S254">
        <f>IF(CALC_EEM!S166="","",CALC_EEM!S166)</f>
        <v>0</v>
      </c>
      <c r="T254">
        <f>IF(CALC_EEM!T166="","",CALC_EEM!T166)</f>
        <v>0</v>
      </c>
      <c r="U254">
        <f>IF(CALC_EEM!U166="","",CALC_EEM!U166)</f>
        <v>0</v>
      </c>
    </row>
    <row r="255">
      <c r="A255" t="str">
        <f>IF(CALC_EEM!A167="","",IF(CALC_EEM!A167="GLOBAL","GLOBAL",IF(CALC_EEM!C167="Total","CURSO_TOTAL",IF(CALC_EEM!C167="TotalEsp","CURSO_ESP",IF(CALC_EEM!C167="TotalNoEsp","CURSO_NOESP","CURSO_ASIG")))))</f>
        <v>GLOBAL</v>
      </c>
      <c r="B255" t="str">
        <f>IF(CALC_EEM!A167="","",CALC_EEM!A167)</f>
        <v>GLOBAL</v>
      </c>
      <c r="C255" t="str">
        <f>IF(CALC_EEM!B167="","",CALC_EEM!B167)</f>
        <v>Total</v>
      </c>
      <c r="D255">
        <f>IF(CALC_EEM!D167="","",CALC_EEM!D167)</f>
        <v>0</v>
      </c>
      <c r="E255" s="14" t="str">
        <f>IF(CALC_EEM!E167="","",CALC_EEM!E167)</f>
        <v>—</v>
      </c>
      <c r="F255" s="14" t="str">
        <f>IF(CALC_EEM!F167="","",CALC_EEM!F167)</f>
        <v>—</v>
      </c>
      <c r="G255" t="str">
        <f>IF(CALC_EEM!G167="","",CALC_EEM!G167)</f>
        <v>—</v>
      </c>
      <c r="H255" s="16" t="str">
        <f>IF(CALC_EEM!H167="","",CALC_EEM!H167)</f>
        <v>—</v>
      </c>
      <c r="I255" s="16" t="str">
        <f>IF(CALC_EEM!I167="","",CALC_EEM!I167)</f>
        <v>—</v>
      </c>
      <c r="J255" t="str">
        <f>IF(CALC_EEM!J167="","",CALC_EEM!J167)</f>
        <v>—</v>
      </c>
      <c r="K255" t="str">
        <f>IF(CALC_EEM!K167="","",CALC_EEM!K167)</f>
        <v>—</v>
      </c>
      <c r="L255">
        <f>IF(CALC_EEM!L167="","",CALC_EEM!L167)</f>
        <v>0</v>
      </c>
      <c r="M255">
        <f>IF(CALC_EEM!M167="","",CALC_EEM!M167)</f>
        <v>0</v>
      </c>
      <c r="N255">
        <f>IF(CALC_EEM!N167="","",CALC_EEM!N167)</f>
        <v>0</v>
      </c>
      <c r="O255">
        <f>IF(CALC_EEM!O167="","",CALC_EEM!O167)</f>
        <v>0</v>
      </c>
      <c r="P255">
        <f>IF(CALC_EEM!P167="","",CALC_EEM!P167)</f>
        <v>0</v>
      </c>
      <c r="Q255">
        <f>IF(CALC_EEM!Q167="","",CALC_EEM!Q167)</f>
        <v>0</v>
      </c>
      <c r="R255">
        <f>IF(CALC_EEM!R167="","",CALC_EEM!R167)</f>
        <v>0</v>
      </c>
      <c r="S255">
        <f>IF(CALC_EEM!S167="","",CALC_EEM!S167)</f>
        <v>0</v>
      </c>
      <c r="T255">
        <f>IF(CALC_EEM!T167="","",CALC_EEM!T167)</f>
        <v>0</v>
      </c>
      <c r="U255">
        <f>IF(CALC_EEM!U167="","",CALC_EEM!U167)</f>
        <v>0</v>
      </c>
    </row>
    <row r="256">
      <c r="A256" t="str">
        <f>IF(CALC_EEM!A168="","",IF(CALC_EEM!A168="GLOBAL","GLOBAL",IF(CALC_EEM!C168="Total","CURSO_TOTAL",IF(CALC_EEM!C168="TotalEsp","CURSO_ESP",IF(CALC_EEM!C168="TotalNoEsp","CURSO_NOESP","CURSO_ASIG")))))</f>
        <v>GLOBAL</v>
      </c>
      <c r="B256" t="str">
        <f>IF(CALC_EEM!A168="","",CALC_EEM!A168)</f>
        <v>GLOBAL</v>
      </c>
      <c r="C256" t="str">
        <f>IF(CALC_EEM!B168="","",CALC_EEM!B168)</f>
        <v>Total</v>
      </c>
      <c r="D256">
        <f>IF(CALC_EEM!D168="","",CALC_EEM!D168)</f>
        <v>0</v>
      </c>
      <c r="E256" s="14" t="str">
        <f>IF(CALC_EEM!E168="","",CALC_EEM!E168)</f>
        <v>—</v>
      </c>
      <c r="F256" s="14" t="str">
        <f>IF(CALC_EEM!F168="","",CALC_EEM!F168)</f>
        <v>—</v>
      </c>
      <c r="G256" t="str">
        <f>IF(CALC_EEM!G168="","",CALC_EEM!G168)</f>
        <v>—</v>
      </c>
      <c r="H256" s="16" t="str">
        <f>IF(CALC_EEM!H168="","",CALC_EEM!H168)</f>
        <v>—</v>
      </c>
      <c r="I256" s="16" t="str">
        <f>IF(CALC_EEM!I168="","",CALC_EEM!I168)</f>
        <v>—</v>
      </c>
      <c r="J256" t="str">
        <f>IF(CALC_EEM!J168="","",CALC_EEM!J168)</f>
        <v>—</v>
      </c>
      <c r="K256" t="str">
        <f>IF(CALC_EEM!K168="","",CALC_EEM!K168)</f>
        <v>—</v>
      </c>
      <c r="L256">
        <f>IF(CALC_EEM!L168="","",CALC_EEM!L168)</f>
        <v>0</v>
      </c>
      <c r="M256">
        <f>IF(CALC_EEM!M168="","",CALC_EEM!M168)</f>
        <v>0</v>
      </c>
      <c r="N256">
        <f>IF(CALC_EEM!N168="","",CALC_EEM!N168)</f>
        <v>0</v>
      </c>
      <c r="O256">
        <f>IF(CALC_EEM!O168="","",CALC_EEM!O168)</f>
        <v>0</v>
      </c>
      <c r="P256">
        <f>IF(CALC_EEM!P168="","",CALC_EEM!P168)</f>
        <v>0</v>
      </c>
      <c r="Q256">
        <f>IF(CALC_EEM!Q168="","",CALC_EEM!Q168)</f>
        <v>0</v>
      </c>
      <c r="R256">
        <f>IF(CALC_EEM!R168="","",CALC_EEM!R168)</f>
        <v>0</v>
      </c>
      <c r="S256">
        <f>IF(CALC_EEM!S168="","",CALC_EEM!S168)</f>
        <v>0</v>
      </c>
      <c r="T256">
        <f>IF(CALC_EEM!T168="","",CALC_EEM!T168)</f>
        <v>0</v>
      </c>
      <c r="U256">
        <f>IF(CALC_EEM!U168="","",CALC_EEM!U168)</f>
        <v>0</v>
      </c>
    </row>
    <row r="257">
      <c r="A257" t="str">
        <f>IF(CALC_EEM!A169="","",IF(CALC_EEM!A169="GLOBAL","GLOBAL",IF(CALC_EEM!C169="Total","CURSO_TOTAL",IF(CALC_EEM!C169="TotalEsp","CURSO_ESP",IF(CALC_EEM!C169="TotalNoEsp","CURSO_NOESP","CURSO_ASIG")))))</f>
        <v>GLOBAL</v>
      </c>
      <c r="B257" t="str">
        <f>IF(CALC_EEM!A169="","",CALC_EEM!A169)</f>
        <v>GLOBAL</v>
      </c>
      <c r="C257" t="str">
        <f>IF(CALC_EEM!B169="","",CALC_EEM!B169)</f>
        <v>Total</v>
      </c>
      <c r="D257">
        <f>IF(CALC_EEM!D169="","",CALC_EEM!D169)</f>
        <v>0</v>
      </c>
      <c r="E257" s="14" t="str">
        <f>IF(CALC_EEM!E169="","",CALC_EEM!E169)</f>
        <v>—</v>
      </c>
      <c r="F257" s="14" t="str">
        <f>IF(CALC_EEM!F169="","",CALC_EEM!F169)</f>
        <v>—</v>
      </c>
      <c r="G257" t="str">
        <f>IF(CALC_EEM!G169="","",CALC_EEM!G169)</f>
        <v>—</v>
      </c>
      <c r="H257" s="16" t="str">
        <f>IF(CALC_EEM!H169="","",CALC_EEM!H169)</f>
        <v>—</v>
      </c>
      <c r="I257" s="16" t="str">
        <f>IF(CALC_EEM!I169="","",CALC_EEM!I169)</f>
        <v>—</v>
      </c>
      <c r="J257" t="str">
        <f>IF(CALC_EEM!J169="","",CALC_EEM!J169)</f>
        <v>—</v>
      </c>
      <c r="K257" t="str">
        <f>IF(CALC_EEM!K169="","",CALC_EEM!K169)</f>
        <v>—</v>
      </c>
      <c r="L257">
        <f>IF(CALC_EEM!L169="","",CALC_EEM!L169)</f>
        <v>0</v>
      </c>
      <c r="M257">
        <f>IF(CALC_EEM!M169="","",CALC_EEM!M169)</f>
        <v>0</v>
      </c>
      <c r="N257">
        <f>IF(CALC_EEM!N169="","",CALC_EEM!N169)</f>
        <v>0</v>
      </c>
      <c r="O257">
        <f>IF(CALC_EEM!O169="","",CALC_EEM!O169)</f>
        <v>0</v>
      </c>
      <c r="P257">
        <f>IF(CALC_EEM!P169="","",CALC_EEM!P169)</f>
        <v>0</v>
      </c>
      <c r="Q257">
        <f>IF(CALC_EEM!Q169="","",CALC_EEM!Q169)</f>
        <v>0</v>
      </c>
      <c r="R257">
        <f>IF(CALC_EEM!R169="","",CALC_EEM!R169)</f>
        <v>0</v>
      </c>
      <c r="S257">
        <f>IF(CALC_EEM!S169="","",CALC_EEM!S169)</f>
        <v>0</v>
      </c>
      <c r="T257">
        <f>IF(CALC_EEM!T169="","",CALC_EEM!T169)</f>
        <v>0</v>
      </c>
      <c r="U257">
        <f>IF(CALC_EEM!U169="","",CALC_EEM!U169)</f>
        <v>0</v>
      </c>
    </row>
    <row r="258">
      <c r="A258" t="str">
        <f>IF(CALC_EEM!A170="","",IF(CALC_EEM!A170="GLOBAL","GLOBAL",IF(CALC_EEM!C170="Total","CURSO_TOTAL",IF(CALC_EEM!C170="TotalEsp","CURSO_ESP",IF(CALC_EEM!C170="TotalNoEsp","CURSO_NOESP","CURSO_ASIG")))))</f>
        <v>GLOBAL</v>
      </c>
      <c r="B258" t="str">
        <f>IF(CALC_EEM!A170="","",CALC_EEM!A170)</f>
        <v>GLOBAL</v>
      </c>
      <c r="C258" t="str">
        <f>IF(CALC_EEM!B170="","",CALC_EEM!B170)</f>
        <v>Total</v>
      </c>
      <c r="D258">
        <f>IF(CALC_EEM!D170="","",CALC_EEM!D170)</f>
        <v>0</v>
      </c>
      <c r="E258" s="14" t="str">
        <f>IF(CALC_EEM!E170="","",CALC_EEM!E170)</f>
        <v>—</v>
      </c>
      <c r="F258" s="14" t="str">
        <f>IF(CALC_EEM!F170="","",CALC_EEM!F170)</f>
        <v>—</v>
      </c>
      <c r="G258" t="str">
        <f>IF(CALC_EEM!G170="","",CALC_EEM!G170)</f>
        <v>—</v>
      </c>
      <c r="H258" s="16" t="str">
        <f>IF(CALC_EEM!H170="","",CALC_EEM!H170)</f>
        <v>—</v>
      </c>
      <c r="I258" s="16" t="str">
        <f>IF(CALC_EEM!I170="","",CALC_EEM!I170)</f>
        <v>—</v>
      </c>
      <c r="J258" t="str">
        <f>IF(CALC_EEM!J170="","",CALC_EEM!J170)</f>
        <v>—</v>
      </c>
      <c r="K258" t="str">
        <f>IF(CALC_EEM!K170="","",CALC_EEM!K170)</f>
        <v>—</v>
      </c>
      <c r="L258">
        <f>IF(CALC_EEM!L170="","",CALC_EEM!L170)</f>
        <v>0</v>
      </c>
      <c r="M258">
        <f>IF(CALC_EEM!M170="","",CALC_EEM!M170)</f>
        <v>0</v>
      </c>
      <c r="N258">
        <f>IF(CALC_EEM!N170="","",CALC_EEM!N170)</f>
        <v>0</v>
      </c>
      <c r="O258">
        <f>IF(CALC_EEM!O170="","",CALC_EEM!O170)</f>
        <v>0</v>
      </c>
      <c r="P258">
        <f>IF(CALC_EEM!P170="","",CALC_EEM!P170)</f>
        <v>0</v>
      </c>
      <c r="Q258">
        <f>IF(CALC_EEM!Q170="","",CALC_EEM!Q170)</f>
        <v>0</v>
      </c>
      <c r="R258">
        <f>IF(CALC_EEM!R170="","",CALC_EEM!R170)</f>
        <v>0</v>
      </c>
      <c r="S258">
        <f>IF(CALC_EEM!S170="","",CALC_EEM!S170)</f>
        <v>0</v>
      </c>
      <c r="T258">
        <f>IF(CALC_EEM!T170="","",CALC_EEM!T170)</f>
        <v>0</v>
      </c>
      <c r="U258">
        <f>IF(CALC_EEM!U170="","",CALC_EEM!U170)</f>
        <v>0</v>
      </c>
    </row>
    <row r="259">
      <c r="A259" t="str">
        <f>IF(CALC_EEM!A171="","",IF(CALC_EEM!A171="GLOBAL","GLOBAL",IF(CALC_EEM!C171="Total","CURSO_TOTAL",IF(CALC_EEM!C171="TotalEsp","CURSO_ESP",IF(CALC_EEM!C171="TotalNoEsp","CURSO_NOESP","CURSO_ASIG")))))</f>
        <v>GLOBAL</v>
      </c>
      <c r="B259" t="str">
        <f>IF(CALC_EEM!A171="","",CALC_EEM!A171)</f>
        <v>GLOBAL</v>
      </c>
      <c r="C259" t="str">
        <f>IF(CALC_EEM!B171="","",CALC_EEM!B171)</f>
        <v>Total</v>
      </c>
      <c r="D259">
        <f>IF(CALC_EEM!D171="","",CALC_EEM!D171)</f>
        <v>0</v>
      </c>
      <c r="E259" s="14" t="str">
        <f>IF(CALC_EEM!E171="","",CALC_EEM!E171)</f>
        <v>—</v>
      </c>
      <c r="F259" s="14" t="str">
        <f>IF(CALC_EEM!F171="","",CALC_EEM!F171)</f>
        <v>—</v>
      </c>
      <c r="G259" t="str">
        <f>IF(CALC_EEM!G171="","",CALC_EEM!G171)</f>
        <v>—</v>
      </c>
      <c r="H259" s="16" t="str">
        <f>IF(CALC_EEM!H171="","",CALC_EEM!H171)</f>
        <v>—</v>
      </c>
      <c r="I259" s="16" t="str">
        <f>IF(CALC_EEM!I171="","",CALC_EEM!I171)</f>
        <v>—</v>
      </c>
      <c r="J259" t="str">
        <f>IF(CALC_EEM!J171="","",CALC_EEM!J171)</f>
        <v>—</v>
      </c>
      <c r="K259" t="str">
        <f>IF(CALC_EEM!K171="","",CALC_EEM!K171)</f>
        <v>—</v>
      </c>
      <c r="L259">
        <f>IF(CALC_EEM!L171="","",CALC_EEM!L171)</f>
        <v>0</v>
      </c>
      <c r="M259">
        <f>IF(CALC_EEM!M171="","",CALC_EEM!M171)</f>
        <v>0</v>
      </c>
      <c r="N259">
        <f>IF(CALC_EEM!N171="","",CALC_EEM!N171)</f>
        <v>0</v>
      </c>
      <c r="O259">
        <f>IF(CALC_EEM!O171="","",CALC_EEM!O171)</f>
        <v>0</v>
      </c>
      <c r="P259">
        <f>IF(CALC_EEM!P171="","",CALC_EEM!P171)</f>
        <v>0</v>
      </c>
      <c r="Q259">
        <f>IF(CALC_EEM!Q171="","",CALC_EEM!Q171)</f>
        <v>0</v>
      </c>
      <c r="R259">
        <f>IF(CALC_EEM!R171="","",CALC_EEM!R171)</f>
        <v>0</v>
      </c>
      <c r="S259">
        <f>IF(CALC_EEM!S171="","",CALC_EEM!S171)</f>
        <v>0</v>
      </c>
      <c r="T259">
        <f>IF(CALC_EEM!T171="","",CALC_EEM!T171)</f>
        <v>0</v>
      </c>
      <c r="U259">
        <f>IF(CALC_EEM!U171="","",CALC_EEM!U171)</f>
        <v>0</v>
      </c>
    </row>
    <row r="260">
      <c r="A260" t="str">
        <f>IF(CALC_EEM!A172="","",IF(CALC_EEM!A172="GLOBAL","GLOBAL",IF(CALC_EEM!C172="Total","CURSO_TOTAL",IF(CALC_EEM!C172="TotalEsp","CURSO_ESP",IF(CALC_EEM!C172="TotalNoEsp","CURSO_NOESP","CURSO_ASIG")))))</f>
        <v>GLOBAL</v>
      </c>
      <c r="B260" t="str">
        <f>IF(CALC_EEM!A172="","",CALC_EEM!A172)</f>
        <v>GLOBAL</v>
      </c>
      <c r="C260" t="str">
        <f>IF(CALC_EEM!B172="","",CALC_EEM!B172)</f>
        <v>Total</v>
      </c>
      <c r="D260">
        <f>IF(CALC_EEM!D172="","",CALC_EEM!D172)</f>
        <v>0</v>
      </c>
      <c r="E260" s="14" t="str">
        <f>IF(CALC_EEM!E172="","",CALC_EEM!E172)</f>
        <v>—</v>
      </c>
      <c r="F260" s="14" t="str">
        <f>IF(CALC_EEM!F172="","",CALC_EEM!F172)</f>
        <v>—</v>
      </c>
      <c r="G260" t="str">
        <f>IF(CALC_EEM!G172="","",CALC_EEM!G172)</f>
        <v>—</v>
      </c>
      <c r="H260" s="16" t="str">
        <f>IF(CALC_EEM!H172="","",CALC_EEM!H172)</f>
        <v>—</v>
      </c>
      <c r="I260" s="16" t="str">
        <f>IF(CALC_EEM!I172="","",CALC_EEM!I172)</f>
        <v>—</v>
      </c>
      <c r="J260" t="str">
        <f>IF(CALC_EEM!J172="","",CALC_EEM!J172)</f>
        <v>—</v>
      </c>
      <c r="K260" t="str">
        <f>IF(CALC_EEM!K172="","",CALC_EEM!K172)</f>
        <v>—</v>
      </c>
      <c r="L260">
        <f>IF(CALC_EEM!L172="","",CALC_EEM!L172)</f>
        <v>0</v>
      </c>
      <c r="M260">
        <f>IF(CALC_EEM!M172="","",CALC_EEM!M172)</f>
        <v>0</v>
      </c>
      <c r="N260">
        <f>IF(CALC_EEM!N172="","",CALC_EEM!N172)</f>
        <v>0</v>
      </c>
      <c r="O260">
        <f>IF(CALC_EEM!O172="","",CALC_EEM!O172)</f>
        <v>0</v>
      </c>
      <c r="P260">
        <f>IF(CALC_EEM!P172="","",CALC_EEM!P172)</f>
        <v>0</v>
      </c>
      <c r="Q260">
        <f>IF(CALC_EEM!Q172="","",CALC_EEM!Q172)</f>
        <v>0</v>
      </c>
      <c r="R260">
        <f>IF(CALC_EEM!R172="","",CALC_EEM!R172)</f>
        <v>0</v>
      </c>
      <c r="S260">
        <f>IF(CALC_EEM!S172="","",CALC_EEM!S172)</f>
        <v>0</v>
      </c>
      <c r="T260">
        <f>IF(CALC_EEM!T172="","",CALC_EEM!T172)</f>
        <v>0</v>
      </c>
      <c r="U260">
        <f>IF(CALC_EEM!U172="","",CALC_EEM!U172)</f>
        <v>0</v>
      </c>
    </row>
    <row r="261">
      <c r="A261" t="str">
        <f>IF(CALC_EEM!A173="","",IF(CALC_EEM!A173="GLOBAL","GLOBAL",IF(CALC_EEM!C173="Total","CURSO_TOTAL",IF(CALC_EEM!C173="TotalEsp","CURSO_ESP",IF(CALC_EEM!C173="TotalNoEsp","CURSO_NOESP","CURSO_ASIG")))))</f>
        <v>GLOBAL</v>
      </c>
      <c r="B261" t="str">
        <f>IF(CALC_EEM!A173="","",CALC_EEM!A173)</f>
        <v>GLOBAL</v>
      </c>
      <c r="C261" t="str">
        <f>IF(CALC_EEM!B173="","",CALC_EEM!B173)</f>
        <v>Total</v>
      </c>
      <c r="D261">
        <f>IF(CALC_EEM!D173="","",CALC_EEM!D173)</f>
        <v>0</v>
      </c>
      <c r="E261" s="14" t="str">
        <f>IF(CALC_EEM!E173="","",CALC_EEM!E173)</f>
        <v>—</v>
      </c>
      <c r="F261" s="14" t="str">
        <f>IF(CALC_EEM!F173="","",CALC_EEM!F173)</f>
        <v>—</v>
      </c>
      <c r="G261" t="str">
        <f>IF(CALC_EEM!G173="","",CALC_EEM!G173)</f>
        <v>—</v>
      </c>
      <c r="H261" s="16" t="str">
        <f>IF(CALC_EEM!H173="","",CALC_EEM!H173)</f>
        <v>—</v>
      </c>
      <c r="I261" s="16" t="str">
        <f>IF(CALC_EEM!I173="","",CALC_EEM!I173)</f>
        <v>—</v>
      </c>
      <c r="J261" t="str">
        <f>IF(CALC_EEM!J173="","",CALC_EEM!J173)</f>
        <v>—</v>
      </c>
      <c r="K261" t="str">
        <f>IF(CALC_EEM!K173="","",CALC_EEM!K173)</f>
        <v>—</v>
      </c>
      <c r="L261">
        <f>IF(CALC_EEM!L173="","",CALC_EEM!L173)</f>
        <v>0</v>
      </c>
      <c r="M261">
        <f>IF(CALC_EEM!M173="","",CALC_EEM!M173)</f>
        <v>0</v>
      </c>
      <c r="N261">
        <f>IF(CALC_EEM!N173="","",CALC_EEM!N173)</f>
        <v>0</v>
      </c>
      <c r="O261">
        <f>IF(CALC_EEM!O173="","",CALC_EEM!O173)</f>
        <v>0</v>
      </c>
      <c r="P261">
        <f>IF(CALC_EEM!P173="","",CALC_EEM!P173)</f>
        <v>0</v>
      </c>
      <c r="Q261">
        <f>IF(CALC_EEM!Q173="","",CALC_EEM!Q173)</f>
        <v>0</v>
      </c>
      <c r="R261">
        <f>IF(CALC_EEM!R173="","",CALC_EEM!R173)</f>
        <v>0</v>
      </c>
      <c r="S261">
        <f>IF(CALC_EEM!S173="","",CALC_EEM!S173)</f>
        <v>0</v>
      </c>
      <c r="T261">
        <f>IF(CALC_EEM!T173="","",CALC_EEM!T173)</f>
        <v>0</v>
      </c>
      <c r="U261">
        <f>IF(CALC_EEM!U173="","",CALC_EEM!U173)</f>
        <v>0</v>
      </c>
    </row>
    <row r="262">
      <c r="A262" t="str">
        <f>IF(CALC_EEM!A174="","",IF(CALC_EEM!A174="GLOBAL","GLOBAL",IF(CALC_EEM!C174="Total","CURSO_TOTAL",IF(CALC_EEM!C174="TotalEsp","CURSO_ESP",IF(CALC_EEM!C174="TotalNoEsp","CURSO_NOESP","CURSO_ASIG")))))</f>
        <v>GLOBAL</v>
      </c>
      <c r="B262" t="str">
        <f>IF(CALC_EEM!A174="","",CALC_EEM!A174)</f>
        <v>GLOBAL</v>
      </c>
      <c r="C262" t="str">
        <f>IF(CALC_EEM!B174="","",CALC_EEM!B174)</f>
        <v>Total</v>
      </c>
      <c r="D262">
        <f>IF(CALC_EEM!D174="","",CALC_EEM!D174)</f>
        <v>0</v>
      </c>
      <c r="E262" s="14" t="str">
        <f>IF(CALC_EEM!E174="","",CALC_EEM!E174)</f>
        <v>—</v>
      </c>
      <c r="F262" s="14" t="str">
        <f>IF(CALC_EEM!F174="","",CALC_EEM!F174)</f>
        <v>—</v>
      </c>
      <c r="G262" t="str">
        <f>IF(CALC_EEM!G174="","",CALC_EEM!G174)</f>
        <v>—</v>
      </c>
      <c r="H262" s="16" t="str">
        <f>IF(CALC_EEM!H174="","",CALC_EEM!H174)</f>
        <v>—</v>
      </c>
      <c r="I262" s="16" t="str">
        <f>IF(CALC_EEM!I174="","",CALC_EEM!I174)</f>
        <v>—</v>
      </c>
      <c r="J262" t="str">
        <f>IF(CALC_EEM!J174="","",CALC_EEM!J174)</f>
        <v>—</v>
      </c>
      <c r="K262" t="str">
        <f>IF(CALC_EEM!K174="","",CALC_EEM!K174)</f>
        <v>—</v>
      </c>
      <c r="L262">
        <f>IF(CALC_EEM!L174="","",CALC_EEM!L174)</f>
        <v>0</v>
      </c>
      <c r="M262">
        <f>IF(CALC_EEM!M174="","",CALC_EEM!M174)</f>
        <v>0</v>
      </c>
      <c r="N262">
        <f>IF(CALC_EEM!N174="","",CALC_EEM!N174)</f>
        <v>0</v>
      </c>
      <c r="O262">
        <f>IF(CALC_EEM!O174="","",CALC_EEM!O174)</f>
        <v>0</v>
      </c>
      <c r="P262">
        <f>IF(CALC_EEM!P174="","",CALC_EEM!P174)</f>
        <v>0</v>
      </c>
      <c r="Q262">
        <f>IF(CALC_EEM!Q174="","",CALC_EEM!Q174)</f>
        <v>0</v>
      </c>
      <c r="R262">
        <f>IF(CALC_EEM!R174="","",CALC_EEM!R174)</f>
        <v>0</v>
      </c>
      <c r="S262">
        <f>IF(CALC_EEM!S174="","",CALC_EEM!S174)</f>
        <v>0</v>
      </c>
      <c r="T262">
        <f>IF(CALC_EEM!T174="","",CALC_EEM!T174)</f>
        <v>0</v>
      </c>
      <c r="U262">
        <f>IF(CALC_EEM!U174="","",CALC_EEM!U174)</f>
        <v>0</v>
      </c>
    </row>
    <row r="263">
      <c r="A263" t="str">
        <f>IF(CALC_EEM!A175="","",IF(CALC_EEM!A175="GLOBAL","GLOBAL",IF(CALC_EEM!C175="Total","CURSO_TOTAL",IF(CALC_EEM!C175="TotalEsp","CURSO_ESP",IF(CALC_EEM!C175="TotalNoEsp","CURSO_NOESP","CURSO_ASIG")))))</f>
        <v>GLOBAL</v>
      </c>
      <c r="B263" t="str">
        <f>IF(CALC_EEM!A175="","",CALC_EEM!A175)</f>
        <v>GLOBAL</v>
      </c>
      <c r="C263" t="str">
        <f>IF(CALC_EEM!B175="","",CALC_EEM!B175)</f>
        <v>Total</v>
      </c>
      <c r="D263">
        <f>IF(CALC_EEM!D175="","",CALC_EEM!D175)</f>
        <v>0</v>
      </c>
      <c r="E263" s="14" t="str">
        <f>IF(CALC_EEM!E175="","",CALC_EEM!E175)</f>
        <v>—</v>
      </c>
      <c r="F263" s="14" t="str">
        <f>IF(CALC_EEM!F175="","",CALC_EEM!F175)</f>
        <v>—</v>
      </c>
      <c r="G263" t="str">
        <f>IF(CALC_EEM!G175="","",CALC_EEM!G175)</f>
        <v>—</v>
      </c>
      <c r="H263" s="16" t="str">
        <f>IF(CALC_EEM!H175="","",CALC_EEM!H175)</f>
        <v>—</v>
      </c>
      <c r="I263" s="16" t="str">
        <f>IF(CALC_EEM!I175="","",CALC_EEM!I175)</f>
        <v>—</v>
      </c>
      <c r="J263" t="str">
        <f>IF(CALC_EEM!J175="","",CALC_EEM!J175)</f>
        <v>—</v>
      </c>
      <c r="K263" t="str">
        <f>IF(CALC_EEM!K175="","",CALC_EEM!K175)</f>
        <v>—</v>
      </c>
      <c r="L263">
        <f>IF(CALC_EEM!L175="","",CALC_EEM!L175)</f>
        <v>0</v>
      </c>
      <c r="M263">
        <f>IF(CALC_EEM!M175="","",CALC_EEM!M175)</f>
        <v>0</v>
      </c>
      <c r="N263">
        <f>IF(CALC_EEM!N175="","",CALC_EEM!N175)</f>
        <v>0</v>
      </c>
      <c r="O263">
        <f>IF(CALC_EEM!O175="","",CALC_EEM!O175)</f>
        <v>0</v>
      </c>
      <c r="P263">
        <f>IF(CALC_EEM!P175="","",CALC_EEM!P175)</f>
        <v>0</v>
      </c>
      <c r="Q263">
        <f>IF(CALC_EEM!Q175="","",CALC_EEM!Q175)</f>
        <v>0</v>
      </c>
      <c r="R263">
        <f>IF(CALC_EEM!R175="","",CALC_EEM!R175)</f>
        <v>0</v>
      </c>
      <c r="S263">
        <f>IF(CALC_EEM!S175="","",CALC_EEM!S175)</f>
        <v>0</v>
      </c>
      <c r="T263">
        <f>IF(CALC_EEM!T175="","",CALC_EEM!T175)</f>
        <v>0</v>
      </c>
      <c r="U263">
        <f>IF(CALC_EEM!U175="","",CALC_EEM!U175)</f>
        <v>0</v>
      </c>
    </row>
    <row r="264">
      <c r="A264" t="str">
        <f>IF(CALC_EEM!A176="","",IF(CALC_EEM!A176="GLOBAL","GLOBAL",IF(CALC_EEM!C176="Total","CURSO_TOTAL",IF(CALC_EEM!C176="TotalEsp","CURSO_ESP",IF(CALC_EEM!C176="TotalNoEsp","CURSO_NOESP","CURSO_ASIG")))))</f>
        <v>GLOBAL</v>
      </c>
      <c r="B264" t="str">
        <f>IF(CALC_EEM!A176="","",CALC_EEM!A176)</f>
        <v>GLOBAL</v>
      </c>
      <c r="C264" t="str">
        <f>IF(CALC_EEM!B176="","",CALC_EEM!B176)</f>
        <v>Total</v>
      </c>
      <c r="D264">
        <f>IF(CALC_EEM!D176="","",CALC_EEM!D176)</f>
        <v>0</v>
      </c>
      <c r="E264" s="14" t="str">
        <f>IF(CALC_EEM!E176="","",CALC_EEM!E176)</f>
        <v>—</v>
      </c>
      <c r="F264" s="14" t="str">
        <f>IF(CALC_EEM!F176="","",CALC_EEM!F176)</f>
        <v>—</v>
      </c>
      <c r="G264" t="str">
        <f>IF(CALC_EEM!G176="","",CALC_EEM!G176)</f>
        <v>—</v>
      </c>
      <c r="H264" s="16" t="str">
        <f>IF(CALC_EEM!H176="","",CALC_EEM!H176)</f>
        <v>—</v>
      </c>
      <c r="I264" s="16" t="str">
        <f>IF(CALC_EEM!I176="","",CALC_EEM!I176)</f>
        <v>—</v>
      </c>
      <c r="J264" t="str">
        <f>IF(CALC_EEM!J176="","",CALC_EEM!J176)</f>
        <v>—</v>
      </c>
      <c r="K264" t="str">
        <f>IF(CALC_EEM!K176="","",CALC_EEM!K176)</f>
        <v>—</v>
      </c>
      <c r="L264">
        <f>IF(CALC_EEM!L176="","",CALC_EEM!L176)</f>
        <v>0</v>
      </c>
      <c r="M264">
        <f>IF(CALC_EEM!M176="","",CALC_EEM!M176)</f>
        <v>0</v>
      </c>
      <c r="N264">
        <f>IF(CALC_EEM!N176="","",CALC_EEM!N176)</f>
        <v>0</v>
      </c>
      <c r="O264">
        <f>IF(CALC_EEM!O176="","",CALC_EEM!O176)</f>
        <v>0</v>
      </c>
      <c r="P264">
        <f>IF(CALC_EEM!P176="","",CALC_EEM!P176)</f>
        <v>0</v>
      </c>
      <c r="Q264">
        <f>IF(CALC_EEM!Q176="","",CALC_EEM!Q176)</f>
        <v>0</v>
      </c>
      <c r="R264">
        <f>IF(CALC_EEM!R176="","",CALC_EEM!R176)</f>
        <v>0</v>
      </c>
      <c r="S264">
        <f>IF(CALC_EEM!S176="","",CALC_EEM!S176)</f>
        <v>0</v>
      </c>
      <c r="T264">
        <f>IF(CALC_EEM!T176="","",CALC_EEM!T176)</f>
        <v>0</v>
      </c>
      <c r="U264">
        <f>IF(CALC_EEM!U176="","",CALC_EEM!U176)</f>
        <v>0</v>
      </c>
    </row>
    <row r="265">
      <c r="A265" t="str">
        <f>IF(CALC_EEM!A177="","",IF(CALC_EEM!A177="GLOBAL","GLOBAL",IF(CALC_EEM!C177="Total","CURSO_TOTAL",IF(CALC_EEM!C177="TotalEsp","CURSO_ESP",IF(CALC_EEM!C177="TotalNoEsp","CURSO_NOESP","CURSO_ASIG")))))</f>
        <v>GLOBAL</v>
      </c>
      <c r="B265" t="str">
        <f>IF(CALC_EEM!A177="","",CALC_EEM!A177)</f>
        <v>GLOBAL</v>
      </c>
      <c r="C265" t="str">
        <f>IF(CALC_EEM!B177="","",CALC_EEM!B177)</f>
        <v>Total</v>
      </c>
      <c r="D265">
        <f>IF(CALC_EEM!D177="","",CALC_EEM!D177)</f>
        <v>0</v>
      </c>
      <c r="E265" s="14" t="str">
        <f>IF(CALC_EEM!E177="","",CALC_EEM!E177)</f>
        <v>—</v>
      </c>
      <c r="F265" s="14" t="str">
        <f>IF(CALC_EEM!F177="","",CALC_EEM!F177)</f>
        <v>—</v>
      </c>
      <c r="G265" t="str">
        <f>IF(CALC_EEM!G177="","",CALC_EEM!G177)</f>
        <v>—</v>
      </c>
      <c r="H265" s="16" t="str">
        <f>IF(CALC_EEM!H177="","",CALC_EEM!H177)</f>
        <v>—</v>
      </c>
      <c r="I265" s="16" t="str">
        <f>IF(CALC_EEM!I177="","",CALC_EEM!I177)</f>
        <v>—</v>
      </c>
      <c r="J265" t="str">
        <f>IF(CALC_EEM!J177="","",CALC_EEM!J177)</f>
        <v>—</v>
      </c>
      <c r="K265" t="str">
        <f>IF(CALC_EEM!K177="","",CALC_EEM!K177)</f>
        <v>—</v>
      </c>
      <c r="L265">
        <f>IF(CALC_EEM!L177="","",CALC_EEM!L177)</f>
        <v>0</v>
      </c>
      <c r="M265">
        <f>IF(CALC_EEM!M177="","",CALC_EEM!M177)</f>
        <v>0</v>
      </c>
      <c r="N265">
        <f>IF(CALC_EEM!N177="","",CALC_EEM!N177)</f>
        <v>0</v>
      </c>
      <c r="O265">
        <f>IF(CALC_EEM!O177="","",CALC_EEM!O177)</f>
        <v>0</v>
      </c>
      <c r="P265">
        <f>IF(CALC_EEM!P177="","",CALC_EEM!P177)</f>
        <v>0</v>
      </c>
      <c r="Q265">
        <f>IF(CALC_EEM!Q177="","",CALC_EEM!Q177)</f>
        <v>0</v>
      </c>
      <c r="R265">
        <f>IF(CALC_EEM!R177="","",CALC_EEM!R177)</f>
        <v>0</v>
      </c>
      <c r="S265">
        <f>IF(CALC_EEM!S177="","",CALC_EEM!S177)</f>
        <v>0</v>
      </c>
      <c r="T265">
        <f>IF(CALC_EEM!T177="","",CALC_EEM!T177)</f>
        <v>0</v>
      </c>
      <c r="U265">
        <f>IF(CALC_EEM!U177="","",CALC_EEM!U177)</f>
        <v>0</v>
      </c>
    </row>
    <row r="266">
      <c r="A266" t="str">
        <f>IF(CALC_EEM!A178="","",IF(CALC_EEM!A178="GLOBAL","GLOBAL",IF(CALC_EEM!C178="Total","CURSO_TOTAL",IF(CALC_EEM!C178="TotalEsp","CURSO_ESP",IF(CALC_EEM!C178="TotalNoEsp","CURSO_NOESP","CURSO_ASIG")))))</f>
        <v>GLOBAL</v>
      </c>
      <c r="B266" t="str">
        <f>IF(CALC_EEM!A178="","",CALC_EEM!A178)</f>
        <v>GLOBAL</v>
      </c>
      <c r="C266" t="str">
        <f>IF(CALC_EEM!B178="","",CALC_EEM!B178)</f>
        <v>Total</v>
      </c>
      <c r="D266">
        <f>IF(CALC_EEM!D178="","",CALC_EEM!D178)</f>
        <v>0</v>
      </c>
      <c r="E266" s="14" t="str">
        <f>IF(CALC_EEM!E178="","",CALC_EEM!E178)</f>
        <v>—</v>
      </c>
      <c r="F266" s="14" t="str">
        <f>IF(CALC_EEM!F178="","",CALC_EEM!F178)</f>
        <v>—</v>
      </c>
      <c r="G266" t="str">
        <f>IF(CALC_EEM!G178="","",CALC_EEM!G178)</f>
        <v>—</v>
      </c>
      <c r="H266" s="16" t="str">
        <f>IF(CALC_EEM!H178="","",CALC_EEM!H178)</f>
        <v>—</v>
      </c>
      <c r="I266" s="16" t="str">
        <f>IF(CALC_EEM!I178="","",CALC_EEM!I178)</f>
        <v>—</v>
      </c>
      <c r="J266" t="str">
        <f>IF(CALC_EEM!J178="","",CALC_EEM!J178)</f>
        <v>—</v>
      </c>
      <c r="K266" t="str">
        <f>IF(CALC_EEM!K178="","",CALC_EEM!K178)</f>
        <v>—</v>
      </c>
      <c r="L266">
        <f>IF(CALC_EEM!L178="","",CALC_EEM!L178)</f>
        <v>0</v>
      </c>
      <c r="M266">
        <f>IF(CALC_EEM!M178="","",CALC_EEM!M178)</f>
        <v>0</v>
      </c>
      <c r="N266">
        <f>IF(CALC_EEM!N178="","",CALC_EEM!N178)</f>
        <v>0</v>
      </c>
      <c r="O266">
        <f>IF(CALC_EEM!O178="","",CALC_EEM!O178)</f>
        <v>0</v>
      </c>
      <c r="P266">
        <f>IF(CALC_EEM!P178="","",CALC_EEM!P178)</f>
        <v>0</v>
      </c>
      <c r="Q266">
        <f>IF(CALC_EEM!Q178="","",CALC_EEM!Q178)</f>
        <v>0</v>
      </c>
      <c r="R266">
        <f>IF(CALC_EEM!R178="","",CALC_EEM!R178)</f>
        <v>0</v>
      </c>
      <c r="S266">
        <f>IF(CALC_EEM!S178="","",CALC_EEM!S178)</f>
        <v>0</v>
      </c>
      <c r="T266">
        <f>IF(CALC_EEM!T178="","",CALC_EEM!T178)</f>
        <v>0</v>
      </c>
      <c r="U266">
        <f>IF(CALC_EEM!U178="","",CALC_EEM!U178)</f>
        <v>0</v>
      </c>
    </row>
    <row r="267">
      <c r="A267" t="str">
        <f>IF(CALC_EEM!A179="","",IF(CALC_EEM!A179="GLOBAL","GLOBAL",IF(CALC_EEM!C179="Total","CURSO_TOTAL",IF(CALC_EEM!C179="TotalEsp","CURSO_ESP",IF(CALC_EEM!C179="TotalNoEsp","CURSO_NOESP","CURSO_ASIG")))))</f>
        <v>GLOBAL</v>
      </c>
      <c r="B267" t="str">
        <f>IF(CALC_EEM!A179="","",CALC_EEM!A179)</f>
        <v>GLOBAL</v>
      </c>
      <c r="C267" t="str">
        <f>IF(CALC_EEM!B179="","",CALC_EEM!B179)</f>
        <v>Total</v>
      </c>
      <c r="D267">
        <f>IF(CALC_EEM!D179="","",CALC_EEM!D179)</f>
        <v>0</v>
      </c>
      <c r="E267" s="14" t="str">
        <f>IF(CALC_EEM!E179="","",CALC_EEM!E179)</f>
        <v>—</v>
      </c>
      <c r="F267" s="14" t="str">
        <f>IF(CALC_EEM!F179="","",CALC_EEM!F179)</f>
        <v>—</v>
      </c>
      <c r="G267" t="str">
        <f>IF(CALC_EEM!G179="","",CALC_EEM!G179)</f>
        <v>—</v>
      </c>
      <c r="H267" s="16" t="str">
        <f>IF(CALC_EEM!H179="","",CALC_EEM!H179)</f>
        <v>—</v>
      </c>
      <c r="I267" s="16" t="str">
        <f>IF(CALC_EEM!I179="","",CALC_EEM!I179)</f>
        <v>—</v>
      </c>
      <c r="J267" t="str">
        <f>IF(CALC_EEM!J179="","",CALC_EEM!J179)</f>
        <v>—</v>
      </c>
      <c r="K267" t="str">
        <f>IF(CALC_EEM!K179="","",CALC_EEM!K179)</f>
        <v>—</v>
      </c>
      <c r="L267">
        <f>IF(CALC_EEM!L179="","",CALC_EEM!L179)</f>
        <v>0</v>
      </c>
      <c r="M267">
        <f>IF(CALC_EEM!M179="","",CALC_EEM!M179)</f>
        <v>0</v>
      </c>
      <c r="N267">
        <f>IF(CALC_EEM!N179="","",CALC_EEM!N179)</f>
        <v>0</v>
      </c>
      <c r="O267">
        <f>IF(CALC_EEM!O179="","",CALC_EEM!O179)</f>
        <v>0</v>
      </c>
      <c r="P267">
        <f>IF(CALC_EEM!P179="","",CALC_EEM!P179)</f>
        <v>0</v>
      </c>
      <c r="Q267">
        <f>IF(CALC_EEM!Q179="","",CALC_EEM!Q179)</f>
        <v>0</v>
      </c>
      <c r="R267">
        <f>IF(CALC_EEM!R179="","",CALC_EEM!R179)</f>
        <v>0</v>
      </c>
      <c r="S267">
        <f>IF(CALC_EEM!S179="","",CALC_EEM!S179)</f>
        <v>0</v>
      </c>
      <c r="T267">
        <f>IF(CALC_EEM!T179="","",CALC_EEM!T179)</f>
        <v>0</v>
      </c>
      <c r="U267">
        <f>IF(CALC_EEM!U179="","",CALC_EEM!U179)</f>
        <v>0</v>
      </c>
    </row>
    <row r="268">
      <c r="A268" t="str">
        <f>IF(CALC_EEM!A180="","",IF(CALC_EEM!A180="GLOBAL","GLOBAL",IF(CALC_EEM!C180="Total","CURSO_TOTAL",IF(CALC_EEM!C180="TotalEsp","CURSO_ESP",IF(CALC_EEM!C180="TotalNoEsp","CURSO_NOESP","CURSO_ASIG")))))</f>
        <v>GLOBAL</v>
      </c>
      <c r="B268" t="str">
        <f>IF(CALC_EEM!A180="","",CALC_EEM!A180)</f>
        <v>GLOBAL</v>
      </c>
      <c r="C268" t="str">
        <f>IF(CALC_EEM!B180="","",CALC_EEM!B180)</f>
        <v>Total</v>
      </c>
      <c r="D268">
        <f>IF(CALC_EEM!D180="","",CALC_EEM!D180)</f>
        <v>0</v>
      </c>
      <c r="E268" s="14" t="str">
        <f>IF(CALC_EEM!E180="","",CALC_EEM!E180)</f>
        <v>—</v>
      </c>
      <c r="F268" s="14" t="str">
        <f>IF(CALC_EEM!F180="","",CALC_EEM!F180)</f>
        <v>—</v>
      </c>
      <c r="G268" t="str">
        <f>IF(CALC_EEM!G180="","",CALC_EEM!G180)</f>
        <v>—</v>
      </c>
      <c r="H268" s="16" t="str">
        <f>IF(CALC_EEM!H180="","",CALC_EEM!H180)</f>
        <v>—</v>
      </c>
      <c r="I268" s="16" t="str">
        <f>IF(CALC_EEM!I180="","",CALC_EEM!I180)</f>
        <v>—</v>
      </c>
      <c r="J268" t="str">
        <f>IF(CALC_EEM!J180="","",CALC_EEM!J180)</f>
        <v>—</v>
      </c>
      <c r="K268" t="str">
        <f>IF(CALC_EEM!K180="","",CALC_EEM!K180)</f>
        <v>—</v>
      </c>
      <c r="L268">
        <f>IF(CALC_EEM!L180="","",CALC_EEM!L180)</f>
        <v>0</v>
      </c>
      <c r="M268">
        <f>IF(CALC_EEM!M180="","",CALC_EEM!M180)</f>
        <v>0</v>
      </c>
      <c r="N268">
        <f>IF(CALC_EEM!N180="","",CALC_EEM!N180)</f>
        <v>0</v>
      </c>
      <c r="O268">
        <f>IF(CALC_EEM!O180="","",CALC_EEM!O180)</f>
        <v>0</v>
      </c>
      <c r="P268">
        <f>IF(CALC_EEM!P180="","",CALC_EEM!P180)</f>
        <v>0</v>
      </c>
      <c r="Q268">
        <f>IF(CALC_EEM!Q180="","",CALC_EEM!Q180)</f>
        <v>0</v>
      </c>
      <c r="R268">
        <f>IF(CALC_EEM!R180="","",CALC_EEM!R180)</f>
        <v>0</v>
      </c>
      <c r="S268">
        <f>IF(CALC_EEM!S180="","",CALC_EEM!S180)</f>
        <v>0</v>
      </c>
      <c r="T268">
        <f>IF(CALC_EEM!T180="","",CALC_EEM!T180)</f>
        <v>0</v>
      </c>
      <c r="U268">
        <f>IF(CALC_EEM!U180="","",CALC_EEM!U180)</f>
        <v>0</v>
      </c>
    </row>
    <row r="269">
      <c r="A269" t="str">
        <f>IF(CALC_EEM!A181="","",IF(CALC_EEM!A181="GLOBAL","GLOBAL",IF(CALC_EEM!C181="Total","CURSO_TOTAL",IF(CALC_EEM!C181="TotalEsp","CURSO_ESP",IF(CALC_EEM!C181="TotalNoEsp","CURSO_NOESP","CURSO_ASIG")))))</f>
        <v>GLOBAL</v>
      </c>
      <c r="B269" t="str">
        <f>IF(CALC_EEM!A181="","",CALC_EEM!A181)</f>
        <v>GLOBAL</v>
      </c>
      <c r="C269" t="str">
        <f>IF(CALC_EEM!B181="","",CALC_EEM!B181)</f>
        <v>Total</v>
      </c>
      <c r="D269">
        <f>IF(CALC_EEM!D181="","",CALC_EEM!D181)</f>
        <v>0</v>
      </c>
      <c r="E269" s="14" t="str">
        <f>IF(CALC_EEM!E181="","",CALC_EEM!E181)</f>
        <v>—</v>
      </c>
      <c r="F269" s="14" t="str">
        <f>IF(CALC_EEM!F181="","",CALC_EEM!F181)</f>
        <v>—</v>
      </c>
      <c r="G269" t="str">
        <f>IF(CALC_EEM!G181="","",CALC_EEM!G181)</f>
        <v>—</v>
      </c>
      <c r="H269" s="16" t="str">
        <f>IF(CALC_EEM!H181="","",CALC_EEM!H181)</f>
        <v>—</v>
      </c>
      <c r="I269" s="16" t="str">
        <f>IF(CALC_EEM!I181="","",CALC_EEM!I181)</f>
        <v>—</v>
      </c>
      <c r="J269" t="str">
        <f>IF(CALC_EEM!J181="","",CALC_EEM!J181)</f>
        <v>—</v>
      </c>
      <c r="K269" t="str">
        <f>IF(CALC_EEM!K181="","",CALC_EEM!K181)</f>
        <v>—</v>
      </c>
      <c r="L269">
        <f>IF(CALC_EEM!L181="","",CALC_EEM!L181)</f>
        <v>0</v>
      </c>
      <c r="M269">
        <f>IF(CALC_EEM!M181="","",CALC_EEM!M181)</f>
        <v>0</v>
      </c>
      <c r="N269">
        <f>IF(CALC_EEM!N181="","",CALC_EEM!N181)</f>
        <v>0</v>
      </c>
      <c r="O269">
        <f>IF(CALC_EEM!O181="","",CALC_EEM!O181)</f>
        <v>0</v>
      </c>
      <c r="P269">
        <f>IF(CALC_EEM!P181="","",CALC_EEM!P181)</f>
        <v>0</v>
      </c>
      <c r="Q269">
        <f>IF(CALC_EEM!Q181="","",CALC_EEM!Q181)</f>
        <v>0</v>
      </c>
      <c r="R269">
        <f>IF(CALC_EEM!R181="","",CALC_EEM!R181)</f>
        <v>0</v>
      </c>
      <c r="S269">
        <f>IF(CALC_EEM!S181="","",CALC_EEM!S181)</f>
        <v>0</v>
      </c>
      <c r="T269">
        <f>IF(CALC_EEM!T181="","",CALC_EEM!T181)</f>
        <v>0</v>
      </c>
      <c r="U269">
        <f>IF(CALC_EEM!U181="","",CALC_EEM!U181)</f>
        <v>0</v>
      </c>
    </row>
    <row r="270">
      <c r="A270" t="str">
        <f>IF(CALC_EEM!A182="","",IF(CALC_EEM!A182="GLOBAL","GLOBAL",IF(CALC_EEM!C182="Total","CURSO_TOTAL",IF(CALC_EEM!C182="TotalEsp","CURSO_ESP",IF(CALC_EEM!C182="TotalNoEsp","CURSO_NOESP","CURSO_ASIG")))))</f>
        <v>GLOBAL</v>
      </c>
      <c r="B270" t="str">
        <f>IF(CALC_EEM!A182="","",CALC_EEM!A182)</f>
        <v>GLOBAL</v>
      </c>
      <c r="C270" t="str">
        <f>IF(CALC_EEM!B182="","",CALC_EEM!B182)</f>
        <v>Total</v>
      </c>
      <c r="D270">
        <f>IF(CALC_EEM!D182="","",CALC_EEM!D182)</f>
        <v>0</v>
      </c>
      <c r="E270" s="14" t="str">
        <f>IF(CALC_EEM!E182="","",CALC_EEM!E182)</f>
        <v>—</v>
      </c>
      <c r="F270" s="14" t="str">
        <f>IF(CALC_EEM!F182="","",CALC_EEM!F182)</f>
        <v>—</v>
      </c>
      <c r="G270" t="str">
        <f>IF(CALC_EEM!G182="","",CALC_EEM!G182)</f>
        <v>—</v>
      </c>
      <c r="H270" s="16" t="str">
        <f>IF(CALC_EEM!H182="","",CALC_EEM!H182)</f>
        <v>—</v>
      </c>
      <c r="I270" s="16" t="str">
        <f>IF(CALC_EEM!I182="","",CALC_EEM!I182)</f>
        <v>—</v>
      </c>
      <c r="J270" t="str">
        <f>IF(CALC_EEM!J182="","",CALC_EEM!J182)</f>
        <v>—</v>
      </c>
      <c r="K270" t="str">
        <f>IF(CALC_EEM!K182="","",CALC_EEM!K182)</f>
        <v>—</v>
      </c>
      <c r="L270">
        <f>IF(CALC_EEM!L182="","",CALC_EEM!L182)</f>
        <v>0</v>
      </c>
      <c r="M270">
        <f>IF(CALC_EEM!M182="","",CALC_EEM!M182)</f>
        <v>0</v>
      </c>
      <c r="N270">
        <f>IF(CALC_EEM!N182="","",CALC_EEM!N182)</f>
        <v>0</v>
      </c>
      <c r="O270">
        <f>IF(CALC_EEM!O182="","",CALC_EEM!O182)</f>
        <v>0</v>
      </c>
      <c r="P270">
        <f>IF(CALC_EEM!P182="","",CALC_EEM!P182)</f>
        <v>0</v>
      </c>
      <c r="Q270">
        <f>IF(CALC_EEM!Q182="","",CALC_EEM!Q182)</f>
        <v>0</v>
      </c>
      <c r="R270">
        <f>IF(CALC_EEM!R182="","",CALC_EEM!R182)</f>
        <v>0</v>
      </c>
      <c r="S270">
        <f>IF(CALC_EEM!S182="","",CALC_EEM!S182)</f>
        <v>0</v>
      </c>
      <c r="T270">
        <f>IF(CALC_EEM!T182="","",CALC_EEM!T182)</f>
        <v>0</v>
      </c>
      <c r="U270">
        <f>IF(CALC_EEM!U182="","",CALC_EEM!U182)</f>
        <v>0</v>
      </c>
    </row>
    <row r="271">
      <c r="A271" t="str">
        <f>IF(CALC_EEM!A183="","",IF(CALC_EEM!A183="GLOBAL","GLOBAL",IF(CALC_EEM!C183="Total","CURSO_TOTAL",IF(CALC_EEM!C183="TotalEsp","CURSO_ESP",IF(CALC_EEM!C183="TotalNoEsp","CURSO_NOESP","CURSO_ASIG")))))</f>
        <v>GLOBAL</v>
      </c>
      <c r="B271" t="str">
        <f>IF(CALC_EEM!A183="","",CALC_EEM!A183)</f>
        <v>GLOBAL</v>
      </c>
      <c r="C271" t="str">
        <f>IF(CALC_EEM!B183="","",CALC_EEM!B183)</f>
        <v>Total</v>
      </c>
      <c r="D271">
        <f>IF(CALC_EEM!D183="","",CALC_EEM!D183)</f>
        <v>0</v>
      </c>
      <c r="E271" s="14" t="str">
        <f>IF(CALC_EEM!E183="","",CALC_EEM!E183)</f>
        <v>—</v>
      </c>
      <c r="F271" s="14" t="str">
        <f>IF(CALC_EEM!F183="","",CALC_EEM!F183)</f>
        <v>—</v>
      </c>
      <c r="G271" t="str">
        <f>IF(CALC_EEM!G183="","",CALC_EEM!G183)</f>
        <v>—</v>
      </c>
      <c r="H271" s="16" t="str">
        <f>IF(CALC_EEM!H183="","",CALC_EEM!H183)</f>
        <v>—</v>
      </c>
      <c r="I271" s="16" t="str">
        <f>IF(CALC_EEM!I183="","",CALC_EEM!I183)</f>
        <v>—</v>
      </c>
      <c r="J271" t="str">
        <f>IF(CALC_EEM!J183="","",CALC_EEM!J183)</f>
        <v>—</v>
      </c>
      <c r="K271" t="str">
        <f>IF(CALC_EEM!K183="","",CALC_EEM!K183)</f>
        <v>—</v>
      </c>
      <c r="L271">
        <f>IF(CALC_EEM!L183="","",CALC_EEM!L183)</f>
        <v>0</v>
      </c>
      <c r="M271">
        <f>IF(CALC_EEM!M183="","",CALC_EEM!M183)</f>
        <v>0</v>
      </c>
      <c r="N271">
        <f>IF(CALC_EEM!N183="","",CALC_EEM!N183)</f>
        <v>0</v>
      </c>
      <c r="O271">
        <f>IF(CALC_EEM!O183="","",CALC_EEM!O183)</f>
        <v>0</v>
      </c>
      <c r="P271">
        <f>IF(CALC_EEM!P183="","",CALC_EEM!P183)</f>
        <v>0</v>
      </c>
      <c r="Q271">
        <f>IF(CALC_EEM!Q183="","",CALC_EEM!Q183)</f>
        <v>0</v>
      </c>
      <c r="R271">
        <f>IF(CALC_EEM!R183="","",CALC_EEM!R183)</f>
        <v>0</v>
      </c>
      <c r="S271">
        <f>IF(CALC_EEM!S183="","",CALC_EEM!S183)</f>
        <v>0</v>
      </c>
      <c r="T271">
        <f>IF(CALC_EEM!T183="","",CALC_EEM!T183)</f>
        <v>0</v>
      </c>
      <c r="U271">
        <f>IF(CALC_EEM!U183="","",CALC_EEM!U183)</f>
        <v>0</v>
      </c>
    </row>
    <row r="272">
      <c r="A272" t="str">
        <f>IF(CALC_EEM!A184="","",IF(CALC_EEM!A184="GLOBAL","GLOBAL",IF(CALC_EEM!C184="Total","CURSO_TOTAL",IF(CALC_EEM!C184="TotalEsp","CURSO_ESP",IF(CALC_EEM!C184="TotalNoEsp","CURSO_NOESP","CURSO_ASIG")))))</f>
        <v>GLOBAL</v>
      </c>
      <c r="B272" t="str">
        <f>IF(CALC_EEM!A184="","",CALC_EEM!A184)</f>
        <v>GLOBAL</v>
      </c>
      <c r="C272" t="str">
        <f>IF(CALC_EEM!B184="","",CALC_EEM!B184)</f>
        <v>Total</v>
      </c>
      <c r="D272">
        <f>IF(CALC_EEM!D184="","",CALC_EEM!D184)</f>
        <v>0</v>
      </c>
      <c r="E272" s="14" t="str">
        <f>IF(CALC_EEM!E184="","",CALC_EEM!E184)</f>
        <v>—</v>
      </c>
      <c r="F272" s="14" t="str">
        <f>IF(CALC_EEM!F184="","",CALC_EEM!F184)</f>
        <v>—</v>
      </c>
      <c r="G272" t="str">
        <f>IF(CALC_EEM!G184="","",CALC_EEM!G184)</f>
        <v>—</v>
      </c>
      <c r="H272" s="16" t="str">
        <f>IF(CALC_EEM!H184="","",CALC_EEM!H184)</f>
        <v>—</v>
      </c>
      <c r="I272" s="16" t="str">
        <f>IF(CALC_EEM!I184="","",CALC_EEM!I184)</f>
        <v>—</v>
      </c>
      <c r="J272" t="str">
        <f>IF(CALC_EEM!J184="","",CALC_EEM!J184)</f>
        <v>—</v>
      </c>
      <c r="K272" t="str">
        <f>IF(CALC_EEM!K184="","",CALC_EEM!K184)</f>
        <v>—</v>
      </c>
      <c r="L272">
        <f>IF(CALC_EEM!L184="","",CALC_EEM!L184)</f>
        <v>0</v>
      </c>
      <c r="M272">
        <f>IF(CALC_EEM!M184="","",CALC_EEM!M184)</f>
        <v>0</v>
      </c>
      <c r="N272">
        <f>IF(CALC_EEM!N184="","",CALC_EEM!N184)</f>
        <v>0</v>
      </c>
      <c r="O272">
        <f>IF(CALC_EEM!O184="","",CALC_EEM!O184)</f>
        <v>0</v>
      </c>
      <c r="P272">
        <f>IF(CALC_EEM!P184="","",CALC_EEM!P184)</f>
        <v>0</v>
      </c>
      <c r="Q272">
        <f>IF(CALC_EEM!Q184="","",CALC_EEM!Q184)</f>
        <v>0</v>
      </c>
      <c r="R272">
        <f>IF(CALC_EEM!R184="","",CALC_EEM!R184)</f>
        <v>0</v>
      </c>
      <c r="S272">
        <f>IF(CALC_EEM!S184="","",CALC_EEM!S184)</f>
        <v>0</v>
      </c>
      <c r="T272">
        <f>IF(CALC_EEM!T184="","",CALC_EEM!T184)</f>
        <v>0</v>
      </c>
      <c r="U272">
        <f>IF(CALC_EEM!U184="","",CALC_EEM!U184)</f>
        <v>0</v>
      </c>
    </row>
    <row r="273">
      <c r="A273" t="str">
        <f>IF(CALC_EEM!A185="","",IF(CALC_EEM!A185="GLOBAL","GLOBAL",IF(CALC_EEM!C185="Total","CURSO_TOTAL",IF(CALC_EEM!C185="TotalEsp","CURSO_ESP",IF(CALC_EEM!C185="TotalNoEsp","CURSO_NOESP","CURSO_ASIG")))))</f>
        <v>GLOBAL</v>
      </c>
      <c r="B273" t="str">
        <f>IF(CALC_EEM!A185="","",CALC_EEM!A185)</f>
        <v>GLOBAL</v>
      </c>
      <c r="C273" t="str">
        <f>IF(CALC_EEM!B185="","",CALC_EEM!B185)</f>
        <v>Total</v>
      </c>
      <c r="D273">
        <f>IF(CALC_EEM!D185="","",CALC_EEM!D185)</f>
        <v>0</v>
      </c>
      <c r="E273" s="14" t="str">
        <f>IF(CALC_EEM!E185="","",CALC_EEM!E185)</f>
        <v>—</v>
      </c>
      <c r="F273" s="14" t="str">
        <f>IF(CALC_EEM!F185="","",CALC_EEM!F185)</f>
        <v>—</v>
      </c>
      <c r="G273" t="str">
        <f>IF(CALC_EEM!G185="","",CALC_EEM!G185)</f>
        <v>—</v>
      </c>
      <c r="H273" s="16" t="str">
        <f>IF(CALC_EEM!H185="","",CALC_EEM!H185)</f>
        <v>—</v>
      </c>
      <c r="I273" s="16" t="str">
        <f>IF(CALC_EEM!I185="","",CALC_EEM!I185)</f>
        <v>—</v>
      </c>
      <c r="J273" t="str">
        <f>IF(CALC_EEM!J185="","",CALC_EEM!J185)</f>
        <v>—</v>
      </c>
      <c r="K273" t="str">
        <f>IF(CALC_EEM!K185="","",CALC_EEM!K185)</f>
        <v>—</v>
      </c>
      <c r="L273">
        <f>IF(CALC_EEM!L185="","",CALC_EEM!L185)</f>
        <v>0</v>
      </c>
      <c r="M273">
        <f>IF(CALC_EEM!M185="","",CALC_EEM!M185)</f>
        <v>0</v>
      </c>
      <c r="N273">
        <f>IF(CALC_EEM!N185="","",CALC_EEM!N185)</f>
        <v>0</v>
      </c>
      <c r="O273">
        <f>IF(CALC_EEM!O185="","",CALC_EEM!O185)</f>
        <v>0</v>
      </c>
      <c r="P273">
        <f>IF(CALC_EEM!P185="","",CALC_EEM!P185)</f>
        <v>0</v>
      </c>
      <c r="Q273">
        <f>IF(CALC_EEM!Q185="","",CALC_EEM!Q185)</f>
        <v>0</v>
      </c>
      <c r="R273">
        <f>IF(CALC_EEM!R185="","",CALC_EEM!R185)</f>
        <v>0</v>
      </c>
      <c r="S273">
        <f>IF(CALC_EEM!S185="","",CALC_EEM!S185)</f>
        <v>0</v>
      </c>
      <c r="T273">
        <f>IF(CALC_EEM!T185="","",CALC_EEM!T185)</f>
        <v>0</v>
      </c>
      <c r="U273">
        <f>IF(CALC_EEM!U185="","",CALC_EEM!U185)</f>
        <v>0</v>
      </c>
    </row>
    <row r="274">
      <c r="A274" t="str">
        <f>IF(CALC_EEM!A186="","",IF(CALC_EEM!A186="GLOBAL","GLOBAL",IF(CALC_EEM!C186="Total","CURSO_TOTAL",IF(CALC_EEM!C186="TotalEsp","CURSO_ESP",IF(CALC_EEM!C186="TotalNoEsp","CURSO_NOESP","CURSO_ASIG")))))</f>
        <v>GLOBAL</v>
      </c>
      <c r="B274" t="str">
        <f>IF(CALC_EEM!A186="","",CALC_EEM!A186)</f>
        <v>GLOBAL</v>
      </c>
      <c r="C274" t="str">
        <f>IF(CALC_EEM!B186="","",CALC_EEM!B186)</f>
        <v>Total</v>
      </c>
      <c r="D274">
        <f>IF(CALC_EEM!D186="","",CALC_EEM!D186)</f>
        <v>0</v>
      </c>
      <c r="E274" s="14" t="str">
        <f>IF(CALC_EEM!E186="","",CALC_EEM!E186)</f>
        <v>—</v>
      </c>
      <c r="F274" s="14" t="str">
        <f>IF(CALC_EEM!F186="","",CALC_EEM!F186)</f>
        <v>—</v>
      </c>
      <c r="G274" t="str">
        <f>IF(CALC_EEM!G186="","",CALC_EEM!G186)</f>
        <v>—</v>
      </c>
      <c r="H274" s="16" t="str">
        <f>IF(CALC_EEM!H186="","",CALC_EEM!H186)</f>
        <v>—</v>
      </c>
      <c r="I274" s="16" t="str">
        <f>IF(CALC_EEM!I186="","",CALC_EEM!I186)</f>
        <v>—</v>
      </c>
      <c r="J274" t="str">
        <f>IF(CALC_EEM!J186="","",CALC_EEM!J186)</f>
        <v>—</v>
      </c>
      <c r="K274" t="str">
        <f>IF(CALC_EEM!K186="","",CALC_EEM!K186)</f>
        <v>—</v>
      </c>
      <c r="L274">
        <f>IF(CALC_EEM!L186="","",CALC_EEM!L186)</f>
        <v>0</v>
      </c>
      <c r="M274">
        <f>IF(CALC_EEM!M186="","",CALC_EEM!M186)</f>
        <v>0</v>
      </c>
      <c r="N274">
        <f>IF(CALC_EEM!N186="","",CALC_EEM!N186)</f>
        <v>0</v>
      </c>
      <c r="O274">
        <f>IF(CALC_EEM!O186="","",CALC_EEM!O186)</f>
        <v>0</v>
      </c>
      <c r="P274">
        <f>IF(CALC_EEM!P186="","",CALC_EEM!P186)</f>
        <v>0</v>
      </c>
      <c r="Q274">
        <f>IF(CALC_EEM!Q186="","",CALC_EEM!Q186)</f>
        <v>0</v>
      </c>
      <c r="R274">
        <f>IF(CALC_EEM!R186="","",CALC_EEM!R186)</f>
        <v>0</v>
      </c>
      <c r="S274">
        <f>IF(CALC_EEM!S186="","",CALC_EEM!S186)</f>
        <v>0</v>
      </c>
      <c r="T274">
        <f>IF(CALC_EEM!T186="","",CALC_EEM!T186)</f>
        <v>0</v>
      </c>
      <c r="U274">
        <f>IF(CALC_EEM!U186="","",CALC_EEM!U186)</f>
        <v>0</v>
      </c>
    </row>
    <row r="275">
      <c r="A275" t="inlineStr">
        <is>
          <t>#AGRUPACIONES</t>
        </is>
      </c>
    </row>
    <row r="276">
      <c r="A276" s="2" t="s">
        <v>133</v>
      </c>
      <c r="B276" s="2" t="s">
        <v>2</v>
      </c>
      <c r="C276" s="2" t="s">
        <v>135</v>
      </c>
    </row>
    <row r="277">
      <c r="A277" t="s">
        <v>136</v>
      </c>
      <c r="B277" t="str">
        <f>IF(CONFIG_ASIGNATURAS!B2="","",CONFIG_ASIGNATURAS!B2)</f>
        <v>Lenguaje Musical</v>
      </c>
      <c r="C277" t="str">
        <f>IF(CONFIG_ASIGNATURAS!B2="","",IF(CONFIG_ASIGNATURAS!E2="",CONFIG_ASIGNATURAS!D2,CONFIG_ASIGNATURAS!D2&amp;";"&amp;CONFIG_ASIGNATURAS!E2))</f>
        <v>Referencia</v>
      </c>
    </row>
    <row r="278">
      <c r="A278" t="s">
        <v>136</v>
      </c>
      <c r="B278" t="str">
        <f>IF(CONFIG_ASIGNATURAS!B3="","",CONFIG_ASIGNATURAS!B3)</f>
        <v>Lenguaje Musical</v>
      </c>
      <c r="C278" t="str">
        <f>IF(CONFIG_ASIGNATURAS!B3="","",IF(CONFIG_ASIGNATURAS!E3="",CONFIG_ASIGNATURAS!D3,CONFIG_ASIGNATURAS!D3&amp;";"&amp;CONFIG_ASIGNATURAS!E3))</f>
        <v>Referencia</v>
      </c>
    </row>
    <row r="279">
      <c r="A279" t="s">
        <v>136</v>
      </c>
      <c r="B279" t="str">
        <f>IF(CONFIG_ASIGNATURAS!B4="","",CONFIG_ASIGNATURAS!B4)</f>
        <v>Lenguaje Musical</v>
      </c>
      <c r="C279" t="str">
        <f>IF(CONFIG_ASIGNATURAS!B4="","",IF(CONFIG_ASIGNATURAS!E4="",CONFIG_ASIGNATURAS!D4,CONFIG_ASIGNATURAS!D4&amp;";"&amp;CONFIG_ASIGNATURAS!E4))</f>
        <v>Referencia</v>
      </c>
    </row>
    <row r="280">
      <c r="A280" t="s">
        <v>136</v>
      </c>
      <c r="B280" t="str">
        <f>IF(CONFIG_ASIGNATURAS!B5="","",CONFIG_ASIGNATURAS!B5)</f>
        <v>Lenguaje Musical</v>
      </c>
      <c r="C280" t="str">
        <f>IF(CONFIG_ASIGNATURAS!B5="","",IF(CONFIG_ASIGNATURAS!E5="",CONFIG_ASIGNATURAS!D5,CONFIG_ASIGNATURAS!D5&amp;";"&amp;CONFIG_ASIGNATURAS!E5))</f>
        <v>Referencia</v>
      </c>
    </row>
    <row r="281">
      <c r="A281" t="s">
        <v>136</v>
      </c>
      <c r="B281" t="str">
        <f>IF(CONFIG_ASIGNATURAS!B6="","",CONFIG_ASIGNATURAS!B6)</f>
        <v>Lenguaje Musical</v>
      </c>
      <c r="C281" t="str">
        <f>IF(CONFIG_ASIGNATURAS!B6="","",IF(CONFIG_ASIGNATURAS!E6="",CONFIG_ASIGNATURAS!D6,CONFIG_ASIGNATURAS!D6&amp;";"&amp;CONFIG_ASIGNATURAS!E6))</f>
        <v>Referencia</v>
      </c>
    </row>
    <row r="282">
      <c r="A282" t="s">
        <v>136</v>
      </c>
      <c r="B282" t="str">
        <f>IF(CONFIG_ASIGNATURAS!B7="","",CONFIG_ASIGNATURAS!B7)</f>
        <v>Lenguaje Musical</v>
      </c>
      <c r="C282" t="str">
        <f>IF(CONFIG_ASIGNATURAS!B7="","",IF(CONFIG_ASIGNATURAS!E7="",CONFIG_ASIGNATURAS!D7,CONFIG_ASIGNATURAS!D7&amp;";"&amp;CONFIG_ASIGNATURAS!E7))</f>
        <v>Referencia</v>
      </c>
    </row>
    <row r="283">
      <c r="A283" t="s">
        <v>136</v>
      </c>
      <c r="B283" t="str">
        <f>IF(CONFIG_ASIGNATURAS!B8="","",CONFIG_ASIGNATURAS!B8)</f>
        <v>Lenguaje Musical</v>
      </c>
      <c r="C283" t="str">
        <f>IF(CONFIG_ASIGNATURAS!B8="","",IF(CONFIG_ASIGNATURAS!E8="",CONFIG_ASIGNATURAS!D8,CONFIG_ASIGNATURAS!D8&amp;";"&amp;CONFIG_ASIGNATURAS!E8))</f>
        <v>Referencia</v>
      </c>
    </row>
    <row r="284">
      <c r="A284" t="s">
        <v>136</v>
      </c>
      <c r="B284" t="str">
        <f>IF(CONFIG_ASIGNATURAS!B9="","",CONFIG_ASIGNATURAS!B9)</f>
        <v>Lenguaje Musical</v>
      </c>
      <c r="C284" t="str">
        <f>IF(CONFIG_ASIGNATURAS!B9="","",IF(CONFIG_ASIGNATURAS!E9="",CONFIG_ASIGNATURAS!D9,CONFIG_ASIGNATURAS!D9&amp;";"&amp;CONFIG_ASIGNATURAS!E9))</f>
        <v>Referencia</v>
      </c>
    </row>
    <row r="285">
      <c r="A285" t="s">
        <v>136</v>
      </c>
      <c r="B285" t="str">
        <f>IF(CONFIG_ASIGNATURAS!B10="","",CONFIG_ASIGNATURAS!B10)</f>
        <v>Lenguaje Musical</v>
      </c>
      <c r="C285" t="str">
        <f>IF(CONFIG_ASIGNATURAS!B10="","",IF(CONFIG_ASIGNATURAS!E10="",CONFIG_ASIGNATURAS!D10,CONFIG_ASIGNATURAS!D10&amp;";"&amp;CONFIG_ASIGNATURAS!E10))</f>
        <v>Referencia</v>
      </c>
    </row>
    <row r="286">
      <c r="A286" t="s">
        <v>136</v>
      </c>
      <c r="B286" t="str">
        <f>IF(CONFIG_ASIGNATURAS!B11="","",CONFIG_ASIGNATURAS!B11)</f>
        <v>Lenguaje Musical</v>
      </c>
      <c r="C286" t="str">
        <f>IF(CONFIG_ASIGNATURAS!B11="","",IF(CONFIG_ASIGNATURAS!E11="",CONFIG_ASIGNATURAS!D11,CONFIG_ASIGNATURAS!D11&amp;";"&amp;CONFIG_ASIGNATURAS!E11))</f>
        <v>Referencia</v>
      </c>
    </row>
    <row r="287">
      <c r="A287" t="s">
        <v>136</v>
      </c>
      <c r="B287" t="str">
        <f>IF(CONFIG_ASIGNATURAS!B12="","",CONFIG_ASIGNATURAS!B12)</f>
        <v>Lenguaje Musical</v>
      </c>
      <c r="C287" t="str">
        <f>IF(CONFIG_ASIGNATURAS!B12="","",IF(CONFIG_ASIGNATURAS!E12="",CONFIG_ASIGNATURAS!D12,CONFIG_ASIGNATURAS!D12&amp;";"&amp;CONFIG_ASIGNATURAS!E12))</f>
        <v>Referencia</v>
      </c>
    </row>
    <row r="288">
      <c r="A288" t="s">
        <v>136</v>
      </c>
      <c r="B288" t="str">
        <f>IF(CONFIG_ASIGNATURAS!B13="","",CONFIG_ASIGNATURAS!B13)</f>
        <v>Lenguaje Musical</v>
      </c>
      <c r="C288" t="str">
        <f>IF(CONFIG_ASIGNATURAS!B13="","",IF(CONFIG_ASIGNATURAS!E13="",CONFIG_ASIGNATURAS!D13,CONFIG_ASIGNATURAS!D13&amp;";"&amp;CONFIG_ASIGNATURAS!E13))</f>
        <v>Referencia</v>
      </c>
    </row>
    <row r="289">
      <c r="A289" t="s">
        <v>136</v>
      </c>
      <c r="B289" t="str">
        <f>IF(CONFIG_ASIGNATURAS!B14="","",CONFIG_ASIGNATURAS!B14)</f>
        <v>Lenguaje Musical</v>
      </c>
      <c r="C289" t="str">
        <f>IF(CONFIG_ASIGNATURAS!B14="","",IF(CONFIG_ASIGNATURAS!E14="",CONFIG_ASIGNATURAS!D14,CONFIG_ASIGNATURAS!D14&amp;";"&amp;CONFIG_ASIGNATURAS!E14))</f>
        <v>Referencia</v>
      </c>
    </row>
    <row r="290">
      <c r="A290" t="s">
        <v>136</v>
      </c>
      <c r="B290" t="str">
        <f>IF(CONFIG_ASIGNATURAS!B15="","",CONFIG_ASIGNATURAS!B15)</f>
        <v>Lenguaje Musical</v>
      </c>
      <c r="C290" t="str">
        <f>IF(CONFIG_ASIGNATURAS!B15="","",IF(CONFIG_ASIGNATURAS!E15="",CONFIG_ASIGNATURAS!D15,CONFIG_ASIGNATURAS!D15&amp;";"&amp;CONFIG_ASIGNATURAS!E15))</f>
        <v>Referencia</v>
      </c>
    </row>
    <row r="291">
      <c r="A291" t="s">
        <v>136</v>
      </c>
      <c r="B291" t="str">
        <f>IF(CONFIG_ASIGNATURAS!B16="","",CONFIG_ASIGNATURAS!B16)</f>
        <v>Lenguaje Musical</v>
      </c>
      <c r="C291" t="str">
        <f>IF(CONFIG_ASIGNATURAS!B16="","",IF(CONFIG_ASIGNATURAS!E16="",CONFIG_ASIGNATURAS!D16,CONFIG_ASIGNATURAS!D16&amp;";"&amp;CONFIG_ASIGNATURAS!E16))</f>
        <v>Referencia</v>
      </c>
    </row>
    <row r="292">
      <c r="A292" t="s">
        <v>136</v>
      </c>
      <c r="B292" t="str">
        <f>IF(CONFIG_ASIGNATURAS!B17="","",CONFIG_ASIGNATURAS!B17)</f>
        <v>Lenguaje Musical</v>
      </c>
      <c r="C292" t="str">
        <f>IF(CONFIG_ASIGNATURAS!B17="","",IF(CONFIG_ASIGNATURAS!E17="",CONFIG_ASIGNATURAS!D17,CONFIG_ASIGNATURAS!D17&amp;";"&amp;CONFIG_ASIGNATURAS!E17))</f>
        <v>Referencia</v>
      </c>
    </row>
    <row r="293">
      <c r="A293" t="s">
        <v>136</v>
      </c>
      <c r="B293" t="str">
        <f>IF(CONFIG_ASIGNATURAS!B18="","",CONFIG_ASIGNATURAS!B18)</f>
        <v>Lenguaje Musical</v>
      </c>
      <c r="C293" t="str">
        <f>IF(CONFIG_ASIGNATURAS!B18="","",IF(CONFIG_ASIGNATURAS!E18="",CONFIG_ASIGNATURAS!D18,CONFIG_ASIGNATURAS!D18&amp;";"&amp;CONFIG_ASIGNATURAS!E18))</f>
        <v>Referencia</v>
      </c>
    </row>
    <row r="294">
      <c r="A294" t="s">
        <v>136</v>
      </c>
      <c r="B294" t="str">
        <f>IF(CONFIG_ASIGNATURAS!B19="","",CONFIG_ASIGNATURAS!B19)</f>
        <v>Lenguaje Musical</v>
      </c>
      <c r="C294" t="str">
        <f>IF(CONFIG_ASIGNATURAS!B19="","",IF(CONFIG_ASIGNATURAS!E19="",CONFIG_ASIGNATURAS!D19,CONFIG_ASIGNATURAS!D19&amp;";"&amp;CONFIG_ASIGNATURAS!E19))</f>
        <v>Referencia</v>
      </c>
    </row>
    <row r="295">
      <c r="A295" t="s">
        <v>136</v>
      </c>
      <c r="B295" t="str">
        <f>IF(CONFIG_ASIGNATURAS!B20="","",CONFIG_ASIGNATURAS!B20)</f>
        <v>Lenguaje Musical</v>
      </c>
      <c r="C295" t="str">
        <f>IF(CONFIG_ASIGNATURAS!B20="","",IF(CONFIG_ASIGNATURAS!E20="",CONFIG_ASIGNATURAS!D20,CONFIG_ASIGNATURAS!D20&amp;";"&amp;CONFIG_ASIGNATURAS!E20))</f>
        <v>Referencia</v>
      </c>
    </row>
    <row r="296">
      <c r="A296" t="s">
        <v>136</v>
      </c>
      <c r="B296" t="str">
        <f>IF(CONFIG_ASIGNATURAS!B21="","",CONFIG_ASIGNATURAS!B21)</f>
        <v>Lenguaje Musical</v>
      </c>
      <c r="C296" t="str">
        <f>IF(CONFIG_ASIGNATURAS!B21="","",IF(CONFIG_ASIGNATURAS!E21="",CONFIG_ASIGNATURAS!D21,CONFIG_ASIGNATURAS!D21&amp;";"&amp;CONFIG_ASIGNATURAS!E21))</f>
        <v>Referencia</v>
      </c>
    </row>
    <row r="297">
      <c r="A297" t="s">
        <v>136</v>
      </c>
      <c r="B297" t="str">
        <f>IF(CONFIG_ASIGNATURAS!B22="","",CONFIG_ASIGNATURAS!B22)</f>
        <v>Lenguaje Musical</v>
      </c>
      <c r="C297" t="str">
        <f>IF(CONFIG_ASIGNATURAS!B22="","",IF(CONFIG_ASIGNATURAS!E22="",CONFIG_ASIGNATURAS!D22,CONFIG_ASIGNATURAS!D22&amp;";"&amp;CONFIG_ASIGNATURAS!E22))</f>
        <v>Referencia</v>
      </c>
    </row>
    <row r="298">
      <c r="A298" t="s">
        <v>136</v>
      </c>
      <c r="B298" t="str">
        <f>IF(CONFIG_ASIGNATURAS!B23="","",CONFIG_ASIGNATURAS!B23)</f>
        <v>Lenguaje Musical</v>
      </c>
      <c r="C298" t="str">
        <f>IF(CONFIG_ASIGNATURAS!B23="","",IF(CONFIG_ASIGNATURAS!E23="",CONFIG_ASIGNATURAS!D23,CONFIG_ASIGNATURAS!D23&amp;";"&amp;CONFIG_ASIGNATURAS!E23))</f>
        <v>Referencia</v>
      </c>
    </row>
    <row r="299">
      <c r="A299" t="s">
        <v>136</v>
      </c>
      <c r="B299" t="str">
        <f>IF(CONFIG_ASIGNATURAS!B24="","",CONFIG_ASIGNATURAS!B24)</f>
        <v>Lenguaje Musical</v>
      </c>
      <c r="C299" t="str">
        <f>IF(CONFIG_ASIGNATURAS!B24="","",IF(CONFIG_ASIGNATURAS!E24="",CONFIG_ASIGNATURAS!D24,CONFIG_ASIGNATURAS!D24&amp;";"&amp;CONFIG_ASIGNATURAS!E24))</f>
        <v>Referencia</v>
      </c>
    </row>
    <row r="300">
      <c r="A300" t="s">
        <v>136</v>
      </c>
      <c r="B300" t="str">
        <f>IF(CONFIG_ASIGNATURAS!B25="","",CONFIG_ASIGNATURAS!B25)</f>
        <v>Lenguaje Musical</v>
      </c>
      <c r="C300" t="str">
        <f>IF(CONFIG_ASIGNATURAS!B25="","",IF(CONFIG_ASIGNATURAS!E25="",CONFIG_ASIGNATURAS!D25,CONFIG_ASIGNATURAS!D25&amp;";"&amp;CONFIG_ASIGNATURAS!E25))</f>
        <v>Referencia</v>
      </c>
    </row>
    <row r="301">
      <c r="A301" t="s">
        <v>136</v>
      </c>
      <c r="B301" t="str">
        <f>IF(CONFIG_ASIGNATURAS!B26="","",CONFIG_ASIGNATURAS!B26)</f>
        <v>Lenguaje Musical</v>
      </c>
      <c r="C301" t="str">
        <f>IF(CONFIG_ASIGNATURAS!B26="","",IF(CONFIG_ASIGNATURAS!E26="",CONFIG_ASIGNATURAS!D26,CONFIG_ASIGNATURAS!D26&amp;";"&amp;CONFIG_ASIGNATURAS!E26))</f>
        <v>Referencia</v>
      </c>
    </row>
    <row r="302">
      <c r="A302" t="s">
        <v>136</v>
      </c>
      <c r="B302" t="str">
        <f>IF(CONFIG_ASIGNATURAS!B27="","",CONFIG_ASIGNATURAS!B27)</f>
        <v>Lenguaje Musical</v>
      </c>
      <c r="C302" t="str">
        <f>IF(CONFIG_ASIGNATURAS!B27="","",IF(CONFIG_ASIGNATURAS!E27="",CONFIG_ASIGNATURAS!D27,CONFIG_ASIGNATURAS!D27&amp;";"&amp;CONFIG_ASIGNATURAS!E27))</f>
        <v>Referencia</v>
      </c>
    </row>
    <row r="303">
      <c r="A303" s="12" t="s">
        <v>137</v>
      </c>
    </row>
    <row r="304">
      <c r="A304" s="2" t="s">
        <v>133</v>
      </c>
      <c r="B304" s="2" t="s">
        <v>75</v>
      </c>
      <c r="C304" s="2" t="s">
        <v>58</v>
      </c>
      <c r="D304" s="2" t="s">
        <v>59</v>
      </c>
      <c r="E304" s="2" t="s">
        <v>108</v>
      </c>
      <c r="F304" s="2" t="s">
        <v>110</v>
      </c>
    </row>
    <row r="305">
      <c r="A305" t="s">
        <v>138</v>
      </c>
      <c r="B305" t="str">
        <f>CALC_CORRELACIONES!A2</f>
        <v>1EEM</v>
      </c>
      <c r="C305" t="str">
        <f>CALC_CORRELACIONES!B2</f>
        <v>Lenguaje Musical</v>
      </c>
      <c r="D305" t="str">
        <f>CALC_CORRELACIONES!C2</f>
        <v>Coro</v>
      </c>
      <c r="E305" s="14" t="str">
        <f>CALC_CORRELACIONES!D2</f>
        <v/>
      </c>
      <c r="F305" t="str">
        <f>CALC_CORRELACIONES!F2</f>
        <v/>
      </c>
    </row>
    <row r="306">
      <c r="A306" t="s">
        <v>138</v>
      </c>
      <c r="B306" t="str">
        <f>CALC_CORRELACIONES!A3</f>
        <v>1EEM</v>
      </c>
      <c r="C306" t="str">
        <f>CALC_CORRELACIONES!B3</f>
        <v>Lenguaje Musical</v>
      </c>
      <c r="D306" t="str">
        <f>CALC_CORRELACIONES!C3</f>
        <v>Especialidad</v>
      </c>
      <c r="E306" s="14" t="str">
        <f>CALC_CORRELACIONES!D3</f>
        <v/>
      </c>
      <c r="F306" t="str">
        <f>CALC_CORRELACIONES!F3</f>
        <v/>
      </c>
    </row>
    <row r="307">
      <c r="A307" t="s">
        <v>138</v>
      </c>
      <c r="B307" t="str">
        <f>CALC_CORRELACIONES!A4</f>
        <v>1EEM</v>
      </c>
      <c r="C307" t="str">
        <f>CALC_CORRELACIONES!B4</f>
        <v>Coro</v>
      </c>
      <c r="D307" t="str">
        <f>CALC_CORRELACIONES!C4</f>
        <v>Especialidad</v>
      </c>
      <c r="E307" s="14" t="str">
        <f>CALC_CORRELACIONES!D4</f>
        <v/>
      </c>
      <c r="F307" t="str">
        <f>CALC_CORRELACIONES!F4</f>
        <v/>
      </c>
    </row>
    <row r="308">
      <c r="A308" t="s">
        <v>138</v>
      </c>
      <c r="B308" t="str">
        <f>CALC_CORRELACIONES!A5</f>
        <v>2EEM</v>
      </c>
      <c r="C308" t="str">
        <f>CALC_CORRELACIONES!B5</f>
        <v>Lenguaje Musical</v>
      </c>
      <c r="D308" t="str">
        <f>CALC_CORRELACIONES!C5</f>
        <v>Coro</v>
      </c>
      <c r="E308" s="14" t="str">
        <f>CALC_CORRELACIONES!D5</f>
        <v/>
      </c>
      <c r="F308" t="str">
        <f>CALC_CORRELACIONES!F5</f>
        <v/>
      </c>
    </row>
    <row r="309">
      <c r="A309" t="s">
        <v>138</v>
      </c>
      <c r="B309" t="str">
        <f>CALC_CORRELACIONES!A6</f>
        <v>2EEM</v>
      </c>
      <c r="C309" t="str">
        <f>CALC_CORRELACIONES!B6</f>
        <v>Lenguaje Musical</v>
      </c>
      <c r="D309" t="str">
        <f>CALC_CORRELACIONES!C6</f>
        <v>Especialidad</v>
      </c>
      <c r="E309" s="14" t="str">
        <f>CALC_CORRELACIONES!D6</f>
        <v/>
      </c>
      <c r="F309" t="str">
        <f>CALC_CORRELACIONES!F6</f>
        <v/>
      </c>
    </row>
    <row r="310">
      <c r="A310" t="s">
        <v>138</v>
      </c>
      <c r="B310" t="str">
        <f>CALC_CORRELACIONES!A7</f>
        <v>2EEM</v>
      </c>
      <c r="C310" t="str">
        <f>CALC_CORRELACIONES!B7</f>
        <v>Coro</v>
      </c>
      <c r="D310" t="str">
        <f>CALC_CORRELACIONES!C7</f>
        <v>Especialidad</v>
      </c>
      <c r="E310" s="14" t="str">
        <f>CALC_CORRELACIONES!D7</f>
        <v/>
      </c>
      <c r="F310" t="str">
        <f>CALC_CORRELACIONES!F7</f>
        <v/>
      </c>
    </row>
    <row r="311">
      <c r="A311" t="s">
        <v>138</v>
      </c>
      <c r="B311" t="str">
        <f>CALC_CORRELACIONES!A8</f>
        <v>3EEM</v>
      </c>
      <c r="C311" t="str">
        <f>CALC_CORRELACIONES!B8</f>
        <v>Lenguaje Musical</v>
      </c>
      <c r="D311" t="str">
        <f>CALC_CORRELACIONES!C8</f>
        <v>Coro</v>
      </c>
      <c r="E311" s="14" t="str">
        <f>CALC_CORRELACIONES!D8</f>
        <v/>
      </c>
      <c r="F311" t="str">
        <f>CALC_CORRELACIONES!F8</f>
        <v/>
      </c>
    </row>
    <row r="312">
      <c r="A312" t="s">
        <v>138</v>
      </c>
      <c r="B312" t="str">
        <f>CALC_CORRELACIONES!A9</f>
        <v>3EEM</v>
      </c>
      <c r="C312" t="str">
        <f>CALC_CORRELACIONES!B9</f>
        <v>Lenguaje Musical</v>
      </c>
      <c r="D312" t="str">
        <f>CALC_CORRELACIONES!C9</f>
        <v>Conjunto</v>
      </c>
      <c r="E312" s="14" t="str">
        <f>CALC_CORRELACIONES!D9</f>
        <v/>
      </c>
      <c r="F312" t="str">
        <f>CALC_CORRELACIONES!F9</f>
        <v/>
      </c>
    </row>
    <row r="313">
      <c r="A313" t="s">
        <v>138</v>
      </c>
      <c r="B313" t="str">
        <f>CALC_CORRELACIONES!A10</f>
        <v>3EEM</v>
      </c>
      <c r="C313" t="str">
        <f>CALC_CORRELACIONES!B10</f>
        <v>Lenguaje Musical</v>
      </c>
      <c r="D313" t="str">
        <f>CALC_CORRELACIONES!C10</f>
        <v>Especialidad</v>
      </c>
      <c r="E313" s="14" t="str">
        <f>CALC_CORRELACIONES!D10</f>
        <v/>
      </c>
      <c r="F313" t="str">
        <f>CALC_CORRELACIONES!F10</f>
        <v/>
      </c>
    </row>
    <row r="314">
      <c r="A314" t="s">
        <v>138</v>
      </c>
      <c r="B314" t="str">
        <f>CALC_CORRELACIONES!A11</f>
        <v>3EEM</v>
      </c>
      <c r="C314" t="str">
        <f>CALC_CORRELACIONES!B11</f>
        <v>Coro</v>
      </c>
      <c r="D314" t="str">
        <f>CALC_CORRELACIONES!C11</f>
        <v>Conjunto</v>
      </c>
      <c r="E314" s="14" t="str">
        <f>CALC_CORRELACIONES!D11</f>
        <v/>
      </c>
      <c r="F314" t="str">
        <f>CALC_CORRELACIONES!F11</f>
        <v/>
      </c>
    </row>
    <row r="315">
      <c r="A315" t="s">
        <v>138</v>
      </c>
      <c r="B315" t="str">
        <f>CALC_CORRELACIONES!A12</f>
        <v>3EEM</v>
      </c>
      <c r="C315" t="str">
        <f>CALC_CORRELACIONES!B12</f>
        <v>Coro</v>
      </c>
      <c r="D315" t="str">
        <f>CALC_CORRELACIONES!C12</f>
        <v>Especialidad</v>
      </c>
      <c r="E315" s="14" t="str">
        <f>CALC_CORRELACIONES!D12</f>
        <v/>
      </c>
      <c r="F315" t="str">
        <f>CALC_CORRELACIONES!F12</f>
        <v/>
      </c>
    </row>
    <row r="316">
      <c r="A316" t="s">
        <v>138</v>
      </c>
      <c r="B316" t="str">
        <f>CALC_CORRELACIONES!A13</f>
        <v>3EEM</v>
      </c>
      <c r="C316" t="str">
        <f>CALC_CORRELACIONES!B13</f>
        <v>Conjunto</v>
      </c>
      <c r="D316" t="str">
        <f>CALC_CORRELACIONES!C13</f>
        <v>Especialidad</v>
      </c>
      <c r="E316" s="14" t="str">
        <f>CALC_CORRELACIONES!D13</f>
        <v/>
      </c>
      <c r="F316" t="str">
        <f>CALC_CORRELACIONES!F13</f>
        <v/>
      </c>
    </row>
    <row r="317">
      <c r="A317" t="s">
        <v>138</v>
      </c>
      <c r="B317" t="str">
        <f>CALC_CORRELACIONES!A14</f>
        <v>4EEM</v>
      </c>
      <c r="C317" t="str">
        <f>CALC_CORRELACIONES!B14</f>
        <v>Lenguaje Musical</v>
      </c>
      <c r="D317" t="str">
        <f>CALC_CORRELACIONES!C14</f>
        <v>Coro</v>
      </c>
      <c r="E317" s="14" t="str">
        <f>CALC_CORRELACIONES!D14</f>
        <v/>
      </c>
      <c r="F317" t="str">
        <f>CALC_CORRELACIONES!F14</f>
        <v/>
      </c>
    </row>
    <row r="318">
      <c r="A318" t="s">
        <v>138</v>
      </c>
      <c r="B318" t="str">
        <f>CALC_CORRELACIONES!A15</f>
        <v>4EEM</v>
      </c>
      <c r="C318" t="str">
        <f>CALC_CORRELACIONES!B15</f>
        <v>Lenguaje Musical</v>
      </c>
      <c r="D318" t="str">
        <f>CALC_CORRELACIONES!C15</f>
        <v>Conjunto</v>
      </c>
      <c r="E318" s="14" t="str">
        <f>CALC_CORRELACIONES!D15</f>
        <v/>
      </c>
      <c r="F318" t="str">
        <f>CALC_CORRELACIONES!F15</f>
        <v/>
      </c>
    </row>
    <row r="319">
      <c r="A319" t="s">
        <v>138</v>
      </c>
      <c r="B319" t="str">
        <f>CALC_CORRELACIONES!A16</f>
        <v>4EEM</v>
      </c>
      <c r="C319" t="str">
        <f>CALC_CORRELACIONES!B16</f>
        <v>Lenguaje Musical</v>
      </c>
      <c r="D319" t="str">
        <f>CALC_CORRELACIONES!C16</f>
        <v>Especialidad</v>
      </c>
      <c r="E319" s="14" t="str">
        <f>CALC_CORRELACIONES!D16</f>
        <v/>
      </c>
      <c r="F319" t="str">
        <f>CALC_CORRELACIONES!F16</f>
        <v/>
      </c>
    </row>
    <row r="320">
      <c r="A320" t="s">
        <v>138</v>
      </c>
      <c r="B320" t="str">
        <f>CALC_CORRELACIONES!A17</f>
        <v>4EEM</v>
      </c>
      <c r="C320" t="str">
        <f>CALC_CORRELACIONES!B17</f>
        <v>Coro</v>
      </c>
      <c r="D320" t="str">
        <f>CALC_CORRELACIONES!C17</f>
        <v>Conjunto</v>
      </c>
      <c r="E320" s="14" t="str">
        <f>CALC_CORRELACIONES!D17</f>
        <v/>
      </c>
      <c r="F320" t="str">
        <f>CALC_CORRELACIONES!F17</f>
        <v/>
      </c>
    </row>
    <row r="321">
      <c r="A321" t="s">
        <v>138</v>
      </c>
      <c r="B321" t="str">
        <f>CALC_CORRELACIONES!A18</f>
        <v>4EEM</v>
      </c>
      <c r="C321" t="str">
        <f>CALC_CORRELACIONES!B18</f>
        <v>Coro</v>
      </c>
      <c r="D321" t="str">
        <f>CALC_CORRELACIONES!C18</f>
        <v>Especialidad</v>
      </c>
      <c r="E321" s="14" t="str">
        <f>CALC_CORRELACIONES!D18</f>
        <v/>
      </c>
      <c r="F321" t="str">
        <f>CALC_CORRELACIONES!F18</f>
        <v/>
      </c>
    </row>
    <row r="322">
      <c r="A322" t="s">
        <v>138</v>
      </c>
      <c r="B322" t="str">
        <f>CALC_CORRELACIONES!A19</f>
        <v>4EEM</v>
      </c>
      <c r="C322" t="str">
        <f>CALC_CORRELACIONES!B19</f>
        <v>Conjunto</v>
      </c>
      <c r="D322" t="str">
        <f>CALC_CORRELACIONES!C19</f>
        <v>Especialidad</v>
      </c>
      <c r="E322" s="14" t="str">
        <f>CALC_CORRELACIONES!D19</f>
        <v/>
      </c>
      <c r="F322" t="str">
        <f>CALC_CORRELACIONES!F19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PORTADA_EEM</vt:lpstr>
      <vt:lpstr>CONFIG_ASIGNATURAS</vt:lpstr>
      <vt:lpstr>CONFIG_METADATA</vt:lpstr>
      <vt:lpstr>CONFIG_CORRELACIONES</vt:lpstr>
      <vt:lpstr>DATOS</vt:lpstr>
      <vt:lpstr>CALC_EEM</vt:lpstr>
      <vt:lpstr>DAT_CORRELACION</vt:lpstr>
      <vt:lpstr>CALC_CORRELACIONES</vt:lpstr>
      <vt:lpstr>EXPORTADOR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José Luis Miralles Bono</cp:lastModifiedBy>
  <cp:revision>0</cp:revision>
  <dcterms:created xsi:type="dcterms:W3CDTF">2025-12-25T16:13:55Z</dcterms:created>
  <dcterms:modified xsi:type="dcterms:W3CDTF">2025-12-28T16:25:34Z</dcterms:modified>
  <dc:language>en-US</dc:language>
</cp:coreProperties>
</file>